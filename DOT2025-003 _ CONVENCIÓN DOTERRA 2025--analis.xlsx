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CIERRE INTERNO" sheetId="1" r:id="rId4"/>
    <sheet state="visible" name="SP´S" sheetId="2" r:id="rId5"/>
    <sheet state="visible" name="COMBUSTIBLE  PEAJE" sheetId="3" r:id="rId6"/>
    <sheet state="visible" name="RH" sheetId="4" r:id="rId7"/>
    <sheet state="visible" name="MATERIALES" sheetId="5" r:id="rId8"/>
    <sheet state="visible" name="PROVISIONE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3">
      <text>
        <t xml:space="preserve">@admontaller@madegroup.mx Podemos revisar si este pago del 21 no esta duplicado?
	-Leslie Flores
No esta duplicado, el total fue 11,000 en 4 pagos de 2750,
	-Nayeli Granciano</t>
      </text>
    </comment>
  </commentList>
</comments>
</file>

<file path=xl/sharedStrings.xml><?xml version="1.0" encoding="utf-8"?>
<sst xmlns="http://schemas.openxmlformats.org/spreadsheetml/2006/main" count="1599" uniqueCount="558">
  <si>
    <t>CIERRE INTERNO</t>
  </si>
  <si>
    <t>CLIENTE:</t>
  </si>
  <si>
    <t>CLAVE EVENTO</t>
  </si>
  <si>
    <t>DOT2025-003</t>
  </si>
  <si>
    <t>FECHAS DEL EVENTO:</t>
  </si>
  <si>
    <t>JULIO- DIC</t>
  </si>
  <si>
    <t>SEDE:</t>
  </si>
  <si>
    <t>CIUDAD:</t>
  </si>
  <si>
    <t>ASESOR TERRESTRE:</t>
  </si>
  <si>
    <t>VENDEDOR DE GRUPOS:</t>
  </si>
  <si>
    <t>INGRESOS</t>
  </si>
  <si>
    <t>Status</t>
  </si>
  <si>
    <t>No. Factura</t>
  </si>
  <si>
    <t>Proveedor / Razón Social</t>
  </si>
  <si>
    <t>Concepto</t>
  </si>
  <si>
    <t>Otra Moneda</t>
  </si>
  <si>
    <t>Sub-Total</t>
  </si>
  <si>
    <t>I.V.A</t>
  </si>
  <si>
    <t>Monto a Pagar</t>
  </si>
  <si>
    <t>PAGADO</t>
  </si>
  <si>
    <t>DOTERRA</t>
  </si>
  <si>
    <t>CONVENCIÓN DOTERRA 2025 ANTICIPO</t>
  </si>
  <si>
    <t>CONVENCIÓN DOTERRA 2025 FINIQUITO</t>
  </si>
  <si>
    <t>CONVENCIÓN DOTERRA 2025 FEE</t>
  </si>
  <si>
    <t>TOTAL INGRESOS</t>
  </si>
  <si>
    <t>RESUMEN EGRESOS</t>
  </si>
  <si>
    <t>Total</t>
  </si>
  <si>
    <t>Porcentaje</t>
  </si>
  <si>
    <t>TOTAL EGRESOS</t>
  </si>
  <si>
    <t>RESUMEN UTILIDAD</t>
  </si>
  <si>
    <t>CONCEPTO</t>
  </si>
  <si>
    <t>MONTO</t>
  </si>
  <si>
    <t>PORCENTAJE</t>
  </si>
  <si>
    <t>SUMA DE INGRESOS</t>
  </si>
  <si>
    <t>SUMA DE EGRESOS</t>
  </si>
  <si>
    <t>UTILIDAD</t>
  </si>
  <si>
    <t>PENDIENTE</t>
  </si>
  <si>
    <t>SP´S</t>
  </si>
  <si>
    <t>Método de Pago</t>
  </si>
  <si>
    <t>Fecha de Pago</t>
  </si>
  <si>
    <t>SP S</t>
  </si>
  <si>
    <t>FLUJO</t>
  </si>
  <si>
    <t>TRANSFERENCIA</t>
  </si>
  <si>
    <t>TICKET</t>
  </si>
  <si>
    <t>JESSICA GARCIA GONZALEZ</t>
  </si>
  <si>
    <t>ESTACIONAMIENTO CITIBANAMEX SCOUTING DOTERRA</t>
  </si>
  <si>
    <t>SI</t>
  </si>
  <si>
    <t>N/A</t>
  </si>
  <si>
    <t>ALBERTO SUÁREZ JIMENEZ</t>
  </si>
  <si>
    <t>MO TRABAJOS DOTERRA</t>
  </si>
  <si>
    <t>GUILLERMO SUAREZ JIMENEZ</t>
  </si>
  <si>
    <t>OSCAR SUAREZ JIMENEZ</t>
  </si>
  <si>
    <t>SANTANDER</t>
  </si>
  <si>
    <t>ALEJANDRO SUÁREZ JIMENEZ</t>
  </si>
  <si>
    <t>STD</t>
  </si>
  <si>
    <t>4EC7CCE1</t>
  </si>
  <si>
    <t>JESUS SANCHEZ GALICIA</t>
  </si>
  <si>
    <t>50% ANTICIPO VOLUMETRICO EN FIBRA DE VIDRIO 60X36CM CONVENCION DOTERRA</t>
  </si>
  <si>
    <t>AMEX</t>
  </si>
  <si>
    <t>COMPROBANTE</t>
  </si>
  <si>
    <t>JOSE E ZEPEDA BURGOS</t>
  </si>
  <si>
    <t>AMAZON MX MARKETPLACE*A MEXICO CITY08 oct 2025</t>
  </si>
  <si>
    <t xml:space="preserve">TB EZ SANTANDER-AMEX $250,135.11 PROYECTOS VARIOS </t>
  </si>
  <si>
    <t>AMAZON MX MARKETPLACE*A MEXICO CITY</t>
  </si>
  <si>
    <t>JUANA GARAY MONROY</t>
  </si>
  <si>
    <t>ANTICIPO HECHURA DE CORTINAS</t>
  </si>
  <si>
    <t>ERICK AXEL ESPINOZA HERNANDEZ</t>
  </si>
  <si>
    <t>ANTICIPO PERFORMANCE</t>
  </si>
  <si>
    <t>MARIO GERARDO MORENO RODRIGUEZ</t>
  </si>
  <si>
    <t>RENDER DOTERRA CONVENCION LATAM 2025</t>
  </si>
  <si>
    <t>F0778D64</t>
  </si>
  <si>
    <t>INNOVACION VERDE</t>
  </si>
  <si>
    <t>PAGO PLANTAS CONVENCION DOTERRA</t>
  </si>
  <si>
    <t>F1B27410</t>
  </si>
  <si>
    <t>IVAN EDUARDO MORENO</t>
  </si>
  <si>
    <t>ANTICIPO DEL 50% DE IMPRESORAS CONVENCION DOTERRA</t>
  </si>
  <si>
    <t>COT WHATS</t>
  </si>
  <si>
    <t>RAUL ALEJANDRO LEZAMA</t>
  </si>
  <si>
    <t>ANTICIPO DEL 50% DE RADIOS PARA CLIENTE CONVECION DOTERRA</t>
  </si>
  <si>
    <t>MARIA DE LOURDES PASTRANA PEREZ</t>
  </si>
  <si>
    <t>ANTICIPO DEL 50% CABINA DE FOTOS CONVENCION DOTERRA</t>
  </si>
  <si>
    <t>COT KS000745</t>
  </si>
  <si>
    <t xml:space="preserve">TIENDA MERCADAZO S.A DE C.V    </t>
  </si>
  <si>
    <t>PAGO DE MAQUINA SMOOTHIE DOTERRA</t>
  </si>
  <si>
    <t>PROCESO</t>
  </si>
  <si>
    <t>MERCADO LIBRE MEXICO/18 oct 2025</t>
  </si>
  <si>
    <t>MERCADO LIBRE MEXICO/26 oct 2025</t>
  </si>
  <si>
    <t>MERCADO LIBRE MEXICO/23 oct 2025</t>
  </si>
  <si>
    <t>AMAZON MX MARKETPLACE*A MEXICO CITY/17 oct 2025</t>
  </si>
  <si>
    <t>CREATIVO RED CARPET ESTUDIO SA DE CV</t>
  </si>
  <si>
    <t>RENTA DE MOBILIARIO CONVENCION DOTERRA</t>
  </si>
  <si>
    <t xml:space="preserve">LINO GUTIERREZ LOPEZ </t>
  </si>
  <si>
    <t>PAGO CHOFER EXTERNO  LINO Y SAID- MONTAJE DOTERRA 20OCT25</t>
  </si>
  <si>
    <t>EDGAR OCTAVIO ALVARADO</t>
  </si>
  <si>
    <t>PAGO 5 MANIOBRISTAS 20OCT25 - 500 C/U DOTERRA</t>
  </si>
  <si>
    <t xml:space="preserve">ANGIE LIZEL PEREZ GUERRA </t>
  </si>
  <si>
    <t>PAGO DE REEMBOLSO MACETAS 21OCT25</t>
  </si>
  <si>
    <t>ANTICIPO HECHURA DE CORTINAS 2</t>
  </si>
  <si>
    <t>FINIQUITO HECHURA DE CORTINAS 21OCT25</t>
  </si>
  <si>
    <t>SOLICITUD</t>
  </si>
  <si>
    <t>ROGELIO VILCHIS</t>
  </si>
  <si>
    <t xml:space="preserve">VIATICOS MONTAJE 21OCT25 DOTERRA </t>
  </si>
  <si>
    <t>DAVID CHACON</t>
  </si>
  <si>
    <t>AMAZON MX MARKETPLACE*A MEXICO CITY/19 oct 2025</t>
  </si>
  <si>
    <t>LIQUIDACION DE RADIOS PARA CLIENTE CONVECION DOTERRA</t>
  </si>
  <si>
    <t>DESARROLLO CREATIVO EN PUBLICIDAD Y MARKETING</t>
  </si>
  <si>
    <t>PAGO DE BANDERAS CONVENCION DOTERRA</t>
  </si>
  <si>
    <t>LINO GUTIÉRREZ LOPEZ</t>
  </si>
  <si>
    <t>PAGO CHOFER EXTERNO  LINO MONTAJE DOTERRA 20OCT25</t>
  </si>
  <si>
    <t>PAGO CHOFER EXTERNO SAID MONTAJE DOTERRA 20OCT25</t>
  </si>
  <si>
    <t>PAGO CHOFER EXTERNO BRAYAN MONTAJE DOTERRA 20OCT25</t>
  </si>
  <si>
    <t>MARIA DE LA LUZ TAPIA SANTAMARIA</t>
  </si>
  <si>
    <t>ARREGLO FLORAL CONVENCION DOTERRA</t>
  </si>
  <si>
    <t>PAGO ESTACIONAMIENTOS LINO Y SAID- MONTAJE DOTERRA 20OCT25</t>
  </si>
  <si>
    <t>FINIQUITO HECHURA DE CORTINAS 2 22OCT25</t>
  </si>
  <si>
    <t>EVODIO DE JESUS GOMEZ</t>
  </si>
  <si>
    <t>VIATICOS APOYO DOTERRA 22OCT25</t>
  </si>
  <si>
    <t>TIRSO DE JESUS DE LA CRUZ</t>
  </si>
  <si>
    <t>ISAIAS DE JESUS VALDES</t>
  </si>
  <si>
    <t>PAGO MANIOBRAS BRAYAN 20OCT25</t>
  </si>
  <si>
    <t>PAGO VIÁTICOS EDGAR OCTAVIO DEL 21OCT25 - DOTERRA</t>
  </si>
  <si>
    <t>PAGO SUELDOS DE 11 MANIOBRISTAS EXTERNOS DEL 20OCT25 - DOTERRA</t>
  </si>
  <si>
    <t>FK41935</t>
  </si>
  <si>
    <t>INMOBILIARIA VALIANT RE NAUCALPAN DE JU/21 oct 2025</t>
  </si>
  <si>
    <t>PAGO VIATICOS DESAYUNOS 21 Y 22OCT25 DOTERRA</t>
  </si>
  <si>
    <t>MANO DE OBRA SUAREZ</t>
  </si>
  <si>
    <t>FRANCISCO JHOAN CHACON RUEDA</t>
  </si>
  <si>
    <t>PAGO VIÁTICOS CENA 21 Y 22OCT25 CONVENCIÓN DOTERRA</t>
  </si>
  <si>
    <t>OMAR RAFAEL VICTOR GONZALEZ</t>
  </si>
  <si>
    <t>VIATICOS (CENA) OMAR MONTAJE DOTERRA 23OCT25</t>
  </si>
  <si>
    <t>VIATICOS ROGELIO MONTAJE DOTERRA 24OCT25</t>
  </si>
  <si>
    <t>VIATICOS DAVID MONTAJE DOTERRA 24OCT25</t>
  </si>
  <si>
    <t>VIATICOS FRANCISCO MONTAJE DOTERRA 24OCT25</t>
  </si>
  <si>
    <t>FINIQUITO DEL 50% CABINA DE FOTOS CONVENCION DOTERRA</t>
  </si>
  <si>
    <t>GUILLERMO SUÁREZ JIMENEZ</t>
  </si>
  <si>
    <t>OSCAR SUÁREZ JIMENEZ</t>
  </si>
  <si>
    <t>DANIEL ARELLANO LAMA</t>
  </si>
  <si>
    <t>MANO DE OBRA ARELLANO</t>
  </si>
  <si>
    <t>ALEJANDRO SANTA ANNA NIER</t>
  </si>
  <si>
    <t xml:space="preserve"> ANTICIPO 50% LEVANTAMIENTO DE FOTO Y VIDEO, MONTAJE Y EVENTO DOTERRA, VIDEOMEMMORIAS EXPRESS Y VIDEOMEMORIA FINAL CLIENTE Y MADE</t>
  </si>
  <si>
    <t>FINIQUITO  50% PERFORMANCE</t>
  </si>
  <si>
    <t>VIATICOS DESMONTAJE DOTERRA 25OCT25 GERARDO DOMINGUEZ</t>
  </si>
  <si>
    <t>VIATICOS CENA Y DESAYUNO DESMONTAJE DOTERRA 25OCT25</t>
  </si>
  <si>
    <t xml:space="preserve">TARJETA SANTANDER </t>
  </si>
  <si>
    <t>TK110299</t>
  </si>
  <si>
    <t xml:space="preserve">FANTASIAS MIGUEL </t>
  </si>
  <si>
    <t xml:space="preserve">LADRILLO, PLANTAS DE FORAJJE Y MACETA </t>
  </si>
  <si>
    <t>EFECTIVO</t>
  </si>
  <si>
    <t>FACTURA</t>
  </si>
  <si>
    <t>SUMINISTROS COMBUSTIBLES MORELOS</t>
  </si>
  <si>
    <t>PAGO COMBUSTIBLE DE GASOLINA RENE EFECTIVO 16OCT2025</t>
  </si>
  <si>
    <t xml:space="preserve">CRISMA TEMPLADO </t>
  </si>
  <si>
    <t>COMPRA DE ESPEJO 3MM</t>
  </si>
  <si>
    <t xml:space="preserve">ANGIE PEREZ </t>
  </si>
  <si>
    <t xml:space="preserve">COMPRA DE FRUTA </t>
  </si>
  <si>
    <t>1 ESPEJO LUNA 450*1150</t>
  </si>
  <si>
    <t>TK</t>
  </si>
  <si>
    <t xml:space="preserve">THE HOME DEPOT </t>
  </si>
  <si>
    <t>BRIDA PARA TUBO CLOSET</t>
  </si>
  <si>
    <t>REEMBOLSO PAGO MANIOBRAS</t>
  </si>
  <si>
    <t>MO TRABAJOS APOYO DOTERRA</t>
  </si>
  <si>
    <t>LWQ2587952</t>
  </si>
  <si>
    <t>LIVERPOOL</t>
  </si>
  <si>
    <t>CAMBIADORES DE PAÑALES PARA AREA MATERNIDAD</t>
  </si>
  <si>
    <t>LIQUIDACION VOLUMETRICO EN FIBRA DE VIDRIO 60X36CM CONVENCION DOTERRA</t>
  </si>
  <si>
    <t>APOYO EN EVENTO DOTERRA</t>
  </si>
  <si>
    <t>JORDAN LEAL</t>
  </si>
  <si>
    <t>VIATICOS DESAYUNO, COMIDA Y CENA DESMONTAJE DOTERRA 25OCT25</t>
  </si>
  <si>
    <t>MANUEL MARTÍNEZ</t>
  </si>
  <si>
    <t>PAGO CHOFER DESMONTAJE DOTERRA 25OCT25</t>
  </si>
  <si>
    <t>GERARDO DOMINGUEZ HERRERA</t>
  </si>
  <si>
    <t>VIATICOS DESMONTAJE CENA Y DESAYUNO 25OCT25</t>
  </si>
  <si>
    <t>REEMBOLSO ESTACIONAMIENTOS DOT2025-003, OBY2025-027, KCM2025-003</t>
  </si>
  <si>
    <t>TB $546  DOT2028-003 $538 + OBY2025-027 $4.00  + KCM2025-003  $4.00</t>
  </si>
  <si>
    <t>JONATAN DOMINGUEZ URBINA</t>
  </si>
  <si>
    <t>PAGO TRAILER DESMONTAJE DOTERRA 25OCT25</t>
  </si>
  <si>
    <t xml:space="preserve">LUIS ANTONIO MILLAN </t>
  </si>
  <si>
    <t>BANAMEX DOTERRA</t>
  </si>
  <si>
    <t xml:space="preserve">AEROPUERTO - MENSAJERIA </t>
  </si>
  <si>
    <t>PAGO ESTACIONAMIENTO CHOFER EXTERNO  LINO Y SAID MONTAJE DOTERRA 20OCT25</t>
  </si>
  <si>
    <t>COMPROBANTES</t>
  </si>
  <si>
    <t>GUILLERMO MENDOZA</t>
  </si>
  <si>
    <t>COMPRA DE PLAYOS, CENA PERSONAL DESMONTAJE, CASETAS, ESTACIONAMIENTO</t>
  </si>
  <si>
    <t>EVELIA JIMENEZ LEGORRETA</t>
  </si>
  <si>
    <t>PAGO DE PLANOS ARQUITECTONICOS Y DRO CONVENCION DOTERRA</t>
  </si>
  <si>
    <t>36A1286F-07F3-42CC-B39C-C87ED660DC7E</t>
  </si>
  <si>
    <t>LIQUIDACION  DE IMPRESORAS CONVENCION DOTERRA</t>
  </si>
  <si>
    <t>C247</t>
  </si>
  <si>
    <t>LETICIA RUBI TÉLLEZ</t>
  </si>
  <si>
    <t>CAPELOS DOTERRA EN ACRILICOS CRISTAL 4MM</t>
  </si>
  <si>
    <t>PAGO DE BANDERAS ADICIONALES CONVENCION DOTERRA</t>
  </si>
  <si>
    <t>CORTEZA DE ARBOL MACETA DOTERRA</t>
  </si>
  <si>
    <t xml:space="preserve">ELISA DANIELA NAVA TERAN </t>
  </si>
  <si>
    <t xml:space="preserve">REEMBOLSO TAXIS </t>
  </si>
  <si>
    <t>SOPORTE</t>
  </si>
  <si>
    <t>REEMBOLSOS UBER CONVENCION DOTERRA</t>
  </si>
  <si>
    <t>LESLIE FLORES ETIENNE</t>
  </si>
  <si>
    <t>TRANSFERENCIA A ENRIQUE ZEPEDA DOTERRA  24OCT25</t>
  </si>
  <si>
    <t>REEMBOLSO ESTACIONAMIENTOS DOTERRA</t>
  </si>
  <si>
    <t>DAVID GARCIA MIRANDA</t>
  </si>
  <si>
    <t>REEMBOLSO DE TAXIS DIDI</t>
  </si>
  <si>
    <t>LAURA MUÑIZ DOMÍNGUEZ</t>
  </si>
  <si>
    <t>(TRANSPORTES MUÑIZ) PAGO TRANSPORTE MONTAJE DOTERRRA 21OCT25</t>
  </si>
  <si>
    <t>(TRANSPORTES MUÑIZ) PAGO MANIOBRA 3 PERSONAS MONTAJE DOTERRRA 21OCT25</t>
  </si>
  <si>
    <t>(TRANSPORTES MUÑIZ) PAGO ESTACIONAMIENTO MONTAJE DOTERRRA 21OCT25</t>
  </si>
  <si>
    <t>(TRANSPORTES MUÑIZ) PAGO RENTA DE DIABLITO MONTAJE DOTERRRA 21OCT25</t>
  </si>
  <si>
    <t>LUIS ANTONIO GARDUÑO TAPIA</t>
  </si>
  <si>
    <t>DOT2025003 DIA 1 TRABAJOS DOTERRA</t>
  </si>
  <si>
    <t>REEMBOLSO 20 USB PARA DOTERRA - ROGELIO VILCHIS 22OCT25</t>
  </si>
  <si>
    <t>TRANSFERENCIA A ENRIQUE ZEPEDA DOTERRA  23OCT25</t>
  </si>
  <si>
    <t>REEMBOLSO APP DOTERRA  FERNANDO DANIEL SAINZ LOPEZ 23OCT25</t>
  </si>
  <si>
    <t>ALEXIS LEON ALAMILLO</t>
  </si>
  <si>
    <t>REEMBOLSOS PAGOS EN SITIO DOTERRA</t>
  </si>
  <si>
    <t>ALEJANDRA COVARRUBIAS</t>
  </si>
  <si>
    <t>REEMBOLSOS SITIO DOTERRA</t>
  </si>
  <si>
    <t>AXEL FLORES</t>
  </si>
  <si>
    <t>REEMBOLSO GASTOS ESTACIONAMIENTO Y REFRESCOS</t>
  </si>
  <si>
    <t xml:space="preserve">COTIZACION </t>
  </si>
  <si>
    <t>ALBERTO GARCIA MORENO</t>
  </si>
  <si>
    <t>PAGO TOTAL  BLASTER CONVENCION DOTERRA</t>
  </si>
  <si>
    <t>MARCO ANTONIO ÁVILA MOLINA</t>
  </si>
  <si>
    <t>PAGO FLETE CONVENCIÓN DOTERRA 22NOV25</t>
  </si>
  <si>
    <t>HOLIDAY INN EXPRESS MEX NAUCALPAN DE JU</t>
  </si>
  <si>
    <t>TRASLADOS DOTERRA</t>
  </si>
  <si>
    <t>SAID GUTIÉRREZ LÓPEZ</t>
  </si>
  <si>
    <t>PAGO VIAJE A DOTERRA 22OCT25</t>
  </si>
  <si>
    <t>TOTAL SP´S</t>
  </si>
  <si>
    <t>PENDIENTE DE PAGO</t>
  </si>
  <si>
    <t>TRANSFERENCIA SIN FACTURA</t>
  </si>
  <si>
    <t>COMBUSTIBLE / PEAJE</t>
  </si>
  <si>
    <t>TOKA LINO /ROGELIO</t>
  </si>
  <si>
    <t>W87660</t>
  </si>
  <si>
    <t>AUTOMOTRIZ HF</t>
  </si>
  <si>
    <t>MONTAJE DOTERRA</t>
  </si>
  <si>
    <t>TOKA SAID/ROGELIO</t>
  </si>
  <si>
    <t>W87659</t>
  </si>
  <si>
    <t>W87744</t>
  </si>
  <si>
    <t>W87745</t>
  </si>
  <si>
    <t>TOKA YAIR</t>
  </si>
  <si>
    <t>Z73108</t>
  </si>
  <si>
    <t>SERVICIO CONSCRIPTO</t>
  </si>
  <si>
    <t>W88113</t>
  </si>
  <si>
    <t>TOKA 9165 LINO</t>
  </si>
  <si>
    <t>W43289</t>
  </si>
  <si>
    <t>SUPER SERVICIO NAUMEX</t>
  </si>
  <si>
    <t>DESMONTAJE DOTERRA</t>
  </si>
  <si>
    <t>TELEVIA</t>
  </si>
  <si>
    <t>CDEC-29789</t>
  </si>
  <si>
    <t>OPERADORA CONCESIONARIA</t>
  </si>
  <si>
    <t>PEAJES DEL 1 AL 10OCT25</t>
  </si>
  <si>
    <t>EZ</t>
  </si>
  <si>
    <t>CDEC-30974</t>
  </si>
  <si>
    <t>PEAJES DEL 21 AL 31OCT25</t>
  </si>
  <si>
    <t xml:space="preserve">TOKA ROGELIO </t>
  </si>
  <si>
    <t>W88480</t>
  </si>
  <si>
    <t>ENTREGA DE MATERIALES Y HERRAMIENTAS EN DOTERRA
 ENTREGA DE MATERIALES Y HERRAMIENTAS EN SURA</t>
  </si>
  <si>
    <t>W88483</t>
  </si>
  <si>
    <t>RECOLECCIÓN PROMOCIONALES KRAKEN
 ENTREGA DE INSUMOS SURA
 ENTREGA DE VINILES CENTRO BANAMEX</t>
  </si>
  <si>
    <t>DOT03 / SUR02 / CCU03</t>
  </si>
  <si>
    <t>W88481</t>
  </si>
  <si>
    <t>APOYO EN DOTERRA Y SURA (TRASLADO DE PERSONAL, ENTREGA DE HERRAMIENTAS Y VARIOS MATERIALES)</t>
  </si>
  <si>
    <t>DOT2025-003 Y SUR2025-002</t>
  </si>
  <si>
    <t>W99438</t>
  </si>
  <si>
    <t>EDGAR JOSE ARGUELLES DURAN</t>
  </si>
  <si>
    <t>APOYO DOTERRA VIERNES 24</t>
  </si>
  <si>
    <t>F60595</t>
  </si>
  <si>
    <t xml:space="preserve">SERVICIO MIRUSA </t>
  </si>
  <si>
    <t>MMEI121231</t>
  </si>
  <si>
    <t>OPERADORA DE MINIESTACIONES COMBUSERV</t>
  </si>
  <si>
    <t>W88482</t>
  </si>
  <si>
    <t>W87658</t>
  </si>
  <si>
    <t>TOKA ENRIQUE</t>
  </si>
  <si>
    <t>SIN FACTURA</t>
  </si>
  <si>
    <t>SUR2025-001 Y DOT2025-003</t>
  </si>
  <si>
    <t>CDEC-30164</t>
  </si>
  <si>
    <t>PEAJES DEL 11 AL 20 OCT25</t>
  </si>
  <si>
    <t>CDEC 31779</t>
  </si>
  <si>
    <t>PEAJES DEL 11 AL 20NOV25</t>
  </si>
  <si>
    <t>BFM2025-019 Y YMH2025-001</t>
  </si>
  <si>
    <t>TOTAL EFECTIVO - CAJA CHICA  - TOKA</t>
  </si>
  <si>
    <t>EDENRED</t>
  </si>
  <si>
    <t>TOKA</t>
  </si>
  <si>
    <t>RH</t>
  </si>
  <si>
    <t>PAGADORA</t>
  </si>
  <si>
    <t>KAWIR</t>
  </si>
  <si>
    <t>NOMINA SEMANAL DEL 15 AL 21SEP25</t>
  </si>
  <si>
    <t>NOMINA SEMANAL DEL 22 AL 28SEP25</t>
  </si>
  <si>
    <t>NOMINA SEMANAL DEL 29SEP AL 05OCT25</t>
  </si>
  <si>
    <t>NOMINA SEMANAL DEL 6 AL 12OCT25</t>
  </si>
  <si>
    <t>NOMINA SEMANAL DEL13 AL 19OCT25</t>
  </si>
  <si>
    <t>NOMINA SEMANAL DEL 20 AL 26OCT25</t>
  </si>
  <si>
    <t>NOMINA SEMANAL DEL 27OCT AL 02NOV25</t>
  </si>
  <si>
    <t>TOTAL RH - LOGÍSTICA</t>
  </si>
  <si>
    <t>MATERIALES</t>
  </si>
  <si>
    <t>Costo Unitario</t>
  </si>
  <si>
    <t>Piezas</t>
  </si>
  <si>
    <t>TIRAS DE MADERA DE 4*2</t>
  </si>
  <si>
    <t>8 Y 24SEP, 02 21OCT</t>
  </si>
  <si>
    <t>HOJA DE MDF DE 6 MM</t>
  </si>
  <si>
    <t>8 12 17 18 19 23 25 26 29 30sep, 1 6 7 8 15 17 20oct</t>
  </si>
  <si>
    <t>HOJA DE MDF DE 15MM</t>
  </si>
  <si>
    <t>8 17 18 19 23 24 25 26 29 Y 30sep, 01, 2, 3, 6, 7 8, 10 14 15 16 17 20oct</t>
  </si>
  <si>
    <t>CLAVILLO Nº 25</t>
  </si>
  <si>
    <t>8 18 23 24sep, 7 15 21oct</t>
  </si>
  <si>
    <t>CLAVILLO Nº 40</t>
  </si>
  <si>
    <t>8 SEP Y 16 21OCT</t>
  </si>
  <si>
    <t>BROCAS CON BALERO 1 1/4 NEGRA</t>
  </si>
  <si>
    <t>8 18 y 23 24sep, 1, 2, 6 21OCT</t>
  </si>
  <si>
    <t>RESISTOL 850</t>
  </si>
  <si>
    <t>8SEP Y 8 21OCT</t>
  </si>
  <si>
    <t>PINTURA VINILICA BLANCA</t>
  </si>
  <si>
    <t>17 19 y 30sep</t>
  </si>
  <si>
    <t>FELPA CHICO</t>
  </si>
  <si>
    <t>17 18 y 23 24 25sep, 1 Y 8 16 21OCT</t>
  </si>
  <si>
    <t>FELPA GRANDE COMEX</t>
  </si>
  <si>
    <t>17 23 SEP Y 8, 16 21OCT</t>
  </si>
  <si>
    <t>SOLVENTE (THINNER)</t>
  </si>
  <si>
    <t>17SEP, 2 y 6 21ocT</t>
  </si>
  <si>
    <t>CLAVILLO Nº 38</t>
  </si>
  <si>
    <t>18 y 23sep, 15, 20oct25</t>
  </si>
  <si>
    <t>HOJA DE MDF DE 12 MM</t>
  </si>
  <si>
    <t>18 19 23 29sep, 01 16 17 20oct</t>
  </si>
  <si>
    <t>CLAVILLO Nº 20</t>
  </si>
  <si>
    <t>18 Y 24SEP</t>
  </si>
  <si>
    <t>ESTOPA</t>
  </si>
  <si>
    <t>18sep y 21oct</t>
  </si>
  <si>
    <t>LIJAS AMARILLAS CON VELCRO GRADO 100</t>
  </si>
  <si>
    <t>18 23 26 29SEP, 03 21oct</t>
  </si>
  <si>
    <t>NITROCELULOSA</t>
  </si>
  <si>
    <t>18, 24sep y 1 Y 8 17OCT</t>
  </si>
  <si>
    <t>PIJA DE 1 1/2</t>
  </si>
  <si>
    <t>19 23 Y 29SEP, 17 21oct25</t>
  </si>
  <si>
    <t>EMPAQUE PARA PISTOLA</t>
  </si>
  <si>
    <t>19 Y 24SEP, 8OCT</t>
  </si>
  <si>
    <t>SUSTITUCIÓN DE MATERIAL</t>
  </si>
  <si>
    <t>VINIL PARA IMPRECION</t>
  </si>
  <si>
    <t>22sep, 1 2 8 14 17OCT</t>
  </si>
  <si>
    <t>CABEZAL CYAN/MAGENTA 836</t>
  </si>
  <si>
    <t>22SEP 8OCT</t>
  </si>
  <si>
    <t>CABEZAL OPTIMIZADOR 836</t>
  </si>
  <si>
    <t>TRAPOS</t>
  </si>
  <si>
    <t>29sep y 24oct</t>
  </si>
  <si>
    <t>SEGETAS PARA CALADORA GRUESA</t>
  </si>
  <si>
    <t>23sep y 21oct</t>
  </si>
  <si>
    <t>LIJAS AMARILLAS CON VELCRO GRADO 220</t>
  </si>
  <si>
    <t>23 Y 25SEP, 21oct</t>
  </si>
  <si>
    <t>ESQUINEROS</t>
  </si>
  <si>
    <t>23sep y 7oct25</t>
  </si>
  <si>
    <t>AVELLANADOR CON BROCA 8</t>
  </si>
  <si>
    <t>RESANADOR AUTOMOTRIZ</t>
  </si>
  <si>
    <t>23 y 25sep y 17 21oct25</t>
  </si>
  <si>
    <t>AVELLANADOR CON BROCA 10</t>
  </si>
  <si>
    <t>23 y 24sep, 17 20oct</t>
  </si>
  <si>
    <t>CLAVILLO Nº 35</t>
  </si>
  <si>
    <t>24//09/25</t>
  </si>
  <si>
    <t>BISAGRA BIDIMENCIONAL RECTA</t>
  </si>
  <si>
    <t>LIJAS AMARILLAS CON VELCRO GRADO 80</t>
  </si>
  <si>
    <t>24 Y 25SEP, 03oct</t>
  </si>
  <si>
    <t>TIRAS DE MADERA DE 8*2</t>
  </si>
  <si>
    <t>LIJA NEGRA 80</t>
  </si>
  <si>
    <t>24SEP Y 16OCT</t>
  </si>
  <si>
    <t>LIJA NEGRA 100</t>
  </si>
  <si>
    <t>29sep y 21oct</t>
  </si>
  <si>
    <t>LIJA NEGRA 120</t>
  </si>
  <si>
    <t>24sep y 21oct</t>
  </si>
  <si>
    <t>LIJA ROJA 100</t>
  </si>
  <si>
    <t>LACA BLANCA</t>
  </si>
  <si>
    <t>MATIZANTE</t>
  </si>
  <si>
    <t>HOJA DE MDF DE 9 MM</t>
  </si>
  <si>
    <t>26 29 Y 30SEP, 16 21OCT</t>
  </si>
  <si>
    <t>TINTA 831 AMARILLA</t>
  </si>
  <si>
    <t>26sep y 3 14oct</t>
  </si>
  <si>
    <t>TINTA 831 OPTIMIZADOR</t>
  </si>
  <si>
    <t>26sep y 14oct25</t>
  </si>
  <si>
    <t>PLAYO GRANDE</t>
  </si>
  <si>
    <t>29 y 30sep, 3  7 8 17 20 21oct</t>
  </si>
  <si>
    <t>PLAYO CHICO</t>
  </si>
  <si>
    <t>29 30 SEP Y 8 17OCT</t>
  </si>
  <si>
    <t>PERFIL DE 3/4 X 3/4</t>
  </si>
  <si>
    <t>30SEP, 02OCT</t>
  </si>
  <si>
    <t>FLASH COAT NEGRA</t>
  </si>
  <si>
    <t>30sep y 1 Y 8OCT</t>
  </si>
  <si>
    <t>FLASH COAT NARANJA</t>
  </si>
  <si>
    <t>RESANADOR BLANCO</t>
  </si>
  <si>
    <t>30sep y 20 21oct</t>
  </si>
  <si>
    <t>PINTURA VINILICA AZUL</t>
  </si>
  <si>
    <t>1 Y 6OCT25</t>
  </si>
  <si>
    <t>TINTA 831  NEGRA</t>
  </si>
  <si>
    <t>TINTA 832 OVER COAT</t>
  </si>
  <si>
    <t>TIRA LED BLANCA INTERIOR</t>
  </si>
  <si>
    <t>1 2 6 y 7 8OCT25</t>
  </si>
  <si>
    <t>ACRILICO BLANCO DE 3 MM</t>
  </si>
  <si>
    <t>DISCOS DE LIJA</t>
  </si>
  <si>
    <t>DISCO DE CORTE ACERO DE 14´</t>
  </si>
  <si>
    <t>AEROSOL NEGRO</t>
  </si>
  <si>
    <t>1 y 21oct</t>
  </si>
  <si>
    <t>ELIMINADORES</t>
  </si>
  <si>
    <t>TINTA 832 LIGH MAGENTA</t>
  </si>
  <si>
    <t>PIJA DE 5/8</t>
  </si>
  <si>
    <t>3 y 21oct</t>
  </si>
  <si>
    <t>MASKIG DE 2´</t>
  </si>
  <si>
    <t>3 20 21 22oct25</t>
  </si>
  <si>
    <t>CLAVILLO Nº 30</t>
  </si>
  <si>
    <t>SOLDADURA</t>
  </si>
  <si>
    <t>6 Y 8OCT</t>
  </si>
  <si>
    <t>NAVAJA PARA CUTTER GRANDE</t>
  </si>
  <si>
    <t>6 17 y 21oct</t>
  </si>
  <si>
    <t>MANGUERA NEON FLEX BLANCA</t>
  </si>
  <si>
    <t>6 Y 22OCT</t>
  </si>
  <si>
    <t>BROCHAS  DE 1´´</t>
  </si>
  <si>
    <t>8 y 21oct</t>
  </si>
  <si>
    <t>PASTA PARA SOLDAR</t>
  </si>
  <si>
    <t>CABLE PROTOBOT # 22 ROJO</t>
  </si>
  <si>
    <t>ALAMBRE PROTOBOT NEGRO 22</t>
  </si>
  <si>
    <t>TINTA 832 LYAN CYAN</t>
  </si>
  <si>
    <t>GRAPAS DE 1/4 ET-21</t>
  </si>
  <si>
    <t>14 y 21oct</t>
  </si>
  <si>
    <t>CABEZAL 831 CYAN BLACK</t>
  </si>
  <si>
    <t>TRIPLAY FLEXIBLE 6MM</t>
  </si>
  <si>
    <t>15 16 y 17oct</t>
  </si>
  <si>
    <t>HOJA DE  MDF DE 3 MM</t>
  </si>
  <si>
    <t>LIJA MADERA 80</t>
  </si>
  <si>
    <t>LIJA NEGRA 180</t>
  </si>
  <si>
    <t>16 17 21oct25</t>
  </si>
  <si>
    <t>LIJAS AMARILLAS CON VELCRO GRADO 180</t>
  </si>
  <si>
    <t>16 17 y 21oct</t>
  </si>
  <si>
    <t>PINTURA VINILICA GRIS</t>
  </si>
  <si>
    <t>PRUEBLA DE COLOR DOTERRA</t>
  </si>
  <si>
    <t>VINIL DE IMPRESIÓN 1 M2</t>
  </si>
  <si>
    <t>PRUEBAS DE COLOR DOTERRA</t>
  </si>
  <si>
    <t>VINIL DE IMPRESIÓN 2 M2</t>
  </si>
  <si>
    <t>IMPRESIÓN VINIL COUNTERS REGISTRO DOTERRA</t>
  </si>
  <si>
    <t>VINIL DE IMPRESIÓN 35 M2</t>
  </si>
  <si>
    <t>CALIBRACIÓN CABEZALES E IMPRESIÓN ETIQUETAS DOTERRA</t>
  </si>
  <si>
    <t>VINIL DE IMPRESIÓN 6 M2</t>
  </si>
  <si>
    <t>IMPRESIÓN VINIL PANTONE 494 U 2 DOTERRA</t>
  </si>
  <si>
    <t>VINIL DE IMPRESIÓN 26 M2</t>
  </si>
  <si>
    <t>IMPRESIÓN DE VINIL PANTONE 965 U / 494 U DOTERRA</t>
  </si>
  <si>
    <t>VINIL DE IMPRESIÓN 44 M2</t>
  </si>
  <si>
    <t>IMPRESIÓN DE VINIL DOTERRA</t>
  </si>
  <si>
    <t>VINIL DE IMPRESIÓN 21 M2</t>
  </si>
  <si>
    <t>IMPRESIÓN DE VINIL 23 M2</t>
  </si>
  <si>
    <t>IMPRESIÓN TEXTURAS DOTERRA</t>
  </si>
  <si>
    <t>IMPRESIÓN DE VINIL 14 M2</t>
  </si>
  <si>
    <t>IMPRESIÓN DE VINIL 1 M2</t>
  </si>
  <si>
    <t>IMPRESIÓN DE VINIL 55 M2</t>
  </si>
  <si>
    <t>IMPRESIÓN VINIL DOTERRA</t>
  </si>
  <si>
    <t>IMPRESIÓN DE VINIL 17 M2</t>
  </si>
  <si>
    <t>IMPRESIÓN DE VINIL 20 M2</t>
  </si>
  <si>
    <t>20 y 21oct</t>
  </si>
  <si>
    <t>PISTOLAS DE GRAVEDAD</t>
  </si>
  <si>
    <t>PTR DE 3/4</t>
  </si>
  <si>
    <t>BROCHAS  DE 2´´</t>
  </si>
  <si>
    <t>17 y 21oct</t>
  </si>
  <si>
    <t>NAVAJA PARA CUTTER CHICA</t>
  </si>
  <si>
    <t>LIJA NEGRA 240</t>
  </si>
  <si>
    <t>PVC BLANCO DE 3MM</t>
  </si>
  <si>
    <t>PVC NEGRO DE 3MM</t>
  </si>
  <si>
    <t>MASKING DE 1</t>
  </si>
  <si>
    <t>21 Y 22OCT</t>
  </si>
  <si>
    <t>TINTA 831 BLACK</t>
  </si>
  <si>
    <t>TINTA 831 CYAN</t>
  </si>
  <si>
    <t>TINTA 831 MAGENTA</t>
  </si>
  <si>
    <t>TINTA 831 OPTIMIZER</t>
  </si>
  <si>
    <t>TINTA 831 LIGHT CYAN</t>
  </si>
  <si>
    <t>TINTA 831 LIGHT MAGENTA</t>
  </si>
  <si>
    <t>CARTUCHO DE MANTENIMIENTO 831</t>
  </si>
  <si>
    <t>TINTA 832 AMARILLA</t>
  </si>
  <si>
    <t>TINTA 832 BLACK</t>
  </si>
  <si>
    <t>TINTA 832 CYAN</t>
  </si>
  <si>
    <t>TINTA 832 MAGENTA</t>
  </si>
  <si>
    <t>TINTA 832 OVERCOAT</t>
  </si>
  <si>
    <t>TINTA 832 OPTIMIZADOR</t>
  </si>
  <si>
    <t>AEROSOL BLANCO</t>
  </si>
  <si>
    <t>PIJA DE 2</t>
  </si>
  <si>
    <t>PIJA DE 3 PULGADA</t>
  </si>
  <si>
    <t>PIJA DE 1</t>
  </si>
  <si>
    <t>CUÑAS</t>
  </si>
  <si>
    <t>LIJA NEGRA 360</t>
  </si>
  <si>
    <t>PUNTAS PARA DESATORNILLADOR</t>
  </si>
  <si>
    <t>PLASTICO PROTECTOR</t>
  </si>
  <si>
    <t>CINTA MASKING TAPE 2 AZUL</t>
  </si>
  <si>
    <t>GRAPAS DE 5/16</t>
  </si>
  <si>
    <t>CINTA DOBLE CARA ROJA DE 1 CM</t>
  </si>
  <si>
    <t>CINTA DOBLE CARA ROJA DE 2 CM</t>
  </si>
  <si>
    <t>SEGETAS PARA CALADORA CHICA</t>
  </si>
  <si>
    <t>TELA NEGRA</t>
  </si>
  <si>
    <t>CINTA PARA DELIMITAR</t>
  </si>
  <si>
    <t>CINTA GAFER NEGRA</t>
  </si>
  <si>
    <t>CINTA GAFER GRIS</t>
  </si>
  <si>
    <t>CINTA DE ISLAR</t>
  </si>
  <si>
    <t>CABLE  POT #14 BLANCO</t>
  </si>
  <si>
    <t>DRAIVERS</t>
  </si>
  <si>
    <t>CONTACTO DUPLEX 3</t>
  </si>
  <si>
    <t>CLAVIJAS</t>
  </si>
  <si>
    <t>CHAROL NEGRO</t>
  </si>
  <si>
    <t>ESPEJO DE 45X115</t>
  </si>
  <si>
    <t>WINDEX</t>
  </si>
  <si>
    <t>BOLSA DE BASURA</t>
  </si>
  <si>
    <t>RETORNO</t>
  </si>
  <si>
    <t>BROCHAS DE 2´´</t>
  </si>
  <si>
    <t>IMPRESIÓN DOTERRA</t>
  </si>
  <si>
    <t>IMPRESIÓN DE VINIL 50 M2</t>
  </si>
  <si>
    <t>IMPRESIÓN DE VINIL 200 M2</t>
  </si>
  <si>
    <t>IMPRESIÓN DE VINIL 100 M2</t>
  </si>
  <si>
    <t>TOTAL MATERIALES</t>
  </si>
  <si>
    <t>PROVISIONES</t>
  </si>
  <si>
    <t>VIDEOMEMORIA</t>
  </si>
  <si>
    <t>SP INGRESADA 24 NOV</t>
  </si>
  <si>
    <t>Amex Enrique</t>
  </si>
  <si>
    <t>Amazon, compra balones y canasta basquetball</t>
  </si>
  <si>
    <t xml:space="preserve">LO COMPRA ENRIQUE </t>
  </si>
  <si>
    <t>VIDRIO .45 X 1.50 CM PARA SHOW ROOM</t>
  </si>
  <si>
    <t>PENDIENTE REEMBOLSO ENRIQUE</t>
  </si>
  <si>
    <t>MIX PRO</t>
  </si>
  <si>
    <t>AUDIO, VIDEO E ILUMINACION</t>
  </si>
  <si>
    <t>IMAXINARIO</t>
  </si>
  <si>
    <t>CABINAS</t>
  </si>
  <si>
    <t>CUAUTEMOC</t>
  </si>
  <si>
    <t>DJ</t>
  </si>
  <si>
    <t>SHELLY RIGGING / U OTRO</t>
  </si>
  <si>
    <t>STAGE DE TODAS LAS ZONAS</t>
  </si>
  <si>
    <t>CRISTIAN MORENO</t>
  </si>
  <si>
    <t>ANTICIPO IMPRESION Y COLOCACION</t>
  </si>
  <si>
    <t>IMPRESION Y COLOCACION VINIL</t>
  </si>
  <si>
    <t>SP INGRESADA 26 NOV</t>
  </si>
  <si>
    <t>MO SUAREZ</t>
  </si>
  <si>
    <t>MO DANIEL ARELLANO</t>
  </si>
  <si>
    <t>LOGISTICA</t>
  </si>
  <si>
    <t>STAFF OPERACION 4 PAX</t>
  </si>
  <si>
    <t>GASTO POR VENTA 1</t>
  </si>
  <si>
    <t>MANIOBRA EXTERNA</t>
  </si>
  <si>
    <t>ENRIQUE ZEPEDA</t>
  </si>
  <si>
    <t>CENA STAFF MONTAJE 20 OCT</t>
  </si>
  <si>
    <t>REEMBOLSO ENRIQUE</t>
  </si>
  <si>
    <t>OSCAR ARRIAGA QUINTANA</t>
  </si>
  <si>
    <t>ANTICIPO APOYO DE TRABAJOS DOTERRA</t>
  </si>
  <si>
    <t>PROVISION</t>
  </si>
  <si>
    <t>MANIOBRAS 25 DE OCTUBRE</t>
  </si>
  <si>
    <t>VIATICOS</t>
  </si>
  <si>
    <t>VIATICOS ALEJANDRO</t>
  </si>
  <si>
    <t>GASTOS VARIOS REEMBOLSO</t>
  </si>
  <si>
    <t>COMPRA TENIS CASSANDRA</t>
  </si>
  <si>
    <t>PENDIENTE POR QUE AMEX NO PASO</t>
  </si>
  <si>
    <t>CUAUHTEMOC ORTEGA AVILÉS</t>
  </si>
  <si>
    <t xml:space="preserve">DJ DOTERRA </t>
  </si>
  <si>
    <t>ANGIE LIZEL PEREZ GUERRA</t>
  </si>
  <si>
    <t>REEMBOLSO PAGO DE TINTORERIA</t>
  </si>
  <si>
    <t>MERCADAZO</t>
  </si>
  <si>
    <t>MAQUINAS FRAPPE (3 maquinas)</t>
  </si>
  <si>
    <t>blasfer de confeti</t>
  </si>
  <si>
    <r>
      <rPr>
        <rFont val="Calibri"/>
        <color rgb="FFFF0000"/>
        <sz val="18.0"/>
      </rPr>
      <t xml:space="preserve">SE LE VA A DEBER A MIX / </t>
    </r>
    <r>
      <rPr>
        <rFont val="Calibri"/>
        <color rgb="FF000000"/>
        <sz val="18.0"/>
      </rPr>
      <t>PAGADO 11NOV25 JESSI</t>
    </r>
  </si>
  <si>
    <t>ERICK ESPINOSA</t>
  </si>
  <si>
    <t>FINIQUITO PERFOMANCE</t>
  </si>
  <si>
    <t>MEXICO VALLE</t>
  </si>
  <si>
    <t>HOTEL STAFF</t>
  </si>
  <si>
    <t>POR PAGAR CON TDC ENRIQUE</t>
  </si>
  <si>
    <t>TOTAL DE PROVISIONES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</si>
</sst>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$&quot;* #,##0.00_-;\-&quot;$&quot;* #,##0.00_-;_-&quot;$&quot;* &quot;-&quot;??_-;_-@"/>
    <numFmt numFmtId="165" formatCode="dd/mm/yy"/>
    <numFmt numFmtId="166" formatCode="d/m/yy"/>
    <numFmt numFmtId="167" formatCode="d/m/yyyy"/>
    <numFmt numFmtId="168" formatCode="&quot;$&quot;#,##0.00"/>
    <numFmt numFmtId="169" formatCode="dmmmyy"/>
  </numFmts>
  <fonts count="98">
    <font>
      <sz val="11.0"/>
      <color theme="1"/>
      <name val="Calibri"/>
      <scheme val="minor"/>
    </font>
    <font>
      <b/>
      <sz val="34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theme="1"/>
      <name val="Calibri"/>
    </font>
    <font>
      <b/>
      <sz val="28.0"/>
      <color theme="1"/>
      <name val="Calibri"/>
    </font>
    <font>
      <b/>
      <sz val="10.0"/>
      <color theme="1"/>
      <name val="Calibri"/>
    </font>
    <font>
      <b/>
      <sz val="28.0"/>
      <color theme="0"/>
      <name val="Calibri"/>
    </font>
    <font/>
    <font>
      <sz val="17.0"/>
      <color theme="1"/>
      <name val="Calibri"/>
    </font>
    <font>
      <b/>
      <u/>
      <sz val="17.0"/>
      <color rgb="FF0000FF"/>
      <name val="Calibri"/>
    </font>
    <font>
      <sz val="16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8.0"/>
      <color rgb="FF282828"/>
      <name val="Calibri"/>
    </font>
    <font>
      <sz val="18.0"/>
      <color theme="1"/>
      <name val="Calibri"/>
    </font>
    <font>
      <b/>
      <sz val="28.0"/>
      <color rgb="FFFFFFFF"/>
      <name val="Calibri"/>
    </font>
    <font>
      <b/>
      <sz val="20.0"/>
      <color rgb="FF282828"/>
      <name val="Calibri"/>
    </font>
    <font>
      <sz val="12.0"/>
      <color theme="0"/>
      <name val="Calibri"/>
    </font>
    <font>
      <sz val="18.0"/>
      <color rgb="FFFFFFFF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8.0"/>
      <color rgb="FFFFFFFF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color theme="1"/>
      <name val="Arial"/>
    </font>
    <font>
      <u/>
      <sz val="11.0"/>
      <color rgb="FF1155CC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Arial"/>
    </font>
    <font>
      <sz val="18.0"/>
      <color rgb="FFFF0000"/>
      <name val="Calibri"/>
    </font>
    <font>
      <u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b/>
      <sz val="18.0"/>
      <color rgb="FF000000"/>
      <name val="Calibri"/>
    </font>
    <font>
      <sz val="18.0"/>
      <color rgb="FF000000"/>
      <name val="Calibri"/>
    </font>
    <font>
      <color rgb="FF000000"/>
      <name val="Arial"/>
    </font>
    <font>
      <u/>
      <sz val="11.0"/>
      <color rgb="FF000000"/>
      <name val="Arial"/>
    </font>
    <font>
      <u/>
      <sz val="11.0"/>
      <color rgb="FF1155CC"/>
      <name val="Arial"/>
    </font>
    <font>
      <u/>
      <color rgb="FF0000FF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color rgb="FF1155CC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8.0"/>
      <color rgb="FF0000FF"/>
      <name val="Calibri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u/>
      <sz val="16.0"/>
      <color rgb="FF0000FF"/>
      <name val="Calibri"/>
    </font>
    <font>
      <u/>
      <sz val="16.0"/>
      <color rgb="FF0000FF"/>
      <name val="Calibri"/>
    </font>
    <font>
      <u/>
      <sz val="16.0"/>
      <color rgb="FF0000FF"/>
      <name val="Calibri"/>
    </font>
    <font>
      <b/>
      <sz val="16.0"/>
      <color rgb="FFFFFFFF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6.0"/>
      <color rgb="FF0000FF"/>
      <name val="Calibri"/>
    </font>
    <font>
      <sz val="16.0"/>
      <color rgb="FF000000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sz val="16.0"/>
      <color rgb="FFFF0000"/>
      <name val="Calibri"/>
    </font>
    <font>
      <color theme="1"/>
      <name val="Calibri"/>
      <scheme val="minor"/>
    </font>
    <font>
      <b/>
      <sz val="16.0"/>
      <color theme="1"/>
      <name val="Calibri"/>
    </font>
    <font>
      <sz val="17.0"/>
      <color theme="1"/>
      <name val="Calibri"/>
      <scheme val="minor"/>
    </font>
    <font>
      <sz val="18.0"/>
      <color rgb="FF282828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282828"/>
        <bgColor rgb="FF28282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74F1C8"/>
        <bgColor rgb="FF74F1C8"/>
      </patternFill>
    </fill>
    <fill>
      <patternFill patternType="solid">
        <fgColor rgb="FFF6DCF9"/>
        <bgColor rgb="FFF6DCF9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</fills>
  <borders count="6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5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 vertical="top"/>
    </xf>
    <xf borderId="1" fillId="0" fontId="4" numFmtId="1" xfId="0" applyAlignment="1" applyBorder="1" applyFont="1" applyNumberFormat="1">
      <alignment horizontal="right" vertical="center"/>
    </xf>
    <xf borderId="2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3" fillId="0" fontId="4" numFmtId="1" xfId="0" applyAlignment="1" applyBorder="1" applyFont="1" applyNumberFormat="1">
      <alignment horizontal="right" vertical="center"/>
    </xf>
    <xf borderId="4" fillId="0" fontId="5" numFmtId="1" xfId="0" applyAlignment="1" applyBorder="1" applyFont="1" applyNumberFormat="1">
      <alignment horizontal="center" readingOrder="0" vertical="center"/>
    </xf>
    <xf borderId="0" fillId="0" fontId="7" numFmtId="1" xfId="0" applyAlignment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/>
    </xf>
    <xf borderId="5" fillId="0" fontId="4" numFmtId="1" xfId="0" applyAlignment="1" applyBorder="1" applyFont="1" applyNumberFormat="1">
      <alignment horizontal="right" vertical="center"/>
    </xf>
    <xf borderId="6" fillId="0" fontId="5" numFmtId="0" xfId="0" applyAlignment="1" applyBorder="1" applyFont="1">
      <alignment horizontal="center" readingOrder="0"/>
    </xf>
    <xf borderId="0" fillId="0" fontId="8" numFmtId="1" xfId="0" applyAlignment="1" applyFont="1" applyNumberFormat="1">
      <alignment horizontal="left" vertical="center"/>
    </xf>
    <xf borderId="7" fillId="2" fontId="9" numFmtId="0" xfId="0" applyAlignment="1" applyBorder="1" applyFill="1" applyFont="1">
      <alignment horizontal="center" vertical="center"/>
    </xf>
    <xf borderId="8" fillId="0" fontId="10" numFmtId="0" xfId="0" applyBorder="1" applyFont="1"/>
    <xf borderId="9" fillId="0" fontId="10" numFmtId="0" xfId="0" applyBorder="1" applyFont="1"/>
    <xf borderId="10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readingOrder="0" vertical="center"/>
    </xf>
    <xf borderId="14" fillId="0" fontId="13" numFmtId="1" xfId="0" applyAlignment="1" applyBorder="1" applyFont="1" applyNumberFormat="1">
      <alignment readingOrder="0" shrinkToFit="0" vertical="center" wrapText="1"/>
    </xf>
    <xf borderId="14" fillId="0" fontId="13" numFmtId="2" xfId="0" applyAlignment="1" applyBorder="1" applyFont="1" applyNumberFormat="1">
      <alignment readingOrder="0" vertical="center"/>
    </xf>
    <xf borderId="14" fillId="0" fontId="11" numFmtId="164" xfId="0" applyAlignment="1" applyBorder="1" applyFont="1" applyNumberFormat="1">
      <alignment readingOrder="0" vertical="center"/>
    </xf>
    <xf borderId="14" fillId="0" fontId="13" numFmtId="164" xfId="0" applyAlignment="1" applyBorder="1" applyFont="1" applyNumberFormat="1">
      <alignment vertical="center"/>
    </xf>
    <xf borderId="2" fillId="0" fontId="13" numFmtId="164" xfId="0" applyAlignment="1" applyBorder="1" applyFont="1" applyNumberFormat="1">
      <alignment vertical="center"/>
    </xf>
    <xf borderId="0" fillId="0" fontId="13" numFmtId="4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0" xfId="0" applyFont="1"/>
    <xf borderId="15" fillId="3" fontId="14" numFmtId="0" xfId="0" applyAlignment="1" applyBorder="1" applyFill="1" applyFont="1">
      <alignment horizontal="center" readingOrder="0" vertical="center"/>
    </xf>
    <xf borderId="16" fillId="0" fontId="13" numFmtId="0" xfId="0" applyAlignment="1" applyBorder="1" applyFont="1">
      <alignment horizontal="center" readingOrder="0" vertical="center"/>
    </xf>
    <xf borderId="16" fillId="0" fontId="13" numFmtId="1" xfId="0" applyAlignment="1" applyBorder="1" applyFont="1" applyNumberFormat="1">
      <alignment readingOrder="0" shrinkToFit="0" vertical="center" wrapText="1"/>
    </xf>
    <xf borderId="16" fillId="0" fontId="13" numFmtId="2" xfId="0" applyAlignment="1" applyBorder="1" applyFont="1" applyNumberFormat="1">
      <alignment vertical="center"/>
    </xf>
    <xf borderId="16" fillId="4" fontId="13" numFmtId="164" xfId="0" applyAlignment="1" applyBorder="1" applyFill="1" applyFont="1" applyNumberFormat="1">
      <alignment readingOrder="0" vertical="center"/>
    </xf>
    <xf borderId="16" fillId="0" fontId="13" numFmtId="164" xfId="0" applyAlignment="1" applyBorder="1" applyFont="1" applyNumberFormat="1">
      <alignment vertical="center"/>
    </xf>
    <xf borderId="17" fillId="0" fontId="13" numFmtId="164" xfId="0" applyAlignment="1" applyBorder="1" applyFont="1" applyNumberFormat="1">
      <alignment vertical="center"/>
    </xf>
    <xf borderId="18" fillId="3" fontId="15" numFmtId="0" xfId="0" applyAlignment="1" applyBorder="1" applyFont="1">
      <alignment horizontal="center" readingOrder="0" vertical="center"/>
    </xf>
    <xf borderId="16" fillId="0" fontId="11" numFmtId="1" xfId="0" applyAlignment="1" applyBorder="1" applyFont="1" applyNumberFormat="1">
      <alignment readingOrder="0" shrinkToFit="0" vertical="center" wrapText="1"/>
    </xf>
    <xf borderId="19" fillId="0" fontId="13" numFmtId="0" xfId="0" applyAlignment="1" applyBorder="1" applyFont="1">
      <alignment vertical="center"/>
    </xf>
    <xf borderId="20" fillId="0" fontId="13" numFmtId="0" xfId="0" applyAlignment="1" applyBorder="1" applyFont="1">
      <alignment horizontal="center" vertical="center"/>
    </xf>
    <xf borderId="20" fillId="0" fontId="13" numFmtId="1" xfId="0" applyAlignment="1" applyBorder="1" applyFont="1" applyNumberFormat="1">
      <alignment shrinkToFit="0" vertical="center" wrapText="1"/>
    </xf>
    <xf borderId="20" fillId="0" fontId="13" numFmtId="2" xfId="0" applyAlignment="1" applyBorder="1" applyFont="1" applyNumberFormat="1">
      <alignment vertical="center"/>
    </xf>
    <xf borderId="20" fillId="0" fontId="13" numFmtId="164" xfId="0" applyAlignment="1" applyBorder="1" applyFont="1" applyNumberFormat="1">
      <alignment readingOrder="0" vertical="center"/>
    </xf>
    <xf borderId="20" fillId="0" fontId="13" numFmtId="164" xfId="0" applyAlignment="1" applyBorder="1" applyFont="1" applyNumberFormat="1">
      <alignment vertical="center"/>
    </xf>
    <xf borderId="21" fillId="0" fontId="13" numFmtId="164" xfId="0" applyAlignment="1" applyBorder="1" applyFont="1" applyNumberFormat="1">
      <alignment vertical="center"/>
    </xf>
    <xf borderId="0" fillId="0" fontId="16" numFmtId="0" xfId="0" applyAlignment="1" applyFont="1">
      <alignment horizontal="right" vertical="center"/>
    </xf>
    <xf borderId="0" fillId="0" fontId="16" numFmtId="164" xfId="0" applyAlignment="1" applyFont="1" applyNumberFormat="1">
      <alignment horizontal="center" vertical="center"/>
    </xf>
    <xf borderId="0" fillId="0" fontId="17" numFmtId="0" xfId="0" applyFont="1"/>
    <xf borderId="22" fillId="5" fontId="6" numFmtId="0" xfId="0" applyAlignment="1" applyBorder="1" applyFill="1" applyFont="1">
      <alignment horizontal="right" vertical="center"/>
    </xf>
    <xf borderId="23" fillId="0" fontId="10" numFmtId="0" xfId="0" applyBorder="1" applyFont="1"/>
    <xf borderId="24" fillId="0" fontId="10" numFmtId="0" xfId="0" applyBorder="1" applyFont="1"/>
    <xf borderId="11" fillId="5" fontId="6" numFmtId="164" xfId="0" applyAlignment="1" applyBorder="1" applyFont="1" applyNumberFormat="1">
      <alignment horizontal="center" vertical="center"/>
    </xf>
    <xf borderId="12" fillId="5" fontId="6" numFmtId="164" xfId="0" applyAlignment="1" applyBorder="1" applyFont="1" applyNumberFormat="1">
      <alignment horizontal="center" vertical="center"/>
    </xf>
    <xf borderId="0" fillId="0" fontId="17" numFmtId="4" xfId="0" applyFont="1" applyNumberFormat="1"/>
    <xf borderId="0" fillId="0" fontId="6" numFmtId="0" xfId="0" applyAlignment="1" applyFont="1">
      <alignment horizontal="right" vertical="center"/>
    </xf>
    <xf borderId="0" fillId="0" fontId="17" numFmtId="2" xfId="0" applyFont="1" applyNumberFormat="1"/>
    <xf borderId="0" fillId="0" fontId="6" numFmtId="164" xfId="0" applyAlignment="1" applyFont="1" applyNumberFormat="1">
      <alignment horizontal="center" vertical="center"/>
    </xf>
    <xf borderId="25" fillId="2" fontId="9" numFmtId="0" xfId="0" applyAlignment="1" applyBorder="1" applyFont="1">
      <alignment horizontal="center" vertical="center"/>
    </xf>
    <xf borderId="26" fillId="0" fontId="10" numFmtId="0" xfId="0" applyBorder="1" applyFont="1"/>
    <xf borderId="27" fillId="0" fontId="10" numFmtId="0" xfId="0" applyBorder="1" applyFont="1"/>
    <xf borderId="28" fillId="0" fontId="6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/>
    </xf>
    <xf borderId="14" fillId="0" fontId="17" numFmtId="164" xfId="0" applyAlignment="1" applyBorder="1" applyFont="1" applyNumberFormat="1">
      <alignment horizontal="right" vertical="center"/>
    </xf>
    <xf borderId="32" fillId="0" fontId="17" numFmtId="164" xfId="0" applyBorder="1" applyFont="1" applyNumberFormat="1"/>
    <xf borderId="2" fillId="0" fontId="17" numFmtId="10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3" fillId="0" fontId="17" numFmtId="164" xfId="0" applyAlignment="1" applyBorder="1" applyFont="1" applyNumberFormat="1">
      <alignment horizontal="right" vertical="center"/>
    </xf>
    <xf borderId="34" fillId="0" fontId="17" numFmtId="164" xfId="0" applyBorder="1" applyFont="1" applyNumberFormat="1"/>
    <xf borderId="4" fillId="0" fontId="17" numFmtId="10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/>
    </xf>
    <xf borderId="35" fillId="0" fontId="17" numFmtId="164" xfId="0" applyAlignment="1" applyBorder="1" applyFont="1" applyNumberFormat="1">
      <alignment horizontal="right" vertical="center"/>
    </xf>
    <xf borderId="36" fillId="0" fontId="17" numFmtId="164" xfId="0" applyBorder="1" applyFont="1" applyNumberFormat="1"/>
    <xf borderId="6" fillId="0" fontId="17" numFmtId="10" xfId="0" applyAlignment="1" applyBorder="1" applyFont="1" applyNumberFormat="1">
      <alignment horizontal="center"/>
    </xf>
    <xf borderId="10" fillId="5" fontId="6" numFmtId="0" xfId="0" applyAlignment="1" applyBorder="1" applyFont="1">
      <alignment horizontal="right" vertical="center"/>
    </xf>
    <xf borderId="12" fillId="5" fontId="6" numFmtId="164" xfId="0" applyBorder="1" applyFont="1" applyNumberFormat="1"/>
    <xf borderId="37" fillId="5" fontId="6" numFmtId="10" xfId="0" applyAlignment="1" applyBorder="1" applyFont="1" applyNumberFormat="1">
      <alignment horizontal="center"/>
    </xf>
    <xf borderId="38" fillId="2" fontId="18" numFmtId="0" xfId="0" applyAlignment="1" applyBorder="1" applyFont="1">
      <alignment horizontal="center" vertical="center"/>
    </xf>
    <xf borderId="39" fillId="0" fontId="10" numFmtId="0" xfId="0" applyBorder="1" applyFont="1"/>
    <xf borderId="40" fillId="0" fontId="10" numFmtId="0" xfId="0" applyBorder="1" applyFont="1"/>
    <xf borderId="41" fillId="0" fontId="6" numFmtId="0" xfId="0" applyAlignment="1" applyBorder="1" applyFont="1">
      <alignment horizontal="center" vertical="center"/>
    </xf>
    <xf borderId="42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right" vertical="center"/>
    </xf>
    <xf borderId="33" fillId="0" fontId="17" numFmtId="164" xfId="0" applyAlignment="1" applyBorder="1" applyFont="1" applyNumberFormat="1">
      <alignment horizontal="center" vertical="center"/>
    </xf>
    <xf borderId="33" fillId="0" fontId="17" numFmtId="9" xfId="0" applyAlignment="1" applyBorder="1" applyFont="1" applyNumberFormat="1">
      <alignment horizontal="center"/>
    </xf>
    <xf borderId="16" fillId="0" fontId="17" numFmtId="0" xfId="0" applyAlignment="1" applyBorder="1" applyFont="1">
      <alignment horizontal="right" vertical="center"/>
    </xf>
    <xf borderId="16" fillId="0" fontId="17" numFmtId="164" xfId="0" applyAlignment="1" applyBorder="1" applyFont="1" applyNumberFormat="1">
      <alignment horizontal="center" vertical="center"/>
    </xf>
    <xf borderId="33" fillId="0" fontId="17" numFmtId="10" xfId="0" applyAlignment="1" applyBorder="1" applyFont="1" applyNumberFormat="1">
      <alignment horizontal="center"/>
    </xf>
    <xf borderId="10" fillId="5" fontId="19" numFmtId="0" xfId="0" applyAlignment="1" applyBorder="1" applyFont="1">
      <alignment horizontal="right" vertical="center"/>
    </xf>
    <xf borderId="11" fillId="5" fontId="19" numFmtId="164" xfId="0" applyAlignment="1" applyBorder="1" applyFont="1" applyNumberFormat="1">
      <alignment horizontal="center" vertical="center"/>
    </xf>
    <xf borderId="12" fillId="5" fontId="19" numFmtId="10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4" xfId="0" applyFont="1" applyNumberFormat="1"/>
    <xf borderId="0" fillId="0" fontId="20" numFmtId="4" xfId="0" applyAlignment="1" applyFont="1" applyNumberFormat="1">
      <alignment horizontal="center"/>
    </xf>
    <xf borderId="0" fillId="0" fontId="6" numFmtId="1" xfId="0" applyAlignment="1" applyFont="1" applyNumberFormat="1">
      <alignment horizontal="center" shrinkToFit="0" vertical="center" wrapText="1"/>
    </xf>
    <xf borderId="22" fillId="2" fontId="9" numFmtId="0" xfId="0" applyAlignment="1" applyBorder="1" applyFont="1">
      <alignment horizontal="center" vertical="center"/>
    </xf>
    <xf borderId="44" fillId="0" fontId="10" numFmtId="0" xfId="0" applyBorder="1" applyFont="1"/>
    <xf borderId="24" fillId="0" fontId="6" numFmtId="0" xfId="0" applyAlignment="1" applyBorder="1" applyFont="1">
      <alignment horizontal="center" vertical="center"/>
    </xf>
    <xf borderId="0" fillId="0" fontId="17" numFmtId="4" xfId="0" applyAlignment="1" applyFont="1" applyNumberFormat="1">
      <alignment horizontal="center" readingOrder="0" vertical="center"/>
    </xf>
    <xf borderId="0" fillId="0" fontId="17" numFmtId="4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45" fillId="0" fontId="21" numFmtId="0" xfId="0" applyAlignment="1" applyBorder="1" applyFont="1">
      <alignment horizontal="center" readingOrder="0" vertical="center"/>
    </xf>
    <xf borderId="46" fillId="0" fontId="17" numFmtId="0" xfId="0" applyAlignment="1" applyBorder="1" applyFont="1">
      <alignment horizontal="center" readingOrder="0" vertical="center"/>
    </xf>
    <xf borderId="0" fillId="6" fontId="22" numFmtId="0" xfId="0" applyAlignment="1" applyFill="1" applyFont="1">
      <alignment horizontal="center" readingOrder="0" vertical="center"/>
    </xf>
    <xf borderId="16" fillId="0" fontId="17" numFmtId="0" xfId="0" applyAlignment="1" applyBorder="1" applyFont="1">
      <alignment horizontal="center" vertical="center"/>
    </xf>
    <xf borderId="16" fillId="0" fontId="17" numFmtId="0" xfId="0" applyAlignment="1" applyBorder="1" applyFont="1">
      <alignment horizontal="center" shrinkToFit="0" vertical="center" wrapText="1"/>
    </xf>
    <xf borderId="16" fillId="0" fontId="17" numFmtId="164" xfId="0" applyAlignment="1" applyBorder="1" applyFont="1" applyNumberFormat="1">
      <alignment readingOrder="0" vertical="center"/>
    </xf>
    <xf borderId="16" fillId="0" fontId="17" numFmtId="164" xfId="0" applyAlignment="1" applyBorder="1" applyFont="1" applyNumberFormat="1">
      <alignment horizontal="right" readingOrder="0" vertical="center"/>
    </xf>
    <xf borderId="14" fillId="7" fontId="17" numFmtId="164" xfId="0" applyAlignment="1" applyBorder="1" applyFill="1" applyFont="1" applyNumberFormat="1">
      <alignment horizontal="right" vertical="center"/>
    </xf>
    <xf borderId="33" fillId="3" fontId="23" numFmtId="165" xfId="0" applyAlignment="1" applyBorder="1" applyFont="1" applyNumberFormat="1">
      <alignment horizontal="center" readingOrder="0" vertical="center"/>
    </xf>
    <xf borderId="0" fillId="0" fontId="17" numFmtId="4" xfId="0" applyAlignment="1" applyFont="1" applyNumberFormat="1">
      <alignment horizontal="center" readingOrder="0" shrinkToFit="0" vertical="center" wrapText="1"/>
    </xf>
    <xf borderId="0" fillId="0" fontId="17" numFmtId="4" xfId="0" applyAlignment="1" applyFont="1" applyNumberFormat="1">
      <alignment shrinkToFit="0" vertical="center" wrapText="1"/>
    </xf>
    <xf borderId="0" fillId="0" fontId="17" numFmtId="4" xfId="0" applyAlignment="1" applyFont="1" applyNumberFormat="1">
      <alignment vertical="center"/>
    </xf>
    <xf borderId="0" fillId="0" fontId="17" numFmtId="0" xfId="0" applyAlignment="1" applyFont="1">
      <alignment vertical="center"/>
    </xf>
    <xf borderId="45" fillId="8" fontId="24" numFmtId="0" xfId="0" applyAlignment="1" applyBorder="1" applyFill="1" applyFont="1">
      <alignment horizontal="center"/>
    </xf>
    <xf borderId="47" fillId="9" fontId="17" numFmtId="0" xfId="0" applyAlignment="1" applyBorder="1" applyFill="1" applyFont="1">
      <alignment horizontal="center"/>
    </xf>
    <xf borderId="33" fillId="9" fontId="17" numFmtId="0" xfId="0" applyAlignment="1" applyBorder="1" applyFont="1">
      <alignment horizontal="center"/>
    </xf>
    <xf borderId="33" fillId="9" fontId="17" numFmtId="0" xfId="0" applyAlignment="1" applyBorder="1" applyFont="1">
      <alignment horizontal="center" shrinkToFit="0" wrapText="1"/>
    </xf>
    <xf borderId="33" fillId="9" fontId="17" numFmtId="164" xfId="0" applyAlignment="1" applyBorder="1" applyFont="1" applyNumberFormat="1">
      <alignment horizontal="right"/>
    </xf>
    <xf borderId="16" fillId="4" fontId="17" numFmtId="164" xfId="0" applyAlignment="1" applyBorder="1" applyFont="1" applyNumberFormat="1">
      <alignment horizontal="right"/>
    </xf>
    <xf borderId="16" fillId="7" fontId="17" numFmtId="164" xfId="0" applyAlignment="1" applyBorder="1" applyFont="1" applyNumberFormat="1">
      <alignment horizontal="right"/>
    </xf>
    <xf borderId="4" fillId="4" fontId="25" numFmtId="165" xfId="0" applyAlignment="1" applyBorder="1" applyFont="1" applyNumberFormat="1">
      <alignment horizontal="center" vertical="center"/>
    </xf>
    <xf borderId="0" fillId="0" fontId="3" numFmtId="4" xfId="0" applyFont="1" applyNumberFormat="1"/>
    <xf borderId="0" fillId="0" fontId="3" numFmtId="0" xfId="0" applyAlignment="1" applyFont="1">
      <alignment vertical="bottom"/>
    </xf>
    <xf borderId="33" fillId="9" fontId="17" numFmtId="0" xfId="0" applyAlignment="1" applyBorder="1" applyFont="1">
      <alignment horizontal="center"/>
    </xf>
    <xf borderId="45" fillId="8" fontId="24" numFmtId="0" xfId="0" applyAlignment="1" applyBorder="1" applyFont="1">
      <alignment horizontal="center"/>
    </xf>
    <xf borderId="47" fillId="9" fontId="17" numFmtId="0" xfId="0" applyAlignment="1" applyBorder="1" applyFont="1">
      <alignment horizontal="center"/>
    </xf>
    <xf borderId="33" fillId="9" fontId="17" numFmtId="0" xfId="0" applyAlignment="1" applyBorder="1" applyFont="1">
      <alignment horizontal="center" shrinkToFit="0" wrapText="1"/>
    </xf>
    <xf borderId="47" fillId="9" fontId="17" numFmtId="0" xfId="0" applyAlignment="1" applyBorder="1" applyFont="1">
      <alignment horizontal="center" readingOrder="0"/>
    </xf>
    <xf borderId="33" fillId="9" fontId="17" numFmtId="0" xfId="0" applyAlignment="1" applyBorder="1" applyFont="1">
      <alignment horizontal="center" readingOrder="0"/>
    </xf>
    <xf borderId="33" fillId="7" fontId="17" numFmtId="164" xfId="0" applyAlignment="1" applyBorder="1" applyFont="1" applyNumberFormat="1">
      <alignment horizontal="right"/>
    </xf>
    <xf borderId="4" fillId="3" fontId="26" numFmtId="165" xfId="0" applyAlignment="1" applyBorder="1" applyFont="1" applyNumberFormat="1">
      <alignment horizontal="center" readingOrder="0"/>
    </xf>
    <xf borderId="45" fillId="8" fontId="24" numFmtId="0" xfId="0" applyAlignment="1" applyBorder="1" applyFont="1">
      <alignment horizontal="center" vertical="center"/>
    </xf>
    <xf borderId="47" fillId="0" fontId="17" numFmtId="0" xfId="0" applyAlignment="1" applyBorder="1" applyFont="1">
      <alignment horizontal="center" vertical="center"/>
    </xf>
    <xf borderId="0" fillId="4" fontId="27" numFmtId="0" xfId="0" applyAlignment="1" applyFont="1">
      <alignment horizontal="center" readingOrder="0" vertical="center"/>
    </xf>
    <xf borderId="33" fillId="0" fontId="17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center" shrinkToFit="0" vertical="center" wrapText="1"/>
    </xf>
    <xf borderId="33" fillId="4" fontId="17" numFmtId="164" xfId="0" applyAlignment="1" applyBorder="1" applyFont="1" applyNumberFormat="1">
      <alignment horizontal="right" vertical="center"/>
    </xf>
    <xf borderId="16" fillId="0" fontId="17" numFmtId="164" xfId="0" applyAlignment="1" applyBorder="1" applyFont="1" applyNumberFormat="1">
      <alignment horizontal="right" vertical="center"/>
    </xf>
    <xf borderId="33" fillId="7" fontId="17" numFmtId="164" xfId="0" applyAlignment="1" applyBorder="1" applyFont="1" applyNumberFormat="1">
      <alignment horizontal="right" vertical="center"/>
    </xf>
    <xf borderId="48" fillId="3" fontId="28" numFmtId="165" xfId="0" applyAlignment="1" applyBorder="1" applyFont="1" applyNumberFormat="1">
      <alignment horizontal="center" readingOrder="0" vertical="center"/>
    </xf>
    <xf borderId="47" fillId="0" fontId="17" numFmtId="0" xfId="0" applyAlignment="1" applyBorder="1" applyFont="1">
      <alignment horizontal="center" readingOrder="0" vertical="center"/>
    </xf>
    <xf borderId="33" fillId="4" fontId="29" numFmtId="0" xfId="0" applyAlignment="1" applyBorder="1" applyFont="1">
      <alignment horizontal="center" readingOrder="0" vertical="center"/>
    </xf>
    <xf borderId="33" fillId="0" fontId="17" numFmtId="0" xfId="0" applyAlignment="1" applyBorder="1" applyFont="1">
      <alignment horizontal="center" readingOrder="0" vertical="center"/>
    </xf>
    <xf borderId="33" fillId="0" fontId="17" numFmtId="0" xfId="0" applyAlignment="1" applyBorder="1" applyFont="1">
      <alignment horizontal="center" readingOrder="0" shrinkToFit="0" vertical="center" wrapText="1"/>
    </xf>
    <xf borderId="33" fillId="4" fontId="17" numFmtId="164" xfId="0" applyAlignment="1" applyBorder="1" applyFont="1" applyNumberFormat="1">
      <alignment horizontal="right"/>
    </xf>
    <xf borderId="33" fillId="3" fontId="30" numFmtId="166" xfId="0" applyAlignment="1" applyBorder="1" applyFont="1" applyNumberFormat="1">
      <alignment horizontal="center" readingOrder="0"/>
    </xf>
    <xf borderId="0" fillId="0" fontId="17" numFmtId="4" xfId="0" applyAlignment="1" applyFont="1" applyNumberFormat="1">
      <alignment horizontal="center" shrinkToFit="0" vertical="center" wrapText="1"/>
    </xf>
    <xf borderId="0" fillId="0" fontId="17" numFmtId="4" xfId="0" applyAlignment="1" applyFont="1" applyNumberFormat="1">
      <alignment readingOrder="0" shrinkToFit="0" vertical="center" wrapText="1"/>
    </xf>
    <xf borderId="33" fillId="3" fontId="31" numFmtId="0" xfId="0" applyAlignment="1" applyBorder="1" applyFont="1">
      <alignment horizontal="center" readingOrder="0"/>
    </xf>
    <xf borderId="47" fillId="0" fontId="17" numFmtId="0" xfId="0" applyAlignment="1" applyBorder="1" applyFont="1">
      <alignment horizontal="center" readingOrder="0"/>
    </xf>
    <xf borderId="33" fillId="0" fontId="32" numFmtId="0" xfId="0" applyAlignment="1" applyBorder="1" applyFont="1">
      <alignment horizontal="center" vertical="bottom"/>
    </xf>
    <xf borderId="16" fillId="10" fontId="17" numFmtId="164" xfId="0" applyAlignment="1" applyBorder="1" applyFill="1" applyFont="1" applyNumberFormat="1">
      <alignment horizontal="right" vertical="center"/>
    </xf>
    <xf borderId="33" fillId="4" fontId="33" numFmtId="165" xfId="0" applyAlignment="1" applyBorder="1" applyFont="1" applyNumberFormat="1">
      <alignment horizontal="center" vertical="bottom"/>
    </xf>
    <xf borderId="33" fillId="11" fontId="34" numFmtId="0" xfId="0" applyAlignment="1" applyBorder="1" applyFill="1" applyFont="1">
      <alignment horizontal="center"/>
    </xf>
    <xf borderId="47" fillId="0" fontId="17" numFmtId="0" xfId="0" applyAlignment="1" applyBorder="1" applyFont="1">
      <alignment horizontal="center"/>
    </xf>
    <xf borderId="33" fillId="6" fontId="35" numFmtId="0" xfId="0" applyAlignment="1" applyBorder="1" applyFont="1">
      <alignment horizontal="center" vertical="bottom"/>
    </xf>
    <xf borderId="33" fillId="0" fontId="17" numFmtId="0" xfId="0" applyBorder="1" applyFont="1"/>
    <xf borderId="33" fillId="0" fontId="17" numFmtId="0" xfId="0" applyAlignment="1" applyBorder="1" applyFont="1">
      <alignment horizontal="center" shrinkToFit="0" wrapText="1"/>
    </xf>
    <xf borderId="33" fillId="0" fontId="17" numFmtId="164" xfId="0" applyAlignment="1" applyBorder="1" applyFont="1" applyNumberFormat="1">
      <alignment horizontal="right"/>
    </xf>
    <xf borderId="16" fillId="0" fontId="17" numFmtId="164" xfId="0" applyAlignment="1" applyBorder="1" applyFont="1" applyNumberFormat="1">
      <alignment horizontal="right"/>
    </xf>
    <xf borderId="4" fillId="4" fontId="36" numFmtId="165" xfId="0" applyAlignment="1" applyBorder="1" applyFont="1" applyNumberFormat="1">
      <alignment horizontal="center" vertical="bottom"/>
    </xf>
    <xf borderId="0" fillId="0" fontId="17" numFmtId="4" xfId="0" applyAlignment="1" applyFont="1" applyNumberFormat="1">
      <alignment horizontal="center" readingOrder="0" shrinkToFit="0" wrapText="1"/>
    </xf>
    <xf borderId="0" fillId="0" fontId="17" numFmtId="4" xfId="0" applyAlignment="1" applyFont="1" applyNumberFormat="1">
      <alignment horizontal="center" shrinkToFit="0" wrapText="1"/>
    </xf>
    <xf borderId="33" fillId="0" fontId="17" numFmtId="164" xfId="0" applyAlignment="1" applyBorder="1" applyFont="1" applyNumberFormat="1">
      <alignment readingOrder="0" vertical="center"/>
    </xf>
    <xf borderId="0" fillId="3" fontId="37" numFmtId="166" xfId="0" applyAlignment="1" applyFont="1" applyNumberFormat="1">
      <alignment horizontal="center" readingOrder="0"/>
    </xf>
    <xf borderId="49" fillId="0" fontId="17" numFmtId="4" xfId="0" applyAlignment="1" applyBorder="1" applyFont="1" applyNumberFormat="1">
      <alignment horizontal="center" readingOrder="0" shrinkToFit="0" vertical="center" wrapText="1"/>
    </xf>
    <xf borderId="33" fillId="6" fontId="38" numFmtId="0" xfId="0" applyAlignment="1" applyBorder="1" applyFont="1">
      <alignment horizontal="center" readingOrder="0" vertical="center"/>
    </xf>
    <xf borderId="50" fillId="3" fontId="39" numFmtId="166" xfId="0" applyAlignment="1" applyBorder="1" applyFont="1" applyNumberFormat="1">
      <alignment horizontal="center" readingOrder="0" vertical="center"/>
    </xf>
    <xf borderId="33" fillId="0" fontId="40" numFmtId="0" xfId="0" applyAlignment="1" applyBorder="1" applyFont="1">
      <alignment horizontal="center" readingOrder="0" vertical="center"/>
    </xf>
    <xf borderId="51" fillId="0" fontId="17" numFmtId="164" xfId="0" applyAlignment="1" applyBorder="1" applyFont="1" applyNumberFormat="1">
      <alignment horizontal="right" vertical="center"/>
    </xf>
    <xf borderId="4" fillId="3" fontId="41" numFmtId="166" xfId="0" applyAlignment="1" applyBorder="1" applyFont="1" applyNumberFormat="1">
      <alignment horizontal="center" readingOrder="0" vertical="center"/>
    </xf>
    <xf borderId="33" fillId="0" fontId="42" numFmtId="0" xfId="0" applyAlignment="1" applyBorder="1" applyFont="1">
      <alignment horizontal="center" readingOrder="0"/>
    </xf>
    <xf borderId="51" fillId="10" fontId="17" numFmtId="164" xfId="0" applyAlignment="1" applyBorder="1" applyFont="1" applyNumberFormat="1">
      <alignment horizontal="right" vertical="center"/>
    </xf>
    <xf borderId="33" fillId="4" fontId="43" numFmtId="0" xfId="0" applyAlignment="1" applyBorder="1" applyFont="1">
      <alignment horizontal="center" readingOrder="0" vertical="bottom"/>
    </xf>
    <xf borderId="16" fillId="7" fontId="17" numFmtId="164" xfId="0" applyAlignment="1" applyBorder="1" applyFont="1" applyNumberFormat="1">
      <alignment horizontal="right" vertical="center"/>
    </xf>
    <xf borderId="47" fillId="0" fontId="17" numFmtId="0" xfId="0" applyAlignment="1" applyBorder="1" applyFont="1">
      <alignment horizontal="center"/>
    </xf>
    <xf borderId="33" fillId="11" fontId="34" numFmtId="0" xfId="0" applyAlignment="1" applyBorder="1" applyFont="1">
      <alignment horizontal="center" vertical="bottom"/>
    </xf>
    <xf borderId="33" fillId="0" fontId="17" numFmtId="0" xfId="0" applyAlignment="1" applyBorder="1" applyFont="1">
      <alignment horizontal="center"/>
    </xf>
    <xf borderId="33" fillId="0" fontId="17" numFmtId="0" xfId="0" applyAlignment="1" applyBorder="1" applyFont="1">
      <alignment horizontal="center" readingOrder="0" shrinkToFit="0" wrapText="1"/>
    </xf>
    <xf borderId="33" fillId="3" fontId="44" numFmtId="164" xfId="0" applyAlignment="1" applyBorder="1" applyFont="1" applyNumberFormat="1">
      <alignment readingOrder="0" vertical="center"/>
    </xf>
    <xf borderId="16" fillId="7" fontId="44" numFmtId="164" xfId="0" applyAlignment="1" applyBorder="1" applyFont="1" applyNumberFormat="1">
      <alignment horizontal="right"/>
    </xf>
    <xf borderId="16" fillId="7" fontId="44" numFmtId="164" xfId="0" applyAlignment="1" applyBorder="1" applyFont="1" applyNumberFormat="1">
      <alignment horizontal="right" vertical="center"/>
    </xf>
    <xf borderId="33" fillId="4" fontId="45" numFmtId="0" xfId="0" applyAlignment="1" applyBorder="1" applyFont="1">
      <alignment horizontal="center" vertical="bottom"/>
    </xf>
    <xf borderId="33" fillId="4" fontId="46" numFmtId="0" xfId="0" applyAlignment="1" applyBorder="1" applyFont="1">
      <alignment horizontal="center" vertical="center"/>
    </xf>
    <xf borderId="52" fillId="0" fontId="17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center" shrinkToFit="0" vertical="center" wrapText="1"/>
    </xf>
    <xf borderId="33" fillId="10" fontId="17" numFmtId="0" xfId="0" applyAlignment="1" applyBorder="1" applyFont="1">
      <alignment horizontal="center" shrinkToFit="0" vertical="center" wrapText="1"/>
    </xf>
    <xf borderId="33" fillId="6" fontId="47" numFmtId="0" xfId="0" applyAlignment="1" applyBorder="1" applyFont="1">
      <alignment horizontal="center"/>
    </xf>
    <xf borderId="53" fillId="0" fontId="17" numFmtId="0" xfId="0" applyAlignment="1" applyBorder="1" applyFont="1">
      <alignment horizontal="center" vertical="center"/>
    </xf>
    <xf borderId="54" fillId="0" fontId="17" numFmtId="0" xfId="0" applyAlignment="1" applyBorder="1" applyFont="1">
      <alignment shrinkToFit="0" vertical="center" wrapText="1"/>
    </xf>
    <xf borderId="4" fillId="4" fontId="48" numFmtId="165" xfId="0" applyAlignment="1" applyBorder="1" applyFont="1" applyNumberFormat="1">
      <alignment horizontal="center" vertical="bottom"/>
    </xf>
    <xf borderId="45" fillId="8" fontId="49" numFmtId="0" xfId="0" applyAlignment="1" applyBorder="1" applyFont="1">
      <alignment horizontal="center"/>
    </xf>
    <xf borderId="47" fillId="0" fontId="50" numFmtId="0" xfId="0" applyAlignment="1" applyBorder="1" applyFont="1">
      <alignment horizontal="center" readingOrder="0"/>
    </xf>
    <xf borderId="33" fillId="0" fontId="51" numFmtId="0" xfId="0" applyAlignment="1" applyBorder="1" applyFont="1">
      <alignment horizontal="center" vertical="bottom"/>
    </xf>
    <xf borderId="53" fillId="0" fontId="50" numFmtId="0" xfId="0" applyAlignment="1" applyBorder="1" applyFont="1">
      <alignment horizontal="center" vertical="center"/>
    </xf>
    <xf borderId="54" fillId="0" fontId="50" numFmtId="0" xfId="0" applyAlignment="1" applyBorder="1" applyFont="1">
      <alignment shrinkToFit="0" vertical="center" wrapText="1"/>
    </xf>
    <xf borderId="33" fillId="0" fontId="50" numFmtId="164" xfId="0" applyAlignment="1" applyBorder="1" applyFont="1" applyNumberFormat="1">
      <alignment readingOrder="0" vertical="center"/>
    </xf>
    <xf borderId="16" fillId="0" fontId="50" numFmtId="164" xfId="0" applyAlignment="1" applyBorder="1" applyFont="1" applyNumberFormat="1">
      <alignment horizontal="right" readingOrder="0" vertical="center"/>
    </xf>
    <xf borderId="51" fillId="10" fontId="50" numFmtId="164" xfId="0" applyAlignment="1" applyBorder="1" applyFont="1" applyNumberFormat="1">
      <alignment horizontal="right" vertical="center"/>
    </xf>
    <xf borderId="4" fillId="4" fontId="52" numFmtId="165" xfId="0" applyAlignment="1" applyBorder="1" applyFont="1" applyNumberFormat="1">
      <alignment horizontal="center" vertical="bottom"/>
    </xf>
    <xf borderId="0" fillId="0" fontId="50" numFmtId="4" xfId="0" applyAlignment="1" applyFont="1" applyNumberFormat="1">
      <alignment horizontal="center" readingOrder="0" shrinkToFit="0" vertical="center" wrapText="1"/>
    </xf>
    <xf borderId="0" fillId="0" fontId="50" numFmtId="4" xfId="0" applyAlignment="1" applyFont="1" applyNumberFormat="1">
      <alignment shrinkToFit="0" vertical="center" wrapText="1"/>
    </xf>
    <xf borderId="0" fillId="0" fontId="50" numFmtId="4" xfId="0" applyAlignment="1" applyFont="1" applyNumberFormat="1">
      <alignment readingOrder="0" shrinkToFit="0" vertical="center" wrapText="1"/>
    </xf>
    <xf borderId="0" fillId="0" fontId="50" numFmtId="4" xfId="0" applyAlignment="1" applyFont="1" applyNumberFormat="1">
      <alignment vertical="center"/>
    </xf>
    <xf borderId="0" fillId="0" fontId="50" numFmtId="0" xfId="0" applyAlignment="1" applyFont="1">
      <alignment vertical="center"/>
    </xf>
    <xf borderId="0" fillId="0" fontId="50" numFmtId="0" xfId="0" applyFont="1"/>
    <xf borderId="33" fillId="4" fontId="53" numFmtId="0" xfId="0" applyAlignment="1" applyBorder="1" applyFont="1">
      <alignment horizontal="center" vertical="bottom"/>
    </xf>
    <xf borderId="55" fillId="0" fontId="17" numFmtId="0" xfId="0" applyAlignment="1" applyBorder="1" applyFont="1">
      <alignment horizontal="center" readingOrder="0" vertical="center"/>
    </xf>
    <xf borderId="33" fillId="3" fontId="54" numFmtId="0" xfId="0" applyAlignment="1" applyBorder="1" applyFont="1">
      <alignment horizontal="center" readingOrder="0" vertical="center"/>
    </xf>
    <xf borderId="53" fillId="0" fontId="17" numFmtId="0" xfId="0" applyAlignment="1" applyBorder="1" applyFont="1">
      <alignment horizontal="center" readingOrder="0" vertical="center"/>
    </xf>
    <xf borderId="54" fillId="0" fontId="17" numFmtId="0" xfId="0" applyAlignment="1" applyBorder="1" applyFont="1">
      <alignment readingOrder="0" shrinkToFit="0" vertical="center" wrapText="1"/>
    </xf>
    <xf borderId="55" fillId="0" fontId="17" numFmtId="0" xfId="0" applyAlignment="1" applyBorder="1" applyFont="1">
      <alignment horizontal="center"/>
    </xf>
    <xf borderId="53" fillId="0" fontId="17" numFmtId="0" xfId="0" applyAlignment="1" applyBorder="1" applyFont="1">
      <alignment horizontal="center"/>
    </xf>
    <xf borderId="54" fillId="0" fontId="17" numFmtId="0" xfId="0" applyAlignment="1" applyBorder="1" applyFont="1">
      <alignment readingOrder="0" shrinkToFit="0" wrapText="1"/>
    </xf>
    <xf borderId="51" fillId="0" fontId="17" numFmtId="164" xfId="0" applyAlignment="1" applyBorder="1" applyFont="1" applyNumberFormat="1">
      <alignment horizontal="right"/>
    </xf>
    <xf borderId="54" fillId="0" fontId="17" numFmtId="164" xfId="0" applyAlignment="1" applyBorder="1" applyFont="1" applyNumberFormat="1">
      <alignment readingOrder="0" vertical="center"/>
    </xf>
    <xf borderId="33" fillId="4" fontId="55" numFmtId="0" xfId="0" applyAlignment="1" applyBorder="1" applyFont="1">
      <alignment horizontal="center"/>
    </xf>
    <xf borderId="53" fillId="0" fontId="17" numFmtId="0" xfId="0" applyAlignment="1" applyBorder="1" applyFont="1">
      <alignment horizontal="center" vertical="center"/>
    </xf>
    <xf borderId="54" fillId="0" fontId="17" numFmtId="0" xfId="0" applyAlignment="1" applyBorder="1" applyFont="1">
      <alignment shrinkToFit="0" vertical="center" wrapText="1"/>
    </xf>
    <xf borderId="4" fillId="4" fontId="56" numFmtId="166" xfId="0" applyAlignment="1" applyBorder="1" applyFont="1" applyNumberFormat="1">
      <alignment horizontal="center" vertical="center"/>
    </xf>
    <xf borderId="29" fillId="8" fontId="24" numFmtId="0" xfId="0" applyAlignment="1" applyBorder="1" applyFont="1">
      <alignment horizontal="center"/>
    </xf>
    <xf borderId="54" fillId="4" fontId="57" numFmtId="0" xfId="0" applyAlignment="1" applyBorder="1" applyFont="1">
      <alignment horizontal="center"/>
    </xf>
    <xf borderId="33" fillId="8" fontId="24" numFmtId="0" xfId="0" applyAlignment="1" applyBorder="1" applyFont="1">
      <alignment horizontal="center"/>
    </xf>
    <xf borderId="33" fillId="0" fontId="17" numFmtId="0" xfId="0" applyAlignment="1" applyBorder="1" applyFont="1">
      <alignment horizontal="center"/>
    </xf>
    <xf borderId="53" fillId="0" fontId="17" numFmtId="0" xfId="0" applyAlignment="1" applyBorder="1" applyFont="1">
      <alignment shrinkToFit="0" vertical="center" wrapText="1"/>
    </xf>
    <xf borderId="33" fillId="0" fontId="17" numFmtId="164" xfId="0" applyAlignment="1" applyBorder="1" applyFont="1" applyNumberFormat="1">
      <alignment horizontal="right" readingOrder="0" vertical="center"/>
    </xf>
    <xf borderId="33" fillId="10" fontId="17" numFmtId="164" xfId="0" applyAlignment="1" applyBorder="1" applyFont="1" applyNumberFormat="1">
      <alignment horizontal="right" vertical="center"/>
    </xf>
    <xf borderId="4" fillId="3" fontId="58" numFmtId="165" xfId="0" applyAlignment="1" applyBorder="1" applyFont="1" applyNumberFormat="1">
      <alignment horizontal="center" readingOrder="0" vertical="center"/>
    </xf>
    <xf borderId="53" fillId="0" fontId="17" numFmtId="0" xfId="0" applyAlignment="1" applyBorder="1" applyFont="1">
      <alignment readingOrder="0" shrinkToFit="0" vertical="center" wrapText="1"/>
    </xf>
    <xf borderId="4" fillId="4" fontId="59" numFmtId="165" xfId="0" applyAlignment="1" applyBorder="1" applyFont="1" applyNumberFormat="1">
      <alignment horizontal="center" vertical="center"/>
    </xf>
    <xf borderId="33" fillId="3" fontId="60" numFmtId="0" xfId="0" applyAlignment="1" applyBorder="1" applyFont="1">
      <alignment horizontal="center" readingOrder="0" vertical="center"/>
    </xf>
    <xf borderId="33" fillId="4" fontId="61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0" fillId="3" fontId="62" numFmtId="0" xfId="0" applyAlignment="1" applyFont="1">
      <alignment horizontal="center" readingOrder="0" vertical="center"/>
    </xf>
    <xf borderId="33" fillId="3" fontId="63" numFmtId="166" xfId="0" applyAlignment="1" applyBorder="1" applyFont="1" applyNumberFormat="1">
      <alignment horizontal="center" readingOrder="0" vertical="center"/>
    </xf>
    <xf borderId="33" fillId="4" fontId="64" numFmtId="165" xfId="0" applyAlignment="1" applyBorder="1" applyFont="1" applyNumberFormat="1">
      <alignment horizontal="center" vertical="center"/>
    </xf>
    <xf borderId="0" fillId="9" fontId="17" numFmtId="4" xfId="0" applyAlignment="1" applyFont="1" applyNumberFormat="1">
      <alignment readingOrder="0" shrinkToFit="0" vertical="center" wrapText="1"/>
    </xf>
    <xf borderId="0" fillId="9" fontId="17" numFmtId="4" xfId="0" applyAlignment="1" applyFont="1" applyNumberFormat="1">
      <alignment shrinkToFit="0" vertical="center" wrapText="1"/>
    </xf>
    <xf borderId="33" fillId="4" fontId="65" numFmtId="166" xfId="0" applyAlignment="1" applyBorder="1" applyFont="1" applyNumberFormat="1">
      <alignment horizontal="center" vertical="center"/>
    </xf>
    <xf borderId="33" fillId="0" fontId="50" numFmtId="0" xfId="0" applyAlignment="1" applyBorder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33" fillId="9" fontId="17" numFmtId="0" xfId="0" applyAlignment="1" applyBorder="1" applyFont="1">
      <alignment horizontal="center" readingOrder="0" vertical="center"/>
    </xf>
    <xf borderId="33" fillId="9" fontId="17" numFmtId="0" xfId="0" applyAlignment="1" applyBorder="1" applyFont="1">
      <alignment horizontal="center" vertical="center"/>
    </xf>
    <xf borderId="53" fillId="9" fontId="17" numFmtId="0" xfId="0" applyAlignment="1" applyBorder="1" applyFont="1">
      <alignment shrinkToFit="0" vertical="center" wrapText="1"/>
    </xf>
    <xf borderId="54" fillId="9" fontId="17" numFmtId="164" xfId="0" applyAlignment="1" applyBorder="1" applyFont="1" applyNumberFormat="1">
      <alignment readingOrder="0" vertical="center"/>
    </xf>
    <xf borderId="33" fillId="12" fontId="17" numFmtId="0" xfId="0" applyAlignment="1" applyBorder="1" applyFill="1" applyFont="1">
      <alignment horizontal="center" readingOrder="0" vertical="center"/>
    </xf>
    <xf borderId="33" fillId="12" fontId="17" numFmtId="0" xfId="0" applyAlignment="1" applyBorder="1" applyFont="1">
      <alignment horizontal="center" vertical="center"/>
    </xf>
    <xf borderId="53" fillId="12" fontId="17" numFmtId="0" xfId="0" applyAlignment="1" applyBorder="1" applyFont="1">
      <alignment shrinkToFit="0" vertical="center" wrapText="1"/>
    </xf>
    <xf borderId="54" fillId="12" fontId="17" numFmtId="164" xfId="0" applyAlignment="1" applyBorder="1" applyFont="1" applyNumberFormat="1">
      <alignment readingOrder="0" vertical="center"/>
    </xf>
    <xf borderId="16" fillId="12" fontId="17" numFmtId="164" xfId="0" applyAlignment="1" applyBorder="1" applyFont="1" applyNumberFormat="1">
      <alignment horizontal="right" readingOrder="0" vertical="center"/>
    </xf>
    <xf borderId="33" fillId="12" fontId="17" numFmtId="164" xfId="0" applyAlignment="1" applyBorder="1" applyFont="1" applyNumberFormat="1">
      <alignment horizontal="right" vertical="center"/>
    </xf>
    <xf borderId="4" fillId="12" fontId="67" numFmtId="166" xfId="0" applyAlignment="1" applyBorder="1" applyFont="1" applyNumberFormat="1">
      <alignment horizontal="center" readingOrder="0" vertical="center"/>
    </xf>
    <xf borderId="0" fillId="11" fontId="34" numFmtId="0" xfId="0" applyAlignment="1" applyFont="1">
      <alignment horizontal="center" readingOrder="0" vertical="center"/>
    </xf>
    <xf borderId="51" fillId="7" fontId="17" numFmtId="164" xfId="0" applyAlignment="1" applyBorder="1" applyFont="1" applyNumberFormat="1">
      <alignment horizontal="right" vertical="center"/>
    </xf>
    <xf borderId="33" fillId="3" fontId="68" numFmtId="165" xfId="0" applyAlignment="1" applyBorder="1" applyFont="1" applyNumberFormat="1">
      <alignment horizontal="center" readingOrder="0"/>
    </xf>
    <xf borderId="33" fillId="4" fontId="69" numFmtId="164" xfId="0" applyAlignment="1" applyBorder="1" applyFont="1" applyNumberFormat="1">
      <alignment horizontal="center" vertical="center"/>
    </xf>
    <xf borderId="33" fillId="4" fontId="70" numFmtId="166" xfId="0" applyAlignment="1" applyBorder="1" applyFont="1" applyNumberFormat="1">
      <alignment horizontal="center" vertical="bottom"/>
    </xf>
    <xf borderId="33" fillId="0" fontId="71" numFmtId="0" xfId="0" applyAlignment="1" applyBorder="1" applyFont="1">
      <alignment horizontal="center" readingOrder="0" vertical="center"/>
    </xf>
    <xf borderId="4" fillId="0" fontId="17" numFmtId="14" xfId="0" applyAlignment="1" applyBorder="1" applyFont="1" applyNumberFormat="1">
      <alignment horizontal="center" readingOrder="0" vertical="center"/>
    </xf>
    <xf borderId="4" fillId="0" fontId="17" numFmtId="14" xfId="0" applyAlignment="1" applyBorder="1" applyFont="1" applyNumberFormat="1">
      <alignment horizontal="center" vertical="center"/>
    </xf>
    <xf borderId="4" fillId="0" fontId="17" numFmtId="167" xfId="0" applyAlignment="1" applyBorder="1" applyFont="1" applyNumberFormat="1">
      <alignment horizontal="center" readingOrder="0" vertical="center"/>
    </xf>
    <xf borderId="33" fillId="0" fontId="17" numFmtId="0" xfId="0" applyAlignment="1" applyBorder="1" applyFont="1">
      <alignment horizontal="center" vertical="center"/>
    </xf>
    <xf borderId="54" fillId="0" fontId="17" numFmtId="0" xfId="0" applyAlignment="1" applyBorder="1" applyFont="1">
      <alignment horizontal="center" readingOrder="0" vertical="center"/>
    </xf>
    <xf borderId="55" fillId="0" fontId="17" numFmtId="0" xfId="0" applyAlignment="1" applyBorder="1" applyFont="1">
      <alignment horizontal="center" readingOrder="0"/>
    </xf>
    <xf borderId="52" fillId="0" fontId="17" numFmtId="0" xfId="0" applyAlignment="1" applyBorder="1" applyFont="1">
      <alignment horizontal="center" vertical="center"/>
    </xf>
    <xf borderId="54" fillId="0" fontId="17" numFmtId="168" xfId="0" applyAlignment="1" applyBorder="1" applyFont="1" applyNumberFormat="1">
      <alignment vertical="center"/>
    </xf>
    <xf borderId="50" fillId="4" fontId="72" numFmtId="165" xfId="0" applyAlignment="1" applyBorder="1" applyFont="1" applyNumberFormat="1">
      <alignment horizontal="center" vertical="center"/>
    </xf>
    <xf borderId="0" fillId="3" fontId="73" numFmtId="164" xfId="0" applyAlignment="1" applyFont="1" applyNumberFormat="1">
      <alignment horizontal="center" readingOrder="0" vertical="center"/>
    </xf>
    <xf borderId="0" fillId="4" fontId="74" numFmtId="164" xfId="0" applyAlignment="1" applyFont="1" applyNumberFormat="1">
      <alignment horizontal="center" readingOrder="0" vertical="center"/>
    </xf>
    <xf borderId="53" fillId="0" fontId="17" numFmtId="0" xfId="0" applyAlignment="1" applyBorder="1" applyFont="1">
      <alignment shrinkToFit="0" vertical="center" wrapText="1"/>
    </xf>
    <xf borderId="16" fillId="0" fontId="17" numFmtId="0" xfId="0" applyAlignment="1" applyBorder="1" applyFont="1">
      <alignment horizontal="center" readingOrder="0" vertical="center"/>
    </xf>
    <xf borderId="33" fillId="4" fontId="75" numFmtId="164" xfId="0" applyAlignment="1" applyBorder="1" applyFont="1" applyNumberFormat="1">
      <alignment horizontal="center" readingOrder="0" vertical="center"/>
    </xf>
    <xf borderId="33" fillId="3" fontId="76" numFmtId="164" xfId="0" applyAlignment="1" applyBorder="1" applyFont="1" applyNumberFormat="1">
      <alignment horizontal="center" readingOrder="0" vertical="center"/>
    </xf>
    <xf borderId="4" fillId="4" fontId="77" numFmtId="166" xfId="0" applyAlignment="1" applyBorder="1" applyFont="1" applyNumberFormat="1">
      <alignment horizontal="center" readingOrder="0" vertical="center"/>
    </xf>
    <xf borderId="33" fillId="0" fontId="17" numFmtId="164" xfId="0" applyAlignment="1" applyBorder="1" applyFont="1" applyNumberFormat="1">
      <alignment horizontal="center" readingOrder="0" vertical="center"/>
    </xf>
    <xf borderId="4" fillId="0" fontId="78" numFmtId="165" xfId="0" applyAlignment="1" applyBorder="1" applyFont="1" applyNumberFormat="1">
      <alignment horizontal="center" readingOrder="0" vertical="center"/>
    </xf>
    <xf borderId="33" fillId="0" fontId="17" numFmtId="0" xfId="0" applyAlignment="1" applyBorder="1" applyFont="1">
      <alignment horizontal="center" readingOrder="0"/>
    </xf>
    <xf borderId="33" fillId="0" fontId="17" numFmtId="0" xfId="0" applyAlignment="1" applyBorder="1" applyFont="1">
      <alignment readingOrder="0" shrinkToFit="0" vertical="center" wrapText="1"/>
    </xf>
    <xf borderId="33" fillId="0" fontId="17" numFmtId="0" xfId="0" applyAlignment="1" applyBorder="1" applyFont="1">
      <alignment shrinkToFit="0" vertical="center" wrapText="1"/>
    </xf>
    <xf borderId="56" fillId="3" fontId="79" numFmtId="165" xfId="0" applyAlignment="1" applyBorder="1" applyFont="1" applyNumberFormat="1">
      <alignment horizontal="center" readingOrder="0" vertical="center"/>
    </xf>
    <xf borderId="33" fillId="0" fontId="17" numFmtId="0" xfId="0" applyAlignment="1" applyBorder="1" applyFont="1">
      <alignment shrinkToFit="0" vertical="center" wrapText="1"/>
    </xf>
    <xf borderId="56" fillId="4" fontId="80" numFmtId="165" xfId="0" applyAlignment="1" applyBorder="1" applyFont="1" applyNumberFormat="1">
      <alignment horizontal="center" readingOrder="0" vertical="center"/>
    </xf>
    <xf borderId="54" fillId="0" fontId="17" numFmtId="168" xfId="0" applyAlignment="1" applyBorder="1" applyFont="1" applyNumberFormat="1">
      <alignment readingOrder="0" vertical="center"/>
    </xf>
    <xf borderId="4" fillId="0" fontId="81" numFmtId="165" xfId="0" applyAlignment="1" applyBorder="1" applyFont="1" applyNumberFormat="1">
      <alignment horizontal="center" readingOrder="0" vertical="center"/>
    </xf>
    <xf borderId="47" fillId="0" fontId="50" numFmtId="0" xfId="0" applyAlignment="1" applyBorder="1" applyFont="1">
      <alignment horizontal="center" vertical="center"/>
    </xf>
    <xf borderId="54" fillId="0" fontId="17" numFmtId="164" xfId="0" applyAlignment="1" applyBorder="1" applyFont="1" applyNumberFormat="1">
      <alignment vertical="center"/>
    </xf>
    <xf borderId="33" fillId="0" fontId="50" numFmtId="0" xfId="0" applyAlignment="1" applyBorder="1" applyFont="1">
      <alignment horizontal="center" vertical="center"/>
    </xf>
    <xf borderId="30" fillId="0" fontId="17" numFmtId="0" xfId="0" applyAlignment="1" applyBorder="1" applyFont="1">
      <alignment horizontal="center" vertical="center"/>
    </xf>
    <xf borderId="57" fillId="0" fontId="17" numFmtId="0" xfId="0" applyAlignment="1" applyBorder="1" applyFont="1">
      <alignment horizontal="center" vertical="center"/>
    </xf>
    <xf borderId="19" fillId="0" fontId="50" numFmtId="0" xfId="0" applyAlignment="1" applyBorder="1" applyFont="1">
      <alignment horizontal="center" vertical="center"/>
    </xf>
    <xf borderId="58" fillId="0" fontId="17" numFmtId="0" xfId="0" applyAlignment="1" applyBorder="1" applyFont="1">
      <alignment horizontal="center" vertical="center"/>
    </xf>
    <xf borderId="35" fillId="0" fontId="17" numFmtId="0" xfId="0" applyAlignment="1" applyBorder="1" applyFont="1">
      <alignment horizontal="center" vertical="center"/>
    </xf>
    <xf borderId="35" fillId="0" fontId="17" numFmtId="0" xfId="0" applyAlignment="1" applyBorder="1" applyFont="1">
      <alignment shrinkToFit="0" vertical="center" wrapText="1"/>
    </xf>
    <xf borderId="35" fillId="0" fontId="17" numFmtId="164" xfId="0" applyAlignment="1" applyBorder="1" applyFont="1" applyNumberFormat="1">
      <alignment vertical="center"/>
    </xf>
    <xf borderId="20" fillId="0" fontId="17" numFmtId="164" xfId="0" applyAlignment="1" applyBorder="1" applyFont="1" applyNumberFormat="1">
      <alignment horizontal="right" vertical="center"/>
    </xf>
    <xf borderId="21" fillId="0" fontId="17" numFmtId="14" xfId="0" applyAlignment="1" applyBorder="1" applyFont="1" applyNumberFormat="1">
      <alignment horizontal="center" vertical="center"/>
    </xf>
    <xf borderId="49" fillId="0" fontId="17" numFmtId="4" xfId="0" applyAlignment="1" applyBorder="1" applyFont="1" applyNumberFormat="1">
      <alignment shrinkToFit="0" vertical="center" wrapText="1"/>
    </xf>
    <xf borderId="22" fillId="5" fontId="16" numFmtId="0" xfId="0" applyAlignment="1" applyBorder="1" applyFont="1">
      <alignment horizontal="right" vertical="center"/>
    </xf>
    <xf borderId="11" fillId="5" fontId="16" numFmtId="164" xfId="0" applyAlignment="1" applyBorder="1" applyFont="1" applyNumberFormat="1">
      <alignment horizontal="center" vertical="center"/>
    </xf>
    <xf borderId="12" fillId="5" fontId="16" numFmtId="164" xfId="0" applyAlignment="1" applyBorder="1" applyFont="1" applyNumberFormat="1">
      <alignment horizontal="center" vertical="center"/>
    </xf>
    <xf borderId="22" fillId="0" fontId="6" numFmtId="0" xfId="0" applyAlignment="1" applyBorder="1" applyFont="1">
      <alignment horizontal="center" vertical="center"/>
    </xf>
    <xf borderId="59" fillId="0" fontId="6" numFmtId="164" xfId="0" applyAlignment="1" applyBorder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60" fillId="2" fontId="18" numFmtId="0" xfId="0" applyAlignment="1" applyBorder="1" applyFont="1">
      <alignment horizontal="center" readingOrder="0" vertical="center"/>
    </xf>
    <xf borderId="61" fillId="0" fontId="10" numFmtId="0" xfId="0" applyBorder="1" applyFont="1"/>
    <xf borderId="62" fillId="0" fontId="10" numFmtId="0" xfId="0" applyBorder="1" applyFont="1"/>
    <xf borderId="45" fillId="0" fontId="13" numFmtId="0" xfId="0" applyAlignment="1" applyBorder="1" applyFont="1">
      <alignment horizontal="center" readingOrder="0" vertical="center"/>
    </xf>
    <xf borderId="47" fillId="0" fontId="13" numFmtId="0" xfId="0" applyAlignment="1" applyBorder="1" applyFont="1">
      <alignment horizontal="center" readingOrder="0" vertical="center"/>
    </xf>
    <xf borderId="46" fillId="0" fontId="82" numFmtId="0" xfId="0" applyAlignment="1" applyBorder="1" applyFont="1">
      <alignment horizontal="center" readingOrder="0" vertical="center"/>
    </xf>
    <xf borderId="33" fillId="0" fontId="13" numFmtId="0" xfId="0" applyAlignment="1" applyBorder="1" applyFont="1">
      <alignment horizontal="center" readingOrder="0" shrinkToFit="0" vertical="center" wrapText="1"/>
    </xf>
    <xf borderId="14" fillId="0" fontId="13" numFmtId="164" xfId="0" applyAlignment="1" applyBorder="1" applyFont="1" applyNumberFormat="1">
      <alignment readingOrder="0" vertical="center"/>
    </xf>
    <xf borderId="14" fillId="0" fontId="13" numFmtId="164" xfId="0" applyAlignment="1" applyBorder="1" applyFont="1" applyNumberFormat="1">
      <alignment horizontal="right" readingOrder="0" vertical="center"/>
    </xf>
    <xf borderId="2" fillId="7" fontId="13" numFmtId="164" xfId="0" applyAlignment="1" applyBorder="1" applyFont="1" applyNumberFormat="1">
      <alignment horizontal="right" vertical="center"/>
    </xf>
    <xf borderId="2" fillId="0" fontId="13" numFmtId="14" xfId="0" applyAlignment="1" applyBorder="1" applyFont="1" applyNumberFormat="1">
      <alignment horizontal="center" readingOrder="0" vertical="center"/>
    </xf>
    <xf borderId="49" fillId="0" fontId="13" numFmtId="4" xfId="0" applyAlignment="1" applyBorder="1" applyFont="1" applyNumberFormat="1">
      <alignment shrinkToFit="0" vertical="center" wrapText="1"/>
    </xf>
    <xf borderId="0" fillId="0" fontId="13" numFmtId="4" xfId="0" applyAlignment="1" applyFont="1" applyNumberFormat="1">
      <alignment shrinkToFit="0" vertical="center" wrapText="1"/>
    </xf>
    <xf borderId="33" fillId="0" fontId="83" numFmtId="0" xfId="0" applyAlignment="1" applyBorder="1" applyFont="1">
      <alignment horizontal="center" readingOrder="0" vertical="center"/>
    </xf>
    <xf borderId="33" fillId="0" fontId="13" numFmtId="0" xfId="0" applyAlignment="1" applyBorder="1" applyFont="1">
      <alignment horizontal="center" readingOrder="0" vertical="center"/>
    </xf>
    <xf borderId="33" fillId="0" fontId="13" numFmtId="164" xfId="0" applyAlignment="1" applyBorder="1" applyFont="1" applyNumberFormat="1">
      <alignment readingOrder="0" vertical="center"/>
    </xf>
    <xf borderId="16" fillId="0" fontId="13" numFmtId="164" xfId="0" applyAlignment="1" applyBorder="1" applyFont="1" applyNumberFormat="1">
      <alignment horizontal="right" readingOrder="0" vertical="center"/>
    </xf>
    <xf borderId="17" fillId="7" fontId="13" numFmtId="164" xfId="0" applyAlignment="1" applyBorder="1" applyFont="1" applyNumberFormat="1">
      <alignment horizontal="right" vertical="center"/>
    </xf>
    <xf borderId="17" fillId="0" fontId="13" numFmtId="14" xfId="0" applyAlignment="1" applyBorder="1" applyFont="1" applyNumberFormat="1">
      <alignment horizontal="center" readingOrder="0" vertical="center"/>
    </xf>
    <xf borderId="33" fillId="3" fontId="84" numFmtId="0" xfId="0" applyAlignment="1" applyBorder="1" applyFont="1">
      <alignment horizontal="center" readingOrder="0" vertical="center"/>
    </xf>
    <xf borderId="33" fillId="8" fontId="85" numFmtId="0" xfId="0" applyAlignment="1" applyBorder="1" applyFont="1">
      <alignment horizontal="center" vertical="bottom"/>
    </xf>
    <xf borderId="33" fillId="0" fontId="13" numFmtId="0" xfId="0" applyAlignment="1" applyBorder="1" applyFont="1">
      <alignment horizontal="center" vertical="bottom"/>
    </xf>
    <xf borderId="0" fillId="6" fontId="86" numFmtId="164" xfId="0" applyAlignment="1" applyFont="1" applyNumberFormat="1">
      <alignment horizontal="center" vertical="bottom"/>
    </xf>
    <xf borderId="33" fillId="0" fontId="13" numFmtId="0" xfId="0" applyAlignment="1" applyBorder="1" applyFont="1">
      <alignment horizontal="center" shrinkToFit="0" vertical="bottom" wrapText="1"/>
    </xf>
    <xf borderId="33" fillId="0" fontId="13" numFmtId="164" xfId="0" applyAlignment="1" applyBorder="1" applyFont="1" applyNumberFormat="1">
      <alignment horizontal="right" readingOrder="0" vertical="bottom"/>
    </xf>
    <xf borderId="33" fillId="0" fontId="13" numFmtId="164" xfId="0" applyAlignment="1" applyBorder="1" applyFont="1" applyNumberFormat="1">
      <alignment horizontal="right" vertical="bottom"/>
    </xf>
    <xf borderId="33" fillId="7" fontId="13" numFmtId="164" xfId="0" applyAlignment="1" applyBorder="1" applyFont="1" applyNumberFormat="1">
      <alignment horizontal="right" vertical="bottom"/>
    </xf>
    <xf borderId="33" fillId="4" fontId="87" numFmtId="165" xfId="0" applyAlignment="1" applyBorder="1" applyFont="1" applyNumberFormat="1">
      <alignment horizontal="center"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readingOrder="0" vertical="bottom"/>
    </xf>
    <xf borderId="33" fillId="4" fontId="88" numFmtId="164" xfId="0" applyAlignment="1" applyBorder="1" applyFont="1" applyNumberFormat="1">
      <alignment horizontal="center" vertical="bottom"/>
    </xf>
    <xf borderId="0" fillId="0" fontId="13" numFmtId="4" xfId="0" applyAlignment="1" applyFont="1" applyNumberFormat="1">
      <alignment shrinkToFit="0" vertical="bottom" wrapText="1"/>
    </xf>
    <xf borderId="49" fillId="0" fontId="13" numFmtId="4" xfId="0" applyAlignment="1" applyBorder="1" applyFont="1" applyNumberFormat="1">
      <alignment readingOrder="0" shrinkToFit="0" vertical="center" wrapText="1"/>
    </xf>
    <xf borderId="33" fillId="13" fontId="89" numFmtId="0" xfId="0" applyAlignment="1" applyBorder="1" applyFill="1" applyFont="1">
      <alignment horizontal="center" readingOrder="0" vertical="center"/>
    </xf>
    <xf borderId="33" fillId="3" fontId="90" numFmtId="0" xfId="0" applyAlignment="1" applyBorder="1" applyFont="1">
      <alignment horizontal="center" readingOrder="0" vertical="center"/>
    </xf>
    <xf borderId="33" fillId="4" fontId="91" numFmtId="0" xfId="0" applyAlignment="1" applyBorder="1" applyFont="1">
      <alignment horizontal="center" vertical="bottom"/>
    </xf>
    <xf borderId="33" fillId="4" fontId="92" numFmtId="166" xfId="0" applyAlignment="1" applyBorder="1" applyFont="1" applyNumberFormat="1">
      <alignment horizontal="center" vertical="bottom"/>
    </xf>
    <xf borderId="33" fillId="0" fontId="13" numFmtId="0" xfId="0" applyAlignment="1" applyBorder="1" applyFont="1">
      <alignment horizontal="center" vertical="center"/>
    </xf>
    <xf borderId="54" fillId="0" fontId="13" numFmtId="0" xfId="0" applyAlignment="1" applyBorder="1" applyFont="1">
      <alignment horizontal="center" vertical="center"/>
    </xf>
    <xf borderId="54" fillId="0" fontId="13" numFmtId="0" xfId="0" applyAlignment="1" applyBorder="1" applyFont="1">
      <alignment horizontal="center" shrinkToFit="0" vertical="center" wrapText="1"/>
    </xf>
    <xf borderId="54" fillId="0" fontId="13" numFmtId="164" xfId="0" applyAlignment="1" applyBorder="1" applyFont="1" applyNumberFormat="1">
      <alignment vertical="center"/>
    </xf>
    <xf borderId="30" fillId="0" fontId="13" numFmtId="164" xfId="0" applyAlignment="1" applyBorder="1" applyFont="1" applyNumberFormat="1">
      <alignment horizontal="right" vertical="center"/>
    </xf>
    <xf borderId="63" fillId="0" fontId="13" numFmtId="164" xfId="0" applyAlignment="1" applyBorder="1" applyFont="1" applyNumberFormat="1">
      <alignment horizontal="right" vertical="center"/>
    </xf>
    <xf borderId="63" fillId="0" fontId="13" numFmtId="14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58" fillId="0" fontId="13" numFmtId="0" xfId="0" applyAlignment="1" applyBorder="1" applyFont="1">
      <alignment horizontal="center" vertical="center"/>
    </xf>
    <xf borderId="35" fillId="0" fontId="13" numFmtId="0" xfId="0" applyAlignment="1" applyBorder="1" applyFont="1">
      <alignment horizontal="center" vertical="center"/>
    </xf>
    <xf borderId="35" fillId="0" fontId="13" numFmtId="0" xfId="0" applyAlignment="1" applyBorder="1" applyFont="1">
      <alignment horizontal="center" shrinkToFit="0" vertical="center" wrapText="1"/>
    </xf>
    <xf borderId="35" fillId="0" fontId="13" numFmtId="164" xfId="0" applyAlignment="1" applyBorder="1" applyFont="1" applyNumberFormat="1">
      <alignment vertical="center"/>
    </xf>
    <xf borderId="20" fillId="0" fontId="13" numFmtId="164" xfId="0" applyAlignment="1" applyBorder="1" applyFont="1" applyNumberFormat="1">
      <alignment horizontal="right" vertical="center"/>
    </xf>
    <xf borderId="21" fillId="0" fontId="13" numFmtId="164" xfId="0" applyAlignment="1" applyBorder="1" applyFont="1" applyNumberFormat="1">
      <alignment horizontal="right" vertical="center"/>
    </xf>
    <xf borderId="21" fillId="0" fontId="13" numFmtId="14" xfId="0" applyAlignment="1" applyBorder="1" applyFont="1" applyNumberFormat="1">
      <alignment horizontal="center" vertical="center"/>
    </xf>
    <xf borderId="22" fillId="5" fontId="16" numFmtId="0" xfId="0" applyAlignment="1" applyBorder="1" applyFont="1">
      <alignment horizontal="right" readingOrder="0" vertical="center"/>
    </xf>
    <xf borderId="45" fillId="8" fontId="85" numFmtId="0" xfId="0" applyAlignment="1" applyBorder="1" applyFont="1">
      <alignment horizontal="center" vertical="bottom"/>
    </xf>
    <xf borderId="47" fillId="0" fontId="13" numFmtId="0" xfId="0" applyAlignment="1" applyBorder="1" applyFont="1">
      <alignment horizontal="center" vertical="bottom"/>
    </xf>
    <xf borderId="33" fillId="0" fontId="13" numFmtId="0" xfId="0" applyAlignment="1" applyBorder="1" applyFont="1">
      <alignment horizontal="center" vertical="bottom"/>
    </xf>
    <xf borderId="33" fillId="0" fontId="13" numFmtId="0" xfId="0" applyAlignment="1" applyBorder="1" applyFont="1">
      <alignment horizontal="center" shrinkToFit="0" vertical="bottom" wrapText="1"/>
    </xf>
    <xf borderId="16" fillId="0" fontId="13" numFmtId="164" xfId="0" applyAlignment="1" applyBorder="1" applyFont="1" applyNumberFormat="1">
      <alignment horizontal="right" vertical="bottom"/>
    </xf>
    <xf borderId="17" fillId="7" fontId="13" numFmtId="164" xfId="0" applyAlignment="1" applyBorder="1" applyFont="1" applyNumberFormat="1">
      <alignment horizontal="right" vertical="bottom"/>
    </xf>
    <xf borderId="17" fillId="0" fontId="13" numFmtId="14" xfId="0" applyAlignment="1" applyBorder="1" applyFont="1" applyNumberFormat="1">
      <alignment horizontal="center" vertical="bottom"/>
    </xf>
    <xf borderId="33" fillId="8" fontId="85" numFmtId="0" xfId="0" applyAlignment="1" applyBorder="1" applyFont="1">
      <alignment horizontal="center" vertical="bottom"/>
    </xf>
    <xf borderId="33" fillId="0" fontId="13" numFmtId="14" xfId="0" applyAlignment="1" applyBorder="1" applyFont="1" applyNumberFormat="1">
      <alignment horizontal="center" vertical="bottom"/>
    </xf>
    <xf borderId="45" fillId="8" fontId="85" numFmtId="0" xfId="0" applyAlignment="1" applyBorder="1" applyFont="1">
      <alignment horizontal="center"/>
    </xf>
    <xf borderId="47" fillId="0" fontId="13" numFmtId="0" xfId="0" applyAlignment="1" applyBorder="1" applyFont="1">
      <alignment horizontal="center"/>
    </xf>
    <xf borderId="33" fillId="0" fontId="13" numFmtId="0" xfId="0" applyAlignment="1" applyBorder="1" applyFont="1">
      <alignment horizontal="center"/>
    </xf>
    <xf borderId="33" fillId="0" fontId="13" numFmtId="0" xfId="0" applyAlignment="1" applyBorder="1" applyFont="1">
      <alignment horizontal="center" shrinkToFit="0" wrapText="1"/>
    </xf>
    <xf borderId="33" fillId="0" fontId="13" numFmtId="164" xfId="0" applyAlignment="1" applyBorder="1" applyFont="1" applyNumberFormat="1">
      <alignment horizontal="right" readingOrder="0"/>
    </xf>
    <xf borderId="16" fillId="0" fontId="13" numFmtId="164" xfId="0" applyAlignment="1" applyBorder="1" applyFont="1" applyNumberFormat="1">
      <alignment horizontal="right"/>
    </xf>
    <xf borderId="17" fillId="7" fontId="13" numFmtId="164" xfId="0" applyAlignment="1" applyBorder="1" applyFont="1" applyNumberFormat="1">
      <alignment horizontal="right"/>
    </xf>
    <xf borderId="17" fillId="0" fontId="13" numFmtId="14" xfId="0" applyAlignment="1" applyBorder="1" applyFont="1" applyNumberFormat="1">
      <alignment horizontal="center"/>
    </xf>
    <xf borderId="49" fillId="0" fontId="3" numFmtId="4" xfId="0" applyBorder="1" applyFont="1" applyNumberFormat="1"/>
    <xf borderId="45" fillId="8" fontId="85" numFmtId="0" xfId="0" applyAlignment="1" applyBorder="1" applyFont="1">
      <alignment horizontal="center" vertical="bottom"/>
    </xf>
    <xf borderId="47" fillId="0" fontId="13" numFmtId="0" xfId="0" applyAlignment="1" applyBorder="1" applyFont="1">
      <alignment horizontal="center" vertical="bottom"/>
    </xf>
    <xf borderId="49" fillId="0" fontId="3" numFmtId="4" xfId="0" applyAlignment="1" applyBorder="1" applyFont="1" applyNumberFormat="1">
      <alignment vertical="bottom"/>
    </xf>
    <xf borderId="33" fillId="0" fontId="13" numFmtId="0" xfId="0" applyAlignment="1" applyBorder="1" applyFont="1">
      <alignment horizontal="center" readingOrder="0" shrinkToFit="0" vertical="bottom" wrapText="1"/>
    </xf>
    <xf borderId="17" fillId="0" fontId="13" numFmtId="14" xfId="0" applyAlignment="1" applyBorder="1" applyFont="1" applyNumberFormat="1">
      <alignment horizontal="center" readingOrder="0" vertical="bottom"/>
    </xf>
    <xf borderId="45" fillId="0" fontId="13" numFmtId="0" xfId="0" applyAlignment="1" applyBorder="1" applyFont="1">
      <alignment horizontal="center" vertical="center"/>
    </xf>
    <xf borderId="47" fillId="0" fontId="13" numFmtId="0" xfId="0" applyAlignment="1" applyBorder="1" applyFont="1">
      <alignment horizontal="center" vertical="center"/>
    </xf>
    <xf borderId="33" fillId="0" fontId="13" numFmtId="0" xfId="0" applyAlignment="1" applyBorder="1" applyFont="1">
      <alignment horizontal="center" shrinkToFit="0" vertical="center" wrapText="1"/>
    </xf>
    <xf borderId="33" fillId="0" fontId="13" numFmtId="164" xfId="0" applyAlignment="1" applyBorder="1" applyFont="1" applyNumberFormat="1">
      <alignment vertical="center"/>
    </xf>
    <xf borderId="16" fillId="0" fontId="13" numFmtId="164" xfId="0" applyAlignment="1" applyBorder="1" applyFont="1" applyNumberFormat="1">
      <alignment horizontal="right" vertical="center"/>
    </xf>
    <xf borderId="17" fillId="0" fontId="13" numFmtId="164" xfId="0" applyAlignment="1" applyBorder="1" applyFont="1" applyNumberFormat="1">
      <alignment horizontal="right" vertical="center"/>
    </xf>
    <xf borderId="17" fillId="0" fontId="13" numFmtId="14" xfId="0" applyAlignment="1" applyBorder="1" applyFont="1" applyNumberFormat="1">
      <alignment horizontal="center" vertical="center"/>
    </xf>
    <xf borderId="60" fillId="2" fontId="9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46" fillId="0" fontId="13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readingOrder="0" shrinkToFit="0" vertical="center" wrapText="1"/>
    </xf>
    <xf borderId="14" fillId="0" fontId="13" numFmtId="3" xfId="0" applyAlignment="1" applyBorder="1" applyFont="1" applyNumberFormat="1">
      <alignment horizontal="center" readingOrder="0" vertical="center"/>
    </xf>
    <xf borderId="14" fillId="0" fontId="13" numFmtId="164" xfId="0" applyAlignment="1" applyBorder="1" applyFont="1" applyNumberFormat="1">
      <alignment horizontal="right" vertical="center"/>
    </xf>
    <xf borderId="2" fillId="0" fontId="13" numFmtId="0" xfId="0" applyAlignment="1" applyBorder="1" applyFont="1">
      <alignment horizontal="center" readingOrder="0" vertical="center"/>
    </xf>
    <xf borderId="33" fillId="0" fontId="13" numFmtId="3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vertical="center"/>
    </xf>
    <xf borderId="45" fillId="0" fontId="93" numFmtId="0" xfId="0" applyAlignment="1" applyBorder="1" applyFont="1">
      <alignment horizontal="center" readingOrder="0" vertical="center"/>
    </xf>
    <xf borderId="47" fillId="0" fontId="93" numFmtId="0" xfId="0" applyAlignment="1" applyBorder="1" applyFont="1">
      <alignment horizontal="center" readingOrder="0" vertical="center"/>
    </xf>
    <xf borderId="33" fillId="0" fontId="93" numFmtId="0" xfId="0" applyAlignment="1" applyBorder="1" applyFont="1">
      <alignment horizontal="center" vertical="center"/>
    </xf>
    <xf borderId="33" fillId="0" fontId="93" numFmtId="0" xfId="0" applyAlignment="1" applyBorder="1" applyFont="1">
      <alignment horizontal="center" readingOrder="0" vertical="center"/>
    </xf>
    <xf borderId="33" fillId="0" fontId="93" numFmtId="0" xfId="0" applyAlignment="1" applyBorder="1" applyFont="1">
      <alignment horizontal="center" readingOrder="0" shrinkToFit="0" vertical="center" wrapText="1"/>
    </xf>
    <xf borderId="33" fillId="0" fontId="93" numFmtId="164" xfId="0" applyAlignment="1" applyBorder="1" applyFont="1" applyNumberFormat="1">
      <alignment readingOrder="0" vertical="center"/>
    </xf>
    <xf borderId="33" fillId="0" fontId="93" numFmtId="3" xfId="0" applyAlignment="1" applyBorder="1" applyFont="1" applyNumberFormat="1">
      <alignment horizontal="center" readingOrder="0" vertical="center"/>
    </xf>
    <xf borderId="33" fillId="0" fontId="93" numFmtId="164" xfId="0" applyAlignment="1" applyBorder="1" applyFont="1" applyNumberFormat="1">
      <alignment vertical="center"/>
    </xf>
    <xf borderId="16" fillId="0" fontId="93" numFmtId="164" xfId="0" applyAlignment="1" applyBorder="1" applyFont="1" applyNumberFormat="1">
      <alignment horizontal="right" vertical="center"/>
    </xf>
    <xf borderId="17" fillId="7" fontId="93" numFmtId="164" xfId="0" applyAlignment="1" applyBorder="1" applyFont="1" applyNumberFormat="1">
      <alignment horizontal="right" vertical="center"/>
    </xf>
    <xf borderId="17" fillId="0" fontId="93" numFmtId="0" xfId="0" applyAlignment="1" applyBorder="1" applyFont="1">
      <alignment horizontal="center" readingOrder="0" vertical="center"/>
    </xf>
    <xf borderId="49" fillId="0" fontId="93" numFmtId="4" xfId="0" applyAlignment="1" applyBorder="1" applyFont="1" applyNumberFormat="1">
      <alignment shrinkToFit="0" vertical="center" wrapText="1"/>
    </xf>
    <xf borderId="0" fillId="0" fontId="93" numFmtId="4" xfId="0" applyAlignment="1" applyFont="1" applyNumberFormat="1">
      <alignment shrinkToFit="0" vertical="center" wrapText="1"/>
    </xf>
    <xf borderId="0" fillId="0" fontId="93" numFmtId="4" xfId="0" applyAlignment="1" applyFont="1" applyNumberFormat="1">
      <alignment vertical="center"/>
    </xf>
    <xf borderId="0" fillId="0" fontId="93" numFmtId="0" xfId="0" applyAlignment="1" applyFont="1">
      <alignment vertical="center"/>
    </xf>
    <xf borderId="0" fillId="0" fontId="93" numFmtId="0" xfId="0" applyFont="1"/>
    <xf borderId="17" fillId="0" fontId="93" numFmtId="14" xfId="0" applyAlignment="1" applyBorder="1" applyFont="1" applyNumberFormat="1">
      <alignment horizontal="center" readingOrder="0" vertical="center"/>
    </xf>
    <xf borderId="17" fillId="0" fontId="13" numFmtId="169" xfId="0" applyAlignment="1" applyBorder="1" applyFont="1" applyNumberFormat="1">
      <alignment horizontal="center" readingOrder="0" vertical="center"/>
    </xf>
    <xf borderId="33" fillId="11" fontId="93" numFmtId="0" xfId="0" applyAlignment="1" applyBorder="1" applyFont="1">
      <alignment horizontal="center" readingOrder="0" shrinkToFit="0" vertical="center" wrapText="1"/>
    </xf>
    <xf borderId="33" fillId="0" fontId="94" numFmtId="0" xfId="0" applyBorder="1" applyFont="1"/>
    <xf borderId="54" fillId="0" fontId="13" numFmtId="0" xfId="0" applyAlignment="1" applyBorder="1" applyFont="1">
      <alignment horizontal="center" readingOrder="0" shrinkToFit="0" vertical="center" wrapText="1"/>
    </xf>
    <xf borderId="54" fillId="0" fontId="13" numFmtId="164" xfId="0" applyAlignment="1" applyBorder="1" applyFont="1" applyNumberFormat="1">
      <alignment readingOrder="0" vertical="center"/>
    </xf>
    <xf borderId="54" fillId="0" fontId="13" numFmtId="3" xfId="0" applyAlignment="1" applyBorder="1" applyFont="1" applyNumberFormat="1">
      <alignment horizontal="center" readingOrder="0" vertical="center"/>
    </xf>
    <xf borderId="17" fillId="0" fontId="13" numFmtId="166" xfId="0" applyAlignment="1" applyBorder="1" applyFont="1" applyNumberFormat="1">
      <alignment horizontal="center" readingOrder="0" vertical="center"/>
    </xf>
    <xf borderId="54" fillId="0" fontId="93" numFmtId="0" xfId="0" applyAlignment="1" applyBorder="1" applyFont="1">
      <alignment horizontal="center" readingOrder="0" shrinkToFit="0" vertical="center" wrapText="1"/>
    </xf>
    <xf borderId="54" fillId="0" fontId="93" numFmtId="164" xfId="0" applyAlignment="1" applyBorder="1" applyFont="1" applyNumberFormat="1">
      <alignment readingOrder="0" vertical="center"/>
    </xf>
    <xf borderId="54" fillId="0" fontId="93" numFmtId="3" xfId="0" applyAlignment="1" applyBorder="1" applyFont="1" applyNumberFormat="1">
      <alignment horizontal="center" readingOrder="0" vertical="center"/>
    </xf>
    <xf borderId="17" fillId="0" fontId="93" numFmtId="166" xfId="0" applyAlignment="1" applyBorder="1" applyFont="1" applyNumberFormat="1">
      <alignment horizontal="center" readingOrder="0" vertical="center"/>
    </xf>
    <xf borderId="54" fillId="0" fontId="93" numFmtId="0" xfId="0" applyAlignment="1" applyBorder="1" applyFont="1">
      <alignment horizontal="center" readingOrder="0" vertical="center"/>
    </xf>
    <xf borderId="54" fillId="0" fontId="95" numFmtId="0" xfId="0" applyAlignment="1" applyBorder="1" applyFont="1">
      <alignment horizontal="center" vertical="center"/>
    </xf>
    <xf borderId="35" fillId="0" fontId="13" numFmtId="0" xfId="0" applyAlignment="1" applyBorder="1" applyFont="1">
      <alignment horizontal="center" readingOrder="0" shrinkToFit="0" vertical="center" wrapText="1"/>
    </xf>
    <xf borderId="35" fillId="0" fontId="13" numFmtId="164" xfId="0" applyAlignment="1" applyBorder="1" applyFont="1" applyNumberFormat="1">
      <alignment readingOrder="0" vertical="center"/>
    </xf>
    <xf borderId="35" fillId="0" fontId="13" numFmtId="3" xfId="0" applyAlignment="1" applyBorder="1" applyFont="1" applyNumberFormat="1">
      <alignment horizontal="center" readingOrder="0" vertical="center"/>
    </xf>
    <xf borderId="21" fillId="7" fontId="13" numFmtId="164" xfId="0" applyAlignment="1" applyBorder="1" applyFont="1" applyNumberFormat="1">
      <alignment horizontal="right" vertical="center"/>
    </xf>
    <xf borderId="37" fillId="5" fontId="16" numFmtId="164" xfId="0" applyAlignment="1" applyBorder="1" applyFont="1" applyNumberFormat="1">
      <alignment horizontal="center" vertical="center"/>
    </xf>
    <xf borderId="55" fillId="0" fontId="10" numFmtId="0" xfId="0" applyBorder="1" applyFont="1"/>
    <xf borderId="60" fillId="2" fontId="18" numFmtId="0" xfId="0" applyAlignment="1" applyBorder="1" applyFont="1">
      <alignment horizontal="center" vertical="center"/>
    </xf>
    <xf borderId="3" fillId="14" fontId="17" numFmtId="0" xfId="0" applyAlignment="1" applyBorder="1" applyFill="1" applyFont="1">
      <alignment horizontal="center" readingOrder="0" vertical="center"/>
    </xf>
    <xf borderId="0" fillId="14" fontId="96" numFmtId="0" xfId="0" applyAlignment="1" applyFont="1">
      <alignment horizontal="center"/>
    </xf>
    <xf borderId="33" fillId="4" fontId="17" numFmtId="164" xfId="0" applyAlignment="1" applyBorder="1" applyFont="1" applyNumberFormat="1">
      <alignment readingOrder="0" vertical="center"/>
    </xf>
    <xf borderId="16" fillId="4" fontId="17" numFmtId="164" xfId="0" applyAlignment="1" applyBorder="1" applyFont="1" applyNumberFormat="1">
      <alignment horizontal="right" readingOrder="0" vertical="center"/>
    </xf>
    <xf borderId="17" fillId="7" fontId="17" numFmtId="164" xfId="0" applyAlignment="1" applyBorder="1" applyFont="1" applyNumberFormat="1">
      <alignment horizontal="right" vertical="center"/>
    </xf>
    <xf borderId="0" fillId="14" fontId="16" numFmtId="0" xfId="0" applyAlignment="1" applyFont="1">
      <alignment horizontal="left" readingOrder="0" vertical="center"/>
    </xf>
    <xf borderId="3" fillId="0" fontId="17" numFmtId="0" xfId="0" applyAlignment="1" applyBorder="1" applyFont="1">
      <alignment horizontal="center" readingOrder="0" vertical="center"/>
    </xf>
    <xf borderId="17" fillId="4" fontId="17" numFmtId="164" xfId="0" applyAlignment="1" applyBorder="1" applyFont="1" applyNumberFormat="1">
      <alignment horizontal="right" vertical="center"/>
    </xf>
    <xf borderId="0" fillId="13" fontId="17" numFmtId="4" xfId="0" applyAlignment="1" applyFont="1" applyNumberFormat="1">
      <alignment readingOrder="0" shrinkToFit="0" vertical="center" wrapText="1"/>
    </xf>
    <xf borderId="33" fillId="12" fontId="17" numFmtId="164" xfId="0" applyAlignment="1" applyBorder="1" applyFont="1" applyNumberFormat="1">
      <alignment readingOrder="0" vertical="center"/>
    </xf>
    <xf borderId="3" fillId="4" fontId="17" numFmtId="0" xfId="0" applyAlignment="1" applyBorder="1" applyFont="1">
      <alignment horizontal="center" readingOrder="0" vertical="center"/>
    </xf>
    <xf borderId="33" fillId="4" fontId="17" numFmtId="0" xfId="0" applyAlignment="1" applyBorder="1" applyFont="1">
      <alignment horizontal="center" readingOrder="0" shrinkToFit="0" vertical="center" wrapText="1"/>
    </xf>
    <xf borderId="16" fillId="4" fontId="17" numFmtId="164" xfId="0" applyAlignment="1" applyBorder="1" applyFont="1" applyNumberFormat="1">
      <alignment horizontal="right" vertical="center"/>
    </xf>
    <xf borderId="33" fillId="14" fontId="17" numFmtId="0" xfId="0" applyAlignment="1" applyBorder="1" applyFont="1">
      <alignment horizontal="center" readingOrder="0" shrinkToFit="0" vertical="center" wrapText="1"/>
    </xf>
    <xf borderId="33" fillId="11" fontId="17" numFmtId="164" xfId="0" applyAlignment="1" applyBorder="1" applyFont="1" applyNumberFormat="1">
      <alignment readingOrder="0" vertical="center"/>
    </xf>
    <xf borderId="17" fillId="0" fontId="17" numFmtId="164" xfId="0" applyAlignment="1" applyBorder="1" applyFont="1" applyNumberFormat="1">
      <alignment horizontal="right" vertical="center"/>
    </xf>
    <xf borderId="3" fillId="11" fontId="17" numFmtId="0" xfId="0" applyAlignment="1" applyBorder="1" applyFont="1">
      <alignment horizontal="center" readingOrder="0" vertical="center"/>
    </xf>
    <xf borderId="33" fillId="11" fontId="17" numFmtId="0" xfId="0" applyAlignment="1" applyBorder="1" applyFont="1">
      <alignment horizontal="center" readingOrder="0" shrinkToFit="0" vertical="center" wrapText="1"/>
    </xf>
    <xf borderId="33" fillId="11" fontId="44" numFmtId="164" xfId="0" applyAlignment="1" applyBorder="1" applyFont="1" applyNumberFormat="1">
      <alignment readingOrder="0" vertical="center"/>
    </xf>
    <xf borderId="16" fillId="11" fontId="17" numFmtId="164" xfId="0" applyAlignment="1" applyBorder="1" applyFont="1" applyNumberFormat="1">
      <alignment horizontal="right" vertical="center"/>
    </xf>
    <xf borderId="17" fillId="11" fontId="17" numFmtId="164" xfId="0" applyAlignment="1" applyBorder="1" applyFont="1" applyNumberFormat="1">
      <alignment horizontal="right" vertical="center"/>
    </xf>
    <xf borderId="33" fillId="10" fontId="17" numFmtId="0" xfId="0" applyAlignment="1" applyBorder="1" applyFont="1">
      <alignment horizontal="center" readingOrder="0" shrinkToFit="0" vertical="center" wrapText="1"/>
    </xf>
    <xf borderId="0" fillId="13" fontId="97" numFmtId="0" xfId="0" applyAlignment="1" applyFont="1">
      <alignment horizontal="left" readingOrder="0" vertical="center"/>
    </xf>
    <xf borderId="3" fillId="0" fontId="17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horizontal="center" readingOrder="0" vertical="center"/>
    </xf>
    <xf borderId="33" fillId="0" fontId="17" numFmtId="0" xfId="0" applyAlignment="1" applyBorder="1" applyFont="1">
      <alignment horizontal="center" readingOrder="0" shrinkToFit="0" vertical="center" wrapText="1"/>
    </xf>
    <xf borderId="0" fillId="4" fontId="16" numFmtId="0" xfId="0" applyAlignment="1" applyFont="1">
      <alignment horizontal="left" readingOrder="0" vertical="center"/>
    </xf>
    <xf borderId="0" fillId="11" fontId="16" numFmtId="0" xfId="0" applyAlignment="1" applyFont="1">
      <alignment horizontal="left" readingOrder="0" vertical="center"/>
    </xf>
    <xf borderId="0" fillId="4" fontId="16" numFmtId="0" xfId="0" applyAlignment="1" applyFont="1">
      <alignment horizontal="right" vertical="center"/>
    </xf>
    <xf borderId="0" fillId="4" fontId="16" numFmtId="164" xfId="0" applyAlignment="1" applyFont="1" applyNumberFormat="1">
      <alignment horizontal="center" vertical="center"/>
    </xf>
    <xf borderId="0" fillId="4" fontId="17" numFmtId="0" xfId="0" applyFont="1"/>
    <xf borderId="3" fillId="4" fontId="17" numFmtId="0" xfId="0" applyAlignment="1" applyBorder="1" applyFont="1">
      <alignment horizontal="center" vertical="center"/>
    </xf>
    <xf borderId="33" fillId="4" fontId="17" numFmtId="0" xfId="0" applyAlignment="1" applyBorder="1" applyFont="1">
      <alignment horizontal="center" shrinkToFit="0" vertical="center" wrapText="1"/>
    </xf>
    <xf borderId="33" fillId="4" fontId="17" numFmtId="164" xfId="0" applyAlignment="1" applyBorder="1" applyFont="1" applyNumberFormat="1">
      <alignment vertical="center"/>
    </xf>
    <xf borderId="3" fillId="4" fontId="44" numFmtId="0" xfId="0" applyAlignment="1" applyBorder="1" applyFont="1">
      <alignment horizontal="center" readingOrder="0" vertical="center"/>
    </xf>
    <xf borderId="33" fillId="4" fontId="44" numFmtId="0" xfId="0" applyAlignment="1" applyBorder="1" applyFont="1">
      <alignment horizontal="center" readingOrder="0" shrinkToFit="0" vertical="center" wrapText="1"/>
    </xf>
    <xf borderId="33" fillId="4" fontId="44" numFmtId="164" xfId="0" applyAlignment="1" applyBorder="1" applyFont="1" applyNumberFormat="1">
      <alignment readingOrder="0" vertical="center"/>
    </xf>
    <xf borderId="16" fillId="4" fontId="44" numFmtId="164" xfId="0" applyAlignment="1" applyBorder="1" applyFont="1" applyNumberFormat="1">
      <alignment horizontal="right" vertical="center"/>
    </xf>
    <xf borderId="17" fillId="4" fontId="44" numFmtId="164" xfId="0" applyAlignment="1" applyBorder="1" applyFont="1" applyNumberFormat="1">
      <alignment horizontal="right" vertical="center"/>
    </xf>
    <xf borderId="3" fillId="15" fontId="44" numFmtId="0" xfId="0" applyAlignment="1" applyBorder="1" applyFill="1" applyFont="1">
      <alignment horizontal="center" readingOrder="0" vertical="center"/>
    </xf>
    <xf borderId="33" fillId="15" fontId="44" numFmtId="0" xfId="0" applyAlignment="1" applyBorder="1" applyFont="1">
      <alignment horizontal="center" readingOrder="0" shrinkToFit="0" vertical="center" wrapText="1"/>
    </xf>
    <xf borderId="33" fillId="15" fontId="44" numFmtId="164" xfId="0" applyAlignment="1" applyBorder="1" applyFont="1" applyNumberFormat="1">
      <alignment readingOrder="0" vertical="center"/>
    </xf>
    <xf borderId="16" fillId="15" fontId="44" numFmtId="164" xfId="0" applyAlignment="1" applyBorder="1" applyFont="1" applyNumberFormat="1">
      <alignment horizontal="right" vertical="center"/>
    </xf>
    <xf borderId="17" fillId="15" fontId="44" numFmtId="164" xfId="0" applyAlignment="1" applyBorder="1" applyFont="1" applyNumberFormat="1">
      <alignment horizontal="right" vertical="center"/>
    </xf>
    <xf borderId="49" fillId="15" fontId="44" numFmtId="4" xfId="0" applyAlignment="1" applyBorder="1" applyFont="1" applyNumberFormat="1">
      <alignment readingOrder="0" shrinkToFit="0" vertical="center" wrapText="1"/>
    </xf>
    <xf borderId="3" fillId="0" fontId="44" numFmtId="0" xfId="0" applyAlignment="1" applyBorder="1" applyFont="1">
      <alignment horizontal="center" readingOrder="0" vertical="center"/>
    </xf>
    <xf borderId="33" fillId="0" fontId="44" numFmtId="0" xfId="0" applyAlignment="1" applyBorder="1" applyFont="1">
      <alignment horizontal="center" readingOrder="0" shrinkToFit="0" vertical="center" wrapText="1"/>
    </xf>
    <xf borderId="33" fillId="0" fontId="44" numFmtId="164" xfId="0" applyAlignment="1" applyBorder="1" applyFont="1" applyNumberFormat="1">
      <alignment readingOrder="0" vertical="center"/>
    </xf>
    <xf borderId="16" fillId="0" fontId="44" numFmtId="164" xfId="0" applyAlignment="1" applyBorder="1" applyFont="1" applyNumberFormat="1">
      <alignment horizontal="right" readingOrder="0" vertical="center"/>
    </xf>
    <xf borderId="16" fillId="0" fontId="44" numFmtId="164" xfId="0" applyAlignment="1" applyBorder="1" applyFont="1" applyNumberFormat="1">
      <alignment horizontal="right" vertical="center"/>
    </xf>
    <xf borderId="0" fillId="11" fontId="17" numFmtId="4" xfId="0" applyAlignment="1" applyFont="1" applyNumberFormat="1">
      <alignment readingOrder="0" shrinkToFit="0" vertical="center" wrapText="1"/>
    </xf>
    <xf borderId="57" fillId="0" fontId="16" numFmtId="0" xfId="0" applyAlignment="1" applyBorder="1" applyFont="1">
      <alignment horizontal="right" vertical="center"/>
    </xf>
    <xf borderId="30" fillId="0" fontId="16" numFmtId="0" xfId="0" applyAlignment="1" applyBorder="1" applyFont="1">
      <alignment horizontal="right" vertical="center"/>
    </xf>
    <xf borderId="63" fillId="0" fontId="16" numFmtId="0" xfId="0" applyAlignment="1" applyBorder="1" applyFont="1">
      <alignment horizontal="right" vertical="center"/>
    </xf>
    <xf borderId="64" fillId="5" fontId="16" numFmtId="0" xfId="0" applyAlignment="1" applyBorder="1" applyFont="1">
      <alignment horizontal="right" vertical="center"/>
    </xf>
    <xf borderId="58" fillId="0" fontId="10" numFmtId="0" xfId="0" applyBorder="1" applyFont="1"/>
    <xf borderId="20" fillId="5" fontId="1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theme="0"/>
      </font>
      <fill>
        <patternFill patternType="solid">
          <fgColor rgb="FF00B0F0"/>
          <bgColor rgb="FF00B0F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PROVISIONES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282828"/>
                </a:solidFill>
                <a:latin typeface="Arial"/>
              </a:defRPr>
            </a:pPr>
            <a:r>
              <a:rPr b="1" i="0" sz="2400">
                <a:solidFill>
                  <a:srgbClr val="282828"/>
                </a:solidFill>
                <a:latin typeface="Arial"/>
              </a:rPr>
              <a:t>RESUMEN EGRESOS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'RESUMEN CIERRE INTERNO'!$E$21</c:f>
            </c:strRef>
          </c:tx>
          <c:spPr>
            <a:solidFill>
              <a:srgbClr val="28282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 CIERRE INTERNO'!$A$22:$A$27</c:f>
            </c:strRef>
          </c:cat>
          <c:val>
            <c:numRef>
              <c:f>'RESUMEN CIERRE INTERNO'!$E$22:$E$27</c:f>
              <c:numCache/>
            </c:numRef>
          </c:val>
        </c:ser>
        <c:axId val="115067516"/>
        <c:axId val="1907088616"/>
      </c:bar3DChart>
      <c:catAx>
        <c:axId val="115067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1907088616"/>
      </c:catAx>
      <c:valAx>
        <c:axId val="1907088616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B7B7B7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5067516"/>
      </c:valAx>
    </c:plotArea>
    <c:plotVisOnly val="1"/>
  </c:chart>
  <c:spPr>
    <a:solidFill>
      <a:srgbClr val="74F1C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82828"/>
                </a:solidFill>
                <a:latin typeface="+mn-lt"/>
              </a:defRPr>
            </a:pPr>
            <a:r>
              <a:rPr b="1" i="0">
                <a:solidFill>
                  <a:srgbClr val="282828"/>
                </a:solidFill>
                <a:latin typeface="+mn-lt"/>
              </a:rPr>
              <a:t>RESUMEN UTILIDAD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25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'RESUMEN CIERRE INTERNO'!$A$33:$A$35</c:f>
            </c:strRef>
          </c:cat>
          <c:val>
            <c:numRef>
              <c:f>'RESUMEN CIERRE INTERNO'!$B$33:$B$35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74F1C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18</xdr:row>
      <xdr:rowOff>304800</xdr:rowOff>
    </xdr:from>
    <xdr:ext cx="7439025" cy="2895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190500</xdr:colOff>
      <xdr:row>28</xdr:row>
      <xdr:rowOff>323850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114300</xdr:colOff>
      <xdr:row>0</xdr:row>
      <xdr:rowOff>95250</xdr:rowOff>
    </xdr:from>
    <xdr:ext cx="3886200" cy="203835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95250</xdr:rowOff>
    </xdr:from>
    <xdr:ext cx="1457325" cy="838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95250</xdr:rowOff>
    </xdr:from>
    <xdr:ext cx="1457325" cy="838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47625</xdr:rowOff>
    </xdr:from>
    <xdr:ext cx="1457325" cy="838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57150</xdr:rowOff>
    </xdr:from>
    <xdr:ext cx="1457325" cy="838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2</xdr:row>
      <xdr:rowOff>28575</xdr:rowOff>
    </xdr:from>
    <xdr:ext cx="1457325" cy="838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26:B51" displayName="Table_1" name="Table_1" id="1">
  <tableColumns count="2">
    <tableColumn name="Column1" id="1"/>
    <tableColumn name="Column2" id="2"/>
  </tableColumns>
  <tableStyleInfo name="PROVIS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Fyk2hMZ-7mQNAk1GAhYaKaL-soO1XfC/view?usp=drive_link" TargetMode="External"/><Relationship Id="rId2" Type="http://schemas.openxmlformats.org/officeDocument/2006/relationships/hyperlink" Target="https://drive.google.com/file/d/1WRl4i4BrnpzBz9Yp9QQpSNtuhsPh7Alk/view?usp=drive_link" TargetMode="External"/><Relationship Id="rId3" Type="http://schemas.openxmlformats.org/officeDocument/2006/relationships/hyperlink" Target="https://drive.google.com/file/d/10JOmGDAJZuuUtCbgdqLahCBPMlLN-64z/view?usp=drive_li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CtMESkga5KugPPeI46-XArSxoJgHHny9/view?usp=drive_link" TargetMode="External"/><Relationship Id="rId42" Type="http://schemas.openxmlformats.org/officeDocument/2006/relationships/hyperlink" Target="https://drive.google.com/file/d/1QVwzt6UG-Zu7t4u0ySlzcXBB2NNOoDoj/view?usp=drive_link" TargetMode="External"/><Relationship Id="rId41" Type="http://schemas.openxmlformats.org/officeDocument/2006/relationships/hyperlink" Target="https://drive.google.com/file/d/12SwACCbDLqr89sDhe530bPu6XVk1ZxEz/view?usp=drive_link" TargetMode="External"/><Relationship Id="rId44" Type="http://schemas.openxmlformats.org/officeDocument/2006/relationships/hyperlink" Target="https://drive.google.com/file/d/1xPbcW32lnvCi02_afPo-qsVVBVjS2Z1U/view?usp=drive_link" TargetMode="External"/><Relationship Id="rId43" Type="http://schemas.openxmlformats.org/officeDocument/2006/relationships/hyperlink" Target="https://drive.google.com/file/d/1UE411rtx2IkJCrh7Po85H52a9W4truTz/view?usp=drive_link" TargetMode="External"/><Relationship Id="rId46" Type="http://schemas.openxmlformats.org/officeDocument/2006/relationships/hyperlink" Target="https://drive.google.com/file/d/1QzR2-WIVYwWixPZy4UyyoxLqPY7cNohK/view?usp=drive_link" TargetMode="External"/><Relationship Id="rId45" Type="http://schemas.openxmlformats.org/officeDocument/2006/relationships/hyperlink" Target="https://drive.google.com/file/d/1UE411rtx2IkJCrh7Po85H52a9W4truTz/view?usp=drive_link" TargetMode="External"/><Relationship Id="rId107" Type="http://schemas.openxmlformats.org/officeDocument/2006/relationships/hyperlink" Target="https://drive.google.com/file/d/13UvEier4Uxzfp9UjLPN_7oGJLVNR--KC/view?usp=drive_link" TargetMode="External"/><Relationship Id="rId106" Type="http://schemas.openxmlformats.org/officeDocument/2006/relationships/hyperlink" Target="https://drive.google.com/file/d/16ojTq5NUQLfxaTqSwlmhi893d43Mq8ZM/view?usp=drive_link" TargetMode="External"/><Relationship Id="rId105" Type="http://schemas.openxmlformats.org/officeDocument/2006/relationships/hyperlink" Target="https://drive.google.com/file/d/1RGH_ztBQeN2cjzTuB5k2Co_MjF6EeuKE/view?usp=drive_link" TargetMode="External"/><Relationship Id="rId104" Type="http://schemas.openxmlformats.org/officeDocument/2006/relationships/hyperlink" Target="https://drive.google.com/file/d/1-DPExZXeA4A84EojNyWpOFBoYu3LlUDm/view?usp=drive_link" TargetMode="External"/><Relationship Id="rId109" Type="http://schemas.openxmlformats.org/officeDocument/2006/relationships/hyperlink" Target="https://drive.google.com/file/d/13PggU7tIpRientLfuNeR03y4sf8f3Z8B/view?usp=drive_link" TargetMode="External"/><Relationship Id="rId108" Type="http://schemas.openxmlformats.org/officeDocument/2006/relationships/hyperlink" Target="https://drive.google.com/file/d/1_UAein91xugL6vZi_yVBHQZ5SSLiHMYA/view?usp=drive_link" TargetMode="External"/><Relationship Id="rId48" Type="http://schemas.openxmlformats.org/officeDocument/2006/relationships/hyperlink" Target="https://drive.google.com/file/d/12W6TWTrjiUkPg07EAEfRHI7QAuYjCypX/view?usp=drive_link" TargetMode="External"/><Relationship Id="rId187" Type="http://schemas.openxmlformats.org/officeDocument/2006/relationships/drawing" Target="../drawings/drawing2.xml"/><Relationship Id="rId47" Type="http://schemas.openxmlformats.org/officeDocument/2006/relationships/hyperlink" Target="https://drive.google.com/file/d/13ogRtyTlhmtJBX6stB3NdlnVjfiwahfk/view?usp=drive_link" TargetMode="External"/><Relationship Id="rId186" Type="http://schemas.openxmlformats.org/officeDocument/2006/relationships/hyperlink" Target="https://drive.google.com/file/d/1nWDQH9suWfnaHzbp_ELfYNKKik8fiMwb/view?usp=drive_link" TargetMode="External"/><Relationship Id="rId185" Type="http://schemas.openxmlformats.org/officeDocument/2006/relationships/hyperlink" Target="https://drive.google.com/file/d/1g1sUAqJZoK5WptsL23uT1I3a7_oQ1yxu/view?usp=drive_link" TargetMode="External"/><Relationship Id="rId49" Type="http://schemas.openxmlformats.org/officeDocument/2006/relationships/hyperlink" Target="https://drive.google.com/file/d/1NFsWVETTP-TgU6GkidEBfFoC3fYy4qSE/view?usp=drive_link" TargetMode="External"/><Relationship Id="rId184" Type="http://schemas.openxmlformats.org/officeDocument/2006/relationships/hyperlink" Target="https://drive.google.com/file/d/1udefc2NTDhVq-G01_aPdjhSJHpG9J5pY/view?usp=drive_link" TargetMode="External"/><Relationship Id="rId103" Type="http://schemas.openxmlformats.org/officeDocument/2006/relationships/hyperlink" Target="https://drive.google.com/file/d/13FftZ9Uf7Ac1ObeSKg2EONC_AjL5pxRP/view?usp=drive_link" TargetMode="External"/><Relationship Id="rId102" Type="http://schemas.openxmlformats.org/officeDocument/2006/relationships/hyperlink" Target="https://drive.google.com/file/d/1-DPExZXeA4A84EojNyWpOFBoYu3LlUDm/view?usp=drive_link" TargetMode="External"/><Relationship Id="rId101" Type="http://schemas.openxmlformats.org/officeDocument/2006/relationships/hyperlink" Target="https://drive.google.com/file/d/1SHPZiWPHlba6iwmdYS3Ech8vfLI05KGC/view?usp=drive_link" TargetMode="External"/><Relationship Id="rId100" Type="http://schemas.openxmlformats.org/officeDocument/2006/relationships/hyperlink" Target="https://drive.google.com/file/d/1-DPExZXeA4A84EojNyWpOFBoYu3LlUDm/view?usp=drive_link" TargetMode="External"/><Relationship Id="rId188" Type="http://schemas.openxmlformats.org/officeDocument/2006/relationships/vmlDrawing" Target="../drawings/vmlDrawing1.vml"/><Relationship Id="rId31" Type="http://schemas.openxmlformats.org/officeDocument/2006/relationships/hyperlink" Target="https://drive.google.com/file/d/1o4SkF0TfBTG39xN1ziT__5g960rZc_Hy/view?usp=drive_link" TargetMode="External"/><Relationship Id="rId30" Type="http://schemas.openxmlformats.org/officeDocument/2006/relationships/hyperlink" Target="https://drive.google.com/file/d/12W6TWTrjiUkPg07EAEfRHI7QAuYjCypX/view?usp=drive_link" TargetMode="External"/><Relationship Id="rId33" Type="http://schemas.openxmlformats.org/officeDocument/2006/relationships/hyperlink" Target="https://drive.google.com/file/d/1rI8_MOE6TOUvGF8zLwoCcfQ7BYVDyPPK/view?usp=drive_link" TargetMode="External"/><Relationship Id="rId183" Type="http://schemas.openxmlformats.org/officeDocument/2006/relationships/hyperlink" Target="https://drive.google.com/file/d/1IW2jYYoTyARDEM9U4MxX3SZ_eDRcBTfM/view?usp=drive_link" TargetMode="External"/><Relationship Id="rId32" Type="http://schemas.openxmlformats.org/officeDocument/2006/relationships/hyperlink" Target="https://drive.google.com/file/d/12W6TWTrjiUkPg07EAEfRHI7QAuYjCypX/view?usp=drive_link" TargetMode="External"/><Relationship Id="rId182" Type="http://schemas.openxmlformats.org/officeDocument/2006/relationships/hyperlink" Target="https://drive.google.com/file/d/1YlGds5KbEngAqQnUpMO9ZsFDsXy5kJAV/view?usp=drive_link" TargetMode="External"/><Relationship Id="rId35" Type="http://schemas.openxmlformats.org/officeDocument/2006/relationships/hyperlink" Target="https://drive.google.com/file/d/1VqBndQI1F4aolpZSn2jO9BrFHS-rPKWK/view?usp=drive_link" TargetMode="External"/><Relationship Id="rId181" Type="http://schemas.openxmlformats.org/officeDocument/2006/relationships/hyperlink" Target="https://drive.google.com/file/d/1GNOFkYKDZQ5b92UIDckPfe1pVN7UlGTY/view?usp=drive_link" TargetMode="External"/><Relationship Id="rId34" Type="http://schemas.openxmlformats.org/officeDocument/2006/relationships/hyperlink" Target="https://drive.google.com/file/d/1d2O3dwYRtL687QCue_BZm6VGYZg4DHio/view?usp=drive_link" TargetMode="External"/><Relationship Id="rId180" Type="http://schemas.openxmlformats.org/officeDocument/2006/relationships/hyperlink" Target="https://drive.google.com/file/d/1-om4ZgCZ5n4zKLkY7uKaSrSD0SGixxKF/view?usp=drive_link" TargetMode="External"/><Relationship Id="rId37" Type="http://schemas.openxmlformats.org/officeDocument/2006/relationships/hyperlink" Target="https://drive.google.com/file/d/1VqBndQI1F4aolpZSn2jO9BrFHS-rPKWK/view?usp=drive_link" TargetMode="External"/><Relationship Id="rId176" Type="http://schemas.openxmlformats.org/officeDocument/2006/relationships/hyperlink" Target="https://drive.google.com/file/d/1yRNOllaE3eG58IDgw2mDTNgZGhmLj2nJ/view?usp=drive_link" TargetMode="External"/><Relationship Id="rId36" Type="http://schemas.openxmlformats.org/officeDocument/2006/relationships/hyperlink" Target="https://drive.google.com/file/d/1upmtMj7F4ac9ut5cHvVAvuonNAknTvuW/view?usp=drive_link" TargetMode="External"/><Relationship Id="rId175" Type="http://schemas.openxmlformats.org/officeDocument/2006/relationships/hyperlink" Target="https://drive.google.com/file/d/1mf50pzYVNbE10GDmFZ_hg5hzc5lnGTTk/view?usp=drive_link" TargetMode="External"/><Relationship Id="rId39" Type="http://schemas.openxmlformats.org/officeDocument/2006/relationships/hyperlink" Target="https://drive.google.com/file/d/1CbVes4jRBggH3R4aB9dGxIaCcr3gfWea/view?usp=drive_link" TargetMode="External"/><Relationship Id="rId174" Type="http://schemas.openxmlformats.org/officeDocument/2006/relationships/hyperlink" Target="https://drive.google.com/file/d/1UEU-TqNTLaLBKuW34zjDEq4HnikECvA2/view?usp=sharing" TargetMode="External"/><Relationship Id="rId38" Type="http://schemas.openxmlformats.org/officeDocument/2006/relationships/hyperlink" Target="https://drive.google.com/file/d/1VFKtPl12yRuZYU_nkhLGViNwG4tsWrv2/view?usp=drive_link" TargetMode="External"/><Relationship Id="rId173" Type="http://schemas.openxmlformats.org/officeDocument/2006/relationships/hyperlink" Target="https://drive.google.com/file/d/1GiDm4NVyomtx9psAAT5Hs0ZnNh5tArVb/view?usp=drive_link" TargetMode="External"/><Relationship Id="rId179" Type="http://schemas.openxmlformats.org/officeDocument/2006/relationships/hyperlink" Target="https://drive.google.com/file/d/1dpRUPlm-fioG_LgpxlW6u5rleId5ojU2/view?usp=drive_link" TargetMode="External"/><Relationship Id="rId178" Type="http://schemas.openxmlformats.org/officeDocument/2006/relationships/hyperlink" Target="https://drive.google.com/file/d/1-_5XZhT4f3qIRSNAaZ1TiGLxw-r1R-o7/view?usp=drive_link" TargetMode="External"/><Relationship Id="rId177" Type="http://schemas.openxmlformats.org/officeDocument/2006/relationships/hyperlink" Target="https://drive.google.com/file/d/1qfKsnjLTTm2O9qCjQo36kTMXqzWVZroF/view?usp=drive_link" TargetMode="External"/><Relationship Id="rId20" Type="http://schemas.openxmlformats.org/officeDocument/2006/relationships/hyperlink" Target="https://drive.google.com/file/d/1cAAevzGq8MQy7yawGMpkF0az0w31Kd0b/view?usp=drive_link" TargetMode="External"/><Relationship Id="rId22" Type="http://schemas.openxmlformats.org/officeDocument/2006/relationships/hyperlink" Target="https://drive.google.com/file/d/17Fu4eAVog4f84T8CHlGbXqS7A6eibqh-/view?usp=drive_link" TargetMode="External"/><Relationship Id="rId21" Type="http://schemas.openxmlformats.org/officeDocument/2006/relationships/hyperlink" Target="https://drive.google.com/file/d/1joGEIkHLD5vk-aVY2OyTgPuMivJ0LodN/view?usp=drive_link" TargetMode="External"/><Relationship Id="rId24" Type="http://schemas.openxmlformats.org/officeDocument/2006/relationships/hyperlink" Target="https://drive.google.com/file/d/19VAqY5hm_gu-QmQ-YRFzTvCBRZM6ImTP/view?usp=drive_link" TargetMode="External"/><Relationship Id="rId23" Type="http://schemas.openxmlformats.org/officeDocument/2006/relationships/hyperlink" Target="https://drive.google.com/file/d/1N2vW6iYYG6dwCdexHDe4UKD1lro96l-R/view?usp=drive_link" TargetMode="External"/><Relationship Id="rId129" Type="http://schemas.openxmlformats.org/officeDocument/2006/relationships/hyperlink" Target="https://drive.google.com/file/d/1ZrRDfhE_NjFZOxhXmZ3xKWiO9T9XDIhu/view?usp=drive_link" TargetMode="External"/><Relationship Id="rId128" Type="http://schemas.openxmlformats.org/officeDocument/2006/relationships/hyperlink" Target="https://drive.google.com/file/d/13isfNAeR0POBgHtF4Igh_w4_jojtsuoj/view?usp=drive_link" TargetMode="External"/><Relationship Id="rId127" Type="http://schemas.openxmlformats.org/officeDocument/2006/relationships/hyperlink" Target="https://drive.google.com/file/d/1FuowUnvMPFtzgmH-hZGTP0j27x_SO-TN/view?usp=drive_link" TargetMode="External"/><Relationship Id="rId126" Type="http://schemas.openxmlformats.org/officeDocument/2006/relationships/hyperlink" Target="https://drive.google.com/file/d/1xj-m1DCaL5S7i8RLZEdJvrtpUpJ7fO6x/view?usp=drive_link" TargetMode="External"/><Relationship Id="rId26" Type="http://schemas.openxmlformats.org/officeDocument/2006/relationships/hyperlink" Target="https://drive.google.com/file/d/14uZWPWEzPZM0NDn6krbWfAXLDZuM50va/view?usp=drive_link" TargetMode="External"/><Relationship Id="rId121" Type="http://schemas.openxmlformats.org/officeDocument/2006/relationships/hyperlink" Target="https://drive.google.com/file/d/1B1wT-oEtGcuirIHA96UkjQXUHg4fg61r/view?usp=drive_link" TargetMode="External"/><Relationship Id="rId25" Type="http://schemas.openxmlformats.org/officeDocument/2006/relationships/hyperlink" Target="https://drive.google.com/file/d/1E86TsBNQmsHCWcE10oslkUU8MiIlfgmC/view?usp=drive_link" TargetMode="External"/><Relationship Id="rId120" Type="http://schemas.openxmlformats.org/officeDocument/2006/relationships/hyperlink" Target="https://drive.google.com/file/d/1nWGbs_5DaAW52roBNp2sTXEKKxfIbdfk/view?usp=drive_link" TargetMode="External"/><Relationship Id="rId28" Type="http://schemas.openxmlformats.org/officeDocument/2006/relationships/hyperlink" Target="https://drive.google.com/file/d/12W6TWTrjiUkPg07EAEfRHI7QAuYjCypX/view?usp=drive_link" TargetMode="External"/><Relationship Id="rId27" Type="http://schemas.openxmlformats.org/officeDocument/2006/relationships/hyperlink" Target="https://drive.google.com/file/d/12W6TWTrjiUkPg07EAEfRHI7QAuYjCypX/view?usp=drive_link" TargetMode="External"/><Relationship Id="rId125" Type="http://schemas.openxmlformats.org/officeDocument/2006/relationships/hyperlink" Target="https://drive.google.com/file/d/1TKTR5SBN_l_835b_L4jhzVb0SEIu0ncl/view?usp=drive_link" TargetMode="External"/><Relationship Id="rId29" Type="http://schemas.openxmlformats.org/officeDocument/2006/relationships/hyperlink" Target="https://drive.google.com/file/d/12W6TWTrjiUkPg07EAEfRHI7QAuYjCypX/view?usp=drive_link" TargetMode="External"/><Relationship Id="rId124" Type="http://schemas.openxmlformats.org/officeDocument/2006/relationships/hyperlink" Target="https://drive.google.com/file/d/1xj-m1DCaL5S7i8RLZEdJvrtpUpJ7fO6x/view?usp=drive_link" TargetMode="External"/><Relationship Id="rId123" Type="http://schemas.openxmlformats.org/officeDocument/2006/relationships/hyperlink" Target="https://drive.google.com/file/d/1C1azSJAzqHfj-1HVij1xLigQpaM6hPng/view?usp=drive_link" TargetMode="External"/><Relationship Id="rId122" Type="http://schemas.openxmlformats.org/officeDocument/2006/relationships/hyperlink" Target="https://drive.google.com/file/d/1nWGbs_5DaAW52roBNp2sTXEKKxfIbdfk/view?usp=drive_link" TargetMode="External"/><Relationship Id="rId95" Type="http://schemas.openxmlformats.org/officeDocument/2006/relationships/hyperlink" Target="https://drive.google.com/file/d/1vycs9hC9mFO4uU4NW4BcM_O1sEfdlnhX/view?usp=drive_link" TargetMode="External"/><Relationship Id="rId94" Type="http://schemas.openxmlformats.org/officeDocument/2006/relationships/hyperlink" Target="https://drive.google.com/file/d/1FTaZpMKnCLA7cUHKffp3-NgVn9BZQKlJ/view?usp=drive_link" TargetMode="External"/><Relationship Id="rId97" Type="http://schemas.openxmlformats.org/officeDocument/2006/relationships/hyperlink" Target="https://drive.google.com/file/d/1JEz_v9LjPo-G2dvIn7U7l5mXGt2WNEyC/view?usp=drive_link" TargetMode="External"/><Relationship Id="rId96" Type="http://schemas.openxmlformats.org/officeDocument/2006/relationships/hyperlink" Target="https://drive.google.com/file/d/1tfPJFwJ_N_kYAIF2L0S687dQxmL0fKQ5/view?usp=drive_link" TargetMode="External"/><Relationship Id="rId11" Type="http://schemas.openxmlformats.org/officeDocument/2006/relationships/hyperlink" Target="https://drive.google.com/file/d/12W6TWTrjiUkPg07EAEfRHI7QAuYjCypX/view?usp=drive_link" TargetMode="External"/><Relationship Id="rId99" Type="http://schemas.openxmlformats.org/officeDocument/2006/relationships/hyperlink" Target="https://drive.google.com/file/d/1ODLh9KzCuLrO5l-s-X1XeA2AMcV0dY5b/view?usp=drive_link" TargetMode="External"/><Relationship Id="rId10" Type="http://schemas.openxmlformats.org/officeDocument/2006/relationships/hyperlink" Target="https://drive.google.com/file/d/1KOFu-M0LKU9LILS4Dn5wUarX9BmnlTti/view?usp=drive_link" TargetMode="External"/><Relationship Id="rId98" Type="http://schemas.openxmlformats.org/officeDocument/2006/relationships/hyperlink" Target="https://drive.google.com/file/d/1Rhn5N24ozHRu2F266phzJAmEq31LP_VE/view?usp=drive_link" TargetMode="External"/><Relationship Id="rId13" Type="http://schemas.openxmlformats.org/officeDocument/2006/relationships/hyperlink" Target="https://drive.google.com/file/d/12W6TWTrjiUkPg07EAEfRHI7QAuYjCypX/view?usp=drive_link" TargetMode="External"/><Relationship Id="rId12" Type="http://schemas.openxmlformats.org/officeDocument/2006/relationships/hyperlink" Target="https://drive.google.com/file/d/1KOFu-M0LKU9LILS4Dn5wUarX9BmnlTti/view?usp=drive_link" TargetMode="External"/><Relationship Id="rId91" Type="http://schemas.openxmlformats.org/officeDocument/2006/relationships/hyperlink" Target="https://drive.google.com/file/d/19VAqY5hm_gu-QmQ-YRFzTvCBRZM6ImTP/view?usp=drive_link" TargetMode="External"/><Relationship Id="rId90" Type="http://schemas.openxmlformats.org/officeDocument/2006/relationships/hyperlink" Target="https://drive.google.com/file/d/1bb5yM6S_j1FFmEiJeKhh5j-XYYU-xCNI/view?usp=drive_link" TargetMode="External"/><Relationship Id="rId93" Type="http://schemas.openxmlformats.org/officeDocument/2006/relationships/hyperlink" Target="https://drive.google.com/file/d/1QJzCVQK6EbfiJtcJH3MXHA0RwroMc_Q5/view?usp=drive_link" TargetMode="External"/><Relationship Id="rId92" Type="http://schemas.openxmlformats.org/officeDocument/2006/relationships/hyperlink" Target="https://drive.google.com/file/d/1yXs22SNvFDnueMLC_3oTRtl6pbius2tF/view?usp=drive_link" TargetMode="External"/><Relationship Id="rId118" Type="http://schemas.openxmlformats.org/officeDocument/2006/relationships/hyperlink" Target="https://drive.google.com/file/d/1Oi0IBxeDTPwz7ID-U_smTB9BepUN_DVx/view?usp=drive_link" TargetMode="External"/><Relationship Id="rId117" Type="http://schemas.openxmlformats.org/officeDocument/2006/relationships/hyperlink" Target="https://drive.google.com/file/d/1mSCVdEpjrUpo2o4LDoXyyDN5oWOpDOWZ/view?usp=drive_link" TargetMode="External"/><Relationship Id="rId116" Type="http://schemas.openxmlformats.org/officeDocument/2006/relationships/hyperlink" Target="https://drive.google.com/file/d/1Xnt_9KZVm0hW2dIZOMh1V0tdG8hd5QPg/view?usp=drive_link" TargetMode="External"/><Relationship Id="rId115" Type="http://schemas.openxmlformats.org/officeDocument/2006/relationships/hyperlink" Target="https://drive.google.com/file/d/1EkV8z0ejT37xWaHL5E0KCsFV9mypKBkO/view?usp=drive_link" TargetMode="External"/><Relationship Id="rId119" Type="http://schemas.openxmlformats.org/officeDocument/2006/relationships/hyperlink" Target="https://drive.google.com/file/d/1O3aSM5EcmassxdAgastP08kMiBeDAgw9/view?usp=drive_link" TargetMode="External"/><Relationship Id="rId15" Type="http://schemas.openxmlformats.org/officeDocument/2006/relationships/hyperlink" Target="https://drive.google.com/file/d/1f5ND64oGFWNCcX22qm5yLvoK84IQ8x2K/view?usp=drive_link" TargetMode="External"/><Relationship Id="rId110" Type="http://schemas.openxmlformats.org/officeDocument/2006/relationships/hyperlink" Target="https://drive.google.com/file/d/1PsvWK0cMZzVxDTLz-9w0Zf8KwPR9tgtL/view?usp=drive_link" TargetMode="External"/><Relationship Id="rId14" Type="http://schemas.openxmlformats.org/officeDocument/2006/relationships/hyperlink" Target="https://drive.google.com/file/d/1nT6oKnU9yOU7jY400b-FLF38RAC-rQfh/view?usp=drive_link" TargetMode="External"/><Relationship Id="rId17" Type="http://schemas.openxmlformats.org/officeDocument/2006/relationships/hyperlink" Target="https://drive.google.com/file/d/1R3wb3X_PMRPUHrn--BxgTFSUHmcNf3Rs/view?usp=drive_link" TargetMode="External"/><Relationship Id="rId16" Type="http://schemas.openxmlformats.org/officeDocument/2006/relationships/hyperlink" Target="https://drive.google.com/file/d/1suxaekuXzyC2G3rtfLClxqSzzMzNGRv1/view?usp=drive_link" TargetMode="External"/><Relationship Id="rId19" Type="http://schemas.openxmlformats.org/officeDocument/2006/relationships/hyperlink" Target="https://drive.google.com/file/d/1XUD9h510dZXXi1TyNU4_RJ7SVNXh1i_r/view?usp=drive_link" TargetMode="External"/><Relationship Id="rId114" Type="http://schemas.openxmlformats.org/officeDocument/2006/relationships/hyperlink" Target="https://drive.google.com/file/d/1-DrLDE0pZdSAAqtnr2FquxC5470CapbF/view?usp=drive_link" TargetMode="External"/><Relationship Id="rId18" Type="http://schemas.openxmlformats.org/officeDocument/2006/relationships/hyperlink" Target="https://drive.google.com/file/d/1p2MCi4rp-q_noYmuSfhHVOOs4KYraOwy/view?usp=drive_link" TargetMode="External"/><Relationship Id="rId113" Type="http://schemas.openxmlformats.org/officeDocument/2006/relationships/hyperlink" Target="https://drive.google.com/file/d/1uRiY4VHQgGHkfpt8QnUiqYSTzyuXS7uk/view?usp=drive_link" TargetMode="External"/><Relationship Id="rId112" Type="http://schemas.openxmlformats.org/officeDocument/2006/relationships/hyperlink" Target="https://drive.google.com/file/d/1fW3J89sx_sb9Zuu59B3Uclgdm2xloXgQ/view?usp=drive_link" TargetMode="External"/><Relationship Id="rId111" Type="http://schemas.openxmlformats.org/officeDocument/2006/relationships/hyperlink" Target="https://drive.google.com/file/d/1877ENsoDjjEmhp4tbqIe8gOfPb4lbhWW/view?usp=drive_link" TargetMode="External"/><Relationship Id="rId84" Type="http://schemas.openxmlformats.org/officeDocument/2006/relationships/hyperlink" Target="https://drive.google.com/file/d/1Y10hFAFfxMklRXg1CupHo2qiEu7EgVye/view?usp=drive_link" TargetMode="External"/><Relationship Id="rId83" Type="http://schemas.openxmlformats.org/officeDocument/2006/relationships/hyperlink" Target="https://drive.google.com/file/d/1uW9tcB6DWOtcyHGs7qEkKRP7jSzbYXHG/view?usp=drive_link" TargetMode="External"/><Relationship Id="rId86" Type="http://schemas.openxmlformats.org/officeDocument/2006/relationships/hyperlink" Target="https://drive.google.com/file/d/1kI8-4sUQwH-F8B5Vlfjnmt2RPhSH6_gE/view?usp=drive_link" TargetMode="External"/><Relationship Id="rId85" Type="http://schemas.openxmlformats.org/officeDocument/2006/relationships/hyperlink" Target="https://drive.google.com/file/d/1uW9tcB6DWOtcyHGs7qEkKRP7jSzbYXHG/view?usp=drive_link" TargetMode="External"/><Relationship Id="rId88" Type="http://schemas.openxmlformats.org/officeDocument/2006/relationships/hyperlink" Target="https://drive.google.com/file/d/1uhCHJBgHnWGQEvRaSyTQ-1BXCbrl1s9_/view?usp=drive_link" TargetMode="External"/><Relationship Id="rId150" Type="http://schemas.openxmlformats.org/officeDocument/2006/relationships/hyperlink" Target="https://drive.google.com/file/d/1YrsZapgf1CNXOqU5b9t-JUtDw7u9uhwQ/view?usp=drive_link." TargetMode="External"/><Relationship Id="rId87" Type="http://schemas.openxmlformats.org/officeDocument/2006/relationships/hyperlink" Target="https://drive.google.com/file/d/1uW9tcB6DWOtcyHGs7qEkKRP7jSzbYXHG/view?usp=drive_link" TargetMode="External"/><Relationship Id="rId89" Type="http://schemas.openxmlformats.org/officeDocument/2006/relationships/hyperlink" Target="https://drive.google.com/file/d/1uW9tcB6DWOtcyHGs7qEkKRP7jSzbYXHG/view?usp=drive_link" TargetMode="External"/><Relationship Id="rId80" Type="http://schemas.openxmlformats.org/officeDocument/2006/relationships/hyperlink" Target="https://drive.google.com/file/d/1RBYoDeVZQL0dY3q_kCfyM6u7LIISDpwK/view?usp=drive_link" TargetMode="External"/><Relationship Id="rId82" Type="http://schemas.openxmlformats.org/officeDocument/2006/relationships/hyperlink" Target="https://drive.google.com/file/d/1AJABlcJGZz_b3WTNs-1DzQouM-_QSCDX/view?usp=drive_link" TargetMode="External"/><Relationship Id="rId81" Type="http://schemas.openxmlformats.org/officeDocument/2006/relationships/hyperlink" Target="https://drive.google.com/file/d/1vMLQ2GsK2URRxsJK2DiZVc5UnhY5DmZW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h5b-60DV0T1bEGMKHHHqKydLNHs5qsJv/view?usp=drive_link" TargetMode="External"/><Relationship Id="rId3" Type="http://schemas.openxmlformats.org/officeDocument/2006/relationships/hyperlink" Target="https://drive.google.com/file/d/1G5UWqxG_5Q3AgYVKKWQkKxP_x5NwCZJg/view?usp=share_link" TargetMode="External"/><Relationship Id="rId149" Type="http://schemas.openxmlformats.org/officeDocument/2006/relationships/hyperlink" Target="https://drive.google.com/file/d/1QJoKGKkNZYU2VNlR5S3ZPh4m7olHmkxt/view?usp=drive_link" TargetMode="External"/><Relationship Id="rId4" Type="http://schemas.openxmlformats.org/officeDocument/2006/relationships/hyperlink" Target="https://drive.google.com/file/d/1iQTKx44H8dh03DWbgCB-D15JA7dVjOLj/view?usp=drive_link" TargetMode="External"/><Relationship Id="rId148" Type="http://schemas.openxmlformats.org/officeDocument/2006/relationships/hyperlink" Target="https://drive.google.com/file/d/1eWJTn9RB24LAPYgSfQwXhfo3yvx59Jdt/view?usp=drive_link" TargetMode="External"/><Relationship Id="rId9" Type="http://schemas.openxmlformats.org/officeDocument/2006/relationships/hyperlink" Target="https://drive.google.com/file/d/1EQsZToQvFjzOfL6V1jSgQDh0OVWaaCZK/view?usp=drive_link" TargetMode="External"/><Relationship Id="rId143" Type="http://schemas.openxmlformats.org/officeDocument/2006/relationships/hyperlink" Target="https://drive.google.com/file/d/1iSIZ9YXZu7equIOsixsyHjhxLH38Bd5Z/view?usp=drive_link" TargetMode="External"/><Relationship Id="rId142" Type="http://schemas.openxmlformats.org/officeDocument/2006/relationships/hyperlink" Target="https://drive.google.com/file/d/1mlS4XMF8Ie07_MAPNOsEX62GxaWzdtKZ/view?usp=drive_link" TargetMode="External"/><Relationship Id="rId141" Type="http://schemas.openxmlformats.org/officeDocument/2006/relationships/hyperlink" Target="https://drive.google.com/file/d/1IHdfDveL0lcZRpqnGrkY3i6eVMpnX8-C/view?usp=drive_link" TargetMode="External"/><Relationship Id="rId140" Type="http://schemas.openxmlformats.org/officeDocument/2006/relationships/hyperlink" Target="https://drive.google.com/file/d/1cG2OoWP13qK0LembyJXfhOhlPoDQGQ96/view?usp=drive_link" TargetMode="External"/><Relationship Id="rId5" Type="http://schemas.openxmlformats.org/officeDocument/2006/relationships/hyperlink" Target="https://drive.google.com/file/d/1H41bDdAUeb2Lg2amErEVACDznbiVlPOP/view?usp=drive_link" TargetMode="External"/><Relationship Id="rId147" Type="http://schemas.openxmlformats.org/officeDocument/2006/relationships/hyperlink" Target="https://drive.google.com/file/d/19Ce1FHGCiV-yub4e5w2HGFPMGJ1VHZHk/view?usp=drive_link" TargetMode="External"/><Relationship Id="rId6" Type="http://schemas.openxmlformats.org/officeDocument/2006/relationships/hyperlink" Target="https://drive.google.com/file/d/11elOd7_PJF_PemNojb295tWVOe9R3BQR/view?usp=drive_link" TargetMode="External"/><Relationship Id="rId146" Type="http://schemas.openxmlformats.org/officeDocument/2006/relationships/hyperlink" Target="https://drive.google.com/file/d/1XeyIRln5rxxD4SyeN4cg50Q7W8cqGZxb/view?usp=drive_link" TargetMode="External"/><Relationship Id="rId7" Type="http://schemas.openxmlformats.org/officeDocument/2006/relationships/hyperlink" Target="https://drive.google.com/file/d/1d7SpQiURKGnNvnzwjhriluq87Rtfp8LN/view?usp=drive_link" TargetMode="External"/><Relationship Id="rId145" Type="http://schemas.openxmlformats.org/officeDocument/2006/relationships/hyperlink" Target="https://drive.google.com/file/d/1MCg6R4wgXgf9VML7hbe63bqy9kLkpUiP/view?usp=drive_link" TargetMode="External"/><Relationship Id="rId8" Type="http://schemas.openxmlformats.org/officeDocument/2006/relationships/hyperlink" Target="https://drive.google.com/file/d/1Xnt_9KZVm0hW2dIZOMh1V0tdG8hd5QPg/view?usp=drive_link" TargetMode="External"/><Relationship Id="rId144" Type="http://schemas.openxmlformats.org/officeDocument/2006/relationships/hyperlink" Target="https://drive.google.com/file/d/13vWmnqnHQRqGy-ed-I9fLlXGqHcDNUJa/view?usp=drive_link" TargetMode="External"/><Relationship Id="rId73" Type="http://schemas.openxmlformats.org/officeDocument/2006/relationships/hyperlink" Target="https://drive.google.com/file/d/1pnzJRs307RN9g93pMtBZIWXnopIBwkhB/view?usp=drive_link" TargetMode="External"/><Relationship Id="rId72" Type="http://schemas.openxmlformats.org/officeDocument/2006/relationships/hyperlink" Target="https://drive.google.com/file/d/1MO97gYV6EYRDK1YobRkwQ4SIdbL5tIlH/view?usp=drive_link" TargetMode="External"/><Relationship Id="rId75" Type="http://schemas.openxmlformats.org/officeDocument/2006/relationships/hyperlink" Target="https://drive.google.com/file/d/1F56djBhjPLUGXIAPmR6n6WWSXRiHKETq/view?usp=drive_link" TargetMode="External"/><Relationship Id="rId74" Type="http://schemas.openxmlformats.org/officeDocument/2006/relationships/hyperlink" Target="https://drive.google.com/file/d/1_3u4Pzepfpxf5MiU8uQqc_r5HU_PYFyc/view?usp=drive_link" TargetMode="External"/><Relationship Id="rId77" Type="http://schemas.openxmlformats.org/officeDocument/2006/relationships/hyperlink" Target="https://drive.google.com/file/d/1RIq7lyvUP4tovNr7q6GJx2Bg_WxjczXi/view?usp=drive_link" TargetMode="External"/><Relationship Id="rId76" Type="http://schemas.openxmlformats.org/officeDocument/2006/relationships/hyperlink" Target="https://drive.google.com/file/d/1F56djBhjPLUGXIAPmR6n6WWSXRiHKETq/view?usp=drive_link" TargetMode="External"/><Relationship Id="rId79" Type="http://schemas.openxmlformats.org/officeDocument/2006/relationships/hyperlink" Target="https://drive.google.com/file/d/1vMLQ2GsK2URRxsJK2DiZVc5UnhY5DmZW/view?usp=drive_link" TargetMode="External"/><Relationship Id="rId78" Type="http://schemas.openxmlformats.org/officeDocument/2006/relationships/hyperlink" Target="https://drive.google.com/file/d/12W6TWTrjiUkPg07EAEfRHI7QAuYjCypX/view?usp=drive_link" TargetMode="External"/><Relationship Id="rId71" Type="http://schemas.openxmlformats.org/officeDocument/2006/relationships/hyperlink" Target="https://drive.google.com/file/d/1pnzJRs307RN9g93pMtBZIWXnopIBwkhB/view?usp=drive_link" TargetMode="External"/><Relationship Id="rId70" Type="http://schemas.openxmlformats.org/officeDocument/2006/relationships/hyperlink" Target="https://drive.google.com/file/d/17IfeSwD3JxEIb-cyGVYPndh1PveAEdhl/view?usp=drive_link" TargetMode="External"/><Relationship Id="rId139" Type="http://schemas.openxmlformats.org/officeDocument/2006/relationships/hyperlink" Target="https://drive.google.com/file/d/10lJUDpbBGTRnKErSbt29S3AGBbvN1zuF/view?usp=drive_link" TargetMode="External"/><Relationship Id="rId138" Type="http://schemas.openxmlformats.org/officeDocument/2006/relationships/hyperlink" Target="https://drive.google.com/file/d/1VosWGRZcWf9Eb7vBQavv9Rqt1XS25NEA/view?usp=drive_link" TargetMode="External"/><Relationship Id="rId137" Type="http://schemas.openxmlformats.org/officeDocument/2006/relationships/hyperlink" Target="https://drive.google.com/file/d/1yX9Ej3MiGEIjPQQD1EkJCgGMlscVdHVt/view?usp=drive_link" TargetMode="External"/><Relationship Id="rId132" Type="http://schemas.openxmlformats.org/officeDocument/2006/relationships/hyperlink" Target="https://drive.google.com/file/d/1fEZ25URwas27sX8FEFES2YWJExajEptH/view?usp=drive_link" TargetMode="External"/><Relationship Id="rId131" Type="http://schemas.openxmlformats.org/officeDocument/2006/relationships/hyperlink" Target="https://drive.google.com/file/d/1o7E6NgkDwn4xvcetl7wnscPZzuSYEoGG/view?usp=drive_link" TargetMode="External"/><Relationship Id="rId130" Type="http://schemas.openxmlformats.org/officeDocument/2006/relationships/hyperlink" Target="https://drive.google.com/file/d/10GBKa6FR0CqizGfqhkZodRtGZLugkUC-/view?usp=drive_link" TargetMode="External"/><Relationship Id="rId136" Type="http://schemas.openxmlformats.org/officeDocument/2006/relationships/hyperlink" Target="https://drive.google.com/file/d/1FTFFcKgK8qnB1r4byHP5hKVXHYa5xvx6/view?usp=drive_link" TargetMode="External"/><Relationship Id="rId135" Type="http://schemas.openxmlformats.org/officeDocument/2006/relationships/hyperlink" Target="https://drive.google.com/file/d/1ZoXqm6JAR8MFX-N3V2n8GNhMgtQXY8rV/view?usp=drive_link" TargetMode="External"/><Relationship Id="rId134" Type="http://schemas.openxmlformats.org/officeDocument/2006/relationships/hyperlink" Target="https://drive.google.com/file/d/1FcBhMRKj4skRUKivLJYkGedtz5BbuSts/view?usp=drive_link" TargetMode="External"/><Relationship Id="rId133" Type="http://schemas.openxmlformats.org/officeDocument/2006/relationships/hyperlink" Target="https://drive.google.com/file/d/1ODcuZRIJRogSppf_A3ccYrfUzeDsccG1/view?usp=drive_link" TargetMode="External"/><Relationship Id="rId62" Type="http://schemas.openxmlformats.org/officeDocument/2006/relationships/hyperlink" Target="https://drive.google.com/file/d/1zKt5ZYZ9rIa2evNj1K2NZIs5Qpjr1c97/view?usp=drive_link" TargetMode="External"/><Relationship Id="rId61" Type="http://schemas.openxmlformats.org/officeDocument/2006/relationships/hyperlink" Target="https://drive.google.com/file/d/1FVSqxwx5C8p94f2Ljkhp98JmsbQ1R2qF/view?usp=drive_link" TargetMode="External"/><Relationship Id="rId64" Type="http://schemas.openxmlformats.org/officeDocument/2006/relationships/hyperlink" Target="https://drive.google.com/file/d/1tSnp_k1_lbe_64j40L-XJQQzyEYr0d93/view?usp=drive_link" TargetMode="External"/><Relationship Id="rId63" Type="http://schemas.openxmlformats.org/officeDocument/2006/relationships/hyperlink" Target="https://drive.google.com/open?id=1EBOC819oKyDKUKbRSSZ94JM-KwfRdope&amp;usp=drive_copy" TargetMode="External"/><Relationship Id="rId66" Type="http://schemas.openxmlformats.org/officeDocument/2006/relationships/hyperlink" Target="https://drive.google.com/file/d/1PMRDdwf68V__D_SQ5A0kRp0P_o_VuU_a/view?usp=drive_link" TargetMode="External"/><Relationship Id="rId172" Type="http://schemas.openxmlformats.org/officeDocument/2006/relationships/hyperlink" Target="https://drive.google.com/file/d/1o_7MaMeAYHuPsyUyIHAji4ofYig099ZV/view?usp=drive_link" TargetMode="External"/><Relationship Id="rId65" Type="http://schemas.openxmlformats.org/officeDocument/2006/relationships/hyperlink" Target="https://drive.google.com/file/d/1xAT9zYbzCI2Y0ys8gB_usSS9Dw-864d7/view?usp=drive_link" TargetMode="External"/><Relationship Id="rId171" Type="http://schemas.openxmlformats.org/officeDocument/2006/relationships/hyperlink" Target="https://drive.google.com/file/d/12zgE1ygdenHrHWQ6Bregu9OmDu2FkQo0/view?usp=drive_link" TargetMode="External"/><Relationship Id="rId68" Type="http://schemas.openxmlformats.org/officeDocument/2006/relationships/hyperlink" Target="https://drive.google.com/file/d/1DFwlOeQljsMyqqWCKmIFc-hq5OuFiMoH/view?usp=drive_link" TargetMode="External"/><Relationship Id="rId170" Type="http://schemas.openxmlformats.org/officeDocument/2006/relationships/hyperlink" Target="https://drive.google.com/file/d/1C_ijGIBl673lWI6ZnaokYQY6MTG3FD2F/view?usp=drive_link" TargetMode="External"/><Relationship Id="rId67" Type="http://schemas.openxmlformats.org/officeDocument/2006/relationships/hyperlink" Target="https://drive.google.com/file/d/1QlBlE5t1h-SI8rZ5ogFXLNDOCCXnaXVF/view?usp=drive_link" TargetMode="External"/><Relationship Id="rId60" Type="http://schemas.openxmlformats.org/officeDocument/2006/relationships/hyperlink" Target="https://drive.google.com/file/d/1cl1qJMduVsrHxmwlAfgw03tHZxPi7GPv/view?usp=drive_link" TargetMode="External"/><Relationship Id="rId165" Type="http://schemas.openxmlformats.org/officeDocument/2006/relationships/hyperlink" Target="https://drive.google.com/file/d/1Oy7p5NRCz4YKNL4bZ8w3G5yYwLS2Byqe/view?usp=drive_link" TargetMode="External"/><Relationship Id="rId69" Type="http://schemas.openxmlformats.org/officeDocument/2006/relationships/hyperlink" Target="https://drive.google.com/file/d/1VqBndQI1F4aolpZSn2jO9BrFHS-rPKWK/view?usp=drive_link" TargetMode="External"/><Relationship Id="rId164" Type="http://schemas.openxmlformats.org/officeDocument/2006/relationships/hyperlink" Target="https://drive.google.com/file/d/1T8yzw4UP8JX1JJFL3UGatPUpbE-CdpEA/view?usp=drive_link" TargetMode="External"/><Relationship Id="rId163" Type="http://schemas.openxmlformats.org/officeDocument/2006/relationships/hyperlink" Target="https://drive.google.com/file/d/1Oy7p5NRCz4YKNL4bZ8w3G5yYwLS2Byqe/view?usp=drive_link" TargetMode="External"/><Relationship Id="rId162" Type="http://schemas.openxmlformats.org/officeDocument/2006/relationships/hyperlink" Target="https://drive.google.com/file/d/1UOIUL7nwAuM3Nrw4gw41pdsZwVBBSh9S/view?usp=drive_link" TargetMode="External"/><Relationship Id="rId169" Type="http://schemas.openxmlformats.org/officeDocument/2006/relationships/hyperlink" Target="https://drive.google.com/file/d/1r9pkLIiFUirNZZCFE8ffNBlbctQ7McQq/view?usp=drive_link" TargetMode="External"/><Relationship Id="rId168" Type="http://schemas.openxmlformats.org/officeDocument/2006/relationships/hyperlink" Target="https://drive.google.com/file/d/18fYdiMKEuNxhP1UfkomzMVJ97qoHGNku/view?usp=drive_link" TargetMode="External"/><Relationship Id="rId167" Type="http://schemas.openxmlformats.org/officeDocument/2006/relationships/hyperlink" Target="https://drive.google.com/file/d/1BK7rI8eIkH-H4cjF-v18OVa7K6VyvK_R/view?usp=drive_link" TargetMode="External"/><Relationship Id="rId166" Type="http://schemas.openxmlformats.org/officeDocument/2006/relationships/hyperlink" Target="https://drive.google.com/file/d/1P8mr2XWexyodKFvS55_NXJPWb20B0AHO/view?usp=drive_link" TargetMode="External"/><Relationship Id="rId51" Type="http://schemas.openxmlformats.org/officeDocument/2006/relationships/hyperlink" Target="https://drive.google.com/file/d/17Fu4eAVog4f84T8CHlGbXqS7A6eibqh-/view?usp=drive_link" TargetMode="External"/><Relationship Id="rId50" Type="http://schemas.openxmlformats.org/officeDocument/2006/relationships/hyperlink" Target="https://drive.google.com/file/d/12W6TWTrjiUkPg07EAEfRHI7QAuYjCypX/view?usp=drive_link" TargetMode="External"/><Relationship Id="rId53" Type="http://schemas.openxmlformats.org/officeDocument/2006/relationships/hyperlink" Target="https://drive.google.com/file/d/1tHvYqguzqJ849odRyebpQ_XppSTRYXT-/view?usp=drive_link" TargetMode="External"/><Relationship Id="rId52" Type="http://schemas.openxmlformats.org/officeDocument/2006/relationships/hyperlink" Target="https://drive.google.com/file/d/11OEwZj14ah6_H7ckF-FSSLM73AleSbxN/view?usp=drive_link" TargetMode="External"/><Relationship Id="rId55" Type="http://schemas.openxmlformats.org/officeDocument/2006/relationships/hyperlink" Target="https://drive.google.com/file/d/1_qlIpINU-zVxBx87wI5nw6kUVq4nwyCK/view?usp=drive_link" TargetMode="External"/><Relationship Id="rId161" Type="http://schemas.openxmlformats.org/officeDocument/2006/relationships/hyperlink" Target="https://drive.google.com/file/d/1Oy7p5NRCz4YKNL4bZ8w3G5yYwLS2Byqe/view?usp=drive_link" TargetMode="External"/><Relationship Id="rId54" Type="http://schemas.openxmlformats.org/officeDocument/2006/relationships/hyperlink" Target="https://drive.google.com/file/d/1IXhOTSsLifjUA_xQfWsUvuq2MCBQjt5O/view?usp=drive_link" TargetMode="External"/><Relationship Id="rId160" Type="http://schemas.openxmlformats.org/officeDocument/2006/relationships/hyperlink" Target="https://drive.google.com/file/d/1a0Z2qyK_u1NcrPuH5WHUn9YbJ2On-tJW/view?usp=drive_link" TargetMode="External"/><Relationship Id="rId57" Type="http://schemas.openxmlformats.org/officeDocument/2006/relationships/hyperlink" Target="https://drive.google.com/file/d/1_qlIpINU-zVxBx87wI5nw6kUVq4nwyCK/view?usp=drive_link" TargetMode="External"/><Relationship Id="rId56" Type="http://schemas.openxmlformats.org/officeDocument/2006/relationships/hyperlink" Target="https://drive.google.com/file/d/18wPVkh5CdXLKpiMi6QX-15AtrWPEP6UL/view?usp=drive_link" TargetMode="External"/><Relationship Id="rId159" Type="http://schemas.openxmlformats.org/officeDocument/2006/relationships/hyperlink" Target="https://drive.google.com/file/d/1Oy7p5NRCz4YKNL4bZ8w3G5yYwLS2Byqe/view?usp=drive_link" TargetMode="External"/><Relationship Id="rId59" Type="http://schemas.openxmlformats.org/officeDocument/2006/relationships/hyperlink" Target="https://drive.google.com/file/d/1_qlIpINU-zVxBx87wI5nw6kUVq4nwyCK/view?usp=drive_link" TargetMode="External"/><Relationship Id="rId154" Type="http://schemas.openxmlformats.org/officeDocument/2006/relationships/hyperlink" Target="https://drive.google.com/file/d/18s9BwWhfwpRmvB6k_iR776D-8vFBOU8R/view?usp=drive_link" TargetMode="External"/><Relationship Id="rId58" Type="http://schemas.openxmlformats.org/officeDocument/2006/relationships/hyperlink" Target="https://drive.google.com/file/d/1IJeYQDGPtHOoHezfdJsvdmRVA0aNFoKx/view?usp=drive_link" TargetMode="External"/><Relationship Id="rId153" Type="http://schemas.openxmlformats.org/officeDocument/2006/relationships/hyperlink" Target="https://drive.google.com/file/d/1mYm0KyXdFfYnJH98aUPoPMtRNgnONh6M/view?usp=drive_link" TargetMode="External"/><Relationship Id="rId152" Type="http://schemas.openxmlformats.org/officeDocument/2006/relationships/hyperlink" Target="https://drive.google.com/file/d/1MRAL0FCHpR26rKVnzdi9ORuJjMEwnZ22/view?usp=drive_link" TargetMode="External"/><Relationship Id="rId151" Type="http://schemas.openxmlformats.org/officeDocument/2006/relationships/hyperlink" Target="https://docs.google.com/document/d/1wgnaj0kNoFoWEcUuF-YA1A8fhLpAfpsX/edit?usp=drive_link&amp;ouid=112309687847879741096&amp;rtpof=true&amp;sd=true" TargetMode="External"/><Relationship Id="rId158" Type="http://schemas.openxmlformats.org/officeDocument/2006/relationships/hyperlink" Target="https://drive.google.com/file/d/1oX1OAPKeWzt7H8gv6PgwdbwjJrZGFIWd/view?usp=drive_link" TargetMode="External"/><Relationship Id="rId157" Type="http://schemas.openxmlformats.org/officeDocument/2006/relationships/hyperlink" Target="https://drive.google.com/file/d/1soDL0yejikU7GrOML8NlHINpZPHVHIv1/view?usp=drive_link" TargetMode="External"/><Relationship Id="rId156" Type="http://schemas.openxmlformats.org/officeDocument/2006/relationships/hyperlink" Target="https://drive.google.com/file/d/1o7E6NgkDwn4xvcetl7wnscPZzuSYEoGG/view?usp=drive_link" TargetMode="External"/><Relationship Id="rId155" Type="http://schemas.openxmlformats.org/officeDocument/2006/relationships/hyperlink" Target="https://drive.google.com/file/d/10GBKa6FR0CqizGfqhkZodRtGZLugkUC-/view?usp=drive_link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s_NsV4faVZzPWd9308f4HtQ1-W88fSmJ/view?usp=drive_link" TargetMode="External"/><Relationship Id="rId30" Type="http://schemas.openxmlformats.org/officeDocument/2006/relationships/hyperlink" Target="https://drive.google.com/file/d/14B_XXflK87FDMrUFdVtfBvmYvjn1mQtU/view?usp=drive_link" TargetMode="External"/><Relationship Id="rId32" Type="http://schemas.openxmlformats.org/officeDocument/2006/relationships/drawing" Target="../drawings/drawing3.xml"/><Relationship Id="rId20" Type="http://schemas.openxmlformats.org/officeDocument/2006/relationships/hyperlink" Target="https://drive.google.com/file/d/13mB2EC-Z-uVIveBAxD56j0rNYJ15S2er/view?usp=drive_link" TargetMode="External"/><Relationship Id="rId22" Type="http://schemas.openxmlformats.org/officeDocument/2006/relationships/hyperlink" Target="https://drive.google.com/file/d/1Qum0LCoNpOnN5aYnGLzZKYYKgDJnfuNB/view?usp=drive_link" TargetMode="External"/><Relationship Id="rId21" Type="http://schemas.openxmlformats.org/officeDocument/2006/relationships/hyperlink" Target="https://drive.google.com/file/d/1hIY1tMw6fI_KphzSmqvR3l3Ygg2qJ155/view?usp=drive_link" TargetMode="External"/><Relationship Id="rId24" Type="http://schemas.openxmlformats.org/officeDocument/2006/relationships/hyperlink" Target="https://drive.google.com/file/d/1Qum0LCoNpOnN5aYnGLzZKYYKgDJnfuNB/view?usp=drive_link" TargetMode="External"/><Relationship Id="rId23" Type="http://schemas.openxmlformats.org/officeDocument/2006/relationships/hyperlink" Target="https://drive.google.com/file/d/15EAkaKmhKmLUsOzJxYtbjTlo0m_DhjNE/view?usp=drive_link" TargetMode="External"/><Relationship Id="rId26" Type="http://schemas.openxmlformats.org/officeDocument/2006/relationships/hyperlink" Target="https://drive.google.com/file/d/1d5qPRO7iTxlVnYJ5X4oADm-RwslxJh7Z/view?usp=drive_link" TargetMode="External"/><Relationship Id="rId25" Type="http://schemas.openxmlformats.org/officeDocument/2006/relationships/hyperlink" Target="https://drive.google.com/file/d/15EAkaKmhKmLUsOzJxYtbjTlo0m_DhjNE/view?usp=drive_link" TargetMode="External"/><Relationship Id="rId28" Type="http://schemas.openxmlformats.org/officeDocument/2006/relationships/hyperlink" Target="https://drive.google.com/file/d/1d5qPRO7iTxlVnYJ5X4oADm-RwslxJh7Z/view?usp=drive_link" TargetMode="External"/><Relationship Id="rId27" Type="http://schemas.openxmlformats.org/officeDocument/2006/relationships/hyperlink" Target="https://drive.google.com/file/d/1NMUMKRNRj_zCaxPPQrBsZpGohpQIVXKu/view?usp=drive_link" TargetMode="External"/><Relationship Id="rId29" Type="http://schemas.openxmlformats.org/officeDocument/2006/relationships/hyperlink" Target="https://drive.google.com/file/d/1NMUMKRNRj_zCaxPPQrBsZpGohpQIVXKu/view?usp=drive_link" TargetMode="External"/><Relationship Id="rId11" Type="http://schemas.openxmlformats.org/officeDocument/2006/relationships/hyperlink" Target="https://drive.google.com/file/d/11PoiRb4rn6Ujiskt2ifEARauHMluPBeY/view?usp=drive_link" TargetMode="External"/><Relationship Id="rId10" Type="http://schemas.openxmlformats.org/officeDocument/2006/relationships/hyperlink" Target="https://drive.google.com/file/d/1tKMoWTQ6YWe1YdCQpJvBk_vS3qdeSkht/view?usp=drive_link" TargetMode="External"/><Relationship Id="rId13" Type="http://schemas.openxmlformats.org/officeDocument/2006/relationships/hyperlink" Target="https://drive.google.com/file/d/15EAkaKmhKmLUsOzJxYtbjTlo0m_DhjNE/view?usp=drive_link" TargetMode="External"/><Relationship Id="rId12" Type="http://schemas.openxmlformats.org/officeDocument/2006/relationships/hyperlink" Target="https://drive.google.com/file/d/1Qum0LCoNpOnN5aYnGLzZKYYKgDJnfuNB/view?usp=drive_link" TargetMode="External"/><Relationship Id="rId15" Type="http://schemas.openxmlformats.org/officeDocument/2006/relationships/hyperlink" Target="https://drive.google.com/file/d/1E7Sxml6FaOhT_ndOMRfK5EfdAv0cZ86K/view?usp=drive_link" TargetMode="External"/><Relationship Id="rId14" Type="http://schemas.openxmlformats.org/officeDocument/2006/relationships/hyperlink" Target="https://drive.google.com/file/d/1E2rhiDCu4zNpPIGjJ1bIkX8XJ8t-dYj1/view?usp=drive_link" TargetMode="External"/><Relationship Id="rId17" Type="http://schemas.openxmlformats.org/officeDocument/2006/relationships/hyperlink" Target="https://drive.google.com/file/d/1nT_V_C1XftBpKyxfWLsScASCRAEmH7HP/view?usp=drive_link" TargetMode="External"/><Relationship Id="rId16" Type="http://schemas.openxmlformats.org/officeDocument/2006/relationships/hyperlink" Target="https://drive.google.com/file/d/1QDfq_RlvWfpB2Se280uCttWPsEi_YwpH/view?usp=drive_link" TargetMode="External"/><Relationship Id="rId19" Type="http://schemas.openxmlformats.org/officeDocument/2006/relationships/hyperlink" Target="https://drive.google.com/file/d/1_xve8VgqtDNA7bQmWUF6OC8PtdwJFDAa/view?usp=drive_link" TargetMode="External"/><Relationship Id="rId18" Type="http://schemas.openxmlformats.org/officeDocument/2006/relationships/hyperlink" Target="https://drive.google.com/file/d/1a1Svqg12PmXspvvvQlX0k-WDp55pfzSA/view?usp=drive_link" TargetMode="External"/><Relationship Id="rId1" Type="http://schemas.openxmlformats.org/officeDocument/2006/relationships/hyperlink" Target="https://drive.google.com/file/d/12h0GqDtxkAZd-2WQWSaTVhoZAJ076DeG/view?usp=drive_link" TargetMode="External"/><Relationship Id="rId2" Type="http://schemas.openxmlformats.org/officeDocument/2006/relationships/hyperlink" Target="https://drive.google.com/file/d/1Zb4LyXoYKQNd2I0AwrC_OKlfD4ZqTp6h/view?usp=drive_link" TargetMode="External"/><Relationship Id="rId3" Type="http://schemas.openxmlformats.org/officeDocument/2006/relationships/hyperlink" Target="https://drive.google.com/file/d/1rV-S6y1jPxgMZp0-6mW3x7RwECc92WYZ/view?usp=drive_link" TargetMode="External"/><Relationship Id="rId4" Type="http://schemas.openxmlformats.org/officeDocument/2006/relationships/hyperlink" Target="https://drive.google.com/file/d/1S89HxUu0TTiL67fZZyEzkfO_041lv3cj/view?usp=drive_link" TargetMode="External"/><Relationship Id="rId9" Type="http://schemas.openxmlformats.org/officeDocument/2006/relationships/hyperlink" Target="https://drive.google.com/file/d/11PoiRb4rn6Ujiskt2ifEARauHMluPBeY/view?usp=drive_link" TargetMode="External"/><Relationship Id="rId5" Type="http://schemas.openxmlformats.org/officeDocument/2006/relationships/hyperlink" Target="https://drive.google.com/file/d/1iRBsOhDTMZnmL-un2fqFVnx9LT_SI2tM/view?usp=drive_link" TargetMode="External"/><Relationship Id="rId6" Type="http://schemas.openxmlformats.org/officeDocument/2006/relationships/hyperlink" Target="https://drive.google.com/file/d/1gM0ey4jSuyBuWKZSoAQXInaRJjqIa736/view?usp=drive_link" TargetMode="External"/><Relationship Id="rId7" Type="http://schemas.openxmlformats.org/officeDocument/2006/relationships/hyperlink" Target="https://drive.google.com/file/d/1KOXpsIl5WmywiU3BWPPy_IMCCtA5yGct/view?usp=drive_link" TargetMode="External"/><Relationship Id="rId8" Type="http://schemas.openxmlformats.org/officeDocument/2006/relationships/hyperlink" Target="https://drive.google.com/file/d/1tKMoWTQ6YWe1YdCQpJvBk_vS3qdeSkht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2828"/>
    <pageSetUpPr fitToPage="1"/>
  </sheetPr>
  <sheetViews>
    <sheetView showGridLines="0" workbookViewId="0"/>
  </sheetViews>
  <sheetFormatPr customHeight="1" defaultColWidth="14.43" defaultRowHeight="15.0"/>
  <cols>
    <col customWidth="1" min="1" max="1" width="50.29"/>
    <col customWidth="1" min="2" max="2" width="25.57"/>
    <col customWidth="1" min="3" max="3" width="46.57"/>
    <col customWidth="1" min="4" max="4" width="63.71"/>
    <col customWidth="1" min="5" max="5" width="33.14"/>
    <col customWidth="1" min="6" max="6" width="25.29"/>
    <col customWidth="1" min="7" max="7" width="28.57"/>
    <col customWidth="1" min="8" max="8" width="25.29"/>
    <col customWidth="1" min="9" max="9" width="45.86"/>
    <col customWidth="1" min="10" max="10" width="13.43"/>
    <col customWidth="1" min="11" max="12" width="11.43"/>
    <col customWidth="1" min="13" max="13" width="12.57"/>
    <col customWidth="1" min="14" max="24" width="11.43"/>
  </cols>
  <sheetData>
    <row r="1" ht="35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</row>
    <row r="2" ht="15.0" customHeight="1">
      <c r="A2" s="4"/>
      <c r="B2" s="4"/>
      <c r="C2" s="4"/>
      <c r="D2" s="3"/>
      <c r="E2" s="5" t="s">
        <v>1</v>
      </c>
      <c r="F2" s="6" t="str">
        <f>C13</f>
        <v>DOTERRA</v>
      </c>
      <c r="G2" s="3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  <c r="AA2" s="3"/>
      <c r="AB2" s="3"/>
    </row>
    <row r="3">
      <c r="A3" s="8"/>
      <c r="B3" s="9"/>
      <c r="C3" s="9"/>
      <c r="D3" s="3"/>
      <c r="E3" s="10" t="s">
        <v>2</v>
      </c>
      <c r="F3" s="11" t="s">
        <v>3</v>
      </c>
      <c r="G3" s="12" t="str">
        <f>F3</f>
        <v>DOT2025-003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  <c r="AA3" s="3"/>
      <c r="AB3" s="3"/>
    </row>
    <row r="4">
      <c r="A4" s="8"/>
      <c r="B4" s="8"/>
      <c r="C4" s="8"/>
      <c r="D4" s="3"/>
      <c r="E4" s="10" t="s">
        <v>4</v>
      </c>
      <c r="F4" s="13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3"/>
      <c r="AA4" s="3"/>
      <c r="AB4" s="3"/>
    </row>
    <row r="5">
      <c r="A5" s="8"/>
      <c r="B5" s="8"/>
      <c r="C5" s="8"/>
      <c r="D5" s="3"/>
      <c r="E5" s="10" t="s">
        <v>6</v>
      </c>
      <c r="F5" s="13"/>
      <c r="G5" s="3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  <c r="AA5" s="3"/>
      <c r="AB5" s="3"/>
    </row>
    <row r="6">
      <c r="A6" s="8"/>
      <c r="B6" s="8"/>
      <c r="C6" s="8"/>
      <c r="D6" s="3"/>
      <c r="E6" s="10" t="s">
        <v>7</v>
      </c>
      <c r="F6" s="13"/>
      <c r="G6" s="3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  <c r="AA6" s="3"/>
      <c r="AB6" s="3"/>
    </row>
    <row r="7">
      <c r="A7" s="8"/>
      <c r="B7" s="8"/>
      <c r="C7" s="8"/>
      <c r="D7" s="3"/>
      <c r="E7" s="10" t="s">
        <v>8</v>
      </c>
      <c r="F7" s="13"/>
      <c r="G7" s="3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3"/>
      <c r="AA7" s="3"/>
      <c r="AB7" s="3"/>
    </row>
    <row r="8">
      <c r="A8" s="8"/>
      <c r="B8" s="8"/>
      <c r="C8" s="8"/>
      <c r="D8" s="3"/>
      <c r="E8" s="14" t="s">
        <v>9</v>
      </c>
      <c r="F8" s="15"/>
      <c r="G8" s="3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3"/>
      <c r="AA8" s="3"/>
      <c r="AB8" s="3"/>
    </row>
    <row r="9">
      <c r="A9" s="8"/>
      <c r="B9" s="8"/>
      <c r="C9" s="8"/>
      <c r="D9" s="16"/>
      <c r="E9" s="16"/>
      <c r="F9" s="16"/>
      <c r="G9" s="3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/>
      <c r="Z9" s="3"/>
      <c r="AA9" s="3"/>
      <c r="AB9" s="3"/>
    </row>
    <row r="10">
      <c r="A10" s="8"/>
      <c r="B10" s="8"/>
      <c r="C10" s="8"/>
      <c r="D10" s="2"/>
      <c r="E10" s="8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"/>
      <c r="Z10" s="3"/>
      <c r="AA10" s="3"/>
      <c r="AB10" s="3"/>
    </row>
    <row r="11">
      <c r="A11" s="17" t="s">
        <v>10</v>
      </c>
      <c r="B11" s="18"/>
      <c r="C11" s="18"/>
      <c r="D11" s="18"/>
      <c r="E11" s="18"/>
      <c r="F11" s="18"/>
      <c r="G11" s="18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/>
      <c r="Z11" s="3"/>
      <c r="AA11" s="3"/>
      <c r="AB11" s="3"/>
    </row>
    <row r="12">
      <c r="A12" s="20" t="s">
        <v>11</v>
      </c>
      <c r="B12" s="21" t="s">
        <v>12</v>
      </c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  <c r="H12" s="22" t="s">
        <v>18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3"/>
      <c r="Z12" s="3"/>
      <c r="AA12" s="3"/>
      <c r="AB12" s="3"/>
    </row>
    <row r="13">
      <c r="A13" s="24" t="s">
        <v>19</v>
      </c>
      <c r="B13" s="25">
        <v>7981.0</v>
      </c>
      <c r="C13" s="26" t="s">
        <v>20</v>
      </c>
      <c r="D13" s="27" t="s">
        <v>21</v>
      </c>
      <c r="E13" s="28"/>
      <c r="F13" s="29">
        <v>1671642.5</v>
      </c>
      <c r="G13" s="30">
        <f t="shared" ref="G13:G16" si="1">F13*16%</f>
        <v>267462.8</v>
      </c>
      <c r="H13" s="31">
        <f t="shared" ref="H13:H16" si="2">SUM(F13:G13)</f>
        <v>1939105.3</v>
      </c>
      <c r="I13" s="32"/>
      <c r="J13" s="32"/>
      <c r="K13" s="32"/>
      <c r="L13" s="32"/>
      <c r="M13" s="32"/>
      <c r="N13" s="32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4"/>
      <c r="Z13" s="34"/>
      <c r="AA13" s="34"/>
      <c r="AB13" s="34"/>
    </row>
    <row r="14">
      <c r="A14" s="24" t="s">
        <v>19</v>
      </c>
      <c r="B14" s="35">
        <v>8070.0</v>
      </c>
      <c r="C14" s="36" t="s">
        <v>20</v>
      </c>
      <c r="D14" s="37" t="s">
        <v>22</v>
      </c>
      <c r="E14" s="38"/>
      <c r="F14" s="39">
        <f>2052301.58/1.16</f>
        <v>1769225.5</v>
      </c>
      <c r="G14" s="40">
        <f t="shared" si="1"/>
        <v>283076.08</v>
      </c>
      <c r="H14" s="41">
        <f t="shared" si="2"/>
        <v>2052301.58</v>
      </c>
      <c r="I14" s="32"/>
      <c r="J14" s="32"/>
      <c r="K14" s="32"/>
      <c r="L14" s="32"/>
      <c r="M14" s="32"/>
      <c r="N14" s="32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  <c r="Z14" s="34"/>
      <c r="AA14" s="34"/>
      <c r="AB14" s="34"/>
    </row>
    <row r="15">
      <c r="A15" s="24" t="s">
        <v>19</v>
      </c>
      <c r="B15" s="42">
        <v>8069.0</v>
      </c>
      <c r="C15" s="36" t="s">
        <v>20</v>
      </c>
      <c r="D15" s="43" t="s">
        <v>23</v>
      </c>
      <c r="E15" s="38"/>
      <c r="F15" s="39">
        <f>399149.69/1.16</f>
        <v>344094.5603</v>
      </c>
      <c r="G15" s="40">
        <f t="shared" si="1"/>
        <v>55055.12966</v>
      </c>
      <c r="H15" s="41">
        <f t="shared" si="2"/>
        <v>399149.69</v>
      </c>
      <c r="I15" s="32"/>
      <c r="J15" s="32"/>
      <c r="K15" s="32"/>
      <c r="L15" s="32"/>
      <c r="M15" s="32"/>
      <c r="N15" s="32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4"/>
      <c r="Z15" s="34"/>
      <c r="AA15" s="34"/>
      <c r="AB15" s="34"/>
    </row>
    <row r="16">
      <c r="A16" s="44"/>
      <c r="B16" s="45"/>
      <c r="C16" s="45"/>
      <c r="D16" s="46"/>
      <c r="E16" s="47"/>
      <c r="F16" s="48">
        <v>0.0</v>
      </c>
      <c r="G16" s="49">
        <f t="shared" si="1"/>
        <v>0</v>
      </c>
      <c r="H16" s="50">
        <f t="shared" si="2"/>
        <v>0</v>
      </c>
      <c r="I16" s="32"/>
      <c r="J16" s="32"/>
      <c r="K16" s="32"/>
      <c r="L16" s="32"/>
      <c r="M16" s="32"/>
      <c r="N16" s="32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4"/>
      <c r="Z16" s="34"/>
      <c r="AA16" s="34"/>
      <c r="AB16" s="34"/>
    </row>
    <row r="17" ht="8.25" customHeight="1">
      <c r="A17" s="51"/>
      <c r="B17" s="51"/>
      <c r="C17" s="51"/>
      <c r="D17" s="51"/>
      <c r="E17" s="51"/>
      <c r="F17" s="51"/>
      <c r="G17" s="51"/>
      <c r="H17" s="52"/>
      <c r="I17" s="52"/>
      <c r="J17" s="52"/>
      <c r="K17" s="52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ht="26.25" customHeight="1">
      <c r="A18" s="54" t="s">
        <v>24</v>
      </c>
      <c r="B18" s="55"/>
      <c r="C18" s="55"/>
      <c r="D18" s="55"/>
      <c r="E18" s="56"/>
      <c r="F18" s="57">
        <f>SUM($F$13:$F$16)</f>
        <v>3784962.56</v>
      </c>
      <c r="G18" s="57">
        <f>SUM($G$13:$G$16)</f>
        <v>605594.0097</v>
      </c>
      <c r="H18" s="58">
        <f>SUM($H$13:$H$16)</f>
        <v>4390556.57</v>
      </c>
      <c r="I18" s="59"/>
      <c r="J18" s="59"/>
      <c r="K18" s="59"/>
      <c r="L18" s="59"/>
      <c r="M18" s="59"/>
      <c r="N18" s="59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ht="26.25" customHeight="1">
      <c r="A19" s="60"/>
      <c r="B19" s="60"/>
      <c r="C19" s="53"/>
      <c r="D19" s="53"/>
      <c r="E19" s="61"/>
      <c r="F19" s="62"/>
      <c r="G19" s="62"/>
      <c r="H19" s="62"/>
      <c r="I19" s="59"/>
      <c r="J19" s="59"/>
      <c r="K19" s="59"/>
      <c r="L19" s="59"/>
      <c r="M19" s="59"/>
      <c r="N19" s="59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63" t="s">
        <v>25</v>
      </c>
      <c r="B20" s="64"/>
      <c r="C20" s="64"/>
      <c r="D20" s="64"/>
      <c r="E20" s="65"/>
      <c r="F20" s="62"/>
      <c r="G20" s="62"/>
      <c r="H20" s="62"/>
      <c r="I20" s="59"/>
      <c r="J20" s="59"/>
      <c r="K20" s="59"/>
      <c r="L20" s="59"/>
      <c r="M20" s="59"/>
      <c r="N20" s="59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 ht="26.25" customHeight="1">
      <c r="A21" s="66" t="s">
        <v>14</v>
      </c>
      <c r="B21" s="67" t="s">
        <v>16</v>
      </c>
      <c r="C21" s="68" t="s">
        <v>17</v>
      </c>
      <c r="D21" s="69" t="s">
        <v>26</v>
      </c>
      <c r="E21" s="69" t="s">
        <v>27</v>
      </c>
      <c r="F21" s="62"/>
      <c r="G21" s="62"/>
      <c r="H21" s="62"/>
      <c r="I21" s="59"/>
      <c r="J21" s="59"/>
      <c r="K21" s="59"/>
      <c r="L21" s="59"/>
      <c r="M21" s="59"/>
      <c r="N21" s="59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ht="26.25" customHeight="1">
      <c r="A22" s="70" t="str">
        <f>'SP´S'!A5</f>
        <v>SP´S</v>
      </c>
      <c r="B22" s="71">
        <f>'SP´S'!F138</f>
        <v>826051.73</v>
      </c>
      <c r="C22" s="71">
        <f>'SP´S'!G138</f>
        <v>33622.6584</v>
      </c>
      <c r="D22" s="72">
        <f>'SP´S'!H138</f>
        <v>859674.3884</v>
      </c>
      <c r="E22" s="73">
        <f t="shared" ref="E22:E26" si="3">D22/$B$32</f>
        <v>0.2271289015</v>
      </c>
      <c r="F22" s="62"/>
      <c r="G22" s="62"/>
      <c r="H22" s="62"/>
      <c r="I22" s="59"/>
      <c r="J22" s="59"/>
      <c r="K22" s="59"/>
      <c r="L22" s="59"/>
      <c r="M22" s="59"/>
      <c r="N22" s="59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ht="26.25" customHeight="1">
      <c r="A23" s="74" t="str">
        <f>'COMBUSTIBLE  PEAJE'!A5</f>
        <v>COMBUSTIBLE / PEAJE</v>
      </c>
      <c r="B23" s="75">
        <f>'COMBUSTIBLE  PEAJE'!F36</f>
        <v>26427.59</v>
      </c>
      <c r="C23" s="75">
        <f>'COMBUSTIBLE  PEAJE'!G36</f>
        <v>3923.1908</v>
      </c>
      <c r="D23" s="76">
        <f>'COMBUSTIBLE  PEAJE'!H36</f>
        <v>30350.7808</v>
      </c>
      <c r="E23" s="77">
        <f t="shared" si="3"/>
        <v>0.008018779662</v>
      </c>
      <c r="F23" s="62"/>
      <c r="G23" s="62"/>
      <c r="H23" s="62"/>
      <c r="I23" s="59"/>
      <c r="J23" s="59"/>
      <c r="K23" s="59"/>
      <c r="L23" s="59"/>
      <c r="M23" s="59"/>
      <c r="N23" s="59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 ht="26.25" customHeight="1">
      <c r="A24" s="74" t="str">
        <f>RH!A5</f>
        <v>RH</v>
      </c>
      <c r="B24" s="75">
        <f>RH!F31</f>
        <v>40552.09</v>
      </c>
      <c r="C24" s="75">
        <f>RH!G31</f>
        <v>0</v>
      </c>
      <c r="D24" s="76">
        <f>RH!H31</f>
        <v>40552.09</v>
      </c>
      <c r="E24" s="77">
        <f t="shared" si="3"/>
        <v>0.0107140003</v>
      </c>
      <c r="F24" s="62"/>
      <c r="G24" s="62"/>
      <c r="H24" s="62"/>
      <c r="I24" s="59"/>
      <c r="J24" s="59"/>
      <c r="K24" s="59"/>
      <c r="L24" s="59"/>
      <c r="M24" s="59"/>
      <c r="N24" s="59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ht="26.25" customHeight="1">
      <c r="A25" s="74" t="str">
        <f>MATERIALES!A5</f>
        <v>MATERIALES</v>
      </c>
      <c r="B25" s="75">
        <f>MATERIALES!H175</f>
        <v>411968.91</v>
      </c>
      <c r="C25" s="75">
        <f>MATERIALES!I175</f>
        <v>65915.0256</v>
      </c>
      <c r="D25" s="76">
        <f>MATERIALES!J175</f>
        <v>477883.9356</v>
      </c>
      <c r="E25" s="77">
        <f t="shared" si="3"/>
        <v>0.1262585635</v>
      </c>
      <c r="F25" s="62"/>
      <c r="G25" s="62"/>
      <c r="H25" s="62"/>
      <c r="I25" s="59"/>
      <c r="J25" s="59"/>
      <c r="K25" s="59"/>
      <c r="L25" s="59"/>
      <c r="M25" s="59"/>
      <c r="N25" s="59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ht="26.25" customHeight="1">
      <c r="A26" s="78" t="str">
        <f>PROVISIONES!A7</f>
        <v>PROVISIONES</v>
      </c>
      <c r="B26" s="79">
        <f>PROVISIONES!C53</f>
        <v>1500970.64</v>
      </c>
      <c r="C26" s="79">
        <f>PROVISIONES!D53</f>
        <v>0</v>
      </c>
      <c r="D26" s="80">
        <f>PROVISIONES!E53</f>
        <v>1500970.64</v>
      </c>
      <c r="E26" s="81">
        <f t="shared" si="3"/>
        <v>0.3965615554</v>
      </c>
      <c r="F26" s="62"/>
      <c r="G26" s="62"/>
      <c r="H26" s="62"/>
      <c r="I26" s="59"/>
      <c r="J26" s="59"/>
      <c r="K26" s="59"/>
      <c r="L26" s="59"/>
      <c r="M26" s="59"/>
      <c r="N26" s="59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ht="9.75" customHeight="1">
      <c r="A27" s="51"/>
      <c r="B27" s="51"/>
      <c r="C27" s="51"/>
      <c r="D27" s="51"/>
      <c r="E27" s="51"/>
      <c r="F27" s="51"/>
      <c r="G27" s="51"/>
      <c r="H27" s="52"/>
      <c r="I27" s="52"/>
      <c r="J27" s="52"/>
      <c r="K27" s="52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ht="26.25" customHeight="1">
      <c r="A28" s="82" t="s">
        <v>28</v>
      </c>
      <c r="B28" s="83">
        <f>SUM($B$22:$B$26)</f>
        <v>2805970.96</v>
      </c>
      <c r="C28" s="83">
        <f>SUM($C$22:$C$26)</f>
        <v>103460.8748</v>
      </c>
      <c r="D28" s="83">
        <f>SUM($D$22:$D$26)</f>
        <v>2909431.835</v>
      </c>
      <c r="E28" s="84">
        <f>SUM($E$22:$E$26)</f>
        <v>0.7686818003</v>
      </c>
      <c r="F28" s="62"/>
      <c r="G28" s="62"/>
      <c r="H28" s="62"/>
      <c r="I28" s="59"/>
      <c r="J28" s="59"/>
      <c r="K28" s="59"/>
      <c r="L28" s="59"/>
      <c r="M28" s="59"/>
      <c r="N28" s="59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ht="26.25" customHeight="1">
      <c r="A29" s="60"/>
      <c r="B29" s="60"/>
      <c r="C29" s="53"/>
      <c r="D29" s="53"/>
      <c r="E29" s="61"/>
      <c r="F29" s="62"/>
      <c r="G29" s="62"/>
      <c r="H29" s="62"/>
      <c r="I29" s="59"/>
      <c r="J29" s="59"/>
      <c r="K29" s="59"/>
      <c r="L29" s="59"/>
      <c r="M29" s="59"/>
      <c r="N29" s="59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85" t="s">
        <v>29</v>
      </c>
      <c r="B30" s="86"/>
      <c r="C30" s="87"/>
      <c r="D30" s="53"/>
      <c r="E30" s="61"/>
      <c r="F30" s="62"/>
      <c r="G30" s="62"/>
      <c r="H30" s="62"/>
      <c r="I30" s="59"/>
      <c r="J30" s="59"/>
      <c r="K30" s="59"/>
      <c r="L30" s="59"/>
      <c r="M30" s="59"/>
      <c r="N30" s="59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ht="26.25" customHeight="1">
      <c r="A31" s="88" t="s">
        <v>30</v>
      </c>
      <c r="B31" s="89" t="s">
        <v>31</v>
      </c>
      <c r="C31" s="90" t="s">
        <v>32</v>
      </c>
      <c r="D31" s="53"/>
      <c r="E31" s="61"/>
      <c r="F31" s="62"/>
      <c r="G31" s="62"/>
      <c r="H31" s="62"/>
      <c r="I31" s="59"/>
      <c r="J31" s="59"/>
      <c r="K31" s="59"/>
      <c r="L31" s="59"/>
      <c r="M31" s="59"/>
      <c r="N31" s="59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ht="26.25" customHeight="1">
      <c r="A32" s="91" t="s">
        <v>33</v>
      </c>
      <c r="B32" s="92">
        <f>F18</f>
        <v>3784962.56</v>
      </c>
      <c r="C32" s="93">
        <f>SUM(C33:C35)</f>
        <v>1</v>
      </c>
      <c r="D32" s="53"/>
      <c r="E32" s="61"/>
      <c r="F32" s="62"/>
      <c r="G32" s="62"/>
      <c r="H32" s="62"/>
      <c r="I32" s="59"/>
      <c r="J32" s="59"/>
      <c r="K32" s="59"/>
      <c r="L32" s="59"/>
      <c r="M32" s="59"/>
      <c r="N32" s="59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ht="26.25" customHeight="1">
      <c r="A33" s="94" t="s">
        <v>34</v>
      </c>
      <c r="B33" s="95">
        <f>B28</f>
        <v>2805970.96</v>
      </c>
      <c r="C33" s="96">
        <f>B33/$B$32</f>
        <v>0.7413470848</v>
      </c>
      <c r="D33" s="53"/>
      <c r="E33" s="61"/>
      <c r="F33" s="62"/>
      <c r="G33" s="62"/>
      <c r="H33" s="62"/>
      <c r="I33" s="59"/>
      <c r="J33" s="59"/>
      <c r="K33" s="59"/>
      <c r="L33" s="59"/>
      <c r="M33" s="59"/>
      <c r="N33" s="59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ht="11.25" customHeight="1">
      <c r="A34" s="51"/>
      <c r="B34" s="51"/>
      <c r="C34" s="51"/>
      <c r="D34" s="51"/>
      <c r="E34" s="51"/>
      <c r="F34" s="51"/>
      <c r="G34" s="51"/>
      <c r="H34" s="52"/>
      <c r="I34" s="52"/>
      <c r="J34" s="52"/>
      <c r="K34" s="52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ht="26.25" customHeight="1">
      <c r="A35" s="97" t="s">
        <v>35</v>
      </c>
      <c r="B35" s="98">
        <f>B32-(SUM(B33))</f>
        <v>978991.6003</v>
      </c>
      <c r="C35" s="99">
        <f>B35/B32</f>
        <v>0.2586529152</v>
      </c>
      <c r="D35" s="53"/>
      <c r="E35" s="61"/>
      <c r="F35" s="62"/>
      <c r="G35" s="62"/>
      <c r="H35" s="62"/>
      <c r="I35" s="59"/>
      <c r="J35" s="59"/>
      <c r="K35" s="59"/>
      <c r="L35" s="59"/>
      <c r="M35" s="59"/>
      <c r="N35" s="59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ht="26.25" customHeight="1">
      <c r="A36" s="60"/>
      <c r="B36" s="7"/>
      <c r="C36" s="100"/>
      <c r="D36" s="53"/>
      <c r="E36" s="61"/>
      <c r="F36" s="62"/>
      <c r="G36" s="62"/>
      <c r="H36" s="62"/>
      <c r="I36" s="59"/>
      <c r="J36" s="59"/>
      <c r="K36" s="59"/>
      <c r="L36" s="59"/>
      <c r="M36" s="59"/>
      <c r="N36" s="59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ht="26.25" customHeight="1">
      <c r="A37" s="60"/>
      <c r="B37" s="60"/>
      <c r="C37" s="53"/>
      <c r="D37" s="53"/>
      <c r="E37" s="61"/>
      <c r="F37" s="62"/>
      <c r="G37" s="62"/>
      <c r="H37" s="62"/>
      <c r="I37" s="59"/>
      <c r="J37" s="59"/>
      <c r="K37" s="59"/>
      <c r="L37" s="59"/>
      <c r="M37" s="59"/>
      <c r="N37" s="59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ht="26.25" customHeight="1">
      <c r="A38" s="60"/>
      <c r="B38" s="60"/>
      <c r="C38" s="53"/>
      <c r="D38" s="53"/>
      <c r="E38" s="61"/>
      <c r="F38" s="62"/>
      <c r="G38" s="62"/>
      <c r="H38" s="62"/>
      <c r="I38" s="59"/>
      <c r="J38" s="59"/>
      <c r="K38" s="59"/>
      <c r="L38" s="59"/>
      <c r="M38" s="59"/>
      <c r="N38" s="59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ht="29.25" customHeight="1">
      <c r="A39" s="8"/>
      <c r="B39" s="8"/>
      <c r="C39" s="8"/>
      <c r="D39" s="2"/>
      <c r="E39" s="101"/>
      <c r="F39" s="101"/>
      <c r="G39" s="101"/>
      <c r="H39" s="101"/>
      <c r="I39" s="102"/>
      <c r="J39" s="102"/>
      <c r="K39" s="102"/>
      <c r="L39" s="102"/>
      <c r="M39" s="102"/>
      <c r="N39" s="102"/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  <c r="Z39" s="3"/>
      <c r="AA39" s="3"/>
      <c r="AB39" s="3"/>
    </row>
    <row r="40">
      <c r="A40" s="2"/>
      <c r="B40" s="8"/>
      <c r="C40" s="8"/>
      <c r="D40" s="2"/>
      <c r="E40" s="103"/>
      <c r="F40" s="103"/>
      <c r="G40" s="101"/>
      <c r="H40" s="10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  <c r="Z40" s="3"/>
      <c r="AA40" s="3"/>
      <c r="AB40" s="3"/>
    </row>
    <row r="41">
      <c r="A41" s="2"/>
      <c r="B41" s="8"/>
      <c r="C41" s="8"/>
      <c r="D41" s="2"/>
      <c r="E41" s="101"/>
      <c r="F41" s="101"/>
      <c r="G41" s="101"/>
      <c r="H41" s="10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3"/>
      <c r="Z41" s="3"/>
      <c r="AA41" s="3"/>
      <c r="AB41" s="3"/>
    </row>
    <row r="42">
      <c r="A42" s="2"/>
      <c r="B42" s="8"/>
      <c r="C42" s="8"/>
      <c r="D42" s="2"/>
      <c r="E42" s="101"/>
      <c r="F42" s="101"/>
      <c r="G42" s="101"/>
      <c r="H42" s="10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"/>
      <c r="Z42" s="3"/>
      <c r="AA42" s="3"/>
      <c r="AB42" s="3"/>
    </row>
    <row r="43">
      <c r="A43" s="2"/>
      <c r="B43" s="8"/>
      <c r="C43" s="8"/>
      <c r="D43" s="2"/>
      <c r="E43" s="101"/>
      <c r="F43" s="101"/>
      <c r="G43" s="101"/>
      <c r="H43" s="10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"/>
      <c r="Z43" s="3"/>
      <c r="AA43" s="3"/>
      <c r="AB43" s="3"/>
    </row>
    <row r="44">
      <c r="A44" s="2"/>
      <c r="B44" s="8"/>
      <c r="C44" s="8"/>
      <c r="D44" s="2"/>
      <c r="E44" s="101"/>
      <c r="F44" s="101"/>
      <c r="G44" s="101"/>
      <c r="H44" s="10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3"/>
      <c r="Z44" s="3"/>
      <c r="AA44" s="3"/>
      <c r="AB44" s="3"/>
    </row>
    <row r="45">
      <c r="A45" s="8"/>
      <c r="B45" s="8"/>
      <c r="C45" s="8"/>
      <c r="D45" s="2"/>
      <c r="E45" s="8"/>
      <c r="F45" s="8"/>
      <c r="G45" s="8"/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  <c r="Z45" s="3"/>
      <c r="AA45" s="3"/>
      <c r="AB45" s="3"/>
    </row>
    <row r="46">
      <c r="A46" s="8"/>
      <c r="B46" s="8"/>
      <c r="C46" s="8"/>
      <c r="D46" s="2"/>
      <c r="E46" s="8"/>
      <c r="F46" s="8"/>
      <c r="G46" s="8"/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3"/>
      <c r="AA46" s="3"/>
      <c r="AB46" s="3"/>
    </row>
    <row r="47">
      <c r="A47" s="8"/>
      <c r="B47" s="8"/>
      <c r="C47" s="8"/>
      <c r="D47" s="2"/>
      <c r="E47" s="8"/>
      <c r="F47" s="8"/>
      <c r="G47" s="8"/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3"/>
      <c r="AA47" s="3"/>
      <c r="AB47" s="3"/>
    </row>
    <row r="48">
      <c r="A48" s="8"/>
      <c r="B48" s="8"/>
      <c r="C48" s="8"/>
      <c r="D48" s="2"/>
      <c r="E48" s="8"/>
      <c r="F48" s="8"/>
      <c r="G48" s="8"/>
      <c r="H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  <c r="Z48" s="3"/>
      <c r="AA48" s="3"/>
      <c r="AB48" s="3"/>
    </row>
    <row r="49">
      <c r="A49" s="8"/>
      <c r="B49" s="8"/>
      <c r="C49" s="8"/>
      <c r="D49" s="2"/>
      <c r="E49" s="8"/>
      <c r="F49" s="8"/>
      <c r="G49" s="8"/>
      <c r="H49" s="8"/>
      <c r="I49" s="2"/>
      <c r="J49" s="2"/>
      <c r="K49" s="3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3"/>
      <c r="AA49" s="3"/>
      <c r="AB49" s="3"/>
    </row>
    <row r="50">
      <c r="A50" s="8"/>
      <c r="B50" s="8"/>
      <c r="C50" s="8"/>
      <c r="D50" s="2"/>
      <c r="E50" s="8"/>
      <c r="F50" s="8"/>
      <c r="G50" s="8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  <c r="Z50" s="3"/>
      <c r="AA50" s="3"/>
      <c r="AB50" s="3"/>
    </row>
    <row r="51">
      <c r="A51" s="8"/>
      <c r="B51" s="8"/>
      <c r="C51" s="8"/>
      <c r="D51" s="2"/>
      <c r="E51" s="8"/>
      <c r="F51" s="8"/>
      <c r="G51" s="8"/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  <c r="Z51" s="3"/>
      <c r="AA51" s="3"/>
      <c r="AB51" s="3"/>
    </row>
    <row r="52">
      <c r="A52" s="8"/>
      <c r="B52" s="8"/>
      <c r="C52" s="8"/>
      <c r="D52" s="2"/>
      <c r="E52" s="8"/>
      <c r="F52" s="8"/>
      <c r="G52" s="8"/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3"/>
      <c r="AA52" s="3"/>
      <c r="AB52" s="3"/>
    </row>
    <row r="53">
      <c r="A53" s="8"/>
      <c r="B53" s="8"/>
      <c r="C53" s="8"/>
      <c r="D53" s="2"/>
      <c r="E53" s="8"/>
      <c r="F53" s="8"/>
      <c r="G53" s="8"/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3"/>
      <c r="AA53" s="3"/>
      <c r="AB53" s="3"/>
    </row>
    <row r="54">
      <c r="A54" s="8"/>
      <c r="B54" s="8"/>
      <c r="C54" s="8"/>
      <c r="D54" s="2"/>
      <c r="E54" s="8"/>
      <c r="F54" s="8"/>
      <c r="G54" s="8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3"/>
      <c r="AA54" s="3"/>
      <c r="AB54" s="3"/>
    </row>
    <row r="55">
      <c r="A55" s="8"/>
      <c r="B55" s="8"/>
      <c r="C55" s="8"/>
      <c r="D55" s="2"/>
      <c r="E55" s="8"/>
      <c r="F55" s="8"/>
      <c r="G55" s="8"/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3"/>
      <c r="AA55" s="3"/>
      <c r="AB55" s="3"/>
    </row>
    <row r="56">
      <c r="A56" s="8"/>
      <c r="B56" s="8"/>
      <c r="C56" s="8"/>
      <c r="D56" s="2"/>
      <c r="E56" s="8"/>
      <c r="F56" s="8"/>
      <c r="G56" s="8"/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3"/>
      <c r="AA56" s="3"/>
      <c r="AB56" s="3"/>
    </row>
    <row r="57">
      <c r="A57" s="8"/>
      <c r="B57" s="8"/>
      <c r="C57" s="8"/>
      <c r="D57" s="2"/>
      <c r="E57" s="8"/>
      <c r="F57" s="8"/>
      <c r="G57" s="8"/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3"/>
      <c r="AA57" s="3"/>
      <c r="AB57" s="3"/>
    </row>
    <row r="58">
      <c r="A58" s="8"/>
      <c r="B58" s="8"/>
      <c r="C58" s="8"/>
      <c r="D58" s="2"/>
      <c r="E58" s="8"/>
      <c r="F58" s="8"/>
      <c r="G58" s="8"/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3"/>
      <c r="AA58" s="3"/>
      <c r="AB58" s="3"/>
    </row>
    <row r="59">
      <c r="A59" s="8"/>
      <c r="B59" s="8"/>
      <c r="C59" s="8"/>
      <c r="D59" s="2"/>
      <c r="E59" s="8"/>
      <c r="F59" s="8"/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3"/>
      <c r="AA59" s="3"/>
      <c r="AB59" s="3"/>
    </row>
    <row r="60">
      <c r="A60" s="8"/>
      <c r="B60" s="8"/>
      <c r="C60" s="8"/>
      <c r="D60" s="2"/>
      <c r="E60" s="8"/>
      <c r="F60" s="8"/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3"/>
      <c r="AA60" s="3"/>
      <c r="AB60" s="3"/>
    </row>
    <row r="61">
      <c r="A61" s="8"/>
      <c r="B61" s="8"/>
      <c r="C61" s="8"/>
      <c r="D61" s="2"/>
      <c r="E61" s="8"/>
      <c r="F61" s="8"/>
      <c r="G61" s="8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3"/>
      <c r="AA61" s="3"/>
      <c r="AB61" s="3"/>
    </row>
    <row r="62">
      <c r="A62" s="8"/>
      <c r="B62" s="8"/>
      <c r="C62" s="8"/>
      <c r="D62" s="2"/>
      <c r="E62" s="8"/>
      <c r="F62" s="8"/>
      <c r="G62" s="8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3"/>
      <c r="AA62" s="3"/>
      <c r="AB62" s="3"/>
    </row>
    <row r="63">
      <c r="A63" s="8"/>
      <c r="B63" s="8"/>
      <c r="C63" s="8"/>
      <c r="D63" s="2"/>
      <c r="E63" s="8"/>
      <c r="F63" s="8"/>
      <c r="G63" s="8"/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3"/>
      <c r="AA63" s="3"/>
      <c r="AB63" s="3"/>
    </row>
    <row r="64">
      <c r="A64" s="8"/>
      <c r="B64" s="8"/>
      <c r="C64" s="8"/>
      <c r="D64" s="2"/>
      <c r="E64" s="8"/>
      <c r="F64" s="8"/>
      <c r="G64" s="8"/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3"/>
      <c r="AA64" s="3"/>
      <c r="AB64" s="3"/>
    </row>
    <row r="65">
      <c r="A65" s="8"/>
      <c r="B65" s="8"/>
      <c r="C65" s="8"/>
      <c r="D65" s="2"/>
      <c r="E65" s="8"/>
      <c r="F65" s="8"/>
      <c r="G65" s="8"/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3"/>
      <c r="AA65" s="3"/>
      <c r="AB65" s="3"/>
    </row>
    <row r="66">
      <c r="A66" s="8"/>
      <c r="B66" s="8"/>
      <c r="C66" s="8"/>
      <c r="D66" s="2"/>
      <c r="E66" s="8"/>
      <c r="F66" s="8"/>
      <c r="G66" s="8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  <c r="Z66" s="3"/>
      <c r="AA66" s="3"/>
      <c r="AB66" s="3"/>
    </row>
    <row r="67">
      <c r="A67" s="8"/>
      <c r="B67" s="8"/>
      <c r="C67" s="8"/>
      <c r="D67" s="2"/>
      <c r="E67" s="8"/>
      <c r="F67" s="8"/>
      <c r="G67" s="8"/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"/>
      <c r="Z67" s="3"/>
      <c r="AA67" s="3"/>
      <c r="AB67" s="3"/>
    </row>
    <row r="68">
      <c r="A68" s="8"/>
      <c r="B68" s="8"/>
      <c r="C68" s="8"/>
      <c r="D68" s="2"/>
      <c r="E68" s="8"/>
      <c r="F68" s="8"/>
      <c r="G68" s="8"/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"/>
      <c r="Z68" s="3"/>
      <c r="AA68" s="3"/>
      <c r="AB68" s="3"/>
    </row>
    <row r="69">
      <c r="A69" s="8"/>
      <c r="B69" s="8"/>
      <c r="C69" s="8"/>
      <c r="D69" s="2"/>
      <c r="E69" s="8"/>
      <c r="F69" s="8"/>
      <c r="G69" s="8"/>
      <c r="H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  <c r="Z69" s="3"/>
      <c r="AA69" s="3"/>
      <c r="AB69" s="3"/>
    </row>
    <row r="70">
      <c r="A70" s="8"/>
      <c r="B70" s="8"/>
      <c r="C70" s="8"/>
      <c r="D70" s="2"/>
      <c r="E70" s="8"/>
      <c r="F70" s="8"/>
      <c r="G70" s="8"/>
      <c r="H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  <c r="Z70" s="3"/>
      <c r="AA70" s="3"/>
      <c r="AB70" s="3"/>
    </row>
    <row r="71">
      <c r="A71" s="8"/>
      <c r="B71" s="8"/>
      <c r="C71" s="8"/>
      <c r="D71" s="2"/>
      <c r="E71" s="8"/>
      <c r="F71" s="8"/>
      <c r="G71" s="8"/>
      <c r="H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3"/>
      <c r="AA71" s="3"/>
      <c r="AB71" s="3"/>
    </row>
    <row r="72">
      <c r="A72" s="8"/>
      <c r="B72" s="8"/>
      <c r="C72" s="8"/>
      <c r="D72" s="2"/>
      <c r="E72" s="8"/>
      <c r="F72" s="8"/>
      <c r="G72" s="8"/>
      <c r="H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  <c r="Z72" s="3"/>
      <c r="AA72" s="3"/>
      <c r="AB72" s="3"/>
    </row>
    <row r="73">
      <c r="A73" s="8"/>
      <c r="B73" s="8"/>
      <c r="C73" s="8"/>
      <c r="D73" s="2"/>
      <c r="E73" s="8"/>
      <c r="F73" s="8"/>
      <c r="G73" s="8"/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  <c r="Z73" s="3"/>
      <c r="AA73" s="3"/>
      <c r="AB73" s="3"/>
    </row>
    <row r="74">
      <c r="A74" s="8"/>
      <c r="B74" s="8"/>
      <c r="C74" s="8"/>
      <c r="D74" s="2"/>
      <c r="E74" s="8"/>
      <c r="F74" s="8"/>
      <c r="G74" s="8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  <c r="Z74" s="3"/>
      <c r="AA74" s="3"/>
      <c r="AB74" s="3"/>
    </row>
    <row r="75">
      <c r="A75" s="8"/>
      <c r="B75" s="8"/>
      <c r="C75" s="8"/>
      <c r="D75" s="2"/>
      <c r="E75" s="8"/>
      <c r="F75" s="8"/>
      <c r="G75" s="8"/>
      <c r="H75" s="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3"/>
      <c r="Z75" s="3"/>
      <c r="AA75" s="3"/>
      <c r="AB75" s="3"/>
    </row>
    <row r="76">
      <c r="A76" s="8"/>
      <c r="B76" s="8"/>
      <c r="C76" s="8"/>
      <c r="D76" s="2"/>
      <c r="E76" s="8"/>
      <c r="F76" s="8"/>
      <c r="G76" s="8"/>
      <c r="H76" s="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  <c r="Z76" s="3"/>
      <c r="AA76" s="3"/>
      <c r="AB76" s="3"/>
    </row>
    <row r="77">
      <c r="A77" s="8"/>
      <c r="B77" s="8"/>
      <c r="C77" s="8"/>
      <c r="D77" s="2"/>
      <c r="E77" s="8"/>
      <c r="F77" s="8"/>
      <c r="G77" s="8"/>
      <c r="H77" s="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  <c r="Z77" s="3"/>
      <c r="AA77" s="3"/>
      <c r="AB77" s="3"/>
    </row>
    <row r="78">
      <c r="A78" s="8"/>
      <c r="B78" s="8"/>
      <c r="C78" s="8"/>
      <c r="D78" s="2"/>
      <c r="E78" s="8"/>
      <c r="F78" s="8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  <c r="Z78" s="3"/>
      <c r="AA78" s="3"/>
      <c r="AB78" s="3"/>
    </row>
    <row r="79">
      <c r="A79" s="8"/>
      <c r="B79" s="8"/>
      <c r="C79" s="8"/>
      <c r="D79" s="2"/>
      <c r="E79" s="8"/>
      <c r="F79" s="8"/>
      <c r="G79" s="8"/>
      <c r="H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"/>
      <c r="Z79" s="3"/>
      <c r="AA79" s="3"/>
      <c r="AB79" s="3"/>
    </row>
    <row r="80">
      <c r="A80" s="8"/>
      <c r="B80" s="8"/>
      <c r="C80" s="8"/>
      <c r="D80" s="2"/>
      <c r="E80" s="8"/>
      <c r="F80" s="8"/>
      <c r="G80" s="8"/>
      <c r="H80" s="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3"/>
      <c r="Z80" s="3"/>
      <c r="AA80" s="3"/>
      <c r="AB80" s="3"/>
    </row>
    <row r="81">
      <c r="A81" s="8"/>
      <c r="B81" s="8"/>
      <c r="C81" s="8"/>
      <c r="D81" s="2"/>
      <c r="E81" s="8"/>
      <c r="F81" s="8"/>
      <c r="G81" s="8"/>
      <c r="H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3"/>
      <c r="Z81" s="3"/>
      <c r="AA81" s="3"/>
      <c r="AB81" s="3"/>
    </row>
    <row r="82">
      <c r="A82" s="8"/>
      <c r="B82" s="8"/>
      <c r="C82" s="8"/>
      <c r="D82" s="2"/>
      <c r="E82" s="8"/>
      <c r="F82" s="8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3"/>
      <c r="Z82" s="3"/>
      <c r="AA82" s="3"/>
      <c r="AB82" s="3"/>
    </row>
    <row r="83">
      <c r="A83" s="8"/>
      <c r="B83" s="8"/>
      <c r="C83" s="8"/>
      <c r="D83" s="2"/>
      <c r="E83" s="8"/>
      <c r="F83" s="8"/>
      <c r="G83" s="8"/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3"/>
      <c r="Z83" s="3"/>
      <c r="AA83" s="3"/>
      <c r="AB83" s="3"/>
    </row>
    <row r="84">
      <c r="A84" s="8"/>
      <c r="B84" s="8"/>
      <c r="C84" s="8"/>
      <c r="D84" s="2"/>
      <c r="E84" s="8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3"/>
      <c r="Z84" s="3"/>
      <c r="AA84" s="3"/>
      <c r="AB84" s="3"/>
    </row>
    <row r="85">
      <c r="A85" s="8"/>
      <c r="B85" s="8"/>
      <c r="C85" s="8"/>
      <c r="D85" s="2"/>
      <c r="E85" s="8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3"/>
      <c r="Z85" s="3"/>
      <c r="AA85" s="3"/>
      <c r="AB85" s="3"/>
    </row>
    <row r="86">
      <c r="A86" s="8"/>
      <c r="B86" s="8"/>
      <c r="C86" s="8"/>
      <c r="D86" s="2"/>
      <c r="E86" s="8"/>
      <c r="F86" s="8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3"/>
      <c r="Z86" s="3"/>
      <c r="AA86" s="3"/>
      <c r="AB86" s="3"/>
    </row>
    <row r="87">
      <c r="A87" s="8"/>
      <c r="B87" s="8"/>
      <c r="C87" s="8"/>
      <c r="D87" s="2"/>
      <c r="E87" s="8"/>
      <c r="F87" s="8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3"/>
      <c r="Z87" s="3"/>
      <c r="AA87" s="3"/>
      <c r="AB87" s="3"/>
    </row>
    <row r="88">
      <c r="A88" s="8"/>
      <c r="B88" s="8"/>
      <c r="C88" s="8"/>
      <c r="D88" s="2"/>
      <c r="E88" s="8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3"/>
      <c r="Z88" s="3"/>
      <c r="AA88" s="3"/>
      <c r="AB88" s="3"/>
    </row>
    <row r="89">
      <c r="A89" s="8"/>
      <c r="B89" s="8"/>
      <c r="C89" s="8"/>
      <c r="D89" s="2"/>
      <c r="E89" s="8"/>
      <c r="F89" s="8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3"/>
      <c r="Z89" s="3"/>
      <c r="AA89" s="3"/>
      <c r="AB89" s="3"/>
    </row>
    <row r="90">
      <c r="A90" s="8"/>
      <c r="B90" s="8"/>
      <c r="C90" s="8"/>
      <c r="D90" s="2"/>
      <c r="E90" s="8"/>
      <c r="F90" s="8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3"/>
      <c r="Z90" s="3"/>
      <c r="AA90" s="3"/>
      <c r="AB90" s="3"/>
    </row>
    <row r="91">
      <c r="A91" s="8"/>
      <c r="B91" s="8"/>
      <c r="C91" s="8"/>
      <c r="D91" s="2"/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3"/>
      <c r="Z91" s="3"/>
      <c r="AA91" s="3"/>
      <c r="AB91" s="3"/>
    </row>
    <row r="92">
      <c r="A92" s="8"/>
      <c r="B92" s="8"/>
      <c r="C92" s="8"/>
      <c r="D92" s="2"/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3"/>
      <c r="Z92" s="3"/>
      <c r="AA92" s="3"/>
      <c r="AB92" s="3"/>
    </row>
    <row r="93">
      <c r="A93" s="8"/>
      <c r="B93" s="8"/>
      <c r="C93" s="8"/>
      <c r="D93" s="2"/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3"/>
      <c r="Z93" s="3"/>
      <c r="AA93" s="3"/>
      <c r="AB93" s="3"/>
    </row>
    <row r="94">
      <c r="A94" s="8"/>
      <c r="B94" s="8"/>
      <c r="C94" s="8"/>
      <c r="D94" s="2"/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3"/>
      <c r="Z94" s="3"/>
      <c r="AA94" s="3"/>
      <c r="AB94" s="3"/>
    </row>
    <row r="95">
      <c r="A95" s="8"/>
      <c r="B95" s="8"/>
      <c r="C95" s="8"/>
      <c r="D95" s="2"/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3"/>
      <c r="Z95" s="3"/>
      <c r="AA95" s="3"/>
      <c r="AB95" s="3"/>
    </row>
    <row r="96">
      <c r="A96" s="8"/>
      <c r="B96" s="8"/>
      <c r="C96" s="8"/>
      <c r="D96" s="2"/>
      <c r="E96" s="8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3"/>
      <c r="Z96" s="3"/>
      <c r="AA96" s="3"/>
      <c r="AB96" s="3"/>
    </row>
    <row r="97">
      <c r="A97" s="8"/>
      <c r="B97" s="8"/>
      <c r="C97" s="8"/>
      <c r="D97" s="2"/>
      <c r="E97" s="8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3"/>
      <c r="Z97" s="3"/>
      <c r="AA97" s="3"/>
      <c r="AB97" s="3"/>
    </row>
    <row r="98">
      <c r="A98" s="8"/>
      <c r="B98" s="8"/>
      <c r="C98" s="8"/>
      <c r="D98" s="2"/>
      <c r="E98" s="8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3"/>
      <c r="Z98" s="3"/>
      <c r="AA98" s="3"/>
      <c r="AB98" s="3"/>
    </row>
    <row r="99">
      <c r="A99" s="8"/>
      <c r="B99" s="8"/>
      <c r="C99" s="8"/>
      <c r="D99" s="2"/>
      <c r="E99" s="8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3"/>
      <c r="Z99" s="3"/>
      <c r="AA99" s="3"/>
      <c r="AB99" s="3"/>
    </row>
    <row r="100">
      <c r="A100" s="8"/>
      <c r="B100" s="8"/>
      <c r="C100" s="8"/>
      <c r="D100" s="2"/>
      <c r="E100" s="8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3"/>
      <c r="Z100" s="3"/>
      <c r="AA100" s="3"/>
      <c r="AB100" s="3"/>
    </row>
    <row r="101">
      <c r="A101" s="8"/>
      <c r="B101" s="8"/>
      <c r="C101" s="8"/>
      <c r="D101" s="2"/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3"/>
      <c r="Z101" s="3"/>
      <c r="AA101" s="3"/>
      <c r="AB101" s="3"/>
    </row>
    <row r="102">
      <c r="A102" s="8"/>
      <c r="B102" s="8"/>
      <c r="C102" s="8"/>
      <c r="D102" s="2"/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3"/>
      <c r="Z102" s="3"/>
      <c r="AA102" s="3"/>
      <c r="AB102" s="3"/>
    </row>
    <row r="103">
      <c r="A103" s="8"/>
      <c r="B103" s="8"/>
      <c r="C103" s="8"/>
      <c r="D103" s="2"/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3"/>
      <c r="Z103" s="3"/>
      <c r="AA103" s="3"/>
      <c r="AB103" s="3"/>
    </row>
    <row r="104">
      <c r="A104" s="8"/>
      <c r="B104" s="8"/>
      <c r="C104" s="8"/>
      <c r="D104" s="2"/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3"/>
      <c r="Z104" s="3"/>
      <c r="AA104" s="3"/>
      <c r="AB104" s="3"/>
    </row>
    <row r="105">
      <c r="A105" s="8"/>
      <c r="B105" s="8"/>
      <c r="C105" s="8"/>
      <c r="D105" s="2"/>
      <c r="E105" s="8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3"/>
      <c r="Z105" s="3"/>
      <c r="AA105" s="3"/>
      <c r="AB105" s="3"/>
    </row>
    <row r="106">
      <c r="A106" s="8"/>
      <c r="B106" s="8"/>
      <c r="C106" s="8"/>
      <c r="D106" s="2"/>
      <c r="E106" s="8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3"/>
      <c r="Z106" s="3"/>
      <c r="AA106" s="3"/>
      <c r="AB106" s="3"/>
    </row>
    <row r="107">
      <c r="A107" s="8"/>
      <c r="B107" s="8"/>
      <c r="C107" s="8"/>
      <c r="D107" s="2"/>
      <c r="E107" s="8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3"/>
      <c r="Z107" s="3"/>
      <c r="AA107" s="3"/>
      <c r="AB107" s="3"/>
    </row>
    <row r="108">
      <c r="A108" s="8"/>
      <c r="B108" s="8"/>
      <c r="C108" s="8"/>
      <c r="D108" s="2"/>
      <c r="E108" s="8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3"/>
      <c r="Z108" s="3"/>
      <c r="AA108" s="3"/>
      <c r="AB108" s="3"/>
    </row>
    <row r="109">
      <c r="A109" s="8"/>
      <c r="B109" s="8"/>
      <c r="C109" s="8"/>
      <c r="D109" s="2"/>
      <c r="E109" s="8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3"/>
      <c r="Z109" s="3"/>
      <c r="AA109" s="3"/>
      <c r="AB109" s="3"/>
    </row>
    <row r="110">
      <c r="A110" s="8"/>
      <c r="B110" s="8"/>
      <c r="C110" s="8"/>
      <c r="D110" s="2"/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3"/>
      <c r="Z110" s="3"/>
      <c r="AA110" s="3"/>
      <c r="AB110" s="3"/>
    </row>
    <row r="111">
      <c r="A111" s="8"/>
      <c r="B111" s="8"/>
      <c r="C111" s="8"/>
      <c r="D111" s="2"/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3"/>
      <c r="Z111" s="3"/>
      <c r="AA111" s="3"/>
      <c r="AB111" s="3"/>
    </row>
    <row r="112">
      <c r="A112" s="8"/>
      <c r="B112" s="8"/>
      <c r="C112" s="8"/>
      <c r="D112" s="2"/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3"/>
      <c r="Z112" s="3"/>
      <c r="AA112" s="3"/>
      <c r="AB112" s="3"/>
    </row>
    <row r="113">
      <c r="A113" s="8"/>
      <c r="B113" s="8"/>
      <c r="C113" s="8"/>
      <c r="D113" s="2"/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"/>
      <c r="Z113" s="3"/>
      <c r="AA113" s="3"/>
      <c r="AB113" s="3"/>
    </row>
    <row r="114">
      <c r="A114" s="8"/>
      <c r="B114" s="8"/>
      <c r="C114" s="8"/>
      <c r="D114" s="2"/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3"/>
      <c r="Z114" s="3"/>
      <c r="AA114" s="3"/>
      <c r="AB114" s="3"/>
    </row>
    <row r="115">
      <c r="A115" s="8"/>
      <c r="B115" s="8"/>
      <c r="C115" s="8"/>
      <c r="D115" s="2"/>
      <c r="E115" s="8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3"/>
      <c r="Z115" s="3"/>
      <c r="AA115" s="3"/>
      <c r="AB115" s="3"/>
    </row>
    <row r="116">
      <c r="A116" s="8"/>
      <c r="B116" s="8"/>
      <c r="C116" s="8"/>
      <c r="D116" s="2"/>
      <c r="E116" s="8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"/>
      <c r="Z116" s="3"/>
      <c r="AA116" s="3"/>
      <c r="AB116" s="3"/>
    </row>
    <row r="117">
      <c r="A117" s="8"/>
      <c r="B117" s="8"/>
      <c r="C117" s="8"/>
      <c r="D117" s="2"/>
      <c r="E117" s="8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"/>
      <c r="Z117" s="3"/>
      <c r="AA117" s="3"/>
      <c r="AB117" s="3"/>
    </row>
    <row r="118">
      <c r="A118" s="8"/>
      <c r="B118" s="8"/>
      <c r="C118" s="8"/>
      <c r="D118" s="2"/>
      <c r="E118" s="8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3"/>
      <c r="Z118" s="3"/>
      <c r="AA118" s="3"/>
      <c r="AB118" s="3"/>
    </row>
    <row r="119">
      <c r="A119" s="8"/>
      <c r="B119" s="8"/>
      <c r="C119" s="8"/>
      <c r="D119" s="2"/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3"/>
      <c r="Z119" s="3"/>
      <c r="AA119" s="3"/>
      <c r="AB119" s="3"/>
    </row>
    <row r="120">
      <c r="A120" s="8"/>
      <c r="B120" s="8"/>
      <c r="C120" s="8"/>
      <c r="D120" s="2"/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3"/>
      <c r="Z120" s="3"/>
      <c r="AA120" s="3"/>
      <c r="AB120" s="3"/>
    </row>
    <row r="121">
      <c r="A121" s="8"/>
      <c r="B121" s="8"/>
      <c r="C121" s="8"/>
      <c r="D121" s="2"/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"/>
      <c r="Z121" s="3"/>
      <c r="AA121" s="3"/>
      <c r="AB121" s="3"/>
    </row>
    <row r="122">
      <c r="A122" s="8"/>
      <c r="B122" s="8"/>
      <c r="C122" s="8"/>
      <c r="D122" s="2"/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3"/>
      <c r="Z122" s="3"/>
      <c r="AA122" s="3"/>
      <c r="AB122" s="3"/>
    </row>
    <row r="123">
      <c r="A123" s="8"/>
      <c r="B123" s="8"/>
      <c r="C123" s="8"/>
      <c r="D123" s="2"/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"/>
      <c r="Z123" s="3"/>
      <c r="AA123" s="3"/>
      <c r="AB123" s="3"/>
    </row>
    <row r="124">
      <c r="A124" s="8"/>
      <c r="B124" s="8"/>
      <c r="C124" s="8"/>
      <c r="D124" s="2"/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3"/>
      <c r="Z124" s="3"/>
      <c r="AA124" s="3"/>
      <c r="AB124" s="3"/>
    </row>
    <row r="125">
      <c r="A125" s="8"/>
      <c r="B125" s="8"/>
      <c r="C125" s="8"/>
      <c r="D125" s="2"/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3"/>
      <c r="Z125" s="3"/>
      <c r="AA125" s="3"/>
      <c r="AB125" s="3"/>
    </row>
    <row r="126">
      <c r="A126" s="8"/>
      <c r="B126" s="8"/>
      <c r="C126" s="8"/>
      <c r="D126" s="2"/>
      <c r="E126" s="8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"/>
      <c r="Z126" s="3"/>
      <c r="AA126" s="3"/>
      <c r="AB126" s="3"/>
    </row>
    <row r="127">
      <c r="A127" s="8"/>
      <c r="B127" s="8"/>
      <c r="C127" s="8"/>
      <c r="D127" s="2"/>
      <c r="E127" s="8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3"/>
      <c r="Z127" s="3"/>
      <c r="AA127" s="3"/>
      <c r="AB127" s="3"/>
    </row>
    <row r="128">
      <c r="A128" s="8"/>
      <c r="B128" s="8"/>
      <c r="C128" s="8"/>
      <c r="D128" s="2"/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/>
      <c r="Z128" s="3"/>
      <c r="AA128" s="3"/>
      <c r="AB128" s="3"/>
    </row>
    <row r="129">
      <c r="A129" s="8"/>
      <c r="B129" s="8"/>
      <c r="C129" s="8"/>
      <c r="D129" s="2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3"/>
      <c r="Z129" s="3"/>
      <c r="AA129" s="3"/>
      <c r="AB129" s="3"/>
    </row>
    <row r="130">
      <c r="A130" s="8"/>
      <c r="B130" s="8"/>
      <c r="C130" s="8"/>
      <c r="D130" s="2"/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3"/>
      <c r="Z130" s="3"/>
      <c r="AA130" s="3"/>
      <c r="AB130" s="3"/>
    </row>
    <row r="131">
      <c r="A131" s="8"/>
      <c r="B131" s="8"/>
      <c r="C131" s="8"/>
      <c r="D131" s="2"/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3"/>
      <c r="Z131" s="3"/>
      <c r="AA131" s="3"/>
      <c r="AB131" s="3"/>
    </row>
    <row r="132">
      <c r="A132" s="8"/>
      <c r="B132" s="8"/>
      <c r="C132" s="8"/>
      <c r="D132" s="2"/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3"/>
      <c r="Z132" s="3"/>
      <c r="AA132" s="3"/>
      <c r="AB132" s="3"/>
    </row>
    <row r="133">
      <c r="A133" s="8"/>
      <c r="B133" s="8"/>
      <c r="C133" s="8"/>
      <c r="D133" s="2"/>
      <c r="E133" s="8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3"/>
      <c r="Z133" s="3"/>
      <c r="AA133" s="3"/>
      <c r="AB133" s="3"/>
    </row>
    <row r="134">
      <c r="A134" s="8"/>
      <c r="B134" s="8"/>
      <c r="C134" s="8"/>
      <c r="D134" s="2"/>
      <c r="E134" s="8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3"/>
      <c r="Z134" s="3"/>
      <c r="AA134" s="3"/>
      <c r="AB134" s="3"/>
    </row>
    <row r="135">
      <c r="A135" s="8"/>
      <c r="B135" s="8"/>
      <c r="C135" s="8"/>
      <c r="D135" s="2"/>
      <c r="E135" s="8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3"/>
      <c r="Z135" s="3"/>
      <c r="AA135" s="3"/>
      <c r="AB135" s="3"/>
    </row>
    <row r="136">
      <c r="A136" s="8"/>
      <c r="B136" s="8"/>
      <c r="C136" s="8"/>
      <c r="D136" s="2"/>
      <c r="E136" s="8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3"/>
      <c r="Z136" s="3"/>
      <c r="AA136" s="3"/>
      <c r="AB136" s="3"/>
    </row>
    <row r="137">
      <c r="A137" s="8"/>
      <c r="B137" s="8"/>
      <c r="C137" s="8"/>
      <c r="D137" s="2"/>
      <c r="E137" s="8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3"/>
      <c r="Z137" s="3"/>
      <c r="AA137" s="3"/>
      <c r="AB137" s="3"/>
    </row>
    <row r="138">
      <c r="A138" s="8"/>
      <c r="B138" s="8"/>
      <c r="C138" s="8"/>
      <c r="D138" s="2"/>
      <c r="E138" s="8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3"/>
      <c r="Z138" s="3"/>
      <c r="AA138" s="3"/>
      <c r="AB138" s="3"/>
    </row>
    <row r="139">
      <c r="A139" s="8"/>
      <c r="B139" s="8"/>
      <c r="C139" s="8"/>
      <c r="D139" s="2"/>
      <c r="E139" s="8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3"/>
      <c r="Z139" s="3"/>
      <c r="AA139" s="3"/>
      <c r="AB139" s="3"/>
    </row>
    <row r="140">
      <c r="A140" s="8"/>
      <c r="B140" s="8"/>
      <c r="C140" s="8"/>
      <c r="D140" s="2"/>
      <c r="E140" s="8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3"/>
      <c r="Z140" s="3"/>
      <c r="AA140" s="3"/>
      <c r="AB140" s="3"/>
    </row>
    <row r="141">
      <c r="A141" s="8"/>
      <c r="B141" s="8"/>
      <c r="C141" s="8"/>
      <c r="D141" s="2"/>
      <c r="E141" s="8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3"/>
      <c r="Z141" s="3"/>
      <c r="AA141" s="3"/>
      <c r="AB141" s="3"/>
    </row>
    <row r="142">
      <c r="A142" s="8"/>
      <c r="B142" s="8"/>
      <c r="C142" s="8"/>
      <c r="D142" s="2"/>
      <c r="E142" s="8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3"/>
      <c r="Z142" s="3"/>
      <c r="AA142" s="3"/>
      <c r="AB142" s="3"/>
    </row>
    <row r="143">
      <c r="A143" s="8"/>
      <c r="B143" s="8"/>
      <c r="C143" s="8"/>
      <c r="D143" s="2"/>
      <c r="E143" s="8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3"/>
      <c r="Z143" s="3"/>
      <c r="AA143" s="3"/>
      <c r="AB143" s="3"/>
    </row>
    <row r="144">
      <c r="A144" s="8"/>
      <c r="B144" s="8"/>
      <c r="C144" s="8"/>
      <c r="D144" s="2"/>
      <c r="E144" s="8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3"/>
      <c r="Z144" s="3"/>
      <c r="AA144" s="3"/>
      <c r="AB144" s="3"/>
    </row>
    <row r="145">
      <c r="A145" s="8"/>
      <c r="B145" s="8"/>
      <c r="C145" s="8"/>
      <c r="D145" s="2"/>
      <c r="E145" s="8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3"/>
      <c r="Z145" s="3"/>
      <c r="AA145" s="3"/>
      <c r="AB145" s="3"/>
    </row>
    <row r="146">
      <c r="A146" s="8"/>
      <c r="B146" s="8"/>
      <c r="C146" s="8"/>
      <c r="D146" s="2"/>
      <c r="E146" s="8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3"/>
      <c r="Z146" s="3"/>
      <c r="AA146" s="3"/>
      <c r="AB146" s="3"/>
    </row>
    <row r="147">
      <c r="A147" s="8"/>
      <c r="B147" s="8"/>
      <c r="C147" s="8"/>
      <c r="D147" s="2"/>
      <c r="E147" s="8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3"/>
      <c r="Z147" s="3"/>
      <c r="AA147" s="3"/>
      <c r="AB147" s="3"/>
    </row>
    <row r="148">
      <c r="A148" s="8"/>
      <c r="B148" s="8"/>
      <c r="C148" s="8"/>
      <c r="D148" s="2"/>
      <c r="E148" s="8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3"/>
      <c r="Z148" s="3"/>
      <c r="AA148" s="3"/>
      <c r="AB148" s="3"/>
    </row>
    <row r="149">
      <c r="A149" s="8"/>
      <c r="B149" s="8"/>
      <c r="C149" s="8"/>
      <c r="D149" s="2"/>
      <c r="E149" s="8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3"/>
      <c r="Z149" s="3"/>
      <c r="AA149" s="3"/>
      <c r="AB149" s="3"/>
    </row>
    <row r="150">
      <c r="A150" s="8"/>
      <c r="B150" s="8"/>
      <c r="C150" s="8"/>
      <c r="D150" s="2"/>
      <c r="E150" s="8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3"/>
      <c r="Z150" s="3"/>
      <c r="AA150" s="3"/>
      <c r="AB150" s="3"/>
    </row>
    <row r="151">
      <c r="A151" s="8"/>
      <c r="B151" s="8"/>
      <c r="C151" s="8"/>
      <c r="D151" s="2"/>
      <c r="E151" s="8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3"/>
      <c r="Z151" s="3"/>
      <c r="AA151" s="3"/>
      <c r="AB151" s="3"/>
    </row>
    <row r="152">
      <c r="A152" s="8"/>
      <c r="B152" s="8"/>
      <c r="C152" s="8"/>
      <c r="D152" s="2"/>
      <c r="E152" s="8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3"/>
      <c r="Z152" s="3"/>
      <c r="AA152" s="3"/>
      <c r="AB152" s="3"/>
    </row>
    <row r="153">
      <c r="A153" s="8"/>
      <c r="B153" s="8"/>
      <c r="C153" s="8"/>
      <c r="D153" s="2"/>
      <c r="E153" s="8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3"/>
      <c r="Z153" s="3"/>
      <c r="AA153" s="3"/>
      <c r="AB153" s="3"/>
    </row>
    <row r="154">
      <c r="A154" s="8"/>
      <c r="B154" s="8"/>
      <c r="C154" s="8"/>
      <c r="D154" s="2"/>
      <c r="E154" s="8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3"/>
      <c r="Z154" s="3"/>
      <c r="AA154" s="3"/>
      <c r="AB154" s="3"/>
    </row>
    <row r="155">
      <c r="A155" s="8"/>
      <c r="B155" s="8"/>
      <c r="C155" s="8"/>
      <c r="D155" s="2"/>
      <c r="E155" s="8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3"/>
      <c r="Z155" s="3"/>
      <c r="AA155" s="3"/>
      <c r="AB155" s="3"/>
    </row>
    <row r="156">
      <c r="A156" s="8"/>
      <c r="B156" s="8"/>
      <c r="C156" s="8"/>
      <c r="D156" s="2"/>
      <c r="E156" s="8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3"/>
      <c r="Z156" s="3"/>
      <c r="AA156" s="3"/>
      <c r="AB156" s="3"/>
    </row>
    <row r="157">
      <c r="A157" s="8"/>
      <c r="B157" s="8"/>
      <c r="C157" s="8"/>
      <c r="D157" s="2"/>
      <c r="E157" s="8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3"/>
      <c r="Z157" s="3"/>
      <c r="AA157" s="3"/>
      <c r="AB157" s="3"/>
    </row>
    <row r="158">
      <c r="A158" s="8"/>
      <c r="B158" s="8"/>
      <c r="C158" s="8"/>
      <c r="D158" s="2"/>
      <c r="E158" s="8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3"/>
      <c r="Z158" s="3"/>
      <c r="AA158" s="3"/>
      <c r="AB158" s="3"/>
    </row>
    <row r="159">
      <c r="A159" s="8"/>
      <c r="B159" s="8"/>
      <c r="C159" s="8"/>
      <c r="D159" s="2"/>
      <c r="E159" s="8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3"/>
      <c r="Z159" s="3"/>
      <c r="AA159" s="3"/>
      <c r="AB159" s="3"/>
    </row>
    <row r="160">
      <c r="A160" s="8"/>
      <c r="B160" s="8"/>
      <c r="C160" s="8"/>
      <c r="D160" s="2"/>
      <c r="E160" s="8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3"/>
      <c r="Z160" s="3"/>
      <c r="AA160" s="3"/>
      <c r="AB160" s="3"/>
    </row>
    <row r="161">
      <c r="A161" s="8"/>
      <c r="B161" s="8"/>
      <c r="C161" s="8"/>
      <c r="D161" s="2"/>
      <c r="E161" s="8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3"/>
      <c r="Z161" s="3"/>
      <c r="AA161" s="3"/>
      <c r="AB161" s="3"/>
    </row>
    <row r="162">
      <c r="A162" s="8"/>
      <c r="B162" s="8"/>
      <c r="C162" s="8"/>
      <c r="D162" s="2"/>
      <c r="E162" s="8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3"/>
      <c r="Z162" s="3"/>
      <c r="AA162" s="3"/>
      <c r="AB162" s="3"/>
    </row>
    <row r="163">
      <c r="A163" s="8"/>
      <c r="B163" s="8"/>
      <c r="C163" s="8"/>
      <c r="D163" s="2"/>
      <c r="E163" s="8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3"/>
      <c r="Z163" s="3"/>
      <c r="AA163" s="3"/>
      <c r="AB163" s="3"/>
    </row>
    <row r="164">
      <c r="A164" s="8"/>
      <c r="B164" s="8"/>
      <c r="C164" s="8"/>
      <c r="D164" s="2"/>
      <c r="E164" s="8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3"/>
      <c r="Z164" s="3"/>
      <c r="AA164" s="3"/>
      <c r="AB164" s="3"/>
    </row>
    <row r="165">
      <c r="A165" s="8"/>
      <c r="B165" s="8"/>
      <c r="C165" s="8"/>
      <c r="D165" s="2"/>
      <c r="E165" s="8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3"/>
      <c r="Z165" s="3"/>
      <c r="AA165" s="3"/>
      <c r="AB165" s="3"/>
    </row>
    <row r="166">
      <c r="A166" s="8"/>
      <c r="B166" s="8"/>
      <c r="C166" s="8"/>
      <c r="D166" s="2"/>
      <c r="E166" s="8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3"/>
      <c r="Z166" s="3"/>
      <c r="AA166" s="3"/>
      <c r="AB166" s="3"/>
    </row>
    <row r="167">
      <c r="A167" s="8"/>
      <c r="B167" s="8"/>
      <c r="C167" s="8"/>
      <c r="D167" s="2"/>
      <c r="E167" s="8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3"/>
      <c r="Z167" s="3"/>
      <c r="AA167" s="3"/>
      <c r="AB167" s="3"/>
    </row>
    <row r="168">
      <c r="A168" s="8"/>
      <c r="B168" s="8"/>
      <c r="C168" s="8"/>
      <c r="D168" s="2"/>
      <c r="E168" s="8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3"/>
      <c r="Z168" s="3"/>
      <c r="AA168" s="3"/>
      <c r="AB168" s="3"/>
    </row>
    <row r="169">
      <c r="A169" s="8"/>
      <c r="B169" s="8"/>
      <c r="C169" s="8"/>
      <c r="D169" s="2"/>
      <c r="E169" s="8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3"/>
      <c r="Z169" s="3"/>
      <c r="AA169" s="3"/>
      <c r="AB169" s="3"/>
    </row>
    <row r="170">
      <c r="A170" s="8"/>
      <c r="B170" s="8"/>
      <c r="C170" s="8"/>
      <c r="D170" s="2"/>
      <c r="E170" s="8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3"/>
      <c r="Z170" s="3"/>
      <c r="AA170" s="3"/>
      <c r="AB170" s="3"/>
    </row>
    <row r="171">
      <c r="A171" s="8"/>
      <c r="B171" s="8"/>
      <c r="C171" s="8"/>
      <c r="D171" s="2"/>
      <c r="E171" s="8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"/>
      <c r="Z171" s="3"/>
      <c r="AA171" s="3"/>
      <c r="AB171" s="3"/>
    </row>
    <row r="172">
      <c r="A172" s="8"/>
      <c r="B172" s="8"/>
      <c r="C172" s="8"/>
      <c r="D172" s="2"/>
      <c r="E172" s="8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3"/>
      <c r="Z172" s="3"/>
      <c r="AA172" s="3"/>
      <c r="AB172" s="3"/>
    </row>
    <row r="173">
      <c r="A173" s="8"/>
      <c r="B173" s="8"/>
      <c r="C173" s="8"/>
      <c r="D173" s="2"/>
      <c r="E173" s="8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3"/>
      <c r="Z173" s="3"/>
      <c r="AA173" s="3"/>
      <c r="AB173" s="3"/>
    </row>
    <row r="174">
      <c r="A174" s="8"/>
      <c r="B174" s="8"/>
      <c r="C174" s="8"/>
      <c r="D174" s="2"/>
      <c r="E174" s="8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3"/>
      <c r="Z174" s="3"/>
      <c r="AA174" s="3"/>
      <c r="AB174" s="3"/>
    </row>
    <row r="175">
      <c r="A175" s="8"/>
      <c r="B175" s="8"/>
      <c r="C175" s="8"/>
      <c r="D175" s="2"/>
      <c r="E175" s="8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3"/>
      <c r="Z175" s="3"/>
      <c r="AA175" s="3"/>
      <c r="AB175" s="3"/>
    </row>
    <row r="176">
      <c r="A176" s="8"/>
      <c r="B176" s="8"/>
      <c r="C176" s="8"/>
      <c r="D176" s="2"/>
      <c r="E176" s="8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3"/>
      <c r="Z176" s="3"/>
      <c r="AA176" s="3"/>
      <c r="AB176" s="3"/>
    </row>
    <row r="177">
      <c r="A177" s="8"/>
      <c r="B177" s="8"/>
      <c r="C177" s="8"/>
      <c r="D177" s="2"/>
      <c r="E177" s="8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3"/>
      <c r="Z177" s="3"/>
      <c r="AA177" s="3"/>
      <c r="AB177" s="3"/>
    </row>
    <row r="178">
      <c r="A178" s="8"/>
      <c r="B178" s="8"/>
      <c r="C178" s="8"/>
      <c r="D178" s="2"/>
      <c r="E178" s="8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3"/>
      <c r="Z178" s="3"/>
      <c r="AA178" s="3"/>
      <c r="AB178" s="3"/>
    </row>
    <row r="179">
      <c r="A179" s="8"/>
      <c r="B179" s="8"/>
      <c r="C179" s="8"/>
      <c r="D179" s="2"/>
      <c r="E179" s="8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3"/>
      <c r="Z179" s="3"/>
      <c r="AA179" s="3"/>
      <c r="AB179" s="3"/>
    </row>
    <row r="180">
      <c r="A180" s="8"/>
      <c r="B180" s="8"/>
      <c r="C180" s="8"/>
      <c r="D180" s="2"/>
      <c r="E180" s="8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3"/>
      <c r="Z180" s="3"/>
      <c r="AA180" s="3"/>
      <c r="AB180" s="3"/>
    </row>
    <row r="181">
      <c r="A181" s="8"/>
      <c r="B181" s="8"/>
      <c r="C181" s="8"/>
      <c r="D181" s="2"/>
      <c r="E181" s="8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3"/>
      <c r="Z181" s="3"/>
      <c r="AA181" s="3"/>
      <c r="AB181" s="3"/>
    </row>
    <row r="182">
      <c r="A182" s="8"/>
      <c r="B182" s="8"/>
      <c r="C182" s="8"/>
      <c r="D182" s="2"/>
      <c r="E182" s="8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3"/>
      <c r="Z182" s="3"/>
      <c r="AA182" s="3"/>
      <c r="AB182" s="3"/>
    </row>
    <row r="183">
      <c r="A183" s="8"/>
      <c r="B183" s="8"/>
      <c r="C183" s="8"/>
      <c r="D183" s="2"/>
      <c r="E183" s="8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3"/>
      <c r="Z183" s="3"/>
      <c r="AA183" s="3"/>
      <c r="AB183" s="3"/>
    </row>
    <row r="184">
      <c r="A184" s="8"/>
      <c r="B184" s="8"/>
      <c r="C184" s="8"/>
      <c r="D184" s="2"/>
      <c r="E184" s="8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3"/>
      <c r="Z184" s="3"/>
      <c r="AA184" s="3"/>
      <c r="AB184" s="3"/>
    </row>
    <row r="185">
      <c r="A185" s="8"/>
      <c r="B185" s="8"/>
      <c r="C185" s="8"/>
      <c r="D185" s="2"/>
      <c r="E185" s="8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3"/>
      <c r="Z185" s="3"/>
      <c r="AA185" s="3"/>
      <c r="AB185" s="3"/>
    </row>
    <row r="186">
      <c r="A186" s="8"/>
      <c r="B186" s="8"/>
      <c r="C186" s="8"/>
      <c r="D186" s="2"/>
      <c r="E186" s="8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3"/>
      <c r="Z186" s="3"/>
      <c r="AA186" s="3"/>
      <c r="AB186" s="3"/>
    </row>
    <row r="187">
      <c r="A187" s="8"/>
      <c r="B187" s="8"/>
      <c r="C187" s="8"/>
      <c r="D187" s="2"/>
      <c r="E187" s="8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3"/>
      <c r="Z187" s="3"/>
      <c r="AA187" s="3"/>
      <c r="AB187" s="3"/>
    </row>
    <row r="188">
      <c r="A188" s="8"/>
      <c r="B188" s="8"/>
      <c r="C188" s="8"/>
      <c r="D188" s="2"/>
      <c r="E188" s="8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3"/>
      <c r="Z188" s="3"/>
      <c r="AA188" s="3"/>
      <c r="AB188" s="3"/>
    </row>
    <row r="189">
      <c r="A189" s="8"/>
      <c r="B189" s="8"/>
      <c r="C189" s="8"/>
      <c r="D189" s="2"/>
      <c r="E189" s="8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3"/>
      <c r="Z189" s="3"/>
      <c r="AA189" s="3"/>
      <c r="AB189" s="3"/>
    </row>
    <row r="190">
      <c r="A190" s="8"/>
      <c r="B190" s="8"/>
      <c r="C190" s="8"/>
      <c r="D190" s="2"/>
      <c r="E190" s="8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3"/>
      <c r="Z190" s="3"/>
      <c r="AA190" s="3"/>
      <c r="AB190" s="3"/>
    </row>
    <row r="191">
      <c r="A191" s="8"/>
      <c r="B191" s="8"/>
      <c r="C191" s="8"/>
      <c r="D191" s="2"/>
      <c r="E191" s="8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3"/>
      <c r="Z191" s="3"/>
      <c r="AA191" s="3"/>
      <c r="AB191" s="3"/>
    </row>
    <row r="192">
      <c r="A192" s="8"/>
      <c r="B192" s="8"/>
      <c r="C192" s="8"/>
      <c r="D192" s="2"/>
      <c r="E192" s="8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3"/>
      <c r="Z192" s="3"/>
      <c r="AA192" s="3"/>
      <c r="AB192" s="3"/>
    </row>
    <row r="193">
      <c r="A193" s="8"/>
      <c r="B193" s="8"/>
      <c r="C193" s="8"/>
      <c r="D193" s="2"/>
      <c r="E193" s="8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3"/>
      <c r="Z193" s="3"/>
      <c r="AA193" s="3"/>
      <c r="AB193" s="3"/>
    </row>
    <row r="194">
      <c r="A194" s="8"/>
      <c r="B194" s="8"/>
      <c r="C194" s="8"/>
      <c r="D194" s="2"/>
      <c r="E194" s="8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3"/>
      <c r="Z194" s="3"/>
      <c r="AA194" s="3"/>
      <c r="AB194" s="3"/>
    </row>
    <row r="195">
      <c r="A195" s="8"/>
      <c r="B195" s="8"/>
      <c r="C195" s="8"/>
      <c r="D195" s="2"/>
      <c r="E195" s="8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3"/>
      <c r="Z195" s="3"/>
      <c r="AA195" s="3"/>
      <c r="AB195" s="3"/>
    </row>
    <row r="196">
      <c r="A196" s="8"/>
      <c r="B196" s="8"/>
      <c r="C196" s="8"/>
      <c r="D196" s="2"/>
      <c r="E196" s="8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3"/>
      <c r="Z196" s="3"/>
      <c r="AA196" s="3"/>
      <c r="AB196" s="3"/>
    </row>
    <row r="197">
      <c r="A197" s="8"/>
      <c r="B197" s="8"/>
      <c r="C197" s="8"/>
      <c r="D197" s="2"/>
      <c r="E197" s="8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3"/>
      <c r="Z197" s="3"/>
      <c r="AA197" s="3"/>
      <c r="AB197" s="3"/>
    </row>
    <row r="198">
      <c r="A198" s="8"/>
      <c r="B198" s="8"/>
      <c r="C198" s="8"/>
      <c r="D198" s="2"/>
      <c r="E198" s="8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3"/>
      <c r="Z198" s="3"/>
      <c r="AA198" s="3"/>
      <c r="AB198" s="3"/>
    </row>
    <row r="199">
      <c r="A199" s="8"/>
      <c r="B199" s="8"/>
      <c r="C199" s="8"/>
      <c r="D199" s="2"/>
      <c r="E199" s="8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3"/>
      <c r="Z199" s="3"/>
      <c r="AA199" s="3"/>
      <c r="AB199" s="3"/>
    </row>
    <row r="200">
      <c r="A200" s="8"/>
      <c r="B200" s="8"/>
      <c r="C200" s="8"/>
      <c r="D200" s="2"/>
      <c r="E200" s="8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3"/>
      <c r="Z200" s="3"/>
      <c r="AA200" s="3"/>
      <c r="AB200" s="3"/>
    </row>
    <row r="201">
      <c r="A201" s="8"/>
      <c r="B201" s="8"/>
      <c r="C201" s="8"/>
      <c r="D201" s="2"/>
      <c r="E201" s="8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3"/>
      <c r="Z201" s="3"/>
      <c r="AA201" s="3"/>
      <c r="AB201" s="3"/>
    </row>
    <row r="202">
      <c r="A202" s="8"/>
      <c r="B202" s="8"/>
      <c r="C202" s="8"/>
      <c r="D202" s="2"/>
      <c r="E202" s="8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3"/>
      <c r="Z202" s="3"/>
      <c r="AA202" s="3"/>
      <c r="AB202" s="3"/>
    </row>
    <row r="203">
      <c r="A203" s="8"/>
      <c r="B203" s="8"/>
      <c r="C203" s="8"/>
      <c r="D203" s="2"/>
      <c r="E203" s="8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3"/>
      <c r="Z203" s="3"/>
      <c r="AA203" s="3"/>
      <c r="AB203" s="3"/>
    </row>
    <row r="204">
      <c r="A204" s="8"/>
      <c r="B204" s="8"/>
      <c r="C204" s="8"/>
      <c r="D204" s="2"/>
      <c r="E204" s="8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3"/>
      <c r="Z204" s="3"/>
      <c r="AA204" s="3"/>
      <c r="AB204" s="3"/>
    </row>
    <row r="205">
      <c r="A205" s="8"/>
      <c r="B205" s="8"/>
      <c r="C205" s="8"/>
      <c r="D205" s="2"/>
      <c r="E205" s="8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3"/>
      <c r="Z205" s="3"/>
      <c r="AA205" s="3"/>
      <c r="AB205" s="3"/>
    </row>
    <row r="206">
      <c r="A206" s="8"/>
      <c r="B206" s="8"/>
      <c r="C206" s="8"/>
      <c r="D206" s="2"/>
      <c r="E206" s="8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3"/>
      <c r="Z206" s="3"/>
      <c r="AA206" s="3"/>
      <c r="AB206" s="3"/>
    </row>
    <row r="207">
      <c r="A207" s="8"/>
      <c r="B207" s="8"/>
      <c r="C207" s="8"/>
      <c r="D207" s="2"/>
      <c r="E207" s="8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"/>
      <c r="Z207" s="3"/>
      <c r="AA207" s="3"/>
      <c r="AB207" s="3"/>
    </row>
    <row r="208">
      <c r="A208" s="8"/>
      <c r="B208" s="8"/>
      <c r="C208" s="8"/>
      <c r="D208" s="2"/>
      <c r="E208" s="8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3"/>
      <c r="Z208" s="3"/>
      <c r="AA208" s="3"/>
      <c r="AB208" s="3"/>
    </row>
    <row r="209">
      <c r="A209" s="8"/>
      <c r="B209" s="8"/>
      <c r="C209" s="8"/>
      <c r="D209" s="2"/>
      <c r="E209" s="8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3"/>
      <c r="Z209" s="3"/>
      <c r="AA209" s="3"/>
      <c r="AB209" s="3"/>
    </row>
    <row r="210">
      <c r="A210" s="8"/>
      <c r="B210" s="8"/>
      <c r="C210" s="8"/>
      <c r="D210" s="2"/>
      <c r="E210" s="8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3"/>
      <c r="Z210" s="3"/>
      <c r="AA210" s="3"/>
      <c r="AB210" s="3"/>
    </row>
    <row r="211">
      <c r="A211" s="8"/>
      <c r="B211" s="8"/>
      <c r="C211" s="8"/>
      <c r="D211" s="2"/>
      <c r="E211" s="8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3"/>
      <c r="Z211" s="3"/>
      <c r="AA211" s="3"/>
      <c r="AB211" s="3"/>
    </row>
    <row r="212">
      <c r="A212" s="8"/>
      <c r="B212" s="8"/>
      <c r="C212" s="8"/>
      <c r="D212" s="2"/>
      <c r="E212" s="8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3"/>
      <c r="Z212" s="3"/>
      <c r="AA212" s="3"/>
      <c r="AB212" s="3"/>
    </row>
    <row r="213">
      <c r="A213" s="8"/>
      <c r="B213" s="8"/>
      <c r="C213" s="8"/>
      <c r="D213" s="2"/>
      <c r="E213" s="8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3"/>
      <c r="Z213" s="3"/>
      <c r="AA213" s="3"/>
      <c r="AB213" s="3"/>
    </row>
    <row r="214">
      <c r="A214" s="8"/>
      <c r="B214" s="8"/>
      <c r="C214" s="8"/>
      <c r="D214" s="2"/>
      <c r="E214" s="8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3"/>
      <c r="Z214" s="3"/>
      <c r="AA214" s="3"/>
      <c r="AB214" s="3"/>
    </row>
    <row r="215">
      <c r="A215" s="8"/>
      <c r="B215" s="8"/>
      <c r="C215" s="8"/>
      <c r="D215" s="2"/>
      <c r="E215" s="8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3"/>
      <c r="Z215" s="3"/>
      <c r="AA215" s="3"/>
      <c r="AB215" s="3"/>
    </row>
    <row r="216">
      <c r="A216" s="8"/>
      <c r="B216" s="8"/>
      <c r="C216" s="8"/>
      <c r="D216" s="2"/>
      <c r="E216" s="8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3"/>
      <c r="Z216" s="3"/>
      <c r="AA216" s="3"/>
      <c r="AB216" s="3"/>
    </row>
    <row r="217">
      <c r="A217" s="8"/>
      <c r="B217" s="8"/>
      <c r="C217" s="8"/>
      <c r="D217" s="2"/>
      <c r="E217" s="8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3"/>
      <c r="Z217" s="3"/>
      <c r="AA217" s="3"/>
      <c r="AB217" s="3"/>
    </row>
    <row r="218">
      <c r="A218" s="8"/>
      <c r="B218" s="8"/>
      <c r="C218" s="8"/>
      <c r="D218" s="2"/>
      <c r="E218" s="8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3"/>
      <c r="Z218" s="3"/>
      <c r="AA218" s="3"/>
      <c r="AB218" s="3"/>
    </row>
    <row r="219">
      <c r="A219" s="8"/>
      <c r="B219" s="8"/>
      <c r="C219" s="8"/>
      <c r="D219" s="2"/>
      <c r="E219" s="8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3"/>
      <c r="Z219" s="3"/>
      <c r="AA219" s="3"/>
      <c r="AB219" s="3"/>
    </row>
    <row r="220">
      <c r="A220" s="8"/>
      <c r="B220" s="8"/>
      <c r="C220" s="8"/>
      <c r="D220" s="2"/>
      <c r="E220" s="8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3"/>
      <c r="Z220" s="3"/>
      <c r="AA220" s="3"/>
      <c r="AB220" s="3"/>
    </row>
    <row r="221">
      <c r="A221" s="8"/>
      <c r="B221" s="8"/>
      <c r="C221" s="8"/>
      <c r="D221" s="2"/>
      <c r="E221" s="8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3"/>
      <c r="Z221" s="3"/>
      <c r="AA221" s="3"/>
      <c r="AB221" s="3"/>
    </row>
    <row r="222">
      <c r="A222" s="8"/>
      <c r="B222" s="8"/>
      <c r="C222" s="8"/>
      <c r="D222" s="2"/>
      <c r="E222" s="8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3"/>
      <c r="Z222" s="3"/>
      <c r="AA222" s="3"/>
      <c r="AB222" s="3"/>
    </row>
    <row r="223">
      <c r="A223" s="8"/>
      <c r="B223" s="8"/>
      <c r="C223" s="8"/>
      <c r="D223" s="2"/>
      <c r="E223" s="8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3"/>
      <c r="Z223" s="3"/>
      <c r="AA223" s="3"/>
      <c r="AB223" s="3"/>
    </row>
    <row r="224">
      <c r="A224" s="8"/>
      <c r="B224" s="8"/>
      <c r="C224" s="8"/>
      <c r="D224" s="2"/>
      <c r="E224" s="8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3"/>
      <c r="Z224" s="3"/>
      <c r="AA224" s="3"/>
      <c r="AB224" s="3"/>
    </row>
    <row r="225">
      <c r="A225" s="8"/>
      <c r="B225" s="8"/>
      <c r="C225" s="8"/>
      <c r="D225" s="2"/>
      <c r="E225" s="8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3"/>
      <c r="Z225" s="3"/>
      <c r="AA225" s="3"/>
      <c r="AB225" s="3"/>
    </row>
    <row r="226">
      <c r="A226" s="8"/>
      <c r="B226" s="8"/>
      <c r="C226" s="8"/>
      <c r="D226" s="2"/>
      <c r="E226" s="8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3"/>
      <c r="Z226" s="3"/>
      <c r="AA226" s="3"/>
      <c r="AB226" s="3"/>
    </row>
    <row r="227">
      <c r="A227" s="8"/>
      <c r="B227" s="8"/>
      <c r="C227" s="8"/>
      <c r="D227" s="2"/>
      <c r="E227" s="8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3"/>
      <c r="Z227" s="3"/>
      <c r="AA227" s="3"/>
      <c r="AB227" s="3"/>
    </row>
    <row r="228">
      <c r="A228" s="8"/>
      <c r="B228" s="8"/>
      <c r="C228" s="8"/>
      <c r="D228" s="2"/>
      <c r="E228" s="8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3"/>
      <c r="Z228" s="3"/>
      <c r="AA228" s="3"/>
      <c r="AB228" s="3"/>
    </row>
    <row r="229">
      <c r="A229" s="8"/>
      <c r="B229" s="8"/>
      <c r="C229" s="8"/>
      <c r="D229" s="2"/>
      <c r="E229" s="8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3"/>
      <c r="Z229" s="3"/>
      <c r="AA229" s="3"/>
      <c r="AB229" s="3"/>
    </row>
    <row r="230">
      <c r="A230" s="8"/>
      <c r="B230" s="8"/>
      <c r="C230" s="8"/>
      <c r="D230" s="2"/>
      <c r="E230" s="8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3"/>
      <c r="Z230" s="3"/>
      <c r="AA230" s="3"/>
      <c r="AB230" s="3"/>
    </row>
    <row r="231">
      <c r="A231" s="8"/>
      <c r="B231" s="8"/>
      <c r="C231" s="8"/>
      <c r="D231" s="2"/>
      <c r="E231" s="8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3"/>
      <c r="Z231" s="3"/>
      <c r="AA231" s="3"/>
      <c r="AB231" s="3"/>
    </row>
    <row r="232">
      <c r="A232" s="8"/>
      <c r="B232" s="8"/>
      <c r="C232" s="8"/>
      <c r="D232" s="2"/>
      <c r="E232" s="8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3"/>
      <c r="Z232" s="3"/>
      <c r="AA232" s="3"/>
      <c r="AB232" s="3"/>
    </row>
    <row r="233">
      <c r="A233" s="8"/>
      <c r="B233" s="8"/>
      <c r="C233" s="8"/>
      <c r="D233" s="2"/>
      <c r="E233" s="8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3"/>
      <c r="Z233" s="3"/>
      <c r="AA233" s="3"/>
      <c r="AB233" s="3"/>
    </row>
    <row r="234">
      <c r="A234" s="8"/>
      <c r="B234" s="8"/>
      <c r="C234" s="8"/>
      <c r="D234" s="2"/>
      <c r="E234" s="8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3"/>
      <c r="Z234" s="3"/>
      <c r="AA234" s="3"/>
      <c r="AB234" s="3"/>
    </row>
    <row r="235">
      <c r="A235" s="8"/>
      <c r="B235" s="8"/>
      <c r="C235" s="8"/>
      <c r="D235" s="2"/>
      <c r="E235" s="8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3"/>
      <c r="Z235" s="3"/>
      <c r="AA235" s="3"/>
      <c r="AB235" s="3"/>
    </row>
    <row r="236">
      <c r="A236" s="8"/>
      <c r="B236" s="8"/>
      <c r="C236" s="8"/>
      <c r="D236" s="2"/>
      <c r="E236" s="8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3"/>
      <c r="Z236" s="3"/>
      <c r="AA236" s="3"/>
      <c r="AB236" s="3"/>
    </row>
    <row r="237">
      <c r="A237" s="8"/>
      <c r="B237" s="8"/>
      <c r="C237" s="8"/>
      <c r="D237" s="2"/>
      <c r="E237" s="8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3"/>
      <c r="Z237" s="3"/>
      <c r="AA237" s="3"/>
      <c r="AB237" s="3"/>
    </row>
    <row r="238">
      <c r="A238" s="8"/>
      <c r="B238" s="8"/>
      <c r="C238" s="8"/>
      <c r="D238" s="2"/>
      <c r="E238" s="8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3"/>
      <c r="Z238" s="3"/>
      <c r="AA238" s="3"/>
      <c r="AB238" s="3"/>
    </row>
    <row r="239">
      <c r="A239" s="8"/>
      <c r="B239" s="8"/>
      <c r="C239" s="8"/>
      <c r="D239" s="2"/>
      <c r="E239" s="8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3"/>
      <c r="Z239" s="3"/>
      <c r="AA239" s="3"/>
      <c r="AB239" s="3"/>
    </row>
    <row r="240">
      <c r="A240" s="8"/>
      <c r="B240" s="8"/>
      <c r="C240" s="8"/>
      <c r="D240" s="2"/>
      <c r="E240" s="8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3"/>
      <c r="Z240" s="3"/>
      <c r="AA240" s="3"/>
      <c r="AB240" s="3"/>
    </row>
    <row r="241">
      <c r="A241" s="8"/>
      <c r="B241" s="8"/>
      <c r="C241" s="8"/>
      <c r="D241" s="2"/>
      <c r="E241" s="8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3"/>
      <c r="Z241" s="3"/>
      <c r="AA241" s="3"/>
      <c r="AB241" s="3"/>
    </row>
    <row r="242">
      <c r="A242" s="8"/>
      <c r="B242" s="8"/>
      <c r="C242" s="8"/>
      <c r="D242" s="2"/>
      <c r="E242" s="8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3"/>
      <c r="Z242" s="3"/>
      <c r="AA242" s="3"/>
      <c r="AB242" s="3"/>
    </row>
    <row r="243">
      <c r="A243" s="8"/>
      <c r="B243" s="8"/>
      <c r="C243" s="8"/>
      <c r="D243" s="2"/>
      <c r="E243" s="8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3"/>
      <c r="Z243" s="3"/>
      <c r="AA243" s="3"/>
      <c r="AB243" s="3"/>
    </row>
    <row r="244">
      <c r="A244" s="8"/>
      <c r="B244" s="8"/>
      <c r="C244" s="8"/>
      <c r="D244" s="2"/>
      <c r="E244" s="8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3"/>
      <c r="Z244" s="3"/>
      <c r="AA244" s="3"/>
      <c r="AB244" s="3"/>
    </row>
    <row r="245">
      <c r="A245" s="8"/>
      <c r="B245" s="8"/>
      <c r="C245" s="8"/>
      <c r="D245" s="2"/>
      <c r="E245" s="8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3"/>
      <c r="Z245" s="3"/>
      <c r="AA245" s="3"/>
      <c r="AB245" s="3"/>
    </row>
    <row r="246">
      <c r="A246" s="8"/>
      <c r="B246" s="8"/>
      <c r="C246" s="8"/>
      <c r="D246" s="2"/>
      <c r="E246" s="8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3"/>
      <c r="Z246" s="3"/>
      <c r="AA246" s="3"/>
      <c r="AB246" s="3"/>
    </row>
    <row r="247">
      <c r="A247" s="8"/>
      <c r="B247" s="8"/>
      <c r="C247" s="8"/>
      <c r="D247" s="2"/>
      <c r="E247" s="8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3"/>
      <c r="Z247" s="3"/>
      <c r="AA247" s="3"/>
      <c r="AB247" s="3"/>
    </row>
    <row r="248">
      <c r="A248" s="8"/>
      <c r="B248" s="8"/>
      <c r="C248" s="8"/>
      <c r="D248" s="2"/>
      <c r="E248" s="8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3"/>
      <c r="Z248" s="3"/>
      <c r="AA248" s="3"/>
      <c r="AB248" s="3"/>
    </row>
    <row r="249">
      <c r="A249" s="8"/>
      <c r="B249" s="8"/>
      <c r="C249" s="8"/>
      <c r="D249" s="2"/>
      <c r="E249" s="8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3"/>
      <c r="Z249" s="3"/>
      <c r="AA249" s="3"/>
      <c r="AB249" s="3"/>
    </row>
    <row r="250">
      <c r="A250" s="8"/>
      <c r="B250" s="8"/>
      <c r="C250" s="8"/>
      <c r="D250" s="2"/>
      <c r="E250" s="8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3"/>
      <c r="Z250" s="3"/>
      <c r="AA250" s="3"/>
      <c r="AB250" s="3"/>
    </row>
    <row r="251">
      <c r="A251" s="8"/>
      <c r="B251" s="8"/>
      <c r="C251" s="8"/>
      <c r="D251" s="2"/>
      <c r="E251" s="8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3"/>
      <c r="Z251" s="3"/>
      <c r="AA251" s="3"/>
      <c r="AB251" s="3"/>
    </row>
    <row r="252">
      <c r="A252" s="8"/>
      <c r="B252" s="8"/>
      <c r="C252" s="8"/>
      <c r="D252" s="2"/>
      <c r="E252" s="8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3"/>
      <c r="Z252" s="3"/>
      <c r="AA252" s="3"/>
      <c r="AB252" s="3"/>
    </row>
    <row r="253">
      <c r="A253" s="8"/>
      <c r="B253" s="8"/>
      <c r="C253" s="8"/>
      <c r="D253" s="2"/>
      <c r="E253" s="8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3"/>
      <c r="Z253" s="3"/>
      <c r="AA253" s="3"/>
      <c r="AB253" s="3"/>
    </row>
    <row r="254">
      <c r="A254" s="8"/>
      <c r="B254" s="8"/>
      <c r="C254" s="8"/>
      <c r="D254" s="2"/>
      <c r="E254" s="8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3"/>
      <c r="Z254" s="3"/>
      <c r="AA254" s="3"/>
      <c r="AB254" s="3"/>
    </row>
    <row r="255">
      <c r="A255" s="8"/>
      <c r="B255" s="8"/>
      <c r="C255" s="8"/>
      <c r="D255" s="2"/>
      <c r="E255" s="8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3"/>
      <c r="Z255" s="3"/>
      <c r="AA255" s="3"/>
      <c r="AB255" s="3"/>
    </row>
    <row r="256">
      <c r="A256" s="8"/>
      <c r="B256" s="8"/>
      <c r="C256" s="8"/>
      <c r="D256" s="2"/>
      <c r="E256" s="8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3"/>
      <c r="Z256" s="3"/>
      <c r="AA256" s="3"/>
      <c r="AB256" s="3"/>
    </row>
    <row r="257">
      <c r="A257" s="8"/>
      <c r="B257" s="8"/>
      <c r="C257" s="8"/>
      <c r="D257" s="2"/>
      <c r="E257" s="8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3"/>
      <c r="Z257" s="3"/>
      <c r="AA257" s="3"/>
      <c r="AB257" s="3"/>
    </row>
    <row r="258">
      <c r="A258" s="8"/>
      <c r="B258" s="8"/>
      <c r="C258" s="8"/>
      <c r="D258" s="2"/>
      <c r="E258" s="8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3"/>
      <c r="Z258" s="3"/>
      <c r="AA258" s="3"/>
      <c r="AB258" s="3"/>
    </row>
    <row r="259">
      <c r="A259" s="8"/>
      <c r="B259" s="8"/>
      <c r="C259" s="8"/>
      <c r="D259" s="2"/>
      <c r="E259" s="8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3"/>
      <c r="Z259" s="3"/>
      <c r="AA259" s="3"/>
      <c r="AB259" s="3"/>
    </row>
    <row r="260">
      <c r="A260" s="8"/>
      <c r="B260" s="8"/>
      <c r="C260" s="8"/>
      <c r="D260" s="2"/>
      <c r="E260" s="8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3"/>
      <c r="Z260" s="3"/>
      <c r="AA260" s="3"/>
      <c r="AB260" s="3"/>
    </row>
    <row r="261">
      <c r="A261" s="8"/>
      <c r="B261" s="8"/>
      <c r="C261" s="8"/>
      <c r="D261" s="2"/>
      <c r="E261" s="8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3"/>
      <c r="Z261" s="3"/>
      <c r="AA261" s="3"/>
      <c r="AB261" s="3"/>
    </row>
    <row r="262">
      <c r="A262" s="8"/>
      <c r="B262" s="8"/>
      <c r="C262" s="8"/>
      <c r="D262" s="2"/>
      <c r="E262" s="8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3"/>
      <c r="Z262" s="3"/>
      <c r="AA262" s="3"/>
      <c r="AB262" s="3"/>
    </row>
    <row r="263">
      <c r="A263" s="8"/>
      <c r="B263" s="8"/>
      <c r="C263" s="8"/>
      <c r="D263" s="2"/>
      <c r="E263" s="8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3"/>
      <c r="Z263" s="3"/>
      <c r="AA263" s="3"/>
      <c r="AB263" s="3"/>
    </row>
    <row r="264">
      <c r="A264" s="8"/>
      <c r="B264" s="8"/>
      <c r="C264" s="8"/>
      <c r="D264" s="2"/>
      <c r="E264" s="8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3"/>
      <c r="Z264" s="3"/>
      <c r="AA264" s="3"/>
      <c r="AB264" s="3"/>
    </row>
    <row r="265">
      <c r="A265" s="8"/>
      <c r="B265" s="8"/>
      <c r="C265" s="8"/>
      <c r="D265" s="2"/>
      <c r="E265" s="8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3"/>
      <c r="Z265" s="3"/>
      <c r="AA265" s="3"/>
      <c r="AB265" s="3"/>
    </row>
    <row r="266">
      <c r="A266" s="8"/>
      <c r="B266" s="8"/>
      <c r="C266" s="8"/>
      <c r="D266" s="2"/>
      <c r="E266" s="8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3"/>
      <c r="Z266" s="3"/>
      <c r="AA266" s="3"/>
      <c r="AB266" s="3"/>
    </row>
    <row r="267">
      <c r="A267" s="8"/>
      <c r="B267" s="8"/>
      <c r="C267" s="8"/>
      <c r="D267" s="2"/>
      <c r="E267" s="8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3"/>
      <c r="Z267" s="3"/>
      <c r="AA267" s="3"/>
      <c r="AB267" s="3"/>
    </row>
    <row r="268">
      <c r="A268" s="8"/>
      <c r="B268" s="8"/>
      <c r="C268" s="8"/>
      <c r="D268" s="2"/>
      <c r="E268" s="8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3"/>
      <c r="Z268" s="3"/>
      <c r="AA268" s="3"/>
      <c r="AB268" s="3"/>
    </row>
    <row r="269">
      <c r="A269" s="8"/>
      <c r="B269" s="8"/>
      <c r="C269" s="8"/>
      <c r="D269" s="2"/>
      <c r="E269" s="8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3"/>
      <c r="Z269" s="3"/>
      <c r="AA269" s="3"/>
      <c r="AB269" s="3"/>
    </row>
    <row r="270">
      <c r="A270" s="8"/>
      <c r="B270" s="8"/>
      <c r="C270" s="8"/>
      <c r="D270" s="2"/>
      <c r="E270" s="8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3"/>
      <c r="Z270" s="3"/>
      <c r="AA270" s="3"/>
      <c r="AB270" s="3"/>
    </row>
    <row r="271">
      <c r="A271" s="8"/>
      <c r="B271" s="8"/>
      <c r="C271" s="8"/>
      <c r="D271" s="2"/>
      <c r="E271" s="8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3"/>
      <c r="Z271" s="3"/>
      <c r="AA271" s="3"/>
      <c r="AB271" s="3"/>
    </row>
    <row r="272">
      <c r="A272" s="8"/>
      <c r="B272" s="8"/>
      <c r="C272" s="8"/>
      <c r="D272" s="2"/>
      <c r="E272" s="8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3"/>
      <c r="Z272" s="3"/>
      <c r="AA272" s="3"/>
      <c r="AB272" s="3"/>
    </row>
    <row r="273">
      <c r="A273" s="8"/>
      <c r="B273" s="8"/>
      <c r="C273" s="8"/>
      <c r="D273" s="2"/>
      <c r="E273" s="8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3"/>
      <c r="Z273" s="3"/>
      <c r="AA273" s="3"/>
      <c r="AB273" s="3"/>
    </row>
    <row r="274">
      <c r="A274" s="8"/>
      <c r="B274" s="8"/>
      <c r="C274" s="8"/>
      <c r="D274" s="2"/>
      <c r="E274" s="8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3"/>
      <c r="Z274" s="3"/>
      <c r="AA274" s="3"/>
      <c r="AB274" s="3"/>
    </row>
    <row r="275">
      <c r="A275" s="8"/>
      <c r="B275" s="8"/>
      <c r="C275" s="8"/>
      <c r="D275" s="2"/>
      <c r="E275" s="8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3"/>
      <c r="Z275" s="3"/>
      <c r="AA275" s="3"/>
      <c r="AB275" s="3"/>
    </row>
    <row r="276">
      <c r="A276" s="8"/>
      <c r="B276" s="8"/>
      <c r="C276" s="8"/>
      <c r="D276" s="2"/>
      <c r="E276" s="8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3"/>
      <c r="Z276" s="3"/>
      <c r="AA276" s="3"/>
      <c r="AB276" s="3"/>
    </row>
    <row r="277">
      <c r="A277" s="8"/>
      <c r="B277" s="8"/>
      <c r="C277" s="8"/>
      <c r="D277" s="2"/>
      <c r="E277" s="8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3"/>
      <c r="Z277" s="3"/>
      <c r="AA277" s="3"/>
      <c r="AB277" s="3"/>
    </row>
    <row r="278">
      <c r="A278" s="8"/>
      <c r="B278" s="8"/>
      <c r="C278" s="8"/>
      <c r="D278" s="2"/>
      <c r="E278" s="8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3"/>
      <c r="Z278" s="3"/>
      <c r="AA278" s="3"/>
      <c r="AB278" s="3"/>
    </row>
    <row r="279">
      <c r="A279" s="8"/>
      <c r="B279" s="8"/>
      <c r="C279" s="8"/>
      <c r="D279" s="2"/>
      <c r="E279" s="8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3"/>
      <c r="Z279" s="3"/>
      <c r="AA279" s="3"/>
      <c r="AB279" s="3"/>
    </row>
    <row r="280">
      <c r="A280" s="8"/>
      <c r="B280" s="8"/>
      <c r="C280" s="8"/>
      <c r="D280" s="2"/>
      <c r="E280" s="8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3"/>
      <c r="Z280" s="3"/>
      <c r="AA280" s="3"/>
      <c r="AB280" s="3"/>
    </row>
    <row r="281">
      <c r="A281" s="8"/>
      <c r="B281" s="8"/>
      <c r="C281" s="8"/>
      <c r="D281" s="2"/>
      <c r="E281" s="8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3"/>
      <c r="Z281" s="3"/>
      <c r="AA281" s="3"/>
      <c r="AB281" s="3"/>
    </row>
    <row r="282">
      <c r="A282" s="8"/>
      <c r="B282" s="8"/>
      <c r="C282" s="8"/>
      <c r="D282" s="2"/>
      <c r="E282" s="8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3"/>
      <c r="Z282" s="3"/>
      <c r="AA282" s="3"/>
      <c r="AB282" s="3"/>
    </row>
    <row r="283">
      <c r="A283" s="8"/>
      <c r="B283" s="8"/>
      <c r="C283" s="8"/>
      <c r="D283" s="2"/>
      <c r="E283" s="8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3"/>
      <c r="Z283" s="3"/>
      <c r="AA283" s="3"/>
      <c r="AB283" s="3"/>
    </row>
    <row r="284">
      <c r="A284" s="8"/>
      <c r="B284" s="8"/>
      <c r="C284" s="8"/>
      <c r="D284" s="2"/>
      <c r="E284" s="8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3"/>
      <c r="Z284" s="3"/>
      <c r="AA284" s="3"/>
      <c r="AB284" s="3"/>
    </row>
    <row r="285">
      <c r="A285" s="8"/>
      <c r="B285" s="8"/>
      <c r="C285" s="8"/>
      <c r="D285" s="2"/>
      <c r="E285" s="8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3"/>
      <c r="Z285" s="3"/>
      <c r="AA285" s="3"/>
      <c r="AB285" s="3"/>
    </row>
    <row r="286">
      <c r="A286" s="8"/>
      <c r="B286" s="8"/>
      <c r="C286" s="8"/>
      <c r="D286" s="2"/>
      <c r="E286" s="8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3"/>
      <c r="Z286" s="3"/>
      <c r="AA286" s="3"/>
      <c r="AB286" s="3"/>
    </row>
    <row r="287">
      <c r="A287" s="8"/>
      <c r="B287" s="8"/>
      <c r="C287" s="8"/>
      <c r="D287" s="2"/>
      <c r="E287" s="8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3"/>
      <c r="Z287" s="3"/>
      <c r="AA287" s="3"/>
      <c r="AB287" s="3"/>
    </row>
    <row r="288">
      <c r="A288" s="8"/>
      <c r="B288" s="8"/>
      <c r="C288" s="8"/>
      <c r="D288" s="2"/>
      <c r="E288" s="8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3"/>
      <c r="Z288" s="3"/>
      <c r="AA288" s="3"/>
      <c r="AB288" s="3"/>
    </row>
    <row r="289">
      <c r="A289" s="8"/>
      <c r="B289" s="8"/>
      <c r="C289" s="8"/>
      <c r="D289" s="2"/>
      <c r="E289" s="8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3"/>
      <c r="Z289" s="3"/>
      <c r="AA289" s="3"/>
      <c r="AB289" s="3"/>
    </row>
    <row r="290">
      <c r="A290" s="8"/>
      <c r="B290" s="8"/>
      <c r="C290" s="8"/>
      <c r="D290" s="2"/>
      <c r="E290" s="8"/>
      <c r="F290" s="8"/>
      <c r="G290" s="8"/>
      <c r="H290" s="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3"/>
      <c r="Z290" s="3"/>
      <c r="AA290" s="3"/>
      <c r="AB290" s="3"/>
    </row>
    <row r="291">
      <c r="A291" s="8"/>
      <c r="B291" s="8"/>
      <c r="C291" s="8"/>
      <c r="D291" s="2"/>
      <c r="E291" s="8"/>
      <c r="F291" s="8"/>
      <c r="G291" s="8"/>
      <c r="H291" s="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3"/>
      <c r="Z291" s="3"/>
      <c r="AA291" s="3"/>
      <c r="AB291" s="3"/>
    </row>
    <row r="292">
      <c r="A292" s="8"/>
      <c r="B292" s="8"/>
      <c r="C292" s="8"/>
      <c r="D292" s="2"/>
      <c r="E292" s="8"/>
      <c r="F292" s="8"/>
      <c r="G292" s="8"/>
      <c r="H292" s="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3"/>
      <c r="Z292" s="3"/>
      <c r="AA292" s="3"/>
      <c r="AB292" s="3"/>
    </row>
    <row r="293">
      <c r="A293" s="8"/>
      <c r="B293" s="8"/>
      <c r="C293" s="8"/>
      <c r="D293" s="2"/>
      <c r="E293" s="8"/>
      <c r="F293" s="8"/>
      <c r="G293" s="8"/>
      <c r="H293" s="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3"/>
      <c r="Z293" s="3"/>
      <c r="AA293" s="3"/>
      <c r="AB293" s="3"/>
    </row>
    <row r="294">
      <c r="A294" s="8"/>
      <c r="B294" s="8"/>
      <c r="C294" s="8"/>
      <c r="D294" s="2"/>
      <c r="E294" s="8"/>
      <c r="F294" s="8"/>
      <c r="G294" s="8"/>
      <c r="H294" s="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3"/>
      <c r="Z294" s="3"/>
      <c r="AA294" s="3"/>
      <c r="AB294" s="3"/>
    </row>
    <row r="295">
      <c r="A295" s="8"/>
      <c r="B295" s="8"/>
      <c r="C295" s="8"/>
      <c r="D295" s="2"/>
      <c r="E295" s="8"/>
      <c r="F295" s="8"/>
      <c r="G295" s="8"/>
      <c r="H295" s="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3"/>
      <c r="Z295" s="3"/>
      <c r="AA295" s="3"/>
      <c r="AB295" s="3"/>
    </row>
    <row r="296">
      <c r="A296" s="8"/>
      <c r="B296" s="8"/>
      <c r="C296" s="8"/>
      <c r="D296" s="2"/>
      <c r="E296" s="8"/>
      <c r="F296" s="8"/>
      <c r="G296" s="8"/>
      <c r="H296" s="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3"/>
      <c r="Z296" s="3"/>
      <c r="AA296" s="3"/>
      <c r="AB296" s="3"/>
    </row>
    <row r="297">
      <c r="A297" s="8"/>
      <c r="B297" s="8"/>
      <c r="C297" s="8"/>
      <c r="D297" s="2"/>
      <c r="E297" s="8"/>
      <c r="F297" s="8"/>
      <c r="G297" s="8"/>
      <c r="H297" s="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3"/>
      <c r="Z297" s="3"/>
      <c r="AA297" s="3"/>
      <c r="AB297" s="3"/>
    </row>
    <row r="298">
      <c r="A298" s="8"/>
      <c r="B298" s="8"/>
      <c r="C298" s="8"/>
      <c r="D298" s="2"/>
      <c r="E298" s="8"/>
      <c r="F298" s="8"/>
      <c r="G298" s="8"/>
      <c r="H298" s="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3"/>
      <c r="Z298" s="3"/>
      <c r="AA298" s="3"/>
      <c r="AB298" s="3"/>
    </row>
    <row r="299">
      <c r="A299" s="8"/>
      <c r="B299" s="8"/>
      <c r="C299" s="8"/>
      <c r="D299" s="2"/>
      <c r="E299" s="8"/>
      <c r="F299" s="8"/>
      <c r="G299" s="8"/>
      <c r="H299" s="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3"/>
      <c r="Z299" s="3"/>
      <c r="AA299" s="3"/>
      <c r="AB299" s="3"/>
    </row>
    <row r="300">
      <c r="A300" s="8"/>
      <c r="B300" s="8"/>
      <c r="C300" s="8"/>
      <c r="D300" s="2"/>
      <c r="E300" s="8"/>
      <c r="F300" s="8"/>
      <c r="G300" s="8"/>
      <c r="H300" s="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3"/>
      <c r="Z300" s="3"/>
      <c r="AA300" s="3"/>
      <c r="AB300" s="3"/>
    </row>
    <row r="301">
      <c r="A301" s="8"/>
      <c r="B301" s="8"/>
      <c r="C301" s="8"/>
      <c r="D301" s="2"/>
      <c r="E301" s="8"/>
      <c r="F301" s="8"/>
      <c r="G301" s="8"/>
      <c r="H301" s="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3"/>
      <c r="Z301" s="3"/>
      <c r="AA301" s="3"/>
      <c r="AB301" s="3"/>
    </row>
    <row r="302">
      <c r="A302" s="8"/>
      <c r="B302" s="8"/>
      <c r="C302" s="8"/>
      <c r="D302" s="2"/>
      <c r="E302" s="8"/>
      <c r="F302" s="8"/>
      <c r="G302" s="8"/>
      <c r="H302" s="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3"/>
      <c r="Z302" s="3"/>
      <c r="AA302" s="3"/>
      <c r="AB302" s="3"/>
    </row>
    <row r="303">
      <c r="A303" s="8"/>
      <c r="B303" s="8"/>
      <c r="C303" s="8"/>
      <c r="D303" s="2"/>
      <c r="E303" s="8"/>
      <c r="F303" s="8"/>
      <c r="G303" s="8"/>
      <c r="H303" s="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3"/>
      <c r="Z303" s="3"/>
      <c r="AA303" s="3"/>
      <c r="AB303" s="3"/>
    </row>
    <row r="304">
      <c r="A304" s="8"/>
      <c r="B304" s="8"/>
      <c r="C304" s="8"/>
      <c r="D304" s="2"/>
      <c r="E304" s="8"/>
      <c r="F304" s="8"/>
      <c r="G304" s="8"/>
      <c r="H304" s="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3"/>
      <c r="Z304" s="3"/>
      <c r="AA304" s="3"/>
      <c r="AB304" s="3"/>
    </row>
    <row r="305">
      <c r="A305" s="8"/>
      <c r="B305" s="8"/>
      <c r="C305" s="8"/>
      <c r="D305" s="2"/>
      <c r="E305" s="8"/>
      <c r="F305" s="8"/>
      <c r="G305" s="8"/>
      <c r="H305" s="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3"/>
      <c r="Z305" s="3"/>
      <c r="AA305" s="3"/>
      <c r="AB305" s="3"/>
    </row>
    <row r="306">
      <c r="A306" s="8"/>
      <c r="B306" s="8"/>
      <c r="C306" s="8"/>
      <c r="D306" s="2"/>
      <c r="E306" s="8"/>
      <c r="F306" s="8"/>
      <c r="G306" s="8"/>
      <c r="H306" s="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3"/>
      <c r="Z306" s="3"/>
      <c r="AA306" s="3"/>
      <c r="AB306" s="3"/>
    </row>
    <row r="307">
      <c r="A307" s="8"/>
      <c r="B307" s="8"/>
      <c r="C307" s="8"/>
      <c r="D307" s="2"/>
      <c r="E307" s="8"/>
      <c r="F307" s="8"/>
      <c r="G307" s="8"/>
      <c r="H307" s="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3"/>
      <c r="Z307" s="3"/>
      <c r="AA307" s="3"/>
      <c r="AB307" s="3"/>
    </row>
    <row r="308">
      <c r="A308" s="8"/>
      <c r="B308" s="8"/>
      <c r="C308" s="8"/>
      <c r="D308" s="2"/>
      <c r="E308" s="8"/>
      <c r="F308" s="8"/>
      <c r="G308" s="8"/>
      <c r="H308" s="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3"/>
      <c r="Z308" s="3"/>
      <c r="AA308" s="3"/>
      <c r="AB308" s="3"/>
    </row>
    <row r="309">
      <c r="A309" s="8"/>
      <c r="B309" s="8"/>
      <c r="C309" s="8"/>
      <c r="D309" s="2"/>
      <c r="E309" s="8"/>
      <c r="F309" s="8"/>
      <c r="G309" s="8"/>
      <c r="H309" s="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3"/>
      <c r="Z309" s="3"/>
      <c r="AA309" s="3"/>
      <c r="AB309" s="3"/>
    </row>
    <row r="310">
      <c r="A310" s="8"/>
      <c r="B310" s="8"/>
      <c r="C310" s="8"/>
      <c r="D310" s="2"/>
      <c r="E310" s="8"/>
      <c r="F310" s="8"/>
      <c r="G310" s="8"/>
      <c r="H310" s="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3"/>
      <c r="Z310" s="3"/>
      <c r="AA310" s="3"/>
      <c r="AB310" s="3"/>
    </row>
    <row r="311">
      <c r="A311" s="8"/>
      <c r="B311" s="8"/>
      <c r="C311" s="8"/>
      <c r="D311" s="2"/>
      <c r="E311" s="8"/>
      <c r="F311" s="8"/>
      <c r="G311" s="8"/>
      <c r="H311" s="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3"/>
      <c r="Z311" s="3"/>
      <c r="AA311" s="3"/>
      <c r="AB311" s="3"/>
    </row>
    <row r="312">
      <c r="A312" s="8"/>
      <c r="B312" s="8"/>
      <c r="C312" s="8"/>
      <c r="D312" s="2"/>
      <c r="E312" s="8"/>
      <c r="F312" s="8"/>
      <c r="G312" s="8"/>
      <c r="H312" s="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3"/>
      <c r="Z312" s="3"/>
      <c r="AA312" s="3"/>
      <c r="AB312" s="3"/>
    </row>
    <row r="313">
      <c r="A313" s="8"/>
      <c r="B313" s="8"/>
      <c r="C313" s="8"/>
      <c r="D313" s="2"/>
      <c r="E313" s="8"/>
      <c r="F313" s="8"/>
      <c r="G313" s="8"/>
      <c r="H313" s="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3"/>
      <c r="Z313" s="3"/>
      <c r="AA313" s="3"/>
      <c r="AB313" s="3"/>
    </row>
    <row r="314">
      <c r="A314" s="8"/>
      <c r="B314" s="8"/>
      <c r="C314" s="8"/>
      <c r="D314" s="2"/>
      <c r="E314" s="8"/>
      <c r="F314" s="8"/>
      <c r="G314" s="8"/>
      <c r="H314" s="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3"/>
      <c r="Z314" s="3"/>
      <c r="AA314" s="3"/>
      <c r="AB314" s="3"/>
    </row>
    <row r="315">
      <c r="A315" s="8"/>
      <c r="B315" s="8"/>
      <c r="C315" s="8"/>
      <c r="D315" s="2"/>
      <c r="E315" s="8"/>
      <c r="F315" s="8"/>
      <c r="G315" s="8"/>
      <c r="H315" s="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3"/>
      <c r="Z315" s="3"/>
      <c r="AA315" s="3"/>
      <c r="AB315" s="3"/>
    </row>
    <row r="316">
      <c r="A316" s="8"/>
      <c r="B316" s="8"/>
      <c r="C316" s="8"/>
      <c r="D316" s="2"/>
      <c r="E316" s="8"/>
      <c r="F316" s="8"/>
      <c r="G316" s="8"/>
      <c r="H316" s="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3"/>
      <c r="Z316" s="3"/>
      <c r="AA316" s="3"/>
      <c r="AB316" s="3"/>
    </row>
    <row r="317">
      <c r="A317" s="8"/>
      <c r="B317" s="8"/>
      <c r="C317" s="8"/>
      <c r="D317" s="2"/>
      <c r="E317" s="8"/>
      <c r="F317" s="8"/>
      <c r="G317" s="8"/>
      <c r="H317" s="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3"/>
      <c r="Z317" s="3"/>
      <c r="AA317" s="3"/>
      <c r="AB317" s="3"/>
    </row>
    <row r="318">
      <c r="A318" s="8"/>
      <c r="B318" s="8"/>
      <c r="C318" s="8"/>
      <c r="D318" s="2"/>
      <c r="E318" s="8"/>
      <c r="F318" s="8"/>
      <c r="G318" s="8"/>
      <c r="H318" s="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3"/>
      <c r="Z318" s="3"/>
      <c r="AA318" s="3"/>
      <c r="AB318" s="3"/>
    </row>
    <row r="319">
      <c r="A319" s="8"/>
      <c r="B319" s="8"/>
      <c r="C319" s="8"/>
      <c r="D319" s="2"/>
      <c r="E319" s="8"/>
      <c r="F319" s="8"/>
      <c r="G319" s="8"/>
      <c r="H319" s="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3"/>
      <c r="Z319" s="3"/>
      <c r="AA319" s="3"/>
      <c r="AB319" s="3"/>
    </row>
    <row r="320">
      <c r="A320" s="8"/>
      <c r="B320" s="8"/>
      <c r="C320" s="8"/>
      <c r="D320" s="2"/>
      <c r="E320" s="8"/>
      <c r="F320" s="8"/>
      <c r="G320" s="8"/>
      <c r="H320" s="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3"/>
      <c r="Z320" s="3"/>
      <c r="AA320" s="3"/>
      <c r="AB320" s="3"/>
    </row>
    <row r="321">
      <c r="A321" s="8"/>
      <c r="B321" s="8"/>
      <c r="C321" s="8"/>
      <c r="D321" s="2"/>
      <c r="E321" s="8"/>
      <c r="F321" s="8"/>
      <c r="G321" s="8"/>
      <c r="H321" s="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3"/>
      <c r="Z321" s="3"/>
      <c r="AA321" s="3"/>
      <c r="AB321" s="3"/>
    </row>
    <row r="322">
      <c r="A322" s="8"/>
      <c r="B322" s="8"/>
      <c r="C322" s="8"/>
      <c r="D322" s="2"/>
      <c r="E322" s="8"/>
      <c r="F322" s="8"/>
      <c r="G322" s="8"/>
      <c r="H322" s="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3"/>
      <c r="Z322" s="3"/>
      <c r="AA322" s="3"/>
      <c r="AB322" s="3"/>
    </row>
    <row r="323">
      <c r="A323" s="8"/>
      <c r="B323" s="8"/>
      <c r="C323" s="8"/>
      <c r="D323" s="2"/>
      <c r="E323" s="8"/>
      <c r="F323" s="8"/>
      <c r="G323" s="8"/>
      <c r="H323" s="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3"/>
      <c r="Z323" s="3"/>
      <c r="AA323" s="3"/>
      <c r="AB323" s="3"/>
    </row>
    <row r="324">
      <c r="A324" s="8"/>
      <c r="B324" s="8"/>
      <c r="C324" s="8"/>
      <c r="D324" s="2"/>
      <c r="E324" s="8"/>
      <c r="F324" s="8"/>
      <c r="G324" s="8"/>
      <c r="H324" s="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3"/>
      <c r="Z324" s="3"/>
      <c r="AA324" s="3"/>
      <c r="AB324" s="3"/>
    </row>
    <row r="325">
      <c r="A325" s="8"/>
      <c r="B325" s="8"/>
      <c r="C325" s="8"/>
      <c r="D325" s="2"/>
      <c r="E325" s="8"/>
      <c r="F325" s="8"/>
      <c r="G325" s="8"/>
      <c r="H325" s="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3"/>
      <c r="Z325" s="3"/>
      <c r="AA325" s="3"/>
      <c r="AB325" s="3"/>
    </row>
    <row r="326">
      <c r="A326" s="8"/>
      <c r="B326" s="8"/>
      <c r="C326" s="8"/>
      <c r="D326" s="2"/>
      <c r="E326" s="8"/>
      <c r="F326" s="8"/>
      <c r="G326" s="8"/>
      <c r="H326" s="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3"/>
      <c r="Z326" s="3"/>
      <c r="AA326" s="3"/>
      <c r="AB326" s="3"/>
    </row>
    <row r="327">
      <c r="A327" s="8"/>
      <c r="B327" s="8"/>
      <c r="C327" s="8"/>
      <c r="D327" s="2"/>
      <c r="E327" s="8"/>
      <c r="F327" s="8"/>
      <c r="G327" s="8"/>
      <c r="H327" s="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3"/>
      <c r="Z327" s="3"/>
      <c r="AA327" s="3"/>
      <c r="AB327" s="3"/>
    </row>
    <row r="328">
      <c r="A328" s="8"/>
      <c r="B328" s="8"/>
      <c r="C328" s="8"/>
      <c r="D328" s="2"/>
      <c r="E328" s="8"/>
      <c r="F328" s="8"/>
      <c r="G328" s="8"/>
      <c r="H328" s="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3"/>
      <c r="Z328" s="3"/>
      <c r="AA328" s="3"/>
      <c r="AB328" s="3"/>
    </row>
    <row r="329">
      <c r="A329" s="8"/>
      <c r="B329" s="8"/>
      <c r="C329" s="8"/>
      <c r="D329" s="2"/>
      <c r="E329" s="8"/>
      <c r="F329" s="8"/>
      <c r="G329" s="8"/>
      <c r="H329" s="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3"/>
      <c r="Z329" s="3"/>
      <c r="AA329" s="3"/>
      <c r="AB329" s="3"/>
    </row>
    <row r="330">
      <c r="A330" s="8"/>
      <c r="B330" s="8"/>
      <c r="C330" s="8"/>
      <c r="D330" s="2"/>
      <c r="E330" s="8"/>
      <c r="F330" s="8"/>
      <c r="G330" s="8"/>
      <c r="H330" s="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3"/>
      <c r="Z330" s="3"/>
      <c r="AA330" s="3"/>
      <c r="AB330" s="3"/>
    </row>
    <row r="331">
      <c r="A331" s="8"/>
      <c r="B331" s="8"/>
      <c r="C331" s="8"/>
      <c r="D331" s="2"/>
      <c r="E331" s="8"/>
      <c r="F331" s="8"/>
      <c r="G331" s="8"/>
      <c r="H331" s="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3"/>
      <c r="Z331" s="3"/>
      <c r="AA331" s="3"/>
      <c r="AB331" s="3"/>
    </row>
    <row r="332">
      <c r="A332" s="8"/>
      <c r="B332" s="8"/>
      <c r="C332" s="8"/>
      <c r="D332" s="2"/>
      <c r="E332" s="8"/>
      <c r="F332" s="8"/>
      <c r="G332" s="8"/>
      <c r="H332" s="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3"/>
      <c r="Z332" s="3"/>
      <c r="AA332" s="3"/>
      <c r="AB332" s="3"/>
    </row>
    <row r="333">
      <c r="A333" s="8"/>
      <c r="B333" s="8"/>
      <c r="C333" s="8"/>
      <c r="D333" s="2"/>
      <c r="E333" s="8"/>
      <c r="F333" s="8"/>
      <c r="G333" s="8"/>
      <c r="H333" s="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3"/>
      <c r="Z333" s="3"/>
      <c r="AA333" s="3"/>
      <c r="AB333" s="3"/>
    </row>
    <row r="334">
      <c r="A334" s="8"/>
      <c r="B334" s="8"/>
      <c r="C334" s="8"/>
      <c r="D334" s="2"/>
      <c r="E334" s="8"/>
      <c r="F334" s="8"/>
      <c r="G334" s="8"/>
      <c r="H334" s="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"/>
      <c r="Z334" s="3"/>
      <c r="AA334" s="3"/>
      <c r="AB334" s="3"/>
    </row>
    <row r="335">
      <c r="A335" s="8"/>
      <c r="B335" s="8"/>
      <c r="C335" s="8"/>
      <c r="D335" s="2"/>
      <c r="E335" s="8"/>
      <c r="F335" s="8"/>
      <c r="G335" s="8"/>
      <c r="H335" s="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"/>
      <c r="Z335" s="3"/>
      <c r="AA335" s="3"/>
      <c r="AB335" s="3"/>
    </row>
    <row r="336">
      <c r="A336" s="8"/>
      <c r="B336" s="8"/>
      <c r="C336" s="8"/>
      <c r="D336" s="2"/>
      <c r="E336" s="8"/>
      <c r="F336" s="8"/>
      <c r="G336" s="8"/>
      <c r="H336" s="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"/>
      <c r="Z336" s="3"/>
      <c r="AA336" s="3"/>
      <c r="AB336" s="3"/>
    </row>
    <row r="337">
      <c r="A337" s="8"/>
      <c r="B337" s="8"/>
      <c r="C337" s="8"/>
      <c r="D337" s="2"/>
      <c r="E337" s="8"/>
      <c r="F337" s="8"/>
      <c r="G337" s="8"/>
      <c r="H337" s="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3"/>
      <c r="Z337" s="3"/>
      <c r="AA337" s="3"/>
      <c r="AB337" s="3"/>
    </row>
    <row r="338">
      <c r="A338" s="8"/>
      <c r="B338" s="8"/>
      <c r="C338" s="8"/>
      <c r="D338" s="2"/>
      <c r="E338" s="8"/>
      <c r="F338" s="8"/>
      <c r="G338" s="8"/>
      <c r="H338" s="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3"/>
      <c r="Z338" s="3"/>
      <c r="AA338" s="3"/>
      <c r="AB338" s="3"/>
    </row>
    <row r="339">
      <c r="A339" s="8"/>
      <c r="B339" s="8"/>
      <c r="C339" s="8"/>
      <c r="D339" s="2"/>
      <c r="E339" s="8"/>
      <c r="F339" s="8"/>
      <c r="G339" s="8"/>
      <c r="H339" s="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"/>
      <c r="Z339" s="3"/>
      <c r="AA339" s="3"/>
      <c r="AB339" s="3"/>
    </row>
    <row r="340">
      <c r="A340" s="8"/>
      <c r="B340" s="8"/>
      <c r="C340" s="8"/>
      <c r="D340" s="2"/>
      <c r="E340" s="8"/>
      <c r="F340" s="8"/>
      <c r="G340" s="8"/>
      <c r="H340" s="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"/>
      <c r="Z340" s="3"/>
      <c r="AA340" s="3"/>
      <c r="AB340" s="3"/>
    </row>
    <row r="341">
      <c r="A341" s="8"/>
      <c r="B341" s="8"/>
      <c r="C341" s="8"/>
      <c r="D341" s="2"/>
      <c r="E341" s="8"/>
      <c r="F341" s="8"/>
      <c r="G341" s="8"/>
      <c r="H341" s="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3"/>
      <c r="Z341" s="3"/>
      <c r="AA341" s="3"/>
      <c r="AB341" s="3"/>
    </row>
    <row r="342">
      <c r="A342" s="8"/>
      <c r="B342" s="8"/>
      <c r="C342" s="8"/>
      <c r="D342" s="2"/>
      <c r="E342" s="8"/>
      <c r="F342" s="8"/>
      <c r="G342" s="8"/>
      <c r="H342" s="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3"/>
      <c r="Z342" s="3"/>
      <c r="AA342" s="3"/>
      <c r="AB342" s="3"/>
    </row>
    <row r="343">
      <c r="A343" s="8"/>
      <c r="B343" s="8"/>
      <c r="C343" s="8"/>
      <c r="D343" s="2"/>
      <c r="E343" s="8"/>
      <c r="F343" s="8"/>
      <c r="G343" s="8"/>
      <c r="H343" s="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3"/>
      <c r="Z343" s="3"/>
      <c r="AA343" s="3"/>
      <c r="AB343" s="3"/>
    </row>
    <row r="344">
      <c r="A344" s="8"/>
      <c r="B344" s="8"/>
      <c r="C344" s="8"/>
      <c r="D344" s="2"/>
      <c r="E344" s="8"/>
      <c r="F344" s="8"/>
      <c r="G344" s="8"/>
      <c r="H344" s="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3"/>
      <c r="Z344" s="3"/>
      <c r="AA344" s="3"/>
      <c r="AB344" s="3"/>
    </row>
    <row r="345">
      <c r="A345" s="8"/>
      <c r="B345" s="8"/>
      <c r="C345" s="8"/>
      <c r="D345" s="2"/>
      <c r="E345" s="8"/>
      <c r="F345" s="8"/>
      <c r="G345" s="8"/>
      <c r="H345" s="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3"/>
      <c r="Z345" s="3"/>
      <c r="AA345" s="3"/>
      <c r="AB345" s="3"/>
    </row>
    <row r="346">
      <c r="A346" s="8"/>
      <c r="B346" s="8"/>
      <c r="C346" s="8"/>
      <c r="D346" s="2"/>
      <c r="E346" s="8"/>
      <c r="F346" s="8"/>
      <c r="G346" s="8"/>
      <c r="H346" s="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3"/>
      <c r="Z346" s="3"/>
      <c r="AA346" s="3"/>
      <c r="AB346" s="3"/>
    </row>
    <row r="347">
      <c r="A347" s="8"/>
      <c r="B347" s="8"/>
      <c r="C347" s="8"/>
      <c r="D347" s="2"/>
      <c r="E347" s="8"/>
      <c r="F347" s="8"/>
      <c r="G347" s="8"/>
      <c r="H347" s="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3"/>
      <c r="Z347" s="3"/>
      <c r="AA347" s="3"/>
      <c r="AB347" s="3"/>
    </row>
    <row r="348">
      <c r="A348" s="8"/>
      <c r="B348" s="8"/>
      <c r="C348" s="8"/>
      <c r="D348" s="2"/>
      <c r="E348" s="8"/>
      <c r="F348" s="8"/>
      <c r="G348" s="8"/>
      <c r="H348" s="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3"/>
      <c r="Z348" s="3"/>
      <c r="AA348" s="3"/>
      <c r="AB348" s="3"/>
    </row>
    <row r="349">
      <c r="A349" s="8"/>
      <c r="B349" s="8"/>
      <c r="C349" s="8"/>
      <c r="D349" s="2"/>
      <c r="E349" s="8"/>
      <c r="F349" s="8"/>
      <c r="G349" s="8"/>
      <c r="H349" s="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3"/>
      <c r="Z349" s="3"/>
      <c r="AA349" s="3"/>
      <c r="AB349" s="3"/>
    </row>
    <row r="350">
      <c r="A350" s="8"/>
      <c r="B350" s="8"/>
      <c r="C350" s="8"/>
      <c r="D350" s="2"/>
      <c r="E350" s="8"/>
      <c r="F350" s="8"/>
      <c r="G350" s="8"/>
      <c r="H350" s="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3"/>
      <c r="Z350" s="3"/>
      <c r="AA350" s="3"/>
      <c r="AB350" s="3"/>
    </row>
    <row r="351">
      <c r="A351" s="8"/>
      <c r="B351" s="8"/>
      <c r="C351" s="8"/>
      <c r="D351" s="2"/>
      <c r="E351" s="8"/>
      <c r="F351" s="8"/>
      <c r="G351" s="8"/>
      <c r="H351" s="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3"/>
      <c r="Z351" s="3"/>
      <c r="AA351" s="3"/>
      <c r="AB351" s="3"/>
    </row>
    <row r="352">
      <c r="A352" s="8"/>
      <c r="B352" s="8"/>
      <c r="C352" s="8"/>
      <c r="D352" s="2"/>
      <c r="E352" s="8"/>
      <c r="F352" s="8"/>
      <c r="G352" s="8"/>
      <c r="H352" s="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3"/>
      <c r="Z352" s="3"/>
      <c r="AA352" s="3"/>
      <c r="AB352" s="3"/>
    </row>
    <row r="353">
      <c r="A353" s="8"/>
      <c r="B353" s="8"/>
      <c r="C353" s="8"/>
      <c r="D353" s="2"/>
      <c r="E353" s="8"/>
      <c r="F353" s="8"/>
      <c r="G353" s="8"/>
      <c r="H353" s="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3"/>
      <c r="Z353" s="3"/>
      <c r="AA353" s="3"/>
      <c r="AB353" s="3"/>
    </row>
    <row r="354">
      <c r="A354" s="8"/>
      <c r="B354" s="8"/>
      <c r="C354" s="8"/>
      <c r="D354" s="2"/>
      <c r="E354" s="8"/>
      <c r="F354" s="8"/>
      <c r="G354" s="8"/>
      <c r="H354" s="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3"/>
      <c r="Z354" s="3"/>
      <c r="AA354" s="3"/>
      <c r="AB354" s="3"/>
    </row>
    <row r="355">
      <c r="A355" s="8"/>
      <c r="B355" s="8"/>
      <c r="C355" s="8"/>
      <c r="D355" s="2"/>
      <c r="E355" s="8"/>
      <c r="F355" s="8"/>
      <c r="G355" s="8"/>
      <c r="H355" s="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3"/>
      <c r="Z355" s="3"/>
      <c r="AA355" s="3"/>
      <c r="AB355" s="3"/>
    </row>
    <row r="356">
      <c r="A356" s="8"/>
      <c r="B356" s="8"/>
      <c r="C356" s="8"/>
      <c r="D356" s="2"/>
      <c r="E356" s="8"/>
      <c r="F356" s="8"/>
      <c r="G356" s="8"/>
      <c r="H356" s="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3"/>
      <c r="Z356" s="3"/>
      <c r="AA356" s="3"/>
      <c r="AB356" s="3"/>
    </row>
    <row r="357">
      <c r="A357" s="8"/>
      <c r="B357" s="8"/>
      <c r="C357" s="8"/>
      <c r="D357" s="2"/>
      <c r="E357" s="8"/>
      <c r="F357" s="8"/>
      <c r="G357" s="8"/>
      <c r="H357" s="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3"/>
      <c r="Z357" s="3"/>
      <c r="AA357" s="3"/>
      <c r="AB357" s="3"/>
    </row>
    <row r="358">
      <c r="A358" s="8"/>
      <c r="B358" s="8"/>
      <c r="C358" s="8"/>
      <c r="D358" s="2"/>
      <c r="E358" s="8"/>
      <c r="F358" s="8"/>
      <c r="G358" s="8"/>
      <c r="H358" s="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3"/>
      <c r="Z358" s="3"/>
      <c r="AA358" s="3"/>
      <c r="AB358" s="3"/>
    </row>
    <row r="359">
      <c r="A359" s="8"/>
      <c r="B359" s="8"/>
      <c r="C359" s="8"/>
      <c r="D359" s="2"/>
      <c r="E359" s="8"/>
      <c r="F359" s="8"/>
      <c r="G359" s="8"/>
      <c r="H359" s="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3"/>
      <c r="Z359" s="3"/>
      <c r="AA359" s="3"/>
      <c r="AB359" s="3"/>
    </row>
    <row r="360">
      <c r="A360" s="8"/>
      <c r="B360" s="8"/>
      <c r="C360" s="8"/>
      <c r="D360" s="2"/>
      <c r="E360" s="8"/>
      <c r="F360" s="8"/>
      <c r="G360" s="8"/>
      <c r="H360" s="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3"/>
      <c r="Z360" s="3"/>
      <c r="AA360" s="3"/>
      <c r="AB360" s="3"/>
    </row>
    <row r="361">
      <c r="A361" s="8"/>
      <c r="B361" s="8"/>
      <c r="C361" s="8"/>
      <c r="D361" s="2"/>
      <c r="E361" s="8"/>
      <c r="F361" s="8"/>
      <c r="G361" s="8"/>
      <c r="H361" s="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3"/>
      <c r="Z361" s="3"/>
      <c r="AA361" s="3"/>
      <c r="AB361" s="3"/>
    </row>
    <row r="362">
      <c r="A362" s="8"/>
      <c r="B362" s="8"/>
      <c r="C362" s="8"/>
      <c r="D362" s="2"/>
      <c r="E362" s="8"/>
      <c r="F362" s="8"/>
      <c r="G362" s="8"/>
      <c r="H362" s="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3"/>
      <c r="Z362" s="3"/>
      <c r="AA362" s="3"/>
      <c r="AB362" s="3"/>
    </row>
    <row r="363">
      <c r="A363" s="8"/>
      <c r="B363" s="8"/>
      <c r="C363" s="8"/>
      <c r="D363" s="2"/>
      <c r="E363" s="8"/>
      <c r="F363" s="8"/>
      <c r="G363" s="8"/>
      <c r="H363" s="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3"/>
      <c r="Z363" s="3"/>
      <c r="AA363" s="3"/>
      <c r="AB363" s="3"/>
    </row>
    <row r="364">
      <c r="A364" s="8"/>
      <c r="B364" s="8"/>
      <c r="C364" s="8"/>
      <c r="D364" s="2"/>
      <c r="E364" s="8"/>
      <c r="F364" s="8"/>
      <c r="G364" s="8"/>
      <c r="H364" s="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3"/>
      <c r="Z364" s="3"/>
      <c r="AA364" s="3"/>
      <c r="AB364" s="3"/>
    </row>
    <row r="365">
      <c r="A365" s="8"/>
      <c r="B365" s="8"/>
      <c r="C365" s="8"/>
      <c r="D365" s="2"/>
      <c r="E365" s="8"/>
      <c r="F365" s="8"/>
      <c r="G365" s="8"/>
      <c r="H365" s="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3"/>
      <c r="Z365" s="3"/>
      <c r="AA365" s="3"/>
      <c r="AB365" s="3"/>
    </row>
    <row r="366">
      <c r="A366" s="8"/>
      <c r="B366" s="8"/>
      <c r="C366" s="8"/>
      <c r="D366" s="2"/>
      <c r="E366" s="8"/>
      <c r="F366" s="8"/>
      <c r="G366" s="8"/>
      <c r="H366" s="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3"/>
      <c r="Z366" s="3"/>
      <c r="AA366" s="3"/>
      <c r="AB366" s="3"/>
    </row>
    <row r="367">
      <c r="A367" s="8"/>
      <c r="B367" s="8"/>
      <c r="C367" s="8"/>
      <c r="D367" s="2"/>
      <c r="E367" s="8"/>
      <c r="F367" s="8"/>
      <c r="G367" s="8"/>
      <c r="H367" s="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3"/>
      <c r="Z367" s="3"/>
      <c r="AA367" s="3"/>
      <c r="AB367" s="3"/>
    </row>
    <row r="368">
      <c r="A368" s="8"/>
      <c r="B368" s="8"/>
      <c r="C368" s="8"/>
      <c r="D368" s="2"/>
      <c r="E368" s="8"/>
      <c r="F368" s="8"/>
      <c r="G368" s="8"/>
      <c r="H368" s="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3"/>
      <c r="Z368" s="3"/>
      <c r="AA368" s="3"/>
      <c r="AB368" s="3"/>
    </row>
    <row r="369">
      <c r="A369" s="8"/>
      <c r="B369" s="8"/>
      <c r="C369" s="8"/>
      <c r="D369" s="2"/>
      <c r="E369" s="8"/>
      <c r="F369" s="8"/>
      <c r="G369" s="8"/>
      <c r="H369" s="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3"/>
      <c r="Z369" s="3"/>
      <c r="AA369" s="3"/>
      <c r="AB369" s="3"/>
    </row>
    <row r="370">
      <c r="A370" s="8"/>
      <c r="B370" s="8"/>
      <c r="C370" s="8"/>
      <c r="D370" s="2"/>
      <c r="E370" s="8"/>
      <c r="F370" s="8"/>
      <c r="G370" s="8"/>
      <c r="H370" s="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3"/>
      <c r="Z370" s="3"/>
      <c r="AA370" s="3"/>
      <c r="AB370" s="3"/>
    </row>
    <row r="371">
      <c r="A371" s="8"/>
      <c r="B371" s="8"/>
      <c r="C371" s="8"/>
      <c r="D371" s="2"/>
      <c r="E371" s="8"/>
      <c r="F371" s="8"/>
      <c r="G371" s="8"/>
      <c r="H371" s="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3"/>
      <c r="Z371" s="3"/>
      <c r="AA371" s="3"/>
      <c r="AB371" s="3"/>
    </row>
    <row r="372">
      <c r="A372" s="8"/>
      <c r="B372" s="8"/>
      <c r="C372" s="8"/>
      <c r="D372" s="2"/>
      <c r="E372" s="8"/>
      <c r="F372" s="8"/>
      <c r="G372" s="8"/>
      <c r="H372" s="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3"/>
      <c r="Z372" s="3"/>
      <c r="AA372" s="3"/>
      <c r="AB372" s="3"/>
    </row>
    <row r="373">
      <c r="A373" s="8"/>
      <c r="B373" s="8"/>
      <c r="C373" s="8"/>
      <c r="D373" s="2"/>
      <c r="E373" s="8"/>
      <c r="F373" s="8"/>
      <c r="G373" s="8"/>
      <c r="H373" s="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3"/>
      <c r="Z373" s="3"/>
      <c r="AA373" s="3"/>
      <c r="AB373" s="3"/>
    </row>
    <row r="374">
      <c r="A374" s="8"/>
      <c r="B374" s="8"/>
      <c r="C374" s="8"/>
      <c r="D374" s="2"/>
      <c r="E374" s="8"/>
      <c r="F374" s="8"/>
      <c r="G374" s="8"/>
      <c r="H374" s="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3"/>
      <c r="Z374" s="3"/>
      <c r="AA374" s="3"/>
      <c r="AB374" s="3"/>
    </row>
    <row r="375">
      <c r="A375" s="8"/>
      <c r="B375" s="8"/>
      <c r="C375" s="8"/>
      <c r="D375" s="2"/>
      <c r="E375" s="8"/>
      <c r="F375" s="8"/>
      <c r="G375" s="8"/>
      <c r="H375" s="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3"/>
      <c r="Z375" s="3"/>
      <c r="AA375" s="3"/>
      <c r="AB375" s="3"/>
    </row>
    <row r="376">
      <c r="A376" s="8"/>
      <c r="B376" s="8"/>
      <c r="C376" s="8"/>
      <c r="D376" s="2"/>
      <c r="E376" s="8"/>
      <c r="F376" s="8"/>
      <c r="G376" s="8"/>
      <c r="H376" s="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3"/>
      <c r="Z376" s="3"/>
      <c r="AA376" s="3"/>
      <c r="AB376" s="3"/>
    </row>
    <row r="377">
      <c r="A377" s="8"/>
      <c r="B377" s="8"/>
      <c r="C377" s="8"/>
      <c r="D377" s="2"/>
      <c r="E377" s="8"/>
      <c r="F377" s="8"/>
      <c r="G377" s="8"/>
      <c r="H377" s="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3"/>
      <c r="Z377" s="3"/>
      <c r="AA377" s="3"/>
      <c r="AB377" s="3"/>
    </row>
    <row r="378">
      <c r="A378" s="8"/>
      <c r="B378" s="8"/>
      <c r="C378" s="8"/>
      <c r="D378" s="2"/>
      <c r="E378" s="8"/>
      <c r="F378" s="8"/>
      <c r="G378" s="8"/>
      <c r="H378" s="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3"/>
      <c r="Z378" s="3"/>
      <c r="AA378" s="3"/>
      <c r="AB378" s="3"/>
    </row>
    <row r="379">
      <c r="A379" s="8"/>
      <c r="B379" s="8"/>
      <c r="C379" s="8"/>
      <c r="D379" s="2"/>
      <c r="E379" s="8"/>
      <c r="F379" s="8"/>
      <c r="G379" s="8"/>
      <c r="H379" s="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3"/>
      <c r="Z379" s="3"/>
      <c r="AA379" s="3"/>
      <c r="AB379" s="3"/>
    </row>
    <row r="380">
      <c r="A380" s="8"/>
      <c r="B380" s="8"/>
      <c r="C380" s="8"/>
      <c r="D380" s="2"/>
      <c r="E380" s="8"/>
      <c r="F380" s="8"/>
      <c r="G380" s="8"/>
      <c r="H380" s="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3"/>
      <c r="Z380" s="3"/>
      <c r="AA380" s="3"/>
      <c r="AB380" s="3"/>
    </row>
    <row r="381">
      <c r="A381" s="8"/>
      <c r="B381" s="8"/>
      <c r="C381" s="8"/>
      <c r="D381" s="2"/>
      <c r="E381" s="8"/>
      <c r="F381" s="8"/>
      <c r="G381" s="8"/>
      <c r="H381" s="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3"/>
      <c r="Z381" s="3"/>
      <c r="AA381" s="3"/>
      <c r="AB381" s="3"/>
    </row>
    <row r="382">
      <c r="A382" s="8"/>
      <c r="B382" s="8"/>
      <c r="C382" s="8"/>
      <c r="D382" s="2"/>
      <c r="E382" s="8"/>
      <c r="F382" s="8"/>
      <c r="G382" s="8"/>
      <c r="H382" s="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3"/>
      <c r="Z382" s="3"/>
      <c r="AA382" s="3"/>
      <c r="AB382" s="3"/>
    </row>
    <row r="383">
      <c r="A383" s="8"/>
      <c r="B383" s="8"/>
      <c r="C383" s="8"/>
      <c r="D383" s="2"/>
      <c r="E383" s="8"/>
      <c r="F383" s="8"/>
      <c r="G383" s="8"/>
      <c r="H383" s="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3"/>
      <c r="Z383" s="3"/>
      <c r="AA383" s="3"/>
      <c r="AB383" s="3"/>
    </row>
    <row r="384">
      <c r="A384" s="8"/>
      <c r="B384" s="8"/>
      <c r="C384" s="8"/>
      <c r="D384" s="2"/>
      <c r="E384" s="8"/>
      <c r="F384" s="8"/>
      <c r="G384" s="8"/>
      <c r="H384" s="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3"/>
      <c r="Z384" s="3"/>
      <c r="AA384" s="3"/>
      <c r="AB384" s="3"/>
    </row>
    <row r="385">
      <c r="A385" s="8"/>
      <c r="B385" s="8"/>
      <c r="C385" s="8"/>
      <c r="D385" s="2"/>
      <c r="E385" s="8"/>
      <c r="F385" s="8"/>
      <c r="G385" s="8"/>
      <c r="H385" s="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3"/>
      <c r="Z385" s="3"/>
      <c r="AA385" s="3"/>
      <c r="AB385" s="3"/>
    </row>
    <row r="386">
      <c r="A386" s="8"/>
      <c r="B386" s="8"/>
      <c r="C386" s="8"/>
      <c r="D386" s="2"/>
      <c r="E386" s="8"/>
      <c r="F386" s="8"/>
      <c r="G386" s="8"/>
      <c r="H386" s="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3"/>
      <c r="Z386" s="3"/>
      <c r="AA386" s="3"/>
      <c r="AB386" s="3"/>
    </row>
    <row r="387">
      <c r="A387" s="8"/>
      <c r="B387" s="8"/>
      <c r="C387" s="8"/>
      <c r="D387" s="2"/>
      <c r="E387" s="8"/>
      <c r="F387" s="8"/>
      <c r="G387" s="8"/>
      <c r="H387" s="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3"/>
      <c r="Z387" s="3"/>
      <c r="AA387" s="3"/>
      <c r="AB387" s="3"/>
    </row>
    <row r="388">
      <c r="A388" s="8"/>
      <c r="B388" s="8"/>
      <c r="C388" s="8"/>
      <c r="D388" s="2"/>
      <c r="E388" s="8"/>
      <c r="F388" s="8"/>
      <c r="G388" s="8"/>
      <c r="H388" s="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3"/>
      <c r="Z388" s="3"/>
      <c r="AA388" s="3"/>
      <c r="AB388" s="3"/>
    </row>
    <row r="389">
      <c r="A389" s="8"/>
      <c r="B389" s="8"/>
      <c r="C389" s="8"/>
      <c r="D389" s="2"/>
      <c r="E389" s="8"/>
      <c r="F389" s="8"/>
      <c r="G389" s="8"/>
      <c r="H389" s="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3"/>
      <c r="Z389" s="3"/>
      <c r="AA389" s="3"/>
      <c r="AB389" s="3"/>
    </row>
    <row r="390">
      <c r="A390" s="8"/>
      <c r="B390" s="8"/>
      <c r="C390" s="8"/>
      <c r="D390" s="2"/>
      <c r="E390" s="8"/>
      <c r="F390" s="8"/>
      <c r="G390" s="8"/>
      <c r="H390" s="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3"/>
      <c r="Z390" s="3"/>
      <c r="AA390" s="3"/>
      <c r="AB390" s="3"/>
    </row>
    <row r="391">
      <c r="A391" s="8"/>
      <c r="B391" s="8"/>
      <c r="C391" s="8"/>
      <c r="D391" s="2"/>
      <c r="E391" s="8"/>
      <c r="F391" s="8"/>
      <c r="G391" s="8"/>
      <c r="H391" s="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3"/>
      <c r="Z391" s="3"/>
      <c r="AA391" s="3"/>
      <c r="AB391" s="3"/>
    </row>
    <row r="392">
      <c r="A392" s="8"/>
      <c r="B392" s="8"/>
      <c r="C392" s="8"/>
      <c r="D392" s="2"/>
      <c r="E392" s="8"/>
      <c r="F392" s="8"/>
      <c r="G392" s="8"/>
      <c r="H392" s="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3"/>
      <c r="Z392" s="3"/>
      <c r="AA392" s="3"/>
      <c r="AB392" s="3"/>
    </row>
    <row r="393">
      <c r="A393" s="8"/>
      <c r="B393" s="8"/>
      <c r="C393" s="8"/>
      <c r="D393" s="2"/>
      <c r="E393" s="8"/>
      <c r="F393" s="8"/>
      <c r="G393" s="8"/>
      <c r="H393" s="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3"/>
      <c r="Z393" s="3"/>
      <c r="AA393" s="3"/>
      <c r="AB393" s="3"/>
    </row>
    <row r="394">
      <c r="A394" s="8"/>
      <c r="B394" s="8"/>
      <c r="C394" s="8"/>
      <c r="D394" s="2"/>
      <c r="E394" s="8"/>
      <c r="F394" s="8"/>
      <c r="G394" s="8"/>
      <c r="H394" s="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3"/>
      <c r="Z394" s="3"/>
      <c r="AA394" s="3"/>
      <c r="AB394" s="3"/>
    </row>
    <row r="395">
      <c r="A395" s="8"/>
      <c r="B395" s="8"/>
      <c r="C395" s="8"/>
      <c r="D395" s="2"/>
      <c r="E395" s="8"/>
      <c r="F395" s="8"/>
      <c r="G395" s="8"/>
      <c r="H395" s="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3"/>
      <c r="Z395" s="3"/>
      <c r="AA395" s="3"/>
      <c r="AB395" s="3"/>
    </row>
    <row r="396">
      <c r="A396" s="8"/>
      <c r="B396" s="8"/>
      <c r="C396" s="8"/>
      <c r="D396" s="2"/>
      <c r="E396" s="8"/>
      <c r="F396" s="8"/>
      <c r="G396" s="8"/>
      <c r="H396" s="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3"/>
      <c r="Z396" s="3"/>
      <c r="AA396" s="3"/>
      <c r="AB396" s="3"/>
    </row>
    <row r="397">
      <c r="A397" s="8"/>
      <c r="B397" s="8"/>
      <c r="C397" s="8"/>
      <c r="D397" s="2"/>
      <c r="E397" s="8"/>
      <c r="F397" s="8"/>
      <c r="G397" s="8"/>
      <c r="H397" s="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3"/>
      <c r="Z397" s="3"/>
      <c r="AA397" s="3"/>
      <c r="AB397" s="3"/>
    </row>
    <row r="398">
      <c r="A398" s="8"/>
      <c r="B398" s="8"/>
      <c r="C398" s="8"/>
      <c r="D398" s="2"/>
      <c r="E398" s="8"/>
      <c r="F398" s="8"/>
      <c r="G398" s="8"/>
      <c r="H398" s="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3"/>
      <c r="Z398" s="3"/>
      <c r="AA398" s="3"/>
      <c r="AB398" s="3"/>
    </row>
    <row r="399">
      <c r="A399" s="8"/>
      <c r="B399" s="8"/>
      <c r="C399" s="8"/>
      <c r="D399" s="2"/>
      <c r="E399" s="8"/>
      <c r="F399" s="8"/>
      <c r="G399" s="8"/>
      <c r="H399" s="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3"/>
      <c r="Z399" s="3"/>
      <c r="AA399" s="3"/>
      <c r="AB399" s="3"/>
    </row>
    <row r="400">
      <c r="A400" s="8"/>
      <c r="B400" s="8"/>
      <c r="C400" s="8"/>
      <c r="D400" s="2"/>
      <c r="E400" s="8"/>
      <c r="F400" s="8"/>
      <c r="G400" s="8"/>
      <c r="H400" s="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3"/>
      <c r="Z400" s="3"/>
      <c r="AA400" s="3"/>
      <c r="AB400" s="3"/>
    </row>
    <row r="401">
      <c r="A401" s="8"/>
      <c r="B401" s="8"/>
      <c r="C401" s="8"/>
      <c r="D401" s="2"/>
      <c r="E401" s="8"/>
      <c r="F401" s="8"/>
      <c r="G401" s="8"/>
      <c r="H401" s="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3"/>
      <c r="Z401" s="3"/>
      <c r="AA401" s="3"/>
      <c r="AB401" s="3"/>
    </row>
    <row r="402">
      <c r="A402" s="8"/>
      <c r="B402" s="8"/>
      <c r="C402" s="8"/>
      <c r="D402" s="2"/>
      <c r="E402" s="8"/>
      <c r="F402" s="8"/>
      <c r="G402" s="8"/>
      <c r="H402" s="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3"/>
      <c r="Z402" s="3"/>
      <c r="AA402" s="3"/>
      <c r="AB402" s="3"/>
    </row>
    <row r="403">
      <c r="A403" s="8"/>
      <c r="B403" s="8"/>
      <c r="C403" s="8"/>
      <c r="D403" s="2"/>
      <c r="E403" s="8"/>
      <c r="F403" s="8"/>
      <c r="G403" s="8"/>
      <c r="H403" s="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3"/>
      <c r="Z403" s="3"/>
      <c r="AA403" s="3"/>
      <c r="AB403" s="3"/>
    </row>
    <row r="404">
      <c r="A404" s="8"/>
      <c r="B404" s="8"/>
      <c r="C404" s="8"/>
      <c r="D404" s="2"/>
      <c r="E404" s="8"/>
      <c r="F404" s="8"/>
      <c r="G404" s="8"/>
      <c r="H404" s="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3"/>
      <c r="Z404" s="3"/>
      <c r="AA404" s="3"/>
      <c r="AB404" s="3"/>
    </row>
    <row r="405">
      <c r="A405" s="8"/>
      <c r="B405" s="8"/>
      <c r="C405" s="8"/>
      <c r="D405" s="2"/>
      <c r="E405" s="8"/>
      <c r="F405" s="8"/>
      <c r="G405" s="8"/>
      <c r="H405" s="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"/>
      <c r="Z405" s="3"/>
      <c r="AA405" s="3"/>
      <c r="AB405" s="3"/>
    </row>
    <row r="406">
      <c r="A406" s="8"/>
      <c r="B406" s="8"/>
      <c r="C406" s="8"/>
      <c r="D406" s="2"/>
      <c r="E406" s="8"/>
      <c r="F406" s="8"/>
      <c r="G406" s="8"/>
      <c r="H406" s="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3"/>
      <c r="Z406" s="3"/>
      <c r="AA406" s="3"/>
      <c r="AB406" s="3"/>
    </row>
    <row r="407">
      <c r="A407" s="8"/>
      <c r="B407" s="8"/>
      <c r="C407" s="8"/>
      <c r="D407" s="2"/>
      <c r="E407" s="8"/>
      <c r="F407" s="8"/>
      <c r="G407" s="8"/>
      <c r="H407" s="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3"/>
      <c r="Z407" s="3"/>
      <c r="AA407" s="3"/>
      <c r="AB407" s="3"/>
    </row>
    <row r="408">
      <c r="A408" s="8"/>
      <c r="B408" s="8"/>
      <c r="C408" s="8"/>
      <c r="D408" s="2"/>
      <c r="E408" s="8"/>
      <c r="F408" s="8"/>
      <c r="G408" s="8"/>
      <c r="H408" s="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3"/>
      <c r="Z408" s="3"/>
      <c r="AA408" s="3"/>
      <c r="AB408" s="3"/>
    </row>
    <row r="409">
      <c r="A409" s="8"/>
      <c r="B409" s="8"/>
      <c r="C409" s="8"/>
      <c r="D409" s="2"/>
      <c r="E409" s="8"/>
      <c r="F409" s="8"/>
      <c r="G409" s="8"/>
      <c r="H409" s="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3"/>
      <c r="Z409" s="3"/>
      <c r="AA409" s="3"/>
      <c r="AB409" s="3"/>
    </row>
    <row r="410">
      <c r="A410" s="8"/>
      <c r="B410" s="8"/>
      <c r="C410" s="8"/>
      <c r="D410" s="2"/>
      <c r="E410" s="8"/>
      <c r="F410" s="8"/>
      <c r="G410" s="8"/>
      <c r="H410" s="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3"/>
      <c r="Z410" s="3"/>
      <c r="AA410" s="3"/>
      <c r="AB410" s="3"/>
    </row>
    <row r="411">
      <c r="A411" s="8"/>
      <c r="B411" s="8"/>
      <c r="C411" s="8"/>
      <c r="D411" s="2"/>
      <c r="E411" s="8"/>
      <c r="F411" s="8"/>
      <c r="G411" s="8"/>
      <c r="H411" s="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3"/>
      <c r="Z411" s="3"/>
      <c r="AA411" s="3"/>
      <c r="AB411" s="3"/>
    </row>
    <row r="412">
      <c r="A412" s="8"/>
      <c r="B412" s="8"/>
      <c r="C412" s="8"/>
      <c r="D412" s="2"/>
      <c r="E412" s="8"/>
      <c r="F412" s="8"/>
      <c r="G412" s="8"/>
      <c r="H412" s="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3"/>
      <c r="Z412" s="3"/>
      <c r="AA412" s="3"/>
      <c r="AB412" s="3"/>
    </row>
    <row r="413">
      <c r="A413" s="8"/>
      <c r="B413" s="8"/>
      <c r="C413" s="8"/>
      <c r="D413" s="2"/>
      <c r="E413" s="8"/>
      <c r="F413" s="8"/>
      <c r="G413" s="8"/>
      <c r="H413" s="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3"/>
      <c r="Z413" s="3"/>
      <c r="AA413" s="3"/>
      <c r="AB413" s="3"/>
    </row>
    <row r="414">
      <c r="A414" s="8"/>
      <c r="B414" s="8"/>
      <c r="C414" s="8"/>
      <c r="D414" s="2"/>
      <c r="E414" s="8"/>
      <c r="F414" s="8"/>
      <c r="G414" s="8"/>
      <c r="H414" s="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"/>
      <c r="Z414" s="3"/>
      <c r="AA414" s="3"/>
      <c r="AB414" s="3"/>
    </row>
    <row r="415">
      <c r="A415" s="8"/>
      <c r="B415" s="8"/>
      <c r="C415" s="8"/>
      <c r="D415" s="2"/>
      <c r="E415" s="8"/>
      <c r="F415" s="8"/>
      <c r="G415" s="8"/>
      <c r="H415" s="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3"/>
      <c r="Z415" s="3"/>
      <c r="AA415" s="3"/>
      <c r="AB415" s="3"/>
    </row>
    <row r="416">
      <c r="A416" s="8"/>
      <c r="B416" s="8"/>
      <c r="C416" s="8"/>
      <c r="D416" s="2"/>
      <c r="E416" s="8"/>
      <c r="F416" s="8"/>
      <c r="G416" s="8"/>
      <c r="H416" s="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3"/>
      <c r="Z416" s="3"/>
      <c r="AA416" s="3"/>
      <c r="AB416" s="3"/>
    </row>
    <row r="417">
      <c r="A417" s="8"/>
      <c r="B417" s="8"/>
      <c r="C417" s="8"/>
      <c r="D417" s="2"/>
      <c r="E417" s="8"/>
      <c r="F417" s="8"/>
      <c r="G417" s="8"/>
      <c r="H417" s="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3"/>
      <c r="Z417" s="3"/>
      <c r="AA417" s="3"/>
      <c r="AB417" s="3"/>
    </row>
    <row r="418">
      <c r="A418" s="8"/>
      <c r="B418" s="8"/>
      <c r="C418" s="8"/>
      <c r="D418" s="2"/>
      <c r="E418" s="8"/>
      <c r="F418" s="8"/>
      <c r="G418" s="8"/>
      <c r="H418" s="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3"/>
      <c r="Z418" s="3"/>
      <c r="AA418" s="3"/>
      <c r="AB418" s="3"/>
    </row>
    <row r="419">
      <c r="A419" s="8"/>
      <c r="B419" s="8"/>
      <c r="C419" s="8"/>
      <c r="D419" s="2"/>
      <c r="E419" s="8"/>
      <c r="F419" s="8"/>
      <c r="G419" s="8"/>
      <c r="H419" s="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3"/>
      <c r="Z419" s="3"/>
      <c r="AA419" s="3"/>
      <c r="AB419" s="3"/>
    </row>
    <row r="420">
      <c r="A420" s="8"/>
      <c r="B420" s="8"/>
      <c r="C420" s="8"/>
      <c r="D420" s="2"/>
      <c r="E420" s="8"/>
      <c r="F420" s="8"/>
      <c r="G420" s="8"/>
      <c r="H420" s="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"/>
      <c r="Z420" s="3"/>
      <c r="AA420" s="3"/>
      <c r="AB420" s="3"/>
    </row>
    <row r="421">
      <c r="A421" s="8"/>
      <c r="B421" s="8"/>
      <c r="C421" s="8"/>
      <c r="D421" s="2"/>
      <c r="E421" s="8"/>
      <c r="F421" s="8"/>
      <c r="G421" s="8"/>
      <c r="H421" s="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3"/>
      <c r="Z421" s="3"/>
      <c r="AA421" s="3"/>
      <c r="AB421" s="3"/>
    </row>
    <row r="422">
      <c r="A422" s="8"/>
      <c r="B422" s="8"/>
      <c r="C422" s="8"/>
      <c r="D422" s="2"/>
      <c r="E422" s="8"/>
      <c r="F422" s="8"/>
      <c r="G422" s="8"/>
      <c r="H422" s="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3"/>
      <c r="Z422" s="3"/>
      <c r="AA422" s="3"/>
      <c r="AB422" s="3"/>
    </row>
    <row r="423">
      <c r="A423" s="8"/>
      <c r="B423" s="8"/>
      <c r="C423" s="8"/>
      <c r="D423" s="2"/>
      <c r="E423" s="8"/>
      <c r="F423" s="8"/>
      <c r="G423" s="8"/>
      <c r="H423" s="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3"/>
      <c r="Z423" s="3"/>
      <c r="AA423" s="3"/>
      <c r="AB423" s="3"/>
    </row>
    <row r="424">
      <c r="A424" s="8"/>
      <c r="B424" s="8"/>
      <c r="C424" s="8"/>
      <c r="D424" s="2"/>
      <c r="E424" s="8"/>
      <c r="F424" s="8"/>
      <c r="G424" s="8"/>
      <c r="H424" s="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3"/>
      <c r="Z424" s="3"/>
      <c r="AA424" s="3"/>
      <c r="AB424" s="3"/>
    </row>
    <row r="425">
      <c r="A425" s="8"/>
      <c r="B425" s="8"/>
      <c r="C425" s="8"/>
      <c r="D425" s="2"/>
      <c r="E425" s="8"/>
      <c r="F425" s="8"/>
      <c r="G425" s="8"/>
      <c r="H425" s="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3"/>
      <c r="Z425" s="3"/>
      <c r="AA425" s="3"/>
      <c r="AB425" s="3"/>
    </row>
    <row r="426">
      <c r="A426" s="8"/>
      <c r="B426" s="8"/>
      <c r="C426" s="8"/>
      <c r="D426" s="2"/>
      <c r="E426" s="8"/>
      <c r="F426" s="8"/>
      <c r="G426" s="8"/>
      <c r="H426" s="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3"/>
      <c r="Z426" s="3"/>
      <c r="AA426" s="3"/>
      <c r="AB426" s="3"/>
    </row>
    <row r="427">
      <c r="A427" s="8"/>
      <c r="B427" s="8"/>
      <c r="C427" s="8"/>
      <c r="D427" s="2"/>
      <c r="E427" s="8"/>
      <c r="F427" s="8"/>
      <c r="G427" s="8"/>
      <c r="H427" s="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3"/>
      <c r="Z427" s="3"/>
      <c r="AA427" s="3"/>
      <c r="AB427" s="3"/>
    </row>
    <row r="428">
      <c r="A428" s="8"/>
      <c r="B428" s="8"/>
      <c r="C428" s="8"/>
      <c r="D428" s="2"/>
      <c r="E428" s="8"/>
      <c r="F428" s="8"/>
      <c r="G428" s="8"/>
      <c r="H428" s="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3"/>
      <c r="Z428" s="3"/>
      <c r="AA428" s="3"/>
      <c r="AB428" s="3"/>
    </row>
    <row r="429">
      <c r="A429" s="8"/>
      <c r="B429" s="8"/>
      <c r="C429" s="8"/>
      <c r="D429" s="2"/>
      <c r="E429" s="8"/>
      <c r="F429" s="8"/>
      <c r="G429" s="8"/>
      <c r="H429" s="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3"/>
      <c r="Z429" s="3"/>
      <c r="AA429" s="3"/>
      <c r="AB429" s="3"/>
    </row>
    <row r="430">
      <c r="A430" s="8"/>
      <c r="B430" s="8"/>
      <c r="C430" s="8"/>
      <c r="D430" s="2"/>
      <c r="E430" s="8"/>
      <c r="F430" s="8"/>
      <c r="G430" s="8"/>
      <c r="H430" s="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3"/>
      <c r="Z430" s="3"/>
      <c r="AA430" s="3"/>
      <c r="AB430" s="3"/>
    </row>
    <row r="431">
      <c r="A431" s="8"/>
      <c r="B431" s="8"/>
      <c r="C431" s="8"/>
      <c r="D431" s="2"/>
      <c r="E431" s="8"/>
      <c r="F431" s="8"/>
      <c r="G431" s="8"/>
      <c r="H431" s="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3"/>
      <c r="Z431" s="3"/>
      <c r="AA431" s="3"/>
      <c r="AB431" s="3"/>
    </row>
    <row r="432">
      <c r="A432" s="8"/>
      <c r="B432" s="8"/>
      <c r="C432" s="8"/>
      <c r="D432" s="2"/>
      <c r="E432" s="8"/>
      <c r="F432" s="8"/>
      <c r="G432" s="8"/>
      <c r="H432" s="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3"/>
      <c r="Z432" s="3"/>
      <c r="AA432" s="3"/>
      <c r="AB432" s="3"/>
    </row>
    <row r="433">
      <c r="A433" s="8"/>
      <c r="B433" s="8"/>
      <c r="C433" s="8"/>
      <c r="D433" s="2"/>
      <c r="E433" s="8"/>
      <c r="F433" s="8"/>
      <c r="G433" s="8"/>
      <c r="H433" s="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3"/>
      <c r="Z433" s="3"/>
      <c r="AA433" s="3"/>
      <c r="AB433" s="3"/>
    </row>
    <row r="434">
      <c r="A434" s="8"/>
      <c r="B434" s="8"/>
      <c r="C434" s="8"/>
      <c r="D434" s="2"/>
      <c r="E434" s="8"/>
      <c r="F434" s="8"/>
      <c r="G434" s="8"/>
      <c r="H434" s="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3"/>
      <c r="Z434" s="3"/>
      <c r="AA434" s="3"/>
      <c r="AB434" s="3"/>
    </row>
    <row r="435">
      <c r="A435" s="8"/>
      <c r="B435" s="8"/>
      <c r="C435" s="8"/>
      <c r="D435" s="2"/>
      <c r="E435" s="8"/>
      <c r="F435" s="8"/>
      <c r="G435" s="8"/>
      <c r="H435" s="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3"/>
      <c r="Z435" s="3"/>
      <c r="AA435" s="3"/>
      <c r="AB435" s="3"/>
    </row>
    <row r="436">
      <c r="A436" s="8"/>
      <c r="B436" s="8"/>
      <c r="C436" s="8"/>
      <c r="D436" s="2"/>
      <c r="E436" s="8"/>
      <c r="F436" s="8"/>
      <c r="G436" s="8"/>
      <c r="H436" s="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3"/>
      <c r="Z436" s="3"/>
      <c r="AA436" s="3"/>
      <c r="AB436" s="3"/>
    </row>
    <row r="437">
      <c r="A437" s="8"/>
      <c r="B437" s="8"/>
      <c r="C437" s="8"/>
      <c r="D437" s="2"/>
      <c r="E437" s="8"/>
      <c r="F437" s="8"/>
      <c r="G437" s="8"/>
      <c r="H437" s="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3"/>
      <c r="Z437" s="3"/>
      <c r="AA437" s="3"/>
      <c r="AB437" s="3"/>
    </row>
    <row r="438">
      <c r="A438" s="8"/>
      <c r="B438" s="8"/>
      <c r="C438" s="8"/>
      <c r="D438" s="2"/>
      <c r="E438" s="8"/>
      <c r="F438" s="8"/>
      <c r="G438" s="8"/>
      <c r="H438" s="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3"/>
      <c r="Z438" s="3"/>
      <c r="AA438" s="3"/>
      <c r="AB438" s="3"/>
    </row>
    <row r="439">
      <c r="A439" s="8"/>
      <c r="B439" s="8"/>
      <c r="C439" s="8"/>
      <c r="D439" s="2"/>
      <c r="E439" s="8"/>
      <c r="F439" s="8"/>
      <c r="G439" s="8"/>
      <c r="H439" s="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3"/>
      <c r="Z439" s="3"/>
      <c r="AA439" s="3"/>
      <c r="AB439" s="3"/>
    </row>
    <row r="440">
      <c r="A440" s="8"/>
      <c r="B440" s="8"/>
      <c r="C440" s="8"/>
      <c r="D440" s="2"/>
      <c r="E440" s="8"/>
      <c r="F440" s="8"/>
      <c r="G440" s="8"/>
      <c r="H440" s="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3"/>
      <c r="Z440" s="3"/>
      <c r="AA440" s="3"/>
      <c r="AB440" s="3"/>
    </row>
    <row r="441">
      <c r="A441" s="8"/>
      <c r="B441" s="8"/>
      <c r="C441" s="8"/>
      <c r="D441" s="2"/>
      <c r="E441" s="8"/>
      <c r="F441" s="8"/>
      <c r="G441" s="8"/>
      <c r="H441" s="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3"/>
      <c r="Z441" s="3"/>
      <c r="AA441" s="3"/>
      <c r="AB441" s="3"/>
    </row>
    <row r="442">
      <c r="A442" s="8"/>
      <c r="B442" s="8"/>
      <c r="C442" s="8"/>
      <c r="D442" s="2"/>
      <c r="E442" s="8"/>
      <c r="F442" s="8"/>
      <c r="G442" s="8"/>
      <c r="H442" s="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3"/>
      <c r="Z442" s="3"/>
      <c r="AA442" s="3"/>
      <c r="AB442" s="3"/>
    </row>
    <row r="443">
      <c r="A443" s="8"/>
      <c r="B443" s="8"/>
      <c r="C443" s="8"/>
      <c r="D443" s="2"/>
      <c r="E443" s="8"/>
      <c r="F443" s="8"/>
      <c r="G443" s="8"/>
      <c r="H443" s="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3"/>
      <c r="Z443" s="3"/>
      <c r="AA443" s="3"/>
      <c r="AB443" s="3"/>
    </row>
    <row r="444">
      <c r="A444" s="8"/>
      <c r="B444" s="8"/>
      <c r="C444" s="8"/>
      <c r="D444" s="2"/>
      <c r="E444" s="8"/>
      <c r="F444" s="8"/>
      <c r="G444" s="8"/>
      <c r="H444" s="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3"/>
      <c r="Z444" s="3"/>
      <c r="AA444" s="3"/>
      <c r="AB444" s="3"/>
    </row>
    <row r="445">
      <c r="A445" s="8"/>
      <c r="B445" s="8"/>
      <c r="C445" s="8"/>
      <c r="D445" s="2"/>
      <c r="E445" s="8"/>
      <c r="F445" s="8"/>
      <c r="G445" s="8"/>
      <c r="H445" s="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3"/>
      <c r="Z445" s="3"/>
      <c r="AA445" s="3"/>
      <c r="AB445" s="3"/>
    </row>
    <row r="446">
      <c r="A446" s="8"/>
      <c r="B446" s="8"/>
      <c r="C446" s="8"/>
      <c r="D446" s="2"/>
      <c r="E446" s="8"/>
      <c r="F446" s="8"/>
      <c r="G446" s="8"/>
      <c r="H446" s="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3"/>
      <c r="Z446" s="3"/>
      <c r="AA446" s="3"/>
      <c r="AB446" s="3"/>
    </row>
    <row r="447">
      <c r="A447" s="8"/>
      <c r="B447" s="8"/>
      <c r="C447" s="8"/>
      <c r="D447" s="2"/>
      <c r="E447" s="8"/>
      <c r="F447" s="8"/>
      <c r="G447" s="8"/>
      <c r="H447" s="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3"/>
      <c r="Z447" s="3"/>
      <c r="AA447" s="3"/>
      <c r="AB447" s="3"/>
    </row>
    <row r="448">
      <c r="A448" s="8"/>
      <c r="B448" s="8"/>
      <c r="C448" s="8"/>
      <c r="D448" s="2"/>
      <c r="E448" s="8"/>
      <c r="F448" s="8"/>
      <c r="G448" s="8"/>
      <c r="H448" s="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3"/>
      <c r="Z448" s="3"/>
      <c r="AA448" s="3"/>
      <c r="AB448" s="3"/>
    </row>
    <row r="449">
      <c r="A449" s="8"/>
      <c r="B449" s="8"/>
      <c r="C449" s="8"/>
      <c r="D449" s="2"/>
      <c r="E449" s="8"/>
      <c r="F449" s="8"/>
      <c r="G449" s="8"/>
      <c r="H449" s="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3"/>
      <c r="Z449" s="3"/>
      <c r="AA449" s="3"/>
      <c r="AB449" s="3"/>
    </row>
    <row r="450">
      <c r="A450" s="8"/>
      <c r="B450" s="8"/>
      <c r="C450" s="8"/>
      <c r="D450" s="2"/>
      <c r="E450" s="8"/>
      <c r="F450" s="8"/>
      <c r="G450" s="8"/>
      <c r="H450" s="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3"/>
      <c r="Z450" s="3"/>
      <c r="AA450" s="3"/>
      <c r="AB450" s="3"/>
    </row>
    <row r="451">
      <c r="A451" s="8"/>
      <c r="B451" s="8"/>
      <c r="C451" s="8"/>
      <c r="D451" s="2"/>
      <c r="E451" s="8"/>
      <c r="F451" s="8"/>
      <c r="G451" s="8"/>
      <c r="H451" s="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3"/>
      <c r="Z451" s="3"/>
      <c r="AA451" s="3"/>
      <c r="AB451" s="3"/>
    </row>
    <row r="452">
      <c r="A452" s="8"/>
      <c r="B452" s="8"/>
      <c r="C452" s="8"/>
      <c r="D452" s="2"/>
      <c r="E452" s="8"/>
      <c r="F452" s="8"/>
      <c r="G452" s="8"/>
      <c r="H452" s="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3"/>
      <c r="Z452" s="3"/>
      <c r="AA452" s="3"/>
      <c r="AB452" s="3"/>
    </row>
    <row r="453">
      <c r="A453" s="8"/>
      <c r="B453" s="8"/>
      <c r="C453" s="8"/>
      <c r="D453" s="2"/>
      <c r="E453" s="8"/>
      <c r="F453" s="8"/>
      <c r="G453" s="8"/>
      <c r="H453" s="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3"/>
      <c r="Z453" s="3"/>
      <c r="AA453" s="3"/>
      <c r="AB453" s="3"/>
    </row>
    <row r="454">
      <c r="A454" s="8"/>
      <c r="B454" s="8"/>
      <c r="C454" s="8"/>
      <c r="D454" s="2"/>
      <c r="E454" s="8"/>
      <c r="F454" s="8"/>
      <c r="G454" s="8"/>
      <c r="H454" s="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3"/>
      <c r="Z454" s="3"/>
      <c r="AA454" s="3"/>
      <c r="AB454" s="3"/>
    </row>
    <row r="455">
      <c r="A455" s="8"/>
      <c r="B455" s="8"/>
      <c r="C455" s="8"/>
      <c r="D455" s="2"/>
      <c r="E455" s="8"/>
      <c r="F455" s="8"/>
      <c r="G455" s="8"/>
      <c r="H455" s="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3"/>
      <c r="Z455" s="3"/>
      <c r="AA455" s="3"/>
      <c r="AB455" s="3"/>
    </row>
    <row r="456">
      <c r="A456" s="8"/>
      <c r="B456" s="8"/>
      <c r="C456" s="8"/>
      <c r="D456" s="2"/>
      <c r="E456" s="8"/>
      <c r="F456" s="8"/>
      <c r="G456" s="8"/>
      <c r="H456" s="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3"/>
      <c r="Z456" s="3"/>
      <c r="AA456" s="3"/>
      <c r="AB456" s="3"/>
    </row>
    <row r="457">
      <c r="A457" s="8"/>
      <c r="B457" s="8"/>
      <c r="C457" s="8"/>
      <c r="D457" s="2"/>
      <c r="E457" s="8"/>
      <c r="F457" s="8"/>
      <c r="G457" s="8"/>
      <c r="H457" s="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3"/>
      <c r="Z457" s="3"/>
      <c r="AA457" s="3"/>
      <c r="AB457" s="3"/>
    </row>
    <row r="458">
      <c r="A458" s="8"/>
      <c r="B458" s="8"/>
      <c r="C458" s="8"/>
      <c r="D458" s="2"/>
      <c r="E458" s="8"/>
      <c r="F458" s="8"/>
      <c r="G458" s="8"/>
      <c r="H458" s="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3"/>
      <c r="Z458" s="3"/>
      <c r="AA458" s="3"/>
      <c r="AB458" s="3"/>
    </row>
    <row r="459">
      <c r="A459" s="8"/>
      <c r="B459" s="8"/>
      <c r="C459" s="8"/>
      <c r="D459" s="2"/>
      <c r="E459" s="8"/>
      <c r="F459" s="8"/>
      <c r="G459" s="8"/>
      <c r="H459" s="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3"/>
      <c r="Z459" s="3"/>
      <c r="AA459" s="3"/>
      <c r="AB459" s="3"/>
    </row>
    <row r="460">
      <c r="A460" s="8"/>
      <c r="B460" s="8"/>
      <c r="C460" s="8"/>
      <c r="D460" s="2"/>
      <c r="E460" s="8"/>
      <c r="F460" s="8"/>
      <c r="G460" s="8"/>
      <c r="H460" s="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3"/>
      <c r="Z460" s="3"/>
      <c r="AA460" s="3"/>
      <c r="AB460" s="3"/>
    </row>
    <row r="461">
      <c r="A461" s="8"/>
      <c r="B461" s="8"/>
      <c r="C461" s="8"/>
      <c r="D461" s="2"/>
      <c r="E461" s="8"/>
      <c r="F461" s="8"/>
      <c r="G461" s="8"/>
      <c r="H461" s="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3"/>
      <c r="Z461" s="3"/>
      <c r="AA461" s="3"/>
      <c r="AB461" s="3"/>
    </row>
    <row r="462">
      <c r="A462" s="8"/>
      <c r="B462" s="8"/>
      <c r="C462" s="8"/>
      <c r="D462" s="2"/>
      <c r="E462" s="8"/>
      <c r="F462" s="8"/>
      <c r="G462" s="8"/>
      <c r="H462" s="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3"/>
      <c r="Z462" s="3"/>
      <c r="AA462" s="3"/>
      <c r="AB462" s="3"/>
    </row>
    <row r="463">
      <c r="A463" s="8"/>
      <c r="B463" s="8"/>
      <c r="C463" s="8"/>
      <c r="D463" s="2"/>
      <c r="E463" s="8"/>
      <c r="F463" s="8"/>
      <c r="G463" s="8"/>
      <c r="H463" s="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3"/>
      <c r="Z463" s="3"/>
      <c r="AA463" s="3"/>
      <c r="AB463" s="3"/>
    </row>
    <row r="464">
      <c r="A464" s="8"/>
      <c r="B464" s="8"/>
      <c r="C464" s="8"/>
      <c r="D464" s="2"/>
      <c r="E464" s="8"/>
      <c r="F464" s="8"/>
      <c r="G464" s="8"/>
      <c r="H464" s="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3"/>
      <c r="Z464" s="3"/>
      <c r="AA464" s="3"/>
      <c r="AB464" s="3"/>
    </row>
    <row r="465">
      <c r="A465" s="8"/>
      <c r="B465" s="8"/>
      <c r="C465" s="8"/>
      <c r="D465" s="2"/>
      <c r="E465" s="8"/>
      <c r="F465" s="8"/>
      <c r="G465" s="8"/>
      <c r="H465" s="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3"/>
      <c r="Z465" s="3"/>
      <c r="AA465" s="3"/>
      <c r="AB465" s="3"/>
    </row>
    <row r="466">
      <c r="A466" s="8"/>
      <c r="B466" s="8"/>
      <c r="C466" s="8"/>
      <c r="D466" s="2"/>
      <c r="E466" s="8"/>
      <c r="F466" s="8"/>
      <c r="G466" s="8"/>
      <c r="H466" s="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3"/>
      <c r="Z466" s="3"/>
      <c r="AA466" s="3"/>
      <c r="AB466" s="3"/>
    </row>
    <row r="467">
      <c r="A467" s="8"/>
      <c r="B467" s="8"/>
      <c r="C467" s="8"/>
      <c r="D467" s="2"/>
      <c r="E467" s="8"/>
      <c r="F467" s="8"/>
      <c r="G467" s="8"/>
      <c r="H467" s="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3"/>
      <c r="Z467" s="3"/>
      <c r="AA467" s="3"/>
      <c r="AB467" s="3"/>
    </row>
    <row r="468">
      <c r="A468" s="8"/>
      <c r="B468" s="8"/>
      <c r="C468" s="8"/>
      <c r="D468" s="2"/>
      <c r="E468" s="8"/>
      <c r="F468" s="8"/>
      <c r="G468" s="8"/>
      <c r="H468" s="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3"/>
      <c r="Z468" s="3"/>
      <c r="AA468" s="3"/>
      <c r="AB468" s="3"/>
    </row>
    <row r="469">
      <c r="A469" s="8"/>
      <c r="B469" s="8"/>
      <c r="C469" s="8"/>
      <c r="D469" s="2"/>
      <c r="E469" s="8"/>
      <c r="F469" s="8"/>
      <c r="G469" s="8"/>
      <c r="H469" s="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3"/>
      <c r="Z469" s="3"/>
      <c r="AA469" s="3"/>
      <c r="AB469" s="3"/>
    </row>
    <row r="470">
      <c r="A470" s="8"/>
      <c r="B470" s="8"/>
      <c r="C470" s="8"/>
      <c r="D470" s="2"/>
      <c r="E470" s="8"/>
      <c r="F470" s="8"/>
      <c r="G470" s="8"/>
      <c r="H470" s="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3"/>
      <c r="Z470" s="3"/>
      <c r="AA470" s="3"/>
      <c r="AB470" s="3"/>
    </row>
    <row r="471">
      <c r="A471" s="8"/>
      <c r="B471" s="8"/>
      <c r="C471" s="8"/>
      <c r="D471" s="2"/>
      <c r="E471" s="8"/>
      <c r="F471" s="8"/>
      <c r="G471" s="8"/>
      <c r="H471" s="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3"/>
      <c r="Z471" s="3"/>
      <c r="AA471" s="3"/>
      <c r="AB471" s="3"/>
    </row>
    <row r="472">
      <c r="A472" s="8"/>
      <c r="B472" s="8"/>
      <c r="C472" s="8"/>
      <c r="D472" s="2"/>
      <c r="E472" s="8"/>
      <c r="F472" s="8"/>
      <c r="G472" s="8"/>
      <c r="H472" s="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3"/>
      <c r="Z472" s="3"/>
      <c r="AA472" s="3"/>
      <c r="AB472" s="3"/>
    </row>
    <row r="473">
      <c r="A473" s="8"/>
      <c r="B473" s="8"/>
      <c r="C473" s="8"/>
      <c r="D473" s="2"/>
      <c r="E473" s="8"/>
      <c r="F473" s="8"/>
      <c r="G473" s="8"/>
      <c r="H473" s="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3"/>
      <c r="Z473" s="3"/>
      <c r="AA473" s="3"/>
      <c r="AB473" s="3"/>
    </row>
    <row r="474">
      <c r="A474" s="8"/>
      <c r="B474" s="8"/>
      <c r="C474" s="8"/>
      <c r="D474" s="2"/>
      <c r="E474" s="8"/>
      <c r="F474" s="8"/>
      <c r="G474" s="8"/>
      <c r="H474" s="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3"/>
      <c r="Z474" s="3"/>
      <c r="AA474" s="3"/>
      <c r="AB474" s="3"/>
    </row>
    <row r="475">
      <c r="A475" s="8"/>
      <c r="B475" s="8"/>
      <c r="C475" s="8"/>
      <c r="D475" s="2"/>
      <c r="E475" s="8"/>
      <c r="F475" s="8"/>
      <c r="G475" s="8"/>
      <c r="H475" s="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3"/>
      <c r="Z475" s="3"/>
      <c r="AA475" s="3"/>
      <c r="AB475" s="3"/>
    </row>
    <row r="476">
      <c r="A476" s="8"/>
      <c r="B476" s="8"/>
      <c r="C476" s="8"/>
      <c r="D476" s="2"/>
      <c r="E476" s="8"/>
      <c r="F476" s="8"/>
      <c r="G476" s="8"/>
      <c r="H476" s="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3"/>
      <c r="Z476" s="3"/>
      <c r="AA476" s="3"/>
      <c r="AB476" s="3"/>
    </row>
    <row r="477">
      <c r="A477" s="8"/>
      <c r="B477" s="8"/>
      <c r="C477" s="8"/>
      <c r="D477" s="2"/>
      <c r="E477" s="8"/>
      <c r="F477" s="8"/>
      <c r="G477" s="8"/>
      <c r="H477" s="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3"/>
      <c r="Z477" s="3"/>
      <c r="AA477" s="3"/>
      <c r="AB477" s="3"/>
    </row>
    <row r="478">
      <c r="A478" s="8"/>
      <c r="B478" s="8"/>
      <c r="C478" s="8"/>
      <c r="D478" s="2"/>
      <c r="E478" s="8"/>
      <c r="F478" s="8"/>
      <c r="G478" s="8"/>
      <c r="H478" s="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3"/>
      <c r="Z478" s="3"/>
      <c r="AA478" s="3"/>
      <c r="AB478" s="3"/>
    </row>
    <row r="479">
      <c r="A479" s="8"/>
      <c r="B479" s="8"/>
      <c r="C479" s="8"/>
      <c r="D479" s="2"/>
      <c r="E479" s="8"/>
      <c r="F479" s="8"/>
      <c r="G479" s="8"/>
      <c r="H479" s="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3"/>
      <c r="Z479" s="3"/>
      <c r="AA479" s="3"/>
      <c r="AB479" s="3"/>
    </row>
    <row r="480">
      <c r="A480" s="8"/>
      <c r="B480" s="8"/>
      <c r="C480" s="8"/>
      <c r="D480" s="2"/>
      <c r="E480" s="8"/>
      <c r="F480" s="8"/>
      <c r="G480" s="8"/>
      <c r="H480" s="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3"/>
      <c r="Z480" s="3"/>
      <c r="AA480" s="3"/>
      <c r="AB480" s="3"/>
    </row>
    <row r="481">
      <c r="A481" s="8"/>
      <c r="B481" s="8"/>
      <c r="C481" s="8"/>
      <c r="D481" s="2"/>
      <c r="E481" s="8"/>
      <c r="F481" s="8"/>
      <c r="G481" s="8"/>
      <c r="H481" s="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3"/>
      <c r="Z481" s="3"/>
      <c r="AA481" s="3"/>
      <c r="AB481" s="3"/>
    </row>
    <row r="482">
      <c r="A482" s="8"/>
      <c r="B482" s="8"/>
      <c r="C482" s="8"/>
      <c r="D482" s="2"/>
      <c r="E482" s="8"/>
      <c r="F482" s="8"/>
      <c r="G482" s="8"/>
      <c r="H482" s="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3"/>
      <c r="Z482" s="3"/>
      <c r="AA482" s="3"/>
      <c r="AB482" s="3"/>
    </row>
    <row r="483">
      <c r="A483" s="8"/>
      <c r="B483" s="8"/>
      <c r="C483" s="8"/>
      <c r="D483" s="2"/>
      <c r="E483" s="8"/>
      <c r="F483" s="8"/>
      <c r="G483" s="8"/>
      <c r="H483" s="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3"/>
      <c r="Z483" s="3"/>
      <c r="AA483" s="3"/>
      <c r="AB483" s="3"/>
    </row>
    <row r="484">
      <c r="A484" s="8"/>
      <c r="B484" s="8"/>
      <c r="C484" s="8"/>
      <c r="D484" s="2"/>
      <c r="E484" s="8"/>
      <c r="F484" s="8"/>
      <c r="G484" s="8"/>
      <c r="H484" s="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3"/>
      <c r="Z484" s="3"/>
      <c r="AA484" s="3"/>
      <c r="AB484" s="3"/>
    </row>
    <row r="485">
      <c r="A485" s="8"/>
      <c r="B485" s="8"/>
      <c r="C485" s="8"/>
      <c r="D485" s="2"/>
      <c r="E485" s="8"/>
      <c r="F485" s="8"/>
      <c r="G485" s="8"/>
      <c r="H485" s="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3"/>
      <c r="Z485" s="3"/>
      <c r="AA485" s="3"/>
      <c r="AB485" s="3"/>
    </row>
    <row r="486">
      <c r="A486" s="8"/>
      <c r="B486" s="8"/>
      <c r="C486" s="8"/>
      <c r="D486" s="2"/>
      <c r="E486" s="8"/>
      <c r="F486" s="8"/>
      <c r="G486" s="8"/>
      <c r="H486" s="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3"/>
      <c r="Z486" s="3"/>
      <c r="AA486" s="3"/>
      <c r="AB486" s="3"/>
    </row>
    <row r="487">
      <c r="A487" s="8"/>
      <c r="B487" s="8"/>
      <c r="C487" s="8"/>
      <c r="D487" s="2"/>
      <c r="E487" s="8"/>
      <c r="F487" s="8"/>
      <c r="G487" s="8"/>
      <c r="H487" s="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"/>
      <c r="Z487" s="3"/>
      <c r="AA487" s="3"/>
      <c r="AB487" s="3"/>
    </row>
    <row r="488">
      <c r="A488" s="8"/>
      <c r="B488" s="8"/>
      <c r="C488" s="8"/>
      <c r="D488" s="2"/>
      <c r="E488" s="8"/>
      <c r="F488" s="8"/>
      <c r="G488" s="8"/>
      <c r="H488" s="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3"/>
      <c r="Z488" s="3"/>
      <c r="AA488" s="3"/>
      <c r="AB488" s="3"/>
    </row>
    <row r="489">
      <c r="A489" s="8"/>
      <c r="B489" s="8"/>
      <c r="C489" s="8"/>
      <c r="D489" s="2"/>
      <c r="E489" s="8"/>
      <c r="F489" s="8"/>
      <c r="G489" s="8"/>
      <c r="H489" s="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3"/>
      <c r="Z489" s="3"/>
      <c r="AA489" s="3"/>
      <c r="AB489" s="3"/>
    </row>
    <row r="490">
      <c r="A490" s="8"/>
      <c r="B490" s="8"/>
      <c r="C490" s="8"/>
      <c r="D490" s="2"/>
      <c r="E490" s="8"/>
      <c r="F490" s="8"/>
      <c r="G490" s="8"/>
      <c r="H490" s="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3"/>
      <c r="Z490" s="3"/>
      <c r="AA490" s="3"/>
      <c r="AB490" s="3"/>
    </row>
    <row r="491">
      <c r="A491" s="8"/>
      <c r="B491" s="8"/>
      <c r="C491" s="8"/>
      <c r="D491" s="2"/>
      <c r="E491" s="8"/>
      <c r="F491" s="8"/>
      <c r="G491" s="8"/>
      <c r="H491" s="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3"/>
      <c r="Z491" s="3"/>
      <c r="AA491" s="3"/>
      <c r="AB491" s="3"/>
    </row>
    <row r="492">
      <c r="A492" s="8"/>
      <c r="B492" s="8"/>
      <c r="C492" s="8"/>
      <c r="D492" s="2"/>
      <c r="E492" s="8"/>
      <c r="F492" s="8"/>
      <c r="G492" s="8"/>
      <c r="H492" s="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"/>
      <c r="Z492" s="3"/>
      <c r="AA492" s="3"/>
      <c r="AB492" s="3"/>
    </row>
    <row r="493">
      <c r="A493" s="8"/>
      <c r="B493" s="8"/>
      <c r="C493" s="8"/>
      <c r="D493" s="2"/>
      <c r="E493" s="8"/>
      <c r="F493" s="8"/>
      <c r="G493" s="8"/>
      <c r="H493" s="8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3"/>
      <c r="Z493" s="3"/>
      <c r="AA493" s="3"/>
      <c r="AB493" s="3"/>
    </row>
    <row r="494">
      <c r="A494" s="8"/>
      <c r="B494" s="8"/>
      <c r="C494" s="8"/>
      <c r="D494" s="2"/>
      <c r="E494" s="8"/>
      <c r="F494" s="8"/>
      <c r="G494" s="8"/>
      <c r="H494" s="8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3"/>
      <c r="Z494" s="3"/>
      <c r="AA494" s="3"/>
      <c r="AB494" s="3"/>
    </row>
    <row r="495">
      <c r="A495" s="8"/>
      <c r="B495" s="8"/>
      <c r="C495" s="8"/>
      <c r="D495" s="2"/>
      <c r="E495" s="8"/>
      <c r="F495" s="8"/>
      <c r="G495" s="8"/>
      <c r="H495" s="8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3"/>
      <c r="Z495" s="3"/>
      <c r="AA495" s="3"/>
      <c r="AB495" s="3"/>
    </row>
    <row r="496">
      <c r="A496" s="8"/>
      <c r="B496" s="8"/>
      <c r="C496" s="8"/>
      <c r="D496" s="2"/>
      <c r="E496" s="8"/>
      <c r="F496" s="8"/>
      <c r="G496" s="8"/>
      <c r="H496" s="8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3"/>
      <c r="Z496" s="3"/>
      <c r="AA496" s="3"/>
      <c r="AB496" s="3"/>
    </row>
    <row r="497">
      <c r="A497" s="8"/>
      <c r="B497" s="8"/>
      <c r="C497" s="8"/>
      <c r="D497" s="2"/>
      <c r="E497" s="8"/>
      <c r="F497" s="8"/>
      <c r="G497" s="8"/>
      <c r="H497" s="8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3"/>
      <c r="Z497" s="3"/>
      <c r="AA497" s="3"/>
      <c r="AB497" s="3"/>
    </row>
    <row r="498">
      <c r="A498" s="8"/>
      <c r="B498" s="8"/>
      <c r="C498" s="8"/>
      <c r="D498" s="2"/>
      <c r="E498" s="8"/>
      <c r="F498" s="8"/>
      <c r="G498" s="8"/>
      <c r="H498" s="8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3"/>
      <c r="Z498" s="3"/>
      <c r="AA498" s="3"/>
      <c r="AB498" s="3"/>
    </row>
    <row r="499">
      <c r="A499" s="8"/>
      <c r="B499" s="8"/>
      <c r="C499" s="8"/>
      <c r="D499" s="2"/>
      <c r="E499" s="8"/>
      <c r="F499" s="8"/>
      <c r="G499" s="8"/>
      <c r="H499" s="8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3"/>
      <c r="Z499" s="3"/>
      <c r="AA499" s="3"/>
      <c r="AB499" s="3"/>
    </row>
    <row r="500">
      <c r="A500" s="8"/>
      <c r="B500" s="8"/>
      <c r="C500" s="8"/>
      <c r="D500" s="2"/>
      <c r="E500" s="8"/>
      <c r="F500" s="8"/>
      <c r="G500" s="8"/>
      <c r="H500" s="8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3"/>
      <c r="Z500" s="3"/>
      <c r="AA500" s="3"/>
      <c r="AB500" s="3"/>
    </row>
    <row r="501">
      <c r="A501" s="8"/>
      <c r="B501" s="8"/>
      <c r="C501" s="8"/>
      <c r="D501" s="2"/>
      <c r="E501" s="8"/>
      <c r="F501" s="8"/>
      <c r="G501" s="8"/>
      <c r="H501" s="8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"/>
      <c r="Z501" s="3"/>
      <c r="AA501" s="3"/>
      <c r="AB501" s="3"/>
    </row>
    <row r="502">
      <c r="A502" s="8"/>
      <c r="B502" s="8"/>
      <c r="C502" s="8"/>
      <c r="D502" s="2"/>
      <c r="E502" s="8"/>
      <c r="F502" s="8"/>
      <c r="G502" s="8"/>
      <c r="H502" s="8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3"/>
      <c r="Z502" s="3"/>
      <c r="AA502" s="3"/>
      <c r="AB502" s="3"/>
    </row>
    <row r="503">
      <c r="A503" s="8"/>
      <c r="B503" s="8"/>
      <c r="C503" s="8"/>
      <c r="D503" s="2"/>
      <c r="E503" s="8"/>
      <c r="F503" s="8"/>
      <c r="G503" s="8"/>
      <c r="H503" s="8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3"/>
      <c r="Z503" s="3"/>
      <c r="AA503" s="3"/>
      <c r="AB503" s="3"/>
    </row>
    <row r="504">
      <c r="A504" s="8"/>
      <c r="B504" s="8"/>
      <c r="C504" s="8"/>
      <c r="D504" s="2"/>
      <c r="E504" s="8"/>
      <c r="F504" s="8"/>
      <c r="G504" s="8"/>
      <c r="H504" s="8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3"/>
      <c r="Z504" s="3"/>
      <c r="AA504" s="3"/>
      <c r="AB504" s="3"/>
    </row>
    <row r="505">
      <c r="A505" s="8"/>
      <c r="B505" s="8"/>
      <c r="C505" s="8"/>
      <c r="D505" s="2"/>
      <c r="E505" s="8"/>
      <c r="F505" s="8"/>
      <c r="G505" s="8"/>
      <c r="H505" s="8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3"/>
      <c r="Z505" s="3"/>
      <c r="AA505" s="3"/>
      <c r="AB505" s="3"/>
    </row>
    <row r="506">
      <c r="A506" s="8"/>
      <c r="B506" s="8"/>
      <c r="C506" s="8"/>
      <c r="D506" s="2"/>
      <c r="E506" s="8"/>
      <c r="F506" s="8"/>
      <c r="G506" s="8"/>
      <c r="H506" s="8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3"/>
      <c r="Z506" s="3"/>
      <c r="AA506" s="3"/>
      <c r="AB506" s="3"/>
    </row>
    <row r="507">
      <c r="A507" s="8"/>
      <c r="B507" s="8"/>
      <c r="C507" s="8"/>
      <c r="D507" s="2"/>
      <c r="E507" s="8"/>
      <c r="F507" s="8"/>
      <c r="G507" s="8"/>
      <c r="H507" s="8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3"/>
      <c r="Z507" s="3"/>
      <c r="AA507" s="3"/>
      <c r="AB507" s="3"/>
    </row>
    <row r="508">
      <c r="A508" s="8"/>
      <c r="B508" s="8"/>
      <c r="C508" s="8"/>
      <c r="D508" s="2"/>
      <c r="E508" s="8"/>
      <c r="F508" s="8"/>
      <c r="G508" s="8"/>
      <c r="H508" s="8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"/>
      <c r="Z508" s="3"/>
      <c r="AA508" s="3"/>
      <c r="AB508" s="3"/>
    </row>
    <row r="509">
      <c r="A509" s="8"/>
      <c r="B509" s="8"/>
      <c r="C509" s="8"/>
      <c r="D509" s="2"/>
      <c r="E509" s="8"/>
      <c r="F509" s="8"/>
      <c r="G509" s="8"/>
      <c r="H509" s="8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"/>
      <c r="Z509" s="3"/>
      <c r="AA509" s="3"/>
      <c r="AB509" s="3"/>
    </row>
    <row r="510">
      <c r="A510" s="8"/>
      <c r="B510" s="8"/>
      <c r="C510" s="8"/>
      <c r="D510" s="2"/>
      <c r="E510" s="8"/>
      <c r="F510" s="8"/>
      <c r="G510" s="8"/>
      <c r="H510" s="8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"/>
      <c r="Z510" s="3"/>
      <c r="AA510" s="3"/>
      <c r="AB510" s="3"/>
    </row>
    <row r="511">
      <c r="A511" s="8"/>
      <c r="B511" s="8"/>
      <c r="C511" s="8"/>
      <c r="D511" s="2"/>
      <c r="E511" s="8"/>
      <c r="F511" s="8"/>
      <c r="G511" s="8"/>
      <c r="H511" s="8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3"/>
      <c r="Z511" s="3"/>
      <c r="AA511" s="3"/>
      <c r="AB511" s="3"/>
    </row>
    <row r="512">
      <c r="A512" s="8"/>
      <c r="B512" s="8"/>
      <c r="C512" s="8"/>
      <c r="D512" s="2"/>
      <c r="E512" s="8"/>
      <c r="F512" s="8"/>
      <c r="G512" s="8"/>
      <c r="H512" s="8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3"/>
      <c r="Z512" s="3"/>
      <c r="AA512" s="3"/>
      <c r="AB512" s="3"/>
    </row>
    <row r="513">
      <c r="A513" s="8"/>
      <c r="B513" s="8"/>
      <c r="C513" s="8"/>
      <c r="D513" s="2"/>
      <c r="E513" s="8"/>
      <c r="F513" s="8"/>
      <c r="G513" s="8"/>
      <c r="H513" s="8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3"/>
      <c r="Z513" s="3"/>
      <c r="AA513" s="3"/>
      <c r="AB513" s="3"/>
    </row>
    <row r="514">
      <c r="A514" s="8"/>
      <c r="B514" s="8"/>
      <c r="C514" s="8"/>
      <c r="D514" s="2"/>
      <c r="E514" s="8"/>
      <c r="F514" s="8"/>
      <c r="G514" s="8"/>
      <c r="H514" s="8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3"/>
      <c r="Z514" s="3"/>
      <c r="AA514" s="3"/>
      <c r="AB514" s="3"/>
    </row>
    <row r="515">
      <c r="A515" s="8"/>
      <c r="B515" s="8"/>
      <c r="C515" s="8"/>
      <c r="D515" s="2"/>
      <c r="E515" s="8"/>
      <c r="F515" s="8"/>
      <c r="G515" s="8"/>
      <c r="H515" s="8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3"/>
      <c r="Z515" s="3"/>
      <c r="AA515" s="3"/>
      <c r="AB515" s="3"/>
    </row>
    <row r="516">
      <c r="A516" s="8"/>
      <c r="B516" s="8"/>
      <c r="C516" s="8"/>
      <c r="D516" s="2"/>
      <c r="E516" s="8"/>
      <c r="F516" s="8"/>
      <c r="G516" s="8"/>
      <c r="H516" s="8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3"/>
      <c r="Z516" s="3"/>
      <c r="AA516" s="3"/>
      <c r="AB516" s="3"/>
    </row>
    <row r="517">
      <c r="A517" s="8"/>
      <c r="B517" s="8"/>
      <c r="C517" s="8"/>
      <c r="D517" s="2"/>
      <c r="E517" s="8"/>
      <c r="F517" s="8"/>
      <c r="G517" s="8"/>
      <c r="H517" s="8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3"/>
      <c r="Z517" s="3"/>
      <c r="AA517" s="3"/>
      <c r="AB517" s="3"/>
    </row>
    <row r="518">
      <c r="A518" s="8"/>
      <c r="B518" s="8"/>
      <c r="C518" s="8"/>
      <c r="D518" s="2"/>
      <c r="E518" s="8"/>
      <c r="F518" s="8"/>
      <c r="G518" s="8"/>
      <c r="H518" s="8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3"/>
      <c r="Z518" s="3"/>
      <c r="AA518" s="3"/>
      <c r="AB518" s="3"/>
    </row>
    <row r="519">
      <c r="A519" s="8"/>
      <c r="B519" s="8"/>
      <c r="C519" s="8"/>
      <c r="D519" s="2"/>
      <c r="E519" s="8"/>
      <c r="F519" s="8"/>
      <c r="G519" s="8"/>
      <c r="H519" s="8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3"/>
      <c r="Z519" s="3"/>
      <c r="AA519" s="3"/>
      <c r="AB519" s="3"/>
    </row>
    <row r="520">
      <c r="A520" s="8"/>
      <c r="B520" s="8"/>
      <c r="C520" s="8"/>
      <c r="D520" s="2"/>
      <c r="E520" s="8"/>
      <c r="F520" s="8"/>
      <c r="G520" s="8"/>
      <c r="H520" s="8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3"/>
      <c r="Z520" s="3"/>
      <c r="AA520" s="3"/>
      <c r="AB520" s="3"/>
    </row>
    <row r="521">
      <c r="A521" s="8"/>
      <c r="B521" s="8"/>
      <c r="C521" s="8"/>
      <c r="D521" s="2"/>
      <c r="E521" s="8"/>
      <c r="F521" s="8"/>
      <c r="G521" s="8"/>
      <c r="H521" s="8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3"/>
      <c r="Z521" s="3"/>
      <c r="AA521" s="3"/>
      <c r="AB521" s="3"/>
    </row>
    <row r="522">
      <c r="A522" s="8"/>
      <c r="B522" s="8"/>
      <c r="C522" s="8"/>
      <c r="D522" s="2"/>
      <c r="E522" s="8"/>
      <c r="F522" s="8"/>
      <c r="G522" s="8"/>
      <c r="H522" s="8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3"/>
      <c r="Z522" s="3"/>
      <c r="AA522" s="3"/>
      <c r="AB522" s="3"/>
    </row>
    <row r="523">
      <c r="A523" s="8"/>
      <c r="B523" s="8"/>
      <c r="C523" s="8"/>
      <c r="D523" s="2"/>
      <c r="E523" s="8"/>
      <c r="F523" s="8"/>
      <c r="G523" s="8"/>
      <c r="H523" s="8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3"/>
      <c r="Z523" s="3"/>
      <c r="AA523" s="3"/>
      <c r="AB523" s="3"/>
    </row>
    <row r="524">
      <c r="A524" s="8"/>
      <c r="B524" s="8"/>
      <c r="C524" s="8"/>
      <c r="D524" s="2"/>
      <c r="E524" s="8"/>
      <c r="F524" s="8"/>
      <c r="G524" s="8"/>
      <c r="H524" s="8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3"/>
      <c r="Z524" s="3"/>
      <c r="AA524" s="3"/>
      <c r="AB524" s="3"/>
    </row>
    <row r="525">
      <c r="A525" s="8"/>
      <c r="B525" s="8"/>
      <c r="C525" s="8"/>
      <c r="D525" s="2"/>
      <c r="E525" s="8"/>
      <c r="F525" s="8"/>
      <c r="G525" s="8"/>
      <c r="H525" s="8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3"/>
      <c r="Z525" s="3"/>
      <c r="AA525" s="3"/>
      <c r="AB525" s="3"/>
    </row>
    <row r="526">
      <c r="A526" s="8"/>
      <c r="B526" s="8"/>
      <c r="C526" s="8"/>
      <c r="D526" s="2"/>
      <c r="E526" s="8"/>
      <c r="F526" s="8"/>
      <c r="G526" s="8"/>
      <c r="H526" s="8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3"/>
      <c r="Z526" s="3"/>
      <c r="AA526" s="3"/>
      <c r="AB526" s="3"/>
    </row>
    <row r="527">
      <c r="A527" s="8"/>
      <c r="B527" s="8"/>
      <c r="C527" s="8"/>
      <c r="D527" s="2"/>
      <c r="E527" s="8"/>
      <c r="F527" s="8"/>
      <c r="G527" s="8"/>
      <c r="H527" s="8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3"/>
      <c r="Z527" s="3"/>
      <c r="AA527" s="3"/>
      <c r="AB527" s="3"/>
    </row>
    <row r="528">
      <c r="A528" s="8"/>
      <c r="B528" s="8"/>
      <c r="C528" s="8"/>
      <c r="D528" s="2"/>
      <c r="E528" s="8"/>
      <c r="F528" s="8"/>
      <c r="G528" s="8"/>
      <c r="H528" s="8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3"/>
      <c r="Z528" s="3"/>
      <c r="AA528" s="3"/>
      <c r="AB528" s="3"/>
    </row>
    <row r="529">
      <c r="A529" s="8"/>
      <c r="B529" s="8"/>
      <c r="C529" s="8"/>
      <c r="D529" s="2"/>
      <c r="E529" s="8"/>
      <c r="F529" s="8"/>
      <c r="G529" s="8"/>
      <c r="H529" s="8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3"/>
      <c r="Z529" s="3"/>
      <c r="AA529" s="3"/>
      <c r="AB529" s="3"/>
    </row>
    <row r="530">
      <c r="A530" s="8"/>
      <c r="B530" s="8"/>
      <c r="C530" s="8"/>
      <c r="D530" s="2"/>
      <c r="E530" s="8"/>
      <c r="F530" s="8"/>
      <c r="G530" s="8"/>
      <c r="H530" s="8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3"/>
      <c r="Z530" s="3"/>
      <c r="AA530" s="3"/>
      <c r="AB530" s="3"/>
    </row>
    <row r="531">
      <c r="A531" s="8"/>
      <c r="B531" s="8"/>
      <c r="C531" s="8"/>
      <c r="D531" s="2"/>
      <c r="E531" s="8"/>
      <c r="F531" s="8"/>
      <c r="G531" s="8"/>
      <c r="H531" s="8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3"/>
      <c r="Z531" s="3"/>
      <c r="AA531" s="3"/>
      <c r="AB531" s="3"/>
    </row>
    <row r="532">
      <c r="A532" s="8"/>
      <c r="B532" s="8"/>
      <c r="C532" s="8"/>
      <c r="D532" s="2"/>
      <c r="E532" s="8"/>
      <c r="F532" s="8"/>
      <c r="G532" s="8"/>
      <c r="H532" s="8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3"/>
      <c r="Z532" s="3"/>
      <c r="AA532" s="3"/>
      <c r="AB532" s="3"/>
    </row>
    <row r="533">
      <c r="A533" s="8"/>
      <c r="B533" s="8"/>
      <c r="C533" s="8"/>
      <c r="D533" s="2"/>
      <c r="E533" s="8"/>
      <c r="F533" s="8"/>
      <c r="G533" s="8"/>
      <c r="H533" s="8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3"/>
      <c r="Z533" s="3"/>
      <c r="AA533" s="3"/>
      <c r="AB533" s="3"/>
    </row>
    <row r="534">
      <c r="A534" s="8"/>
      <c r="B534" s="8"/>
      <c r="C534" s="8"/>
      <c r="D534" s="2"/>
      <c r="E534" s="8"/>
      <c r="F534" s="8"/>
      <c r="G534" s="8"/>
      <c r="H534" s="8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3"/>
      <c r="Z534" s="3"/>
      <c r="AA534" s="3"/>
      <c r="AB534" s="3"/>
    </row>
    <row r="535">
      <c r="A535" s="8"/>
      <c r="B535" s="8"/>
      <c r="C535" s="8"/>
      <c r="D535" s="2"/>
      <c r="E535" s="8"/>
      <c r="F535" s="8"/>
      <c r="G535" s="8"/>
      <c r="H535" s="8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3"/>
      <c r="Z535" s="3"/>
      <c r="AA535" s="3"/>
      <c r="AB535" s="3"/>
    </row>
    <row r="536">
      <c r="A536" s="8"/>
      <c r="B536" s="8"/>
      <c r="C536" s="8"/>
      <c r="D536" s="2"/>
      <c r="E536" s="8"/>
      <c r="F536" s="8"/>
      <c r="G536" s="8"/>
      <c r="H536" s="8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3"/>
      <c r="Z536" s="3"/>
      <c r="AA536" s="3"/>
      <c r="AB536" s="3"/>
    </row>
    <row r="537">
      <c r="A537" s="8"/>
      <c r="B537" s="8"/>
      <c r="C537" s="8"/>
      <c r="D537" s="2"/>
      <c r="E537" s="8"/>
      <c r="F537" s="8"/>
      <c r="G537" s="8"/>
      <c r="H537" s="8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3"/>
      <c r="Z537" s="3"/>
      <c r="AA537" s="3"/>
      <c r="AB537" s="3"/>
    </row>
    <row r="538">
      <c r="A538" s="8"/>
      <c r="B538" s="8"/>
      <c r="C538" s="8"/>
      <c r="D538" s="2"/>
      <c r="E538" s="8"/>
      <c r="F538" s="8"/>
      <c r="G538" s="8"/>
      <c r="H538" s="8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3"/>
      <c r="Z538" s="3"/>
      <c r="AA538" s="3"/>
      <c r="AB538" s="3"/>
    </row>
    <row r="539">
      <c r="A539" s="8"/>
      <c r="B539" s="8"/>
      <c r="C539" s="8"/>
      <c r="D539" s="2"/>
      <c r="E539" s="8"/>
      <c r="F539" s="8"/>
      <c r="G539" s="8"/>
      <c r="H539" s="8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3"/>
      <c r="Z539" s="3"/>
      <c r="AA539" s="3"/>
      <c r="AB539" s="3"/>
    </row>
    <row r="540">
      <c r="A540" s="8"/>
      <c r="B540" s="8"/>
      <c r="C540" s="8"/>
      <c r="D540" s="2"/>
      <c r="E540" s="8"/>
      <c r="F540" s="8"/>
      <c r="G540" s="8"/>
      <c r="H540" s="8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3"/>
      <c r="Z540" s="3"/>
      <c r="AA540" s="3"/>
      <c r="AB540" s="3"/>
    </row>
    <row r="541">
      <c r="A541" s="8"/>
      <c r="B541" s="8"/>
      <c r="C541" s="8"/>
      <c r="D541" s="2"/>
      <c r="E541" s="8"/>
      <c r="F541" s="8"/>
      <c r="G541" s="8"/>
      <c r="H541" s="8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3"/>
      <c r="Z541" s="3"/>
      <c r="AA541" s="3"/>
      <c r="AB541" s="3"/>
    </row>
    <row r="542">
      <c r="A542" s="8"/>
      <c r="B542" s="8"/>
      <c r="C542" s="8"/>
      <c r="D542" s="2"/>
      <c r="E542" s="8"/>
      <c r="F542" s="8"/>
      <c r="G542" s="8"/>
      <c r="H542" s="8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3"/>
      <c r="Z542" s="3"/>
      <c r="AA542" s="3"/>
      <c r="AB542" s="3"/>
    </row>
    <row r="543">
      <c r="A543" s="8"/>
      <c r="B543" s="8"/>
      <c r="C543" s="8"/>
      <c r="D543" s="2"/>
      <c r="E543" s="8"/>
      <c r="F543" s="8"/>
      <c r="G543" s="8"/>
      <c r="H543" s="8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3"/>
      <c r="Z543" s="3"/>
      <c r="AA543" s="3"/>
      <c r="AB543" s="3"/>
    </row>
    <row r="544">
      <c r="A544" s="8"/>
      <c r="B544" s="8"/>
      <c r="C544" s="8"/>
      <c r="D544" s="2"/>
      <c r="E544" s="8"/>
      <c r="F544" s="8"/>
      <c r="G544" s="8"/>
      <c r="H544" s="8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3"/>
      <c r="Z544" s="3"/>
      <c r="AA544" s="3"/>
      <c r="AB544" s="3"/>
    </row>
    <row r="545">
      <c r="A545" s="8"/>
      <c r="B545" s="8"/>
      <c r="C545" s="8"/>
      <c r="D545" s="2"/>
      <c r="E545" s="8"/>
      <c r="F545" s="8"/>
      <c r="G545" s="8"/>
      <c r="H545" s="8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3"/>
      <c r="Z545" s="3"/>
      <c r="AA545" s="3"/>
      <c r="AB545" s="3"/>
    </row>
    <row r="546">
      <c r="A546" s="8"/>
      <c r="B546" s="8"/>
      <c r="C546" s="8"/>
      <c r="D546" s="2"/>
      <c r="E546" s="8"/>
      <c r="F546" s="8"/>
      <c r="G546" s="8"/>
      <c r="H546" s="8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3"/>
      <c r="Z546" s="3"/>
      <c r="AA546" s="3"/>
      <c r="AB546" s="3"/>
    </row>
    <row r="547">
      <c r="A547" s="8"/>
      <c r="B547" s="8"/>
      <c r="C547" s="8"/>
      <c r="D547" s="2"/>
      <c r="E547" s="8"/>
      <c r="F547" s="8"/>
      <c r="G547" s="8"/>
      <c r="H547" s="8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3"/>
      <c r="Z547" s="3"/>
      <c r="AA547" s="3"/>
      <c r="AB547" s="3"/>
    </row>
    <row r="548">
      <c r="A548" s="8"/>
      <c r="B548" s="8"/>
      <c r="C548" s="8"/>
      <c r="D548" s="2"/>
      <c r="E548" s="8"/>
      <c r="F548" s="8"/>
      <c r="G548" s="8"/>
      <c r="H548" s="8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3"/>
      <c r="Z548" s="3"/>
      <c r="AA548" s="3"/>
      <c r="AB548" s="3"/>
    </row>
    <row r="549">
      <c r="A549" s="8"/>
      <c r="B549" s="8"/>
      <c r="C549" s="8"/>
      <c r="D549" s="2"/>
      <c r="E549" s="8"/>
      <c r="F549" s="8"/>
      <c r="G549" s="8"/>
      <c r="H549" s="8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3"/>
      <c r="Z549" s="3"/>
      <c r="AA549" s="3"/>
      <c r="AB549" s="3"/>
    </row>
    <row r="550">
      <c r="A550" s="8"/>
      <c r="B550" s="8"/>
      <c r="C550" s="8"/>
      <c r="D550" s="2"/>
      <c r="E550" s="8"/>
      <c r="F550" s="8"/>
      <c r="G550" s="8"/>
      <c r="H550" s="8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3"/>
      <c r="Z550" s="3"/>
      <c r="AA550" s="3"/>
      <c r="AB550" s="3"/>
    </row>
    <row r="551">
      <c r="A551" s="8"/>
      <c r="B551" s="8"/>
      <c r="C551" s="8"/>
      <c r="D551" s="2"/>
      <c r="E551" s="8"/>
      <c r="F551" s="8"/>
      <c r="G551" s="8"/>
      <c r="H551" s="8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3"/>
      <c r="Z551" s="3"/>
      <c r="AA551" s="3"/>
      <c r="AB551" s="3"/>
    </row>
    <row r="552">
      <c r="A552" s="8"/>
      <c r="B552" s="8"/>
      <c r="C552" s="8"/>
      <c r="D552" s="2"/>
      <c r="E552" s="8"/>
      <c r="F552" s="8"/>
      <c r="G552" s="8"/>
      <c r="H552" s="8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3"/>
      <c r="Z552" s="3"/>
      <c r="AA552" s="3"/>
      <c r="AB552" s="3"/>
    </row>
    <row r="553">
      <c r="A553" s="8"/>
      <c r="B553" s="8"/>
      <c r="C553" s="8"/>
      <c r="D553" s="2"/>
      <c r="E553" s="8"/>
      <c r="F553" s="8"/>
      <c r="G553" s="8"/>
      <c r="H553" s="8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3"/>
      <c r="Z553" s="3"/>
      <c r="AA553" s="3"/>
      <c r="AB553" s="3"/>
    </row>
    <row r="554">
      <c r="A554" s="8"/>
      <c r="B554" s="8"/>
      <c r="C554" s="8"/>
      <c r="D554" s="2"/>
      <c r="E554" s="8"/>
      <c r="F554" s="8"/>
      <c r="G554" s="8"/>
      <c r="H554" s="8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3"/>
      <c r="Z554" s="3"/>
      <c r="AA554" s="3"/>
      <c r="AB554" s="3"/>
    </row>
    <row r="555">
      <c r="A555" s="8"/>
      <c r="B555" s="8"/>
      <c r="C555" s="8"/>
      <c r="D555" s="2"/>
      <c r="E555" s="8"/>
      <c r="F555" s="8"/>
      <c r="G555" s="8"/>
      <c r="H555" s="8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3"/>
      <c r="Z555" s="3"/>
      <c r="AA555" s="3"/>
      <c r="AB555" s="3"/>
    </row>
    <row r="556">
      <c r="A556" s="8"/>
      <c r="B556" s="8"/>
      <c r="C556" s="8"/>
      <c r="D556" s="2"/>
      <c r="E556" s="8"/>
      <c r="F556" s="8"/>
      <c r="G556" s="8"/>
      <c r="H556" s="8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3"/>
      <c r="Z556" s="3"/>
      <c r="AA556" s="3"/>
      <c r="AB556" s="3"/>
    </row>
    <row r="557">
      <c r="A557" s="8"/>
      <c r="B557" s="8"/>
      <c r="C557" s="8"/>
      <c r="D557" s="2"/>
      <c r="E557" s="8"/>
      <c r="F557" s="8"/>
      <c r="G557" s="8"/>
      <c r="H557" s="8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3"/>
      <c r="Z557" s="3"/>
      <c r="AA557" s="3"/>
      <c r="AB557" s="3"/>
    </row>
    <row r="558">
      <c r="A558" s="8"/>
      <c r="B558" s="8"/>
      <c r="C558" s="8"/>
      <c r="D558" s="2"/>
      <c r="E558" s="8"/>
      <c r="F558" s="8"/>
      <c r="G558" s="8"/>
      <c r="H558" s="8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3"/>
      <c r="Z558" s="3"/>
      <c r="AA558" s="3"/>
      <c r="AB558" s="3"/>
    </row>
    <row r="559">
      <c r="A559" s="8"/>
      <c r="B559" s="8"/>
      <c r="C559" s="8"/>
      <c r="D559" s="2"/>
      <c r="E559" s="8"/>
      <c r="F559" s="8"/>
      <c r="G559" s="8"/>
      <c r="H559" s="8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3"/>
      <c r="Z559" s="3"/>
      <c r="AA559" s="3"/>
      <c r="AB559" s="3"/>
    </row>
    <row r="560">
      <c r="A560" s="8"/>
      <c r="B560" s="8"/>
      <c r="C560" s="8"/>
      <c r="D560" s="2"/>
      <c r="E560" s="8"/>
      <c r="F560" s="8"/>
      <c r="G560" s="8"/>
      <c r="H560" s="8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3"/>
      <c r="Z560" s="3"/>
      <c r="AA560" s="3"/>
      <c r="AB560" s="3"/>
    </row>
    <row r="561">
      <c r="A561" s="8"/>
      <c r="B561" s="8"/>
      <c r="C561" s="8"/>
      <c r="D561" s="2"/>
      <c r="E561" s="8"/>
      <c r="F561" s="8"/>
      <c r="G561" s="8"/>
      <c r="H561" s="8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3"/>
      <c r="Z561" s="3"/>
      <c r="AA561" s="3"/>
      <c r="AB561" s="3"/>
    </row>
    <row r="562">
      <c r="A562" s="8"/>
      <c r="B562" s="8"/>
      <c r="C562" s="8"/>
      <c r="D562" s="2"/>
      <c r="E562" s="8"/>
      <c r="F562" s="8"/>
      <c r="G562" s="8"/>
      <c r="H562" s="8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3"/>
      <c r="Z562" s="3"/>
      <c r="AA562" s="3"/>
      <c r="AB562" s="3"/>
    </row>
    <row r="563">
      <c r="A563" s="8"/>
      <c r="B563" s="8"/>
      <c r="C563" s="8"/>
      <c r="D563" s="2"/>
      <c r="E563" s="8"/>
      <c r="F563" s="8"/>
      <c r="G563" s="8"/>
      <c r="H563" s="8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3"/>
      <c r="Z563" s="3"/>
      <c r="AA563" s="3"/>
      <c r="AB563" s="3"/>
    </row>
    <row r="564">
      <c r="A564" s="8"/>
      <c r="B564" s="8"/>
      <c r="C564" s="8"/>
      <c r="D564" s="2"/>
      <c r="E564" s="8"/>
      <c r="F564" s="8"/>
      <c r="G564" s="8"/>
      <c r="H564" s="8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3"/>
      <c r="Z564" s="3"/>
      <c r="AA564" s="3"/>
      <c r="AB564" s="3"/>
    </row>
    <row r="565">
      <c r="A565" s="8"/>
      <c r="B565" s="8"/>
      <c r="C565" s="8"/>
      <c r="D565" s="2"/>
      <c r="E565" s="8"/>
      <c r="F565" s="8"/>
      <c r="G565" s="8"/>
      <c r="H565" s="8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3"/>
      <c r="Z565" s="3"/>
      <c r="AA565" s="3"/>
      <c r="AB565" s="3"/>
    </row>
    <row r="566">
      <c r="A566" s="8"/>
      <c r="B566" s="8"/>
      <c r="C566" s="8"/>
      <c r="D566" s="2"/>
      <c r="E566" s="8"/>
      <c r="F566" s="8"/>
      <c r="G566" s="8"/>
      <c r="H566" s="8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3"/>
      <c r="Z566" s="3"/>
      <c r="AA566" s="3"/>
      <c r="AB566" s="3"/>
    </row>
    <row r="567">
      <c r="A567" s="8"/>
      <c r="B567" s="8"/>
      <c r="C567" s="8"/>
      <c r="D567" s="2"/>
      <c r="E567" s="8"/>
      <c r="F567" s="8"/>
      <c r="G567" s="8"/>
      <c r="H567" s="8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3"/>
      <c r="Z567" s="3"/>
      <c r="AA567" s="3"/>
      <c r="AB567" s="3"/>
    </row>
    <row r="568">
      <c r="A568" s="8"/>
      <c r="B568" s="8"/>
      <c r="C568" s="8"/>
      <c r="D568" s="2"/>
      <c r="E568" s="8"/>
      <c r="F568" s="8"/>
      <c r="G568" s="8"/>
      <c r="H568" s="8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3"/>
      <c r="Z568" s="3"/>
      <c r="AA568" s="3"/>
      <c r="AB568" s="3"/>
    </row>
    <row r="569">
      <c r="A569" s="8"/>
      <c r="B569" s="8"/>
      <c r="C569" s="8"/>
      <c r="D569" s="2"/>
      <c r="E569" s="8"/>
      <c r="F569" s="8"/>
      <c r="G569" s="8"/>
      <c r="H569" s="8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3"/>
      <c r="Z569" s="3"/>
      <c r="AA569" s="3"/>
      <c r="AB569" s="3"/>
    </row>
    <row r="570">
      <c r="A570" s="8"/>
      <c r="B570" s="8"/>
      <c r="C570" s="8"/>
      <c r="D570" s="2"/>
      <c r="E570" s="8"/>
      <c r="F570" s="8"/>
      <c r="G570" s="8"/>
      <c r="H570" s="8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3"/>
      <c r="Z570" s="3"/>
      <c r="AA570" s="3"/>
      <c r="AB570" s="3"/>
    </row>
    <row r="571">
      <c r="A571" s="8"/>
      <c r="B571" s="8"/>
      <c r="C571" s="8"/>
      <c r="D571" s="2"/>
      <c r="E571" s="8"/>
      <c r="F571" s="8"/>
      <c r="G571" s="8"/>
      <c r="H571" s="8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3"/>
      <c r="Z571" s="3"/>
      <c r="AA571" s="3"/>
      <c r="AB571" s="3"/>
    </row>
    <row r="572">
      <c r="A572" s="8"/>
      <c r="B572" s="8"/>
      <c r="C572" s="8"/>
      <c r="D572" s="2"/>
      <c r="E572" s="8"/>
      <c r="F572" s="8"/>
      <c r="G572" s="8"/>
      <c r="H572" s="8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3"/>
      <c r="Z572" s="3"/>
      <c r="AA572" s="3"/>
      <c r="AB572" s="3"/>
    </row>
    <row r="573">
      <c r="A573" s="8"/>
      <c r="B573" s="8"/>
      <c r="C573" s="8"/>
      <c r="D573" s="2"/>
      <c r="E573" s="8"/>
      <c r="F573" s="8"/>
      <c r="G573" s="8"/>
      <c r="H573" s="8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3"/>
      <c r="Z573" s="3"/>
      <c r="AA573" s="3"/>
      <c r="AB573" s="3"/>
    </row>
    <row r="574">
      <c r="A574" s="8"/>
      <c r="B574" s="8"/>
      <c r="C574" s="8"/>
      <c r="D574" s="2"/>
      <c r="E574" s="8"/>
      <c r="F574" s="8"/>
      <c r="G574" s="8"/>
      <c r="H574" s="8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3"/>
      <c r="Z574" s="3"/>
      <c r="AA574" s="3"/>
      <c r="AB574" s="3"/>
    </row>
    <row r="575">
      <c r="A575" s="8"/>
      <c r="B575" s="8"/>
      <c r="C575" s="8"/>
      <c r="D575" s="2"/>
      <c r="E575" s="8"/>
      <c r="F575" s="8"/>
      <c r="G575" s="8"/>
      <c r="H575" s="8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3"/>
      <c r="Z575" s="3"/>
      <c r="AA575" s="3"/>
      <c r="AB575" s="3"/>
    </row>
    <row r="576">
      <c r="A576" s="8"/>
      <c r="B576" s="8"/>
      <c r="C576" s="8"/>
      <c r="D576" s="2"/>
      <c r="E576" s="8"/>
      <c r="F576" s="8"/>
      <c r="G576" s="8"/>
      <c r="H576" s="8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3"/>
      <c r="Z576" s="3"/>
      <c r="AA576" s="3"/>
      <c r="AB576" s="3"/>
    </row>
    <row r="577">
      <c r="A577" s="8"/>
      <c r="B577" s="8"/>
      <c r="C577" s="8"/>
      <c r="D577" s="2"/>
      <c r="E577" s="8"/>
      <c r="F577" s="8"/>
      <c r="G577" s="8"/>
      <c r="H577" s="8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3"/>
      <c r="Z577" s="3"/>
      <c r="AA577" s="3"/>
      <c r="AB577" s="3"/>
    </row>
    <row r="578">
      <c r="A578" s="8"/>
      <c r="B578" s="8"/>
      <c r="C578" s="8"/>
      <c r="D578" s="2"/>
      <c r="E578" s="8"/>
      <c r="F578" s="8"/>
      <c r="G578" s="8"/>
      <c r="H578" s="8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3"/>
      <c r="Z578" s="3"/>
      <c r="AA578" s="3"/>
      <c r="AB578" s="3"/>
    </row>
    <row r="579">
      <c r="A579" s="8"/>
      <c r="B579" s="8"/>
      <c r="C579" s="8"/>
      <c r="D579" s="2"/>
      <c r="E579" s="8"/>
      <c r="F579" s="8"/>
      <c r="G579" s="8"/>
      <c r="H579" s="8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3"/>
      <c r="Z579" s="3"/>
      <c r="AA579" s="3"/>
      <c r="AB579" s="3"/>
    </row>
    <row r="580">
      <c r="A580" s="8"/>
      <c r="B580" s="8"/>
      <c r="C580" s="8"/>
      <c r="D580" s="2"/>
      <c r="E580" s="8"/>
      <c r="F580" s="8"/>
      <c r="G580" s="8"/>
      <c r="H580" s="8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3"/>
      <c r="Z580" s="3"/>
      <c r="AA580" s="3"/>
      <c r="AB580" s="3"/>
    </row>
    <row r="581">
      <c r="A581" s="8"/>
      <c r="B581" s="8"/>
      <c r="C581" s="8"/>
      <c r="D581" s="2"/>
      <c r="E581" s="8"/>
      <c r="F581" s="8"/>
      <c r="G581" s="8"/>
      <c r="H581" s="8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3"/>
      <c r="Z581" s="3"/>
      <c r="AA581" s="3"/>
      <c r="AB581" s="3"/>
    </row>
    <row r="582">
      <c r="A582" s="8"/>
      <c r="B582" s="8"/>
      <c r="C582" s="8"/>
      <c r="D582" s="2"/>
      <c r="E582" s="8"/>
      <c r="F582" s="8"/>
      <c r="G582" s="8"/>
      <c r="H582" s="8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3"/>
      <c r="Z582" s="3"/>
      <c r="AA582" s="3"/>
      <c r="AB582" s="3"/>
    </row>
    <row r="583">
      <c r="A583" s="8"/>
      <c r="B583" s="8"/>
      <c r="C583" s="8"/>
      <c r="D583" s="2"/>
      <c r="E583" s="8"/>
      <c r="F583" s="8"/>
      <c r="G583" s="8"/>
      <c r="H583" s="8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3"/>
      <c r="Z583" s="3"/>
      <c r="AA583" s="3"/>
      <c r="AB583" s="3"/>
    </row>
    <row r="584">
      <c r="A584" s="8"/>
      <c r="B584" s="8"/>
      <c r="C584" s="8"/>
      <c r="D584" s="2"/>
      <c r="E584" s="8"/>
      <c r="F584" s="8"/>
      <c r="G584" s="8"/>
      <c r="H584" s="8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3"/>
      <c r="Z584" s="3"/>
      <c r="AA584" s="3"/>
      <c r="AB584" s="3"/>
    </row>
    <row r="585">
      <c r="A585" s="8"/>
      <c r="B585" s="8"/>
      <c r="C585" s="8"/>
      <c r="D585" s="2"/>
      <c r="E585" s="8"/>
      <c r="F585" s="8"/>
      <c r="G585" s="8"/>
      <c r="H585" s="8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3"/>
      <c r="Z585" s="3"/>
      <c r="AA585" s="3"/>
      <c r="AB585" s="3"/>
    </row>
    <row r="586">
      <c r="A586" s="8"/>
      <c r="B586" s="8"/>
      <c r="C586" s="8"/>
      <c r="D586" s="2"/>
      <c r="E586" s="8"/>
      <c r="F586" s="8"/>
      <c r="G586" s="8"/>
      <c r="H586" s="8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3"/>
      <c r="Z586" s="3"/>
      <c r="AA586" s="3"/>
      <c r="AB586" s="3"/>
    </row>
    <row r="587">
      <c r="A587" s="8"/>
      <c r="B587" s="8"/>
      <c r="C587" s="8"/>
      <c r="D587" s="2"/>
      <c r="E587" s="8"/>
      <c r="F587" s="8"/>
      <c r="G587" s="8"/>
      <c r="H587" s="8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3"/>
      <c r="Z587" s="3"/>
      <c r="AA587" s="3"/>
      <c r="AB587" s="3"/>
    </row>
    <row r="588">
      <c r="A588" s="8"/>
      <c r="B588" s="8"/>
      <c r="C588" s="8"/>
      <c r="D588" s="2"/>
      <c r="E588" s="8"/>
      <c r="F588" s="8"/>
      <c r="G588" s="8"/>
      <c r="H588" s="8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"/>
      <c r="Z588" s="3"/>
      <c r="AA588" s="3"/>
      <c r="AB588" s="3"/>
    </row>
    <row r="589">
      <c r="A589" s="8"/>
      <c r="B589" s="8"/>
      <c r="C589" s="8"/>
      <c r="D589" s="2"/>
      <c r="E589" s="8"/>
      <c r="F589" s="8"/>
      <c r="G589" s="8"/>
      <c r="H589" s="8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3"/>
      <c r="Z589" s="3"/>
      <c r="AA589" s="3"/>
      <c r="AB589" s="3"/>
    </row>
    <row r="590">
      <c r="A590" s="8"/>
      <c r="B590" s="8"/>
      <c r="C590" s="8"/>
      <c r="D590" s="2"/>
      <c r="E590" s="8"/>
      <c r="F590" s="8"/>
      <c r="G590" s="8"/>
      <c r="H590" s="8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3"/>
      <c r="Z590" s="3"/>
      <c r="AA590" s="3"/>
      <c r="AB590" s="3"/>
    </row>
    <row r="591">
      <c r="A591" s="8"/>
      <c r="B591" s="8"/>
      <c r="C591" s="8"/>
      <c r="D591" s="2"/>
      <c r="E591" s="8"/>
      <c r="F591" s="8"/>
      <c r="G591" s="8"/>
      <c r="H591" s="8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3"/>
      <c r="Z591" s="3"/>
      <c r="AA591" s="3"/>
      <c r="AB591" s="3"/>
    </row>
    <row r="592">
      <c r="A592" s="8"/>
      <c r="B592" s="8"/>
      <c r="C592" s="8"/>
      <c r="D592" s="2"/>
      <c r="E592" s="8"/>
      <c r="F592" s="8"/>
      <c r="G592" s="8"/>
      <c r="H592" s="8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3"/>
      <c r="Z592" s="3"/>
      <c r="AA592" s="3"/>
      <c r="AB592" s="3"/>
    </row>
    <row r="593">
      <c r="A593" s="8"/>
      <c r="B593" s="8"/>
      <c r="C593" s="8"/>
      <c r="D593" s="2"/>
      <c r="E593" s="8"/>
      <c r="F593" s="8"/>
      <c r="G593" s="8"/>
      <c r="H593" s="8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3"/>
      <c r="Z593" s="3"/>
      <c r="AA593" s="3"/>
      <c r="AB593" s="3"/>
    </row>
    <row r="594">
      <c r="A594" s="8"/>
      <c r="B594" s="8"/>
      <c r="C594" s="8"/>
      <c r="D594" s="2"/>
      <c r="E594" s="8"/>
      <c r="F594" s="8"/>
      <c r="G594" s="8"/>
      <c r="H594" s="8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3"/>
      <c r="Z594" s="3"/>
      <c r="AA594" s="3"/>
      <c r="AB594" s="3"/>
    </row>
    <row r="595">
      <c r="A595" s="8"/>
      <c r="B595" s="8"/>
      <c r="C595" s="8"/>
      <c r="D595" s="2"/>
      <c r="E595" s="8"/>
      <c r="F595" s="8"/>
      <c r="G595" s="8"/>
      <c r="H595" s="8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3"/>
      <c r="Z595" s="3"/>
      <c r="AA595" s="3"/>
      <c r="AB595" s="3"/>
    </row>
    <row r="596">
      <c r="A596" s="8"/>
      <c r="B596" s="8"/>
      <c r="C596" s="8"/>
      <c r="D596" s="2"/>
      <c r="E596" s="8"/>
      <c r="F596" s="8"/>
      <c r="G596" s="8"/>
      <c r="H596" s="8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3"/>
      <c r="Z596" s="3"/>
      <c r="AA596" s="3"/>
      <c r="AB596" s="3"/>
    </row>
    <row r="597">
      <c r="A597" s="8"/>
      <c r="B597" s="8"/>
      <c r="C597" s="8"/>
      <c r="D597" s="2"/>
      <c r="E597" s="8"/>
      <c r="F597" s="8"/>
      <c r="G597" s="8"/>
      <c r="H597" s="8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"/>
      <c r="Z597" s="3"/>
      <c r="AA597" s="3"/>
      <c r="AB597" s="3"/>
    </row>
    <row r="598">
      <c r="A598" s="8"/>
      <c r="B598" s="8"/>
      <c r="C598" s="8"/>
      <c r="D598" s="2"/>
      <c r="E598" s="8"/>
      <c r="F598" s="8"/>
      <c r="G598" s="8"/>
      <c r="H598" s="8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3"/>
      <c r="Z598" s="3"/>
      <c r="AA598" s="3"/>
      <c r="AB598" s="3"/>
    </row>
    <row r="599">
      <c r="A599" s="8"/>
      <c r="B599" s="8"/>
      <c r="C599" s="8"/>
      <c r="D599" s="2"/>
      <c r="E599" s="8"/>
      <c r="F599" s="8"/>
      <c r="G599" s="8"/>
      <c r="H599" s="8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"/>
      <c r="Z599" s="3"/>
      <c r="AA599" s="3"/>
      <c r="AB599" s="3"/>
    </row>
    <row r="600">
      <c r="A600" s="8"/>
      <c r="B600" s="8"/>
      <c r="C600" s="8"/>
      <c r="D600" s="2"/>
      <c r="E600" s="8"/>
      <c r="F600" s="8"/>
      <c r="G600" s="8"/>
      <c r="H600" s="8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3"/>
      <c r="Z600" s="3"/>
      <c r="AA600" s="3"/>
      <c r="AB600" s="3"/>
    </row>
    <row r="601">
      <c r="A601" s="8"/>
      <c r="B601" s="8"/>
      <c r="C601" s="8"/>
      <c r="D601" s="2"/>
      <c r="E601" s="8"/>
      <c r="F601" s="8"/>
      <c r="G601" s="8"/>
      <c r="H601" s="8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3"/>
      <c r="Z601" s="3"/>
      <c r="AA601" s="3"/>
      <c r="AB601" s="3"/>
    </row>
    <row r="602">
      <c r="A602" s="8"/>
      <c r="B602" s="8"/>
      <c r="C602" s="8"/>
      <c r="D602" s="2"/>
      <c r="E602" s="8"/>
      <c r="F602" s="8"/>
      <c r="G602" s="8"/>
      <c r="H602" s="8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3"/>
      <c r="Z602" s="3"/>
      <c r="AA602" s="3"/>
      <c r="AB602" s="3"/>
    </row>
    <row r="603">
      <c r="A603" s="8"/>
      <c r="B603" s="8"/>
      <c r="C603" s="8"/>
      <c r="D603" s="2"/>
      <c r="E603" s="8"/>
      <c r="F603" s="8"/>
      <c r="G603" s="8"/>
      <c r="H603" s="8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3"/>
      <c r="Z603" s="3"/>
      <c r="AA603" s="3"/>
      <c r="AB603" s="3"/>
    </row>
    <row r="604">
      <c r="A604" s="8"/>
      <c r="B604" s="8"/>
      <c r="C604" s="8"/>
      <c r="D604" s="2"/>
      <c r="E604" s="8"/>
      <c r="F604" s="8"/>
      <c r="G604" s="8"/>
      <c r="H604" s="8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3"/>
      <c r="Z604" s="3"/>
      <c r="AA604" s="3"/>
      <c r="AB604" s="3"/>
    </row>
    <row r="605">
      <c r="A605" s="8"/>
      <c r="B605" s="8"/>
      <c r="C605" s="8"/>
      <c r="D605" s="2"/>
      <c r="E605" s="8"/>
      <c r="F605" s="8"/>
      <c r="G605" s="8"/>
      <c r="H605" s="8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3"/>
      <c r="Z605" s="3"/>
      <c r="AA605" s="3"/>
      <c r="AB605" s="3"/>
    </row>
    <row r="606">
      <c r="A606" s="8"/>
      <c r="B606" s="8"/>
      <c r="C606" s="8"/>
      <c r="D606" s="2"/>
      <c r="E606" s="8"/>
      <c r="F606" s="8"/>
      <c r="G606" s="8"/>
      <c r="H606" s="8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"/>
      <c r="Z606" s="3"/>
      <c r="AA606" s="3"/>
      <c r="AB606" s="3"/>
    </row>
    <row r="607">
      <c r="A607" s="8"/>
      <c r="B607" s="8"/>
      <c r="C607" s="8"/>
      <c r="D607" s="2"/>
      <c r="E607" s="8"/>
      <c r="F607" s="8"/>
      <c r="G607" s="8"/>
      <c r="H607" s="8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3"/>
      <c r="Z607" s="3"/>
      <c r="AA607" s="3"/>
      <c r="AB607" s="3"/>
    </row>
    <row r="608">
      <c r="A608" s="8"/>
      <c r="B608" s="8"/>
      <c r="C608" s="8"/>
      <c r="D608" s="2"/>
      <c r="E608" s="8"/>
      <c r="F608" s="8"/>
      <c r="G608" s="8"/>
      <c r="H608" s="8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3"/>
      <c r="Z608" s="3"/>
      <c r="AA608" s="3"/>
      <c r="AB608" s="3"/>
    </row>
    <row r="609">
      <c r="A609" s="8"/>
      <c r="B609" s="8"/>
      <c r="C609" s="8"/>
      <c r="D609" s="2"/>
      <c r="E609" s="8"/>
      <c r="F609" s="8"/>
      <c r="G609" s="8"/>
      <c r="H609" s="8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3"/>
      <c r="Z609" s="3"/>
      <c r="AA609" s="3"/>
      <c r="AB609" s="3"/>
    </row>
    <row r="610">
      <c r="A610" s="8"/>
      <c r="B610" s="8"/>
      <c r="C610" s="8"/>
      <c r="D610" s="2"/>
      <c r="E610" s="8"/>
      <c r="F610" s="8"/>
      <c r="G610" s="8"/>
      <c r="H610" s="8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3"/>
      <c r="Z610" s="3"/>
      <c r="AA610" s="3"/>
      <c r="AB610" s="3"/>
    </row>
    <row r="611">
      <c r="A611" s="8"/>
      <c r="B611" s="8"/>
      <c r="C611" s="8"/>
      <c r="D611" s="2"/>
      <c r="E611" s="8"/>
      <c r="F611" s="8"/>
      <c r="G611" s="8"/>
      <c r="H611" s="8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3"/>
      <c r="Z611" s="3"/>
      <c r="AA611" s="3"/>
      <c r="AB611" s="3"/>
    </row>
    <row r="612">
      <c r="A612" s="8" t="s">
        <v>19</v>
      </c>
      <c r="B612" s="8"/>
      <c r="C612" s="8"/>
      <c r="D612" s="2"/>
      <c r="E612" s="8"/>
      <c r="F612" s="8"/>
      <c r="G612" s="8"/>
      <c r="H612" s="8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3"/>
      <c r="Z612" s="3"/>
      <c r="AA612" s="3"/>
      <c r="AB612" s="3"/>
    </row>
    <row r="613">
      <c r="A613" s="8" t="s">
        <v>36</v>
      </c>
      <c r="B613" s="8"/>
      <c r="C613" s="8"/>
      <c r="D613" s="2"/>
      <c r="E613" s="8"/>
      <c r="F613" s="8"/>
      <c r="G613" s="8"/>
      <c r="H613" s="8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3"/>
      <c r="Z613" s="3"/>
      <c r="AA613" s="3"/>
      <c r="AB613" s="3"/>
    </row>
    <row r="614">
      <c r="A614" s="8"/>
      <c r="B614" s="8"/>
      <c r="C614" s="8"/>
      <c r="D614" s="2"/>
      <c r="E614" s="8"/>
      <c r="F614" s="8"/>
      <c r="G614" s="8"/>
      <c r="H614" s="8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3"/>
      <c r="Z614" s="3"/>
      <c r="AA614" s="3"/>
      <c r="AB614" s="3"/>
    </row>
    <row r="615">
      <c r="A615" s="8"/>
      <c r="B615" s="8"/>
      <c r="C615" s="8"/>
      <c r="D615" s="2"/>
      <c r="E615" s="8"/>
      <c r="F615" s="8"/>
      <c r="G615" s="8"/>
      <c r="H615" s="8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3"/>
      <c r="Z615" s="3"/>
      <c r="AA615" s="3"/>
      <c r="AB615" s="3"/>
    </row>
    <row r="616">
      <c r="A616" s="8"/>
      <c r="B616" s="8"/>
      <c r="C616" s="8"/>
      <c r="D616" s="2"/>
      <c r="E616" s="8"/>
      <c r="F616" s="8"/>
      <c r="G616" s="8"/>
      <c r="H616" s="8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3"/>
      <c r="Z616" s="3"/>
      <c r="AA616" s="3"/>
      <c r="AB616" s="3"/>
    </row>
    <row r="617">
      <c r="A617" s="8"/>
      <c r="B617" s="8"/>
      <c r="C617" s="8"/>
      <c r="D617" s="2"/>
      <c r="E617" s="8"/>
      <c r="F617" s="8"/>
      <c r="G617" s="8"/>
      <c r="H617" s="8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3"/>
      <c r="Z617" s="3"/>
      <c r="AA617" s="3"/>
      <c r="AB617" s="3"/>
    </row>
    <row r="618">
      <c r="A618" s="8"/>
      <c r="B618" s="8"/>
      <c r="C618" s="8"/>
      <c r="D618" s="2"/>
      <c r="E618" s="8"/>
      <c r="F618" s="8"/>
      <c r="G618" s="8"/>
      <c r="H618" s="8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3"/>
      <c r="Z618" s="3"/>
      <c r="AA618" s="3"/>
      <c r="AB618" s="3"/>
    </row>
    <row r="619">
      <c r="A619" s="8"/>
      <c r="B619" s="8"/>
      <c r="C619" s="8"/>
      <c r="D619" s="2"/>
      <c r="E619" s="8"/>
      <c r="F619" s="8"/>
      <c r="G619" s="8"/>
      <c r="H619" s="8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3"/>
      <c r="Z619" s="3"/>
      <c r="AA619" s="3"/>
      <c r="AB619" s="3"/>
    </row>
    <row r="620">
      <c r="A620" s="8"/>
      <c r="B620" s="8"/>
      <c r="C620" s="8"/>
      <c r="D620" s="2"/>
      <c r="E620" s="8"/>
      <c r="F620" s="8"/>
      <c r="G620" s="8"/>
      <c r="H620" s="8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3"/>
      <c r="Z620" s="3"/>
      <c r="AA620" s="3"/>
      <c r="AB620" s="3"/>
    </row>
    <row r="621">
      <c r="A621" s="8"/>
      <c r="B621" s="8"/>
      <c r="C621" s="8"/>
      <c r="D621" s="2"/>
      <c r="E621" s="8"/>
      <c r="F621" s="8"/>
      <c r="G621" s="8"/>
      <c r="H621" s="8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3"/>
      <c r="Z621" s="3"/>
      <c r="AA621" s="3"/>
      <c r="AB621" s="3"/>
    </row>
    <row r="622">
      <c r="A622" s="8"/>
      <c r="B622" s="8"/>
      <c r="C622" s="8"/>
      <c r="D622" s="2"/>
      <c r="E622" s="8"/>
      <c r="F622" s="8"/>
      <c r="G622" s="8"/>
      <c r="H622" s="8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3"/>
      <c r="Z622" s="3"/>
      <c r="AA622" s="3"/>
      <c r="AB622" s="3"/>
    </row>
    <row r="623">
      <c r="A623" s="8"/>
      <c r="B623" s="8"/>
      <c r="C623" s="8"/>
      <c r="D623" s="2"/>
      <c r="E623" s="8"/>
      <c r="F623" s="8"/>
      <c r="G623" s="8"/>
      <c r="H623" s="8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3"/>
      <c r="Z623" s="3"/>
      <c r="AA623" s="3"/>
      <c r="AB623" s="3"/>
    </row>
    <row r="624">
      <c r="A624" s="8"/>
      <c r="B624" s="8"/>
      <c r="C624" s="8"/>
      <c r="D624" s="2"/>
      <c r="E624" s="8"/>
      <c r="F624" s="8"/>
      <c r="G624" s="8"/>
      <c r="H624" s="8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3"/>
      <c r="Z624" s="3"/>
      <c r="AA624" s="3"/>
      <c r="AB624" s="3"/>
    </row>
    <row r="625">
      <c r="A625" s="8"/>
      <c r="B625" s="8"/>
      <c r="C625" s="8"/>
      <c r="D625" s="2"/>
      <c r="E625" s="8"/>
      <c r="F625" s="8"/>
      <c r="G625" s="8"/>
      <c r="H625" s="8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3"/>
      <c r="Z625" s="3"/>
      <c r="AA625" s="3"/>
      <c r="AB625" s="3"/>
    </row>
    <row r="626">
      <c r="A626" s="8"/>
      <c r="B626" s="8"/>
      <c r="C626" s="8"/>
      <c r="D626" s="2"/>
      <c r="E626" s="8"/>
      <c r="F626" s="8"/>
      <c r="G626" s="8"/>
      <c r="H626" s="8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3"/>
      <c r="Z626" s="3"/>
      <c r="AA626" s="3"/>
      <c r="AB626" s="3"/>
    </row>
    <row r="627">
      <c r="A627" s="8"/>
      <c r="B627" s="8"/>
      <c r="C627" s="8"/>
      <c r="D627" s="2"/>
      <c r="E627" s="8"/>
      <c r="F627" s="8"/>
      <c r="G627" s="8"/>
      <c r="H627" s="8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3"/>
      <c r="Z627" s="3"/>
      <c r="AA627" s="3"/>
      <c r="AB627" s="3"/>
    </row>
    <row r="628">
      <c r="A628" s="8"/>
      <c r="B628" s="8"/>
      <c r="C628" s="8"/>
      <c r="D628" s="2"/>
      <c r="E628" s="8"/>
      <c r="F628" s="8"/>
      <c r="G628" s="8"/>
      <c r="H628" s="8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3"/>
      <c r="Z628" s="3"/>
      <c r="AA628" s="3"/>
      <c r="AB628" s="3"/>
    </row>
    <row r="629">
      <c r="A629" s="8"/>
      <c r="B629" s="8"/>
      <c r="C629" s="8"/>
      <c r="D629" s="2"/>
      <c r="E629" s="8"/>
      <c r="F629" s="8"/>
      <c r="G629" s="8"/>
      <c r="H629" s="8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3"/>
      <c r="Z629" s="3"/>
      <c r="AA629" s="3"/>
      <c r="AB629" s="3"/>
    </row>
    <row r="630">
      <c r="A630" s="8"/>
      <c r="B630" s="8"/>
      <c r="C630" s="8"/>
      <c r="D630" s="2"/>
      <c r="E630" s="8"/>
      <c r="F630" s="8"/>
      <c r="G630" s="8"/>
      <c r="H630" s="8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3"/>
      <c r="Z630" s="3"/>
      <c r="AA630" s="3"/>
      <c r="AB630" s="3"/>
    </row>
    <row r="631">
      <c r="A631" s="8"/>
      <c r="B631" s="8"/>
      <c r="C631" s="8"/>
      <c r="D631" s="2"/>
      <c r="E631" s="8"/>
      <c r="F631" s="8"/>
      <c r="G631" s="8"/>
      <c r="H631" s="8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3"/>
      <c r="Z631" s="3"/>
      <c r="AA631" s="3"/>
      <c r="AB631" s="3"/>
    </row>
    <row r="632">
      <c r="A632" s="8"/>
      <c r="B632" s="8"/>
      <c r="C632" s="8"/>
      <c r="D632" s="2"/>
      <c r="E632" s="8"/>
      <c r="F632" s="8"/>
      <c r="G632" s="8"/>
      <c r="H632" s="8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3"/>
      <c r="Z632" s="3"/>
      <c r="AA632" s="3"/>
      <c r="AB632" s="3"/>
    </row>
    <row r="633">
      <c r="A633" s="8"/>
      <c r="B633" s="8"/>
      <c r="C633" s="8"/>
      <c r="D633" s="2"/>
      <c r="E633" s="8"/>
      <c r="F633" s="8"/>
      <c r="G633" s="8"/>
      <c r="H633" s="8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3"/>
      <c r="Z633" s="3"/>
      <c r="AA633" s="3"/>
      <c r="AB633" s="3"/>
    </row>
    <row r="634">
      <c r="A634" s="8"/>
      <c r="B634" s="8"/>
      <c r="C634" s="8"/>
      <c r="D634" s="2"/>
      <c r="E634" s="8"/>
      <c r="F634" s="8"/>
      <c r="G634" s="8"/>
      <c r="H634" s="8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3"/>
      <c r="Z634" s="3"/>
      <c r="AA634" s="3"/>
      <c r="AB634" s="3"/>
    </row>
    <row r="635">
      <c r="A635" s="8"/>
      <c r="B635" s="8"/>
      <c r="C635" s="8"/>
      <c r="D635" s="2"/>
      <c r="E635" s="8"/>
      <c r="F635" s="8"/>
      <c r="G635" s="8"/>
      <c r="H635" s="8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3"/>
      <c r="Z635" s="3"/>
      <c r="AA635" s="3"/>
      <c r="AB635" s="3"/>
    </row>
    <row r="636">
      <c r="A636" s="8"/>
      <c r="B636" s="8"/>
      <c r="C636" s="8"/>
      <c r="D636" s="2"/>
      <c r="E636" s="8"/>
      <c r="F636" s="8"/>
      <c r="G636" s="8"/>
      <c r="H636" s="8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3"/>
      <c r="Z636" s="3"/>
      <c r="AA636" s="3"/>
      <c r="AB636" s="3"/>
    </row>
    <row r="637">
      <c r="A637" s="8"/>
      <c r="B637" s="8"/>
      <c r="C637" s="8"/>
      <c r="D637" s="2"/>
      <c r="E637" s="8"/>
      <c r="F637" s="8"/>
      <c r="G637" s="8"/>
      <c r="H637" s="8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3"/>
      <c r="Z637" s="3"/>
      <c r="AA637" s="3"/>
      <c r="AB637" s="3"/>
    </row>
    <row r="638">
      <c r="A638" s="8"/>
      <c r="B638" s="8"/>
      <c r="C638" s="8"/>
      <c r="D638" s="2"/>
      <c r="E638" s="8"/>
      <c r="F638" s="8"/>
      <c r="G638" s="8"/>
      <c r="H638" s="8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3"/>
      <c r="Z638" s="3"/>
      <c r="AA638" s="3"/>
      <c r="AB638" s="3"/>
    </row>
    <row r="639">
      <c r="A639" s="8"/>
      <c r="B639" s="8"/>
      <c r="C639" s="8"/>
      <c r="D639" s="2"/>
      <c r="E639" s="8"/>
      <c r="F639" s="8"/>
      <c r="G639" s="8"/>
      <c r="H639" s="8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3"/>
      <c r="Z639" s="3"/>
      <c r="AA639" s="3"/>
      <c r="AB639" s="3"/>
    </row>
    <row r="640">
      <c r="A640" s="8"/>
      <c r="B640" s="8"/>
      <c r="C640" s="8"/>
      <c r="D640" s="2"/>
      <c r="E640" s="8"/>
      <c r="F640" s="8"/>
      <c r="G640" s="8"/>
      <c r="H640" s="8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3"/>
      <c r="Z640" s="3"/>
      <c r="AA640" s="3"/>
      <c r="AB640" s="3"/>
    </row>
    <row r="641">
      <c r="A641" s="8"/>
      <c r="B641" s="8"/>
      <c r="C641" s="8"/>
      <c r="D641" s="2"/>
      <c r="E641" s="8"/>
      <c r="F641" s="8"/>
      <c r="G641" s="8"/>
      <c r="H641" s="8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3"/>
      <c r="Z641" s="3"/>
      <c r="AA641" s="3"/>
      <c r="AB641" s="3"/>
    </row>
    <row r="642">
      <c r="A642" s="8"/>
      <c r="B642" s="8"/>
      <c r="C642" s="8"/>
      <c r="D642" s="2"/>
      <c r="E642" s="8"/>
      <c r="F642" s="8"/>
      <c r="G642" s="8"/>
      <c r="H642" s="8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3"/>
      <c r="Z642" s="3"/>
      <c r="AA642" s="3"/>
      <c r="AB642" s="3"/>
    </row>
    <row r="643">
      <c r="A643" s="8"/>
      <c r="B643" s="8"/>
      <c r="C643" s="8"/>
      <c r="D643" s="2"/>
      <c r="E643" s="8"/>
      <c r="F643" s="8"/>
      <c r="G643" s="8"/>
      <c r="H643" s="8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3"/>
      <c r="Z643" s="3"/>
      <c r="AA643" s="3"/>
      <c r="AB643" s="3"/>
    </row>
    <row r="644">
      <c r="A644" s="8"/>
      <c r="B644" s="8"/>
      <c r="C644" s="8"/>
      <c r="D644" s="2"/>
      <c r="E644" s="8"/>
      <c r="F644" s="8"/>
      <c r="G644" s="8"/>
      <c r="H644" s="8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3"/>
      <c r="Z644" s="3"/>
      <c r="AA644" s="3"/>
      <c r="AB644" s="3"/>
    </row>
    <row r="645">
      <c r="A645" s="8"/>
      <c r="B645" s="8"/>
      <c r="C645" s="8"/>
      <c r="D645" s="2"/>
      <c r="E645" s="8"/>
      <c r="F645" s="8"/>
      <c r="G645" s="8"/>
      <c r="H645" s="8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3"/>
      <c r="Z645" s="3"/>
      <c r="AA645" s="3"/>
      <c r="AB645" s="3"/>
    </row>
    <row r="646">
      <c r="A646" s="8"/>
      <c r="B646" s="8"/>
      <c r="C646" s="8"/>
      <c r="D646" s="2"/>
      <c r="E646" s="8"/>
      <c r="F646" s="8"/>
      <c r="G646" s="8"/>
      <c r="H646" s="8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3"/>
      <c r="Z646" s="3"/>
      <c r="AA646" s="3"/>
      <c r="AB646" s="3"/>
    </row>
    <row r="647">
      <c r="A647" s="8"/>
      <c r="B647" s="8"/>
      <c r="C647" s="8"/>
      <c r="D647" s="2"/>
      <c r="E647" s="8"/>
      <c r="F647" s="8"/>
      <c r="G647" s="8"/>
      <c r="H647" s="8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3"/>
      <c r="Z647" s="3"/>
      <c r="AA647" s="3"/>
      <c r="AB647" s="3"/>
    </row>
    <row r="648">
      <c r="A648" s="8"/>
      <c r="B648" s="8"/>
      <c r="C648" s="8"/>
      <c r="D648" s="2"/>
      <c r="E648" s="8"/>
      <c r="F648" s="8"/>
      <c r="G648" s="8"/>
      <c r="H648" s="8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3"/>
      <c r="Z648" s="3"/>
      <c r="AA648" s="3"/>
      <c r="AB648" s="3"/>
    </row>
    <row r="649">
      <c r="A649" s="8"/>
      <c r="B649" s="8"/>
      <c r="C649" s="8"/>
      <c r="D649" s="2"/>
      <c r="E649" s="8"/>
      <c r="F649" s="8"/>
      <c r="G649" s="8"/>
      <c r="H649" s="8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3"/>
      <c r="Z649" s="3"/>
      <c r="AA649" s="3"/>
      <c r="AB649" s="3"/>
    </row>
    <row r="650">
      <c r="A650" s="8"/>
      <c r="B650" s="8"/>
      <c r="C650" s="8"/>
      <c r="D650" s="2"/>
      <c r="E650" s="8"/>
      <c r="F650" s="8"/>
      <c r="G650" s="8"/>
      <c r="H650" s="8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3"/>
      <c r="Z650" s="3"/>
      <c r="AA650" s="3"/>
      <c r="AB650" s="3"/>
    </row>
    <row r="651">
      <c r="A651" s="8"/>
      <c r="B651" s="8"/>
      <c r="C651" s="8"/>
      <c r="D651" s="2"/>
      <c r="E651" s="8"/>
      <c r="F651" s="8"/>
      <c r="G651" s="8"/>
      <c r="H651" s="8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3"/>
      <c r="Z651" s="3"/>
      <c r="AA651" s="3"/>
      <c r="AB651" s="3"/>
    </row>
    <row r="652">
      <c r="A652" s="8"/>
      <c r="B652" s="8"/>
      <c r="C652" s="8"/>
      <c r="D652" s="2"/>
      <c r="E652" s="8"/>
      <c r="F652" s="8"/>
      <c r="G652" s="8"/>
      <c r="H652" s="8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3"/>
      <c r="Z652" s="3"/>
      <c r="AA652" s="3"/>
      <c r="AB652" s="3"/>
    </row>
    <row r="653">
      <c r="A653" s="8"/>
      <c r="B653" s="8"/>
      <c r="C653" s="8"/>
      <c r="D653" s="2"/>
      <c r="E653" s="8"/>
      <c r="F653" s="8"/>
      <c r="G653" s="8"/>
      <c r="H653" s="8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3"/>
      <c r="Z653" s="3"/>
      <c r="AA653" s="3"/>
      <c r="AB653" s="3"/>
    </row>
    <row r="654">
      <c r="A654" s="8"/>
      <c r="B654" s="8"/>
      <c r="C654" s="8"/>
      <c r="D654" s="2"/>
      <c r="E654" s="8"/>
      <c r="F654" s="8"/>
      <c r="G654" s="8"/>
      <c r="H654" s="8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3"/>
      <c r="Z654" s="3"/>
      <c r="AA654" s="3"/>
      <c r="AB654" s="3"/>
    </row>
    <row r="655">
      <c r="A655" s="8"/>
      <c r="B655" s="8"/>
      <c r="C655" s="8"/>
      <c r="D655" s="2"/>
      <c r="E655" s="8"/>
      <c r="F655" s="8"/>
      <c r="G655" s="8"/>
      <c r="H655" s="8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3"/>
      <c r="Z655" s="3"/>
      <c r="AA655" s="3"/>
      <c r="AB655" s="3"/>
    </row>
    <row r="656">
      <c r="A656" s="8"/>
      <c r="B656" s="8"/>
      <c r="C656" s="8"/>
      <c r="D656" s="2"/>
      <c r="E656" s="8"/>
      <c r="F656" s="8"/>
      <c r="G656" s="8"/>
      <c r="H656" s="8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3"/>
      <c r="Z656" s="3"/>
      <c r="AA656" s="3"/>
      <c r="AB656" s="3"/>
    </row>
    <row r="657">
      <c r="A657" s="8"/>
      <c r="B657" s="8"/>
      <c r="C657" s="8"/>
      <c r="D657" s="2"/>
      <c r="E657" s="8"/>
      <c r="F657" s="8"/>
      <c r="G657" s="8"/>
      <c r="H657" s="8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3"/>
      <c r="Z657" s="3"/>
      <c r="AA657" s="3"/>
      <c r="AB657" s="3"/>
    </row>
    <row r="658">
      <c r="A658" s="8"/>
      <c r="B658" s="8"/>
      <c r="C658" s="8"/>
      <c r="D658" s="2"/>
      <c r="E658" s="8"/>
      <c r="F658" s="8"/>
      <c r="G658" s="8"/>
      <c r="H658" s="8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3"/>
      <c r="Z658" s="3"/>
      <c r="AA658" s="3"/>
      <c r="AB658" s="3"/>
    </row>
    <row r="659">
      <c r="A659" s="8"/>
      <c r="B659" s="8"/>
      <c r="C659" s="8"/>
      <c r="D659" s="2"/>
      <c r="E659" s="8"/>
      <c r="F659" s="8"/>
      <c r="G659" s="8"/>
      <c r="H659" s="8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3"/>
      <c r="Z659" s="3"/>
      <c r="AA659" s="3"/>
      <c r="AB659" s="3"/>
    </row>
    <row r="660">
      <c r="A660" s="8"/>
      <c r="B660" s="8"/>
      <c r="C660" s="8"/>
      <c r="D660" s="2"/>
      <c r="E660" s="8"/>
      <c r="F660" s="8"/>
      <c r="G660" s="8"/>
      <c r="H660" s="8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3"/>
      <c r="Z660" s="3"/>
      <c r="AA660" s="3"/>
      <c r="AB660" s="3"/>
    </row>
    <row r="661">
      <c r="A661" s="8"/>
      <c r="B661" s="8"/>
      <c r="C661" s="8"/>
      <c r="D661" s="2"/>
      <c r="E661" s="8"/>
      <c r="F661" s="8"/>
      <c r="G661" s="8"/>
      <c r="H661" s="8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3"/>
      <c r="Z661" s="3"/>
      <c r="AA661" s="3"/>
      <c r="AB661" s="3"/>
    </row>
    <row r="662">
      <c r="A662" s="8"/>
      <c r="B662" s="8"/>
      <c r="C662" s="8"/>
      <c r="D662" s="2"/>
      <c r="E662" s="8"/>
      <c r="F662" s="8"/>
      <c r="G662" s="8"/>
      <c r="H662" s="8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3"/>
      <c r="Z662" s="3"/>
      <c r="AA662" s="3"/>
      <c r="AB662" s="3"/>
    </row>
    <row r="663">
      <c r="A663" s="8"/>
      <c r="B663" s="8"/>
      <c r="C663" s="8"/>
      <c r="D663" s="2"/>
      <c r="E663" s="8"/>
      <c r="F663" s="8"/>
      <c r="G663" s="8"/>
      <c r="H663" s="8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3"/>
      <c r="Z663" s="3"/>
      <c r="AA663" s="3"/>
      <c r="AB663" s="3"/>
    </row>
    <row r="664">
      <c r="A664" s="8"/>
      <c r="B664" s="8"/>
      <c r="C664" s="8"/>
      <c r="D664" s="2"/>
      <c r="E664" s="8"/>
      <c r="F664" s="8"/>
      <c r="G664" s="8"/>
      <c r="H664" s="8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3"/>
      <c r="Z664" s="3"/>
      <c r="AA664" s="3"/>
      <c r="AB664" s="3"/>
    </row>
    <row r="665">
      <c r="A665" s="8"/>
      <c r="B665" s="8"/>
      <c r="C665" s="8"/>
      <c r="D665" s="2"/>
      <c r="E665" s="8"/>
      <c r="F665" s="8"/>
      <c r="G665" s="8"/>
      <c r="H665" s="8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3"/>
      <c r="Z665" s="3"/>
      <c r="AA665" s="3"/>
      <c r="AB665" s="3"/>
    </row>
    <row r="666">
      <c r="A666" s="8"/>
      <c r="B666" s="8"/>
      <c r="C666" s="8"/>
      <c r="D666" s="2"/>
      <c r="E666" s="8"/>
      <c r="F666" s="8"/>
      <c r="G666" s="8"/>
      <c r="H666" s="8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3"/>
      <c r="Z666" s="3"/>
      <c r="AA666" s="3"/>
      <c r="AB666" s="3"/>
    </row>
    <row r="667">
      <c r="A667" s="8"/>
      <c r="B667" s="8"/>
      <c r="C667" s="8"/>
      <c r="D667" s="2"/>
      <c r="E667" s="8"/>
      <c r="F667" s="8"/>
      <c r="G667" s="8"/>
      <c r="H667" s="8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3"/>
      <c r="Z667" s="3"/>
      <c r="AA667" s="3"/>
      <c r="AB667" s="3"/>
    </row>
    <row r="668">
      <c r="A668" s="8"/>
      <c r="B668" s="8"/>
      <c r="C668" s="8"/>
      <c r="D668" s="2"/>
      <c r="E668" s="8"/>
      <c r="F668" s="8"/>
      <c r="G668" s="8"/>
      <c r="H668" s="8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"/>
      <c r="Z668" s="3"/>
      <c r="AA668" s="3"/>
      <c r="AB668" s="3"/>
    </row>
    <row r="669">
      <c r="A669" s="8"/>
      <c r="B669" s="8"/>
      <c r="C669" s="8"/>
      <c r="D669" s="2"/>
      <c r="E669" s="8"/>
      <c r="F669" s="8"/>
      <c r="G669" s="8"/>
      <c r="H669" s="8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3"/>
      <c r="Z669" s="3"/>
      <c r="AA669" s="3"/>
      <c r="AB669" s="3"/>
    </row>
    <row r="670">
      <c r="A670" s="8"/>
      <c r="B670" s="8"/>
      <c r="C670" s="8"/>
      <c r="D670" s="2"/>
      <c r="E670" s="8"/>
      <c r="F670" s="8"/>
      <c r="G670" s="8"/>
      <c r="H670" s="8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3"/>
      <c r="Z670" s="3"/>
      <c r="AA670" s="3"/>
      <c r="AB670" s="3"/>
    </row>
    <row r="671">
      <c r="A671" s="8"/>
      <c r="B671" s="8"/>
      <c r="C671" s="8"/>
      <c r="D671" s="2"/>
      <c r="E671" s="8"/>
      <c r="F671" s="8"/>
      <c r="G671" s="8"/>
      <c r="H671" s="8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3"/>
      <c r="Z671" s="3"/>
      <c r="AA671" s="3"/>
      <c r="AB671" s="3"/>
    </row>
    <row r="672">
      <c r="A672" s="8"/>
      <c r="B672" s="8"/>
      <c r="C672" s="8"/>
      <c r="D672" s="2"/>
      <c r="E672" s="8"/>
      <c r="F672" s="8"/>
      <c r="G672" s="8"/>
      <c r="H672" s="8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3"/>
      <c r="Z672" s="3"/>
      <c r="AA672" s="3"/>
      <c r="AB672" s="3"/>
    </row>
    <row r="673">
      <c r="A673" s="8"/>
      <c r="B673" s="8"/>
      <c r="C673" s="8"/>
      <c r="D673" s="2"/>
      <c r="E673" s="8"/>
      <c r="F673" s="8"/>
      <c r="G673" s="8"/>
      <c r="H673" s="8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3"/>
      <c r="Z673" s="3"/>
      <c r="AA673" s="3"/>
      <c r="AB673" s="3"/>
    </row>
    <row r="674">
      <c r="A674" s="8"/>
      <c r="B674" s="8"/>
      <c r="C674" s="8"/>
      <c r="D674" s="2"/>
      <c r="E674" s="8"/>
      <c r="F674" s="8"/>
      <c r="G674" s="8"/>
      <c r="H674" s="8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3"/>
      <c r="Z674" s="3"/>
      <c r="AA674" s="3"/>
      <c r="AB674" s="3"/>
    </row>
    <row r="675">
      <c r="A675" s="8"/>
      <c r="B675" s="8"/>
      <c r="C675" s="8"/>
      <c r="D675" s="2"/>
      <c r="E675" s="8"/>
      <c r="F675" s="8"/>
      <c r="G675" s="8"/>
      <c r="H675" s="8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3"/>
      <c r="Z675" s="3"/>
      <c r="AA675" s="3"/>
      <c r="AB675" s="3"/>
    </row>
    <row r="676">
      <c r="A676" s="8"/>
      <c r="B676" s="8"/>
      <c r="C676" s="8"/>
      <c r="D676" s="2"/>
      <c r="E676" s="8"/>
      <c r="F676" s="8"/>
      <c r="G676" s="8"/>
      <c r="H676" s="8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3"/>
      <c r="Z676" s="3"/>
      <c r="AA676" s="3"/>
      <c r="AB676" s="3"/>
    </row>
    <row r="677">
      <c r="A677" s="8"/>
      <c r="B677" s="8"/>
      <c r="C677" s="8"/>
      <c r="D677" s="2"/>
      <c r="E677" s="8"/>
      <c r="F677" s="8"/>
      <c r="G677" s="8"/>
      <c r="H677" s="8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3"/>
      <c r="Z677" s="3"/>
      <c r="AA677" s="3"/>
      <c r="AB677" s="3"/>
    </row>
    <row r="678">
      <c r="A678" s="8"/>
      <c r="B678" s="8"/>
      <c r="C678" s="8"/>
      <c r="D678" s="2"/>
      <c r="E678" s="8"/>
      <c r="F678" s="8"/>
      <c r="G678" s="8"/>
      <c r="H678" s="8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3"/>
      <c r="Z678" s="3"/>
      <c r="AA678" s="3"/>
      <c r="AB678" s="3"/>
    </row>
    <row r="679">
      <c r="A679" s="8"/>
      <c r="B679" s="8"/>
      <c r="C679" s="8"/>
      <c r="D679" s="2"/>
      <c r="E679" s="8"/>
      <c r="F679" s="8"/>
      <c r="G679" s="8"/>
      <c r="H679" s="8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3"/>
      <c r="Z679" s="3"/>
      <c r="AA679" s="3"/>
      <c r="AB679" s="3"/>
    </row>
    <row r="680">
      <c r="A680" s="8"/>
      <c r="B680" s="8"/>
      <c r="C680" s="8"/>
      <c r="D680" s="2"/>
      <c r="E680" s="8"/>
      <c r="F680" s="8"/>
      <c r="G680" s="8"/>
      <c r="H680" s="8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3"/>
      <c r="Z680" s="3"/>
      <c r="AA680" s="3"/>
      <c r="AB680" s="3"/>
    </row>
    <row r="681">
      <c r="A681" s="8"/>
      <c r="B681" s="8"/>
      <c r="C681" s="8"/>
      <c r="D681" s="2"/>
      <c r="E681" s="8"/>
      <c r="F681" s="8"/>
      <c r="G681" s="8"/>
      <c r="H681" s="8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3"/>
      <c r="Z681" s="3"/>
      <c r="AA681" s="3"/>
      <c r="AB681" s="3"/>
    </row>
    <row r="682">
      <c r="A682" s="8"/>
      <c r="B682" s="8"/>
      <c r="C682" s="8"/>
      <c r="D682" s="2"/>
      <c r="E682" s="8"/>
      <c r="F682" s="8"/>
      <c r="G682" s="8"/>
      <c r="H682" s="8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3"/>
      <c r="Z682" s="3"/>
      <c r="AA682" s="3"/>
      <c r="AB682" s="3"/>
    </row>
    <row r="683">
      <c r="A683" s="8"/>
      <c r="B683" s="8"/>
      <c r="C683" s="8"/>
      <c r="D683" s="2"/>
      <c r="E683" s="8"/>
      <c r="F683" s="8"/>
      <c r="G683" s="8"/>
      <c r="H683" s="8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3"/>
      <c r="Z683" s="3"/>
      <c r="AA683" s="3"/>
      <c r="AB683" s="3"/>
    </row>
    <row r="684">
      <c r="A684" s="8"/>
      <c r="B684" s="8"/>
      <c r="C684" s="8"/>
      <c r="D684" s="2"/>
      <c r="E684" s="8"/>
      <c r="F684" s="8"/>
      <c r="G684" s="8"/>
      <c r="H684" s="8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"/>
      <c r="Z684" s="3"/>
      <c r="AA684" s="3"/>
      <c r="AB684" s="3"/>
    </row>
    <row r="685">
      <c r="A685" s="8"/>
      <c r="B685" s="8"/>
      <c r="C685" s="8"/>
      <c r="D685" s="2"/>
      <c r="E685" s="8"/>
      <c r="F685" s="8"/>
      <c r="G685" s="8"/>
      <c r="H685" s="8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3"/>
      <c r="Z685" s="3"/>
      <c r="AA685" s="3"/>
      <c r="AB685" s="3"/>
    </row>
    <row r="686">
      <c r="A686" s="8"/>
      <c r="B686" s="8"/>
      <c r="C686" s="8"/>
      <c r="D686" s="2"/>
      <c r="E686" s="8"/>
      <c r="F686" s="8"/>
      <c r="G686" s="8"/>
      <c r="H686" s="8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3"/>
      <c r="Z686" s="3"/>
      <c r="AA686" s="3"/>
      <c r="AB686" s="3"/>
    </row>
    <row r="687">
      <c r="A687" s="8"/>
      <c r="B687" s="8"/>
      <c r="C687" s="8"/>
      <c r="D687" s="2"/>
      <c r="E687" s="8"/>
      <c r="F687" s="8"/>
      <c r="G687" s="8"/>
      <c r="H687" s="8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3"/>
      <c r="Z687" s="3"/>
      <c r="AA687" s="3"/>
      <c r="AB687" s="3"/>
    </row>
    <row r="688">
      <c r="A688" s="8"/>
      <c r="B688" s="8"/>
      <c r="C688" s="8"/>
      <c r="D688" s="2"/>
      <c r="E688" s="8"/>
      <c r="F688" s="8"/>
      <c r="G688" s="8"/>
      <c r="H688" s="8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3"/>
      <c r="Z688" s="3"/>
      <c r="AA688" s="3"/>
      <c r="AB688" s="3"/>
    </row>
    <row r="689">
      <c r="A689" s="8"/>
      <c r="B689" s="8"/>
      <c r="C689" s="8"/>
      <c r="D689" s="2"/>
      <c r="E689" s="8"/>
      <c r="F689" s="8"/>
      <c r="G689" s="8"/>
      <c r="H689" s="8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3"/>
      <c r="Z689" s="3"/>
      <c r="AA689" s="3"/>
      <c r="AB689" s="3"/>
    </row>
    <row r="690">
      <c r="A690" s="8"/>
      <c r="B690" s="8"/>
      <c r="C690" s="8"/>
      <c r="D690" s="2"/>
      <c r="E690" s="8"/>
      <c r="F690" s="8"/>
      <c r="G690" s="8"/>
      <c r="H690" s="8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3"/>
      <c r="Z690" s="3"/>
      <c r="AA690" s="3"/>
      <c r="AB690" s="3"/>
    </row>
    <row r="691">
      <c r="A691" s="8"/>
      <c r="B691" s="8"/>
      <c r="C691" s="8"/>
      <c r="D691" s="2"/>
      <c r="E691" s="8"/>
      <c r="F691" s="8"/>
      <c r="G691" s="8"/>
      <c r="H691" s="8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3"/>
      <c r="Z691" s="3"/>
      <c r="AA691" s="3"/>
      <c r="AB691" s="3"/>
    </row>
    <row r="692">
      <c r="A692" s="8"/>
      <c r="B692" s="8"/>
      <c r="C692" s="8"/>
      <c r="D692" s="2"/>
      <c r="E692" s="8"/>
      <c r="F692" s="8"/>
      <c r="G692" s="8"/>
      <c r="H692" s="8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3"/>
      <c r="Z692" s="3"/>
      <c r="AA692" s="3"/>
      <c r="AB692" s="3"/>
    </row>
    <row r="693">
      <c r="A693" s="8"/>
      <c r="B693" s="8"/>
      <c r="C693" s="8"/>
      <c r="D693" s="2"/>
      <c r="E693" s="8"/>
      <c r="F693" s="8"/>
      <c r="G693" s="8"/>
      <c r="H693" s="8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"/>
      <c r="Z693" s="3"/>
      <c r="AA693" s="3"/>
      <c r="AB693" s="3"/>
    </row>
    <row r="694">
      <c r="A694" s="8"/>
      <c r="B694" s="8"/>
      <c r="C694" s="8"/>
      <c r="D694" s="2"/>
      <c r="E694" s="8"/>
      <c r="F694" s="8"/>
      <c r="G694" s="8"/>
      <c r="H694" s="8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3"/>
      <c r="Z694" s="3"/>
      <c r="AA694" s="3"/>
      <c r="AB694" s="3"/>
    </row>
    <row r="695">
      <c r="A695" s="8"/>
      <c r="B695" s="8"/>
      <c r="C695" s="8"/>
      <c r="D695" s="2"/>
      <c r="E695" s="8"/>
      <c r="F695" s="8"/>
      <c r="G695" s="8"/>
      <c r="H695" s="8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3"/>
      <c r="Z695" s="3"/>
      <c r="AA695" s="3"/>
      <c r="AB695" s="3"/>
    </row>
    <row r="696">
      <c r="A696" s="8"/>
      <c r="B696" s="8"/>
      <c r="C696" s="8"/>
      <c r="D696" s="2"/>
      <c r="E696" s="8"/>
      <c r="F696" s="8"/>
      <c r="G696" s="8"/>
      <c r="H696" s="8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3"/>
      <c r="Z696" s="3"/>
      <c r="AA696" s="3"/>
      <c r="AB696" s="3"/>
    </row>
    <row r="697">
      <c r="A697" s="8"/>
      <c r="B697" s="8"/>
      <c r="C697" s="8"/>
      <c r="D697" s="2"/>
      <c r="E697" s="8"/>
      <c r="F697" s="8"/>
      <c r="G697" s="8"/>
      <c r="H697" s="8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3"/>
      <c r="Z697" s="3"/>
      <c r="AA697" s="3"/>
      <c r="AB697" s="3"/>
    </row>
    <row r="698">
      <c r="A698" s="8"/>
      <c r="B698" s="8"/>
      <c r="C698" s="8"/>
      <c r="D698" s="2"/>
      <c r="E698" s="8"/>
      <c r="F698" s="8"/>
      <c r="G698" s="8"/>
      <c r="H698" s="8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3"/>
      <c r="Z698" s="3"/>
      <c r="AA698" s="3"/>
      <c r="AB698" s="3"/>
    </row>
    <row r="699">
      <c r="A699" s="8"/>
      <c r="B699" s="8"/>
      <c r="C699" s="8"/>
      <c r="D699" s="2"/>
      <c r="E699" s="8"/>
      <c r="F699" s="8"/>
      <c r="G699" s="8"/>
      <c r="H699" s="8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3"/>
      <c r="Z699" s="3"/>
      <c r="AA699" s="3"/>
      <c r="AB699" s="3"/>
    </row>
    <row r="700">
      <c r="A700" s="8"/>
      <c r="B700" s="8"/>
      <c r="C700" s="8"/>
      <c r="D700" s="2"/>
      <c r="E700" s="8"/>
      <c r="F700" s="8"/>
      <c r="G700" s="8"/>
      <c r="H700" s="8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3"/>
      <c r="Z700" s="3"/>
      <c r="AA700" s="3"/>
      <c r="AB700" s="3"/>
    </row>
    <row r="701">
      <c r="A701" s="8"/>
      <c r="B701" s="8"/>
      <c r="C701" s="8"/>
      <c r="D701" s="2"/>
      <c r="E701" s="8"/>
      <c r="F701" s="8"/>
      <c r="G701" s="8"/>
      <c r="H701" s="8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"/>
      <c r="Z701" s="3"/>
      <c r="AA701" s="3"/>
      <c r="AB701" s="3"/>
    </row>
    <row r="702">
      <c r="A702" s="8"/>
      <c r="B702" s="8"/>
      <c r="C702" s="8"/>
      <c r="D702" s="2"/>
      <c r="E702" s="8"/>
      <c r="F702" s="8"/>
      <c r="G702" s="8"/>
      <c r="H702" s="8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"/>
      <c r="Z702" s="3"/>
      <c r="AA702" s="3"/>
      <c r="AB702" s="3"/>
    </row>
    <row r="703">
      <c r="A703" s="8"/>
      <c r="B703" s="8"/>
      <c r="C703" s="8"/>
      <c r="D703" s="2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3"/>
      <c r="Z703" s="3"/>
      <c r="AA703" s="3"/>
      <c r="AB703" s="3"/>
    </row>
    <row r="704">
      <c r="A704" s="8"/>
      <c r="B704" s="8"/>
      <c r="C704" s="8"/>
      <c r="D704" s="2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3"/>
      <c r="Z704" s="3"/>
      <c r="AA704" s="3"/>
      <c r="AB704" s="3"/>
    </row>
    <row r="705">
      <c r="A705" s="8"/>
      <c r="B705" s="8"/>
      <c r="C705" s="8"/>
      <c r="D705" s="2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3"/>
      <c r="Z705" s="3"/>
      <c r="AA705" s="3"/>
      <c r="AB705" s="3"/>
    </row>
    <row r="706">
      <c r="A706" s="8"/>
      <c r="B706" s="8"/>
      <c r="C706" s="8"/>
      <c r="D706" s="2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3"/>
      <c r="Z706" s="3"/>
      <c r="AA706" s="3"/>
      <c r="AB706" s="3"/>
    </row>
    <row r="707">
      <c r="A707" s="8"/>
      <c r="B707" s="8"/>
      <c r="C707" s="8"/>
      <c r="D707" s="2"/>
      <c r="E707" s="8"/>
      <c r="F707" s="8"/>
      <c r="G707" s="8"/>
      <c r="H707" s="8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3"/>
      <c r="Z707" s="3"/>
      <c r="AA707" s="3"/>
      <c r="AB707" s="3"/>
    </row>
    <row r="708">
      <c r="A708" s="8"/>
      <c r="B708" s="8"/>
      <c r="C708" s="8"/>
      <c r="D708" s="2"/>
      <c r="E708" s="8"/>
      <c r="F708" s="8"/>
      <c r="G708" s="8"/>
      <c r="H708" s="8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3"/>
      <c r="Z708" s="3"/>
      <c r="AA708" s="3"/>
      <c r="AB708" s="3"/>
    </row>
    <row r="709">
      <c r="A709" s="8"/>
      <c r="B709" s="8"/>
      <c r="C709" s="8"/>
      <c r="D709" s="2"/>
      <c r="E709" s="8"/>
      <c r="F709" s="8"/>
      <c r="G709" s="8"/>
      <c r="H709" s="8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3"/>
      <c r="Z709" s="3"/>
      <c r="AA709" s="3"/>
      <c r="AB709" s="3"/>
    </row>
    <row r="710">
      <c r="A710" s="8"/>
      <c r="B710" s="8"/>
      <c r="C710" s="8"/>
      <c r="D710" s="2"/>
      <c r="E710" s="8"/>
      <c r="F710" s="8"/>
      <c r="G710" s="8"/>
      <c r="H710" s="8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3"/>
      <c r="Z710" s="3"/>
      <c r="AA710" s="3"/>
      <c r="AB710" s="3"/>
    </row>
    <row r="711">
      <c r="A711" s="8"/>
      <c r="B711" s="8"/>
      <c r="C711" s="8"/>
      <c r="D711" s="2"/>
      <c r="E711" s="8"/>
      <c r="F711" s="8"/>
      <c r="G711" s="8"/>
      <c r="H711" s="8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3"/>
      <c r="Z711" s="3"/>
      <c r="AA711" s="3"/>
      <c r="AB711" s="3"/>
    </row>
    <row r="712">
      <c r="A712" s="8"/>
      <c r="B712" s="8"/>
      <c r="C712" s="8"/>
      <c r="D712" s="2"/>
      <c r="E712" s="8"/>
      <c r="F712" s="8"/>
      <c r="G712" s="8"/>
      <c r="H712" s="8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3"/>
      <c r="Z712" s="3"/>
      <c r="AA712" s="3"/>
      <c r="AB712" s="3"/>
    </row>
    <row r="713">
      <c r="A713" s="8"/>
      <c r="B713" s="8"/>
      <c r="C713" s="8"/>
      <c r="D713" s="2"/>
      <c r="E713" s="8"/>
      <c r="F713" s="8"/>
      <c r="G713" s="8"/>
      <c r="H713" s="8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3"/>
      <c r="Z713" s="3"/>
      <c r="AA713" s="3"/>
      <c r="AB713" s="3"/>
    </row>
    <row r="714">
      <c r="A714" s="8"/>
      <c r="B714" s="8"/>
      <c r="C714" s="8"/>
      <c r="D714" s="2"/>
      <c r="E714" s="8"/>
      <c r="F714" s="8"/>
      <c r="G714" s="8"/>
      <c r="H714" s="8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3"/>
      <c r="Z714" s="3"/>
      <c r="AA714" s="3"/>
      <c r="AB714" s="3"/>
    </row>
    <row r="715">
      <c r="A715" s="8"/>
      <c r="B715" s="8"/>
      <c r="C715" s="8"/>
      <c r="D715" s="2"/>
      <c r="E715" s="8"/>
      <c r="F715" s="8"/>
      <c r="G715" s="8"/>
      <c r="H715" s="8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3"/>
      <c r="Z715" s="3"/>
      <c r="AA715" s="3"/>
      <c r="AB715" s="3"/>
    </row>
    <row r="716">
      <c r="A716" s="8"/>
      <c r="B716" s="8"/>
      <c r="C716" s="8"/>
      <c r="D716" s="2"/>
      <c r="E716" s="8"/>
      <c r="F716" s="8"/>
      <c r="G716" s="8"/>
      <c r="H716" s="8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3"/>
      <c r="Z716" s="3"/>
      <c r="AA716" s="3"/>
      <c r="AB716" s="3"/>
    </row>
    <row r="717">
      <c r="A717" s="8"/>
      <c r="B717" s="8"/>
      <c r="C717" s="8"/>
      <c r="D717" s="2"/>
      <c r="E717" s="8"/>
      <c r="F717" s="8"/>
      <c r="G717" s="8"/>
      <c r="H717" s="8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3"/>
      <c r="Z717" s="3"/>
      <c r="AA717" s="3"/>
      <c r="AB717" s="3"/>
    </row>
    <row r="718">
      <c r="A718" s="8"/>
      <c r="B718" s="8"/>
      <c r="C718" s="8"/>
      <c r="D718" s="2"/>
      <c r="E718" s="8"/>
      <c r="F718" s="8"/>
      <c r="G718" s="8"/>
      <c r="H718" s="8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3"/>
      <c r="Z718" s="3"/>
      <c r="AA718" s="3"/>
      <c r="AB718" s="3"/>
    </row>
    <row r="719">
      <c r="A719" s="8"/>
      <c r="B719" s="8"/>
      <c r="C719" s="8"/>
      <c r="D719" s="2"/>
      <c r="E719" s="8"/>
      <c r="F719" s="8"/>
      <c r="G719" s="8"/>
      <c r="H719" s="8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3"/>
      <c r="Z719" s="3"/>
      <c r="AA719" s="3"/>
      <c r="AB719" s="3"/>
    </row>
    <row r="720">
      <c r="A720" s="8"/>
      <c r="B720" s="8"/>
      <c r="C720" s="8"/>
      <c r="D720" s="2"/>
      <c r="E720" s="8"/>
      <c r="F720" s="8"/>
      <c r="G720" s="8"/>
      <c r="H720" s="8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3"/>
      <c r="Z720" s="3"/>
      <c r="AA720" s="3"/>
      <c r="AB720" s="3"/>
    </row>
    <row r="721">
      <c r="A721" s="8"/>
      <c r="B721" s="8"/>
      <c r="C721" s="8"/>
      <c r="D721" s="2"/>
      <c r="E721" s="8"/>
      <c r="F721" s="8"/>
      <c r="G721" s="8"/>
      <c r="H721" s="8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3"/>
      <c r="Z721" s="3"/>
      <c r="AA721" s="3"/>
      <c r="AB721" s="3"/>
    </row>
    <row r="722">
      <c r="A722" s="8"/>
      <c r="B722" s="8"/>
      <c r="C722" s="8"/>
      <c r="D722" s="2"/>
      <c r="E722" s="8"/>
      <c r="F722" s="8"/>
      <c r="G722" s="8"/>
      <c r="H722" s="8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3"/>
      <c r="Z722" s="3"/>
      <c r="AA722" s="3"/>
      <c r="AB722" s="3"/>
    </row>
    <row r="723">
      <c r="A723" s="8"/>
      <c r="B723" s="8"/>
      <c r="C723" s="8"/>
      <c r="D723" s="2"/>
      <c r="E723" s="8"/>
      <c r="F723" s="8"/>
      <c r="G723" s="8"/>
      <c r="H723" s="8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3"/>
      <c r="Z723" s="3"/>
      <c r="AA723" s="3"/>
      <c r="AB723" s="3"/>
    </row>
    <row r="724">
      <c r="A724" s="8"/>
      <c r="B724" s="8"/>
      <c r="C724" s="8"/>
      <c r="D724" s="2"/>
      <c r="E724" s="8"/>
      <c r="F724" s="8"/>
      <c r="G724" s="8"/>
      <c r="H724" s="8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3"/>
      <c r="Z724" s="3"/>
      <c r="AA724" s="3"/>
      <c r="AB724" s="3"/>
    </row>
    <row r="725">
      <c r="A725" s="8"/>
      <c r="B725" s="8"/>
      <c r="C725" s="8"/>
      <c r="D725" s="2"/>
      <c r="E725" s="8"/>
      <c r="F725" s="8"/>
      <c r="G725" s="8"/>
      <c r="H725" s="8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3"/>
      <c r="Z725" s="3"/>
      <c r="AA725" s="3"/>
      <c r="AB725" s="3"/>
    </row>
    <row r="726">
      <c r="A726" s="8"/>
      <c r="B726" s="8"/>
      <c r="C726" s="8"/>
      <c r="D726" s="2"/>
      <c r="E726" s="8"/>
      <c r="F726" s="8"/>
      <c r="G726" s="8"/>
      <c r="H726" s="8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3"/>
      <c r="Z726" s="3"/>
      <c r="AA726" s="3"/>
      <c r="AB726" s="3"/>
    </row>
    <row r="727">
      <c r="A727" s="8"/>
      <c r="B727" s="8"/>
      <c r="C727" s="8"/>
      <c r="D727" s="2"/>
      <c r="E727" s="8"/>
      <c r="F727" s="8"/>
      <c r="G727" s="8"/>
      <c r="H727" s="8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3"/>
      <c r="Z727" s="3"/>
      <c r="AA727" s="3"/>
      <c r="AB727" s="3"/>
    </row>
    <row r="728">
      <c r="A728" s="8"/>
      <c r="B728" s="8"/>
      <c r="C728" s="8"/>
      <c r="D728" s="2"/>
      <c r="E728" s="8"/>
      <c r="F728" s="8"/>
      <c r="G728" s="8"/>
      <c r="H728" s="8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3"/>
      <c r="Z728" s="3"/>
      <c r="AA728" s="3"/>
      <c r="AB728" s="3"/>
    </row>
    <row r="729">
      <c r="A729" s="8"/>
      <c r="B729" s="8"/>
      <c r="C729" s="8"/>
      <c r="D729" s="2"/>
      <c r="E729" s="8"/>
      <c r="F729" s="8"/>
      <c r="G729" s="8"/>
      <c r="H729" s="8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3"/>
      <c r="Z729" s="3"/>
      <c r="AA729" s="3"/>
      <c r="AB729" s="3"/>
    </row>
    <row r="730">
      <c r="A730" s="8"/>
      <c r="B730" s="8"/>
      <c r="C730" s="8"/>
      <c r="D730" s="2"/>
      <c r="E730" s="8"/>
      <c r="F730" s="8"/>
      <c r="G730" s="8"/>
      <c r="H730" s="8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3"/>
      <c r="Z730" s="3"/>
      <c r="AA730" s="3"/>
      <c r="AB730" s="3"/>
    </row>
    <row r="731">
      <c r="A731" s="8"/>
      <c r="B731" s="8"/>
      <c r="C731" s="8"/>
      <c r="D731" s="2"/>
      <c r="E731" s="8"/>
      <c r="F731" s="8"/>
      <c r="G731" s="8"/>
      <c r="H731" s="8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3"/>
      <c r="Z731" s="3"/>
      <c r="AA731" s="3"/>
      <c r="AB731" s="3"/>
    </row>
    <row r="732">
      <c r="A732" s="8"/>
      <c r="B732" s="8"/>
      <c r="C732" s="8"/>
      <c r="D732" s="2"/>
      <c r="E732" s="8"/>
      <c r="F732" s="8"/>
      <c r="G732" s="8"/>
      <c r="H732" s="8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3"/>
      <c r="Z732" s="3"/>
      <c r="AA732" s="3"/>
      <c r="AB732" s="3"/>
    </row>
    <row r="733">
      <c r="A733" s="8"/>
      <c r="B733" s="8"/>
      <c r="C733" s="8"/>
      <c r="D733" s="2"/>
      <c r="E733" s="8"/>
      <c r="F733" s="8"/>
      <c r="G733" s="8"/>
      <c r="H733" s="8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3"/>
      <c r="Z733" s="3"/>
      <c r="AA733" s="3"/>
      <c r="AB733" s="3"/>
    </row>
    <row r="734">
      <c r="A734" s="8"/>
      <c r="B734" s="8"/>
      <c r="C734" s="8"/>
      <c r="D734" s="2"/>
      <c r="E734" s="8"/>
      <c r="F734" s="8"/>
      <c r="G734" s="8"/>
      <c r="H734" s="8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3"/>
      <c r="Z734" s="3"/>
      <c r="AA734" s="3"/>
      <c r="AB734" s="3"/>
    </row>
    <row r="735">
      <c r="A735" s="8"/>
      <c r="B735" s="8"/>
      <c r="C735" s="8"/>
      <c r="D735" s="2"/>
      <c r="E735" s="8"/>
      <c r="F735" s="8"/>
      <c r="G735" s="8"/>
      <c r="H735" s="8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3"/>
      <c r="Z735" s="3"/>
      <c r="AA735" s="3"/>
      <c r="AB735" s="3"/>
    </row>
    <row r="736">
      <c r="A736" s="8"/>
      <c r="B736" s="8"/>
      <c r="C736" s="8"/>
      <c r="D736" s="2"/>
      <c r="E736" s="8"/>
      <c r="F736" s="8"/>
      <c r="G736" s="8"/>
      <c r="H736" s="8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3"/>
      <c r="Z736" s="3"/>
      <c r="AA736" s="3"/>
      <c r="AB736" s="3"/>
    </row>
    <row r="737">
      <c r="A737" s="8"/>
      <c r="B737" s="8"/>
      <c r="C737" s="8"/>
      <c r="D737" s="2"/>
      <c r="E737" s="8"/>
      <c r="F737" s="8"/>
      <c r="G737" s="8"/>
      <c r="H737" s="8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3"/>
      <c r="Z737" s="3"/>
      <c r="AA737" s="3"/>
      <c r="AB737" s="3"/>
    </row>
    <row r="738">
      <c r="A738" s="8"/>
      <c r="B738" s="8"/>
      <c r="C738" s="8"/>
      <c r="D738" s="2"/>
      <c r="E738" s="8"/>
      <c r="F738" s="8"/>
      <c r="G738" s="8"/>
      <c r="H738" s="8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3"/>
      <c r="Z738" s="3"/>
      <c r="AA738" s="3"/>
      <c r="AB738" s="3"/>
    </row>
    <row r="739">
      <c r="A739" s="8"/>
      <c r="B739" s="8"/>
      <c r="C739" s="8"/>
      <c r="D739" s="2"/>
      <c r="E739" s="8"/>
      <c r="F739" s="8"/>
      <c r="G739" s="8"/>
      <c r="H739" s="8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3"/>
      <c r="Z739" s="3"/>
      <c r="AA739" s="3"/>
      <c r="AB739" s="3"/>
    </row>
    <row r="740">
      <c r="A740" s="8"/>
      <c r="B740" s="8"/>
      <c r="C740" s="8"/>
      <c r="D740" s="2"/>
      <c r="E740" s="8"/>
      <c r="F740" s="8"/>
      <c r="G740" s="8"/>
      <c r="H740" s="8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3"/>
      <c r="Z740" s="3"/>
      <c r="AA740" s="3"/>
      <c r="AB740" s="3"/>
    </row>
    <row r="741">
      <c r="A741" s="8"/>
      <c r="B741" s="8"/>
      <c r="C741" s="8"/>
      <c r="D741" s="2"/>
      <c r="E741" s="8"/>
      <c r="F741" s="8"/>
      <c r="G741" s="8"/>
      <c r="H741" s="8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3"/>
      <c r="Z741" s="3"/>
      <c r="AA741" s="3"/>
      <c r="AB741" s="3"/>
    </row>
    <row r="742">
      <c r="A742" s="8"/>
      <c r="B742" s="8"/>
      <c r="C742" s="8"/>
      <c r="D742" s="2"/>
      <c r="E742" s="8"/>
      <c r="F742" s="8"/>
      <c r="G742" s="8"/>
      <c r="H742" s="8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3"/>
      <c r="Z742" s="3"/>
      <c r="AA742" s="3"/>
      <c r="AB742" s="3"/>
    </row>
    <row r="743">
      <c r="A743" s="8"/>
      <c r="B743" s="8"/>
      <c r="C743" s="8"/>
      <c r="D743" s="2"/>
      <c r="E743" s="8"/>
      <c r="F743" s="8"/>
      <c r="G743" s="8"/>
      <c r="H743" s="8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3"/>
      <c r="Z743" s="3"/>
      <c r="AA743" s="3"/>
      <c r="AB743" s="3"/>
    </row>
    <row r="744">
      <c r="A744" s="8"/>
      <c r="B744" s="8"/>
      <c r="C744" s="8"/>
      <c r="D744" s="2"/>
      <c r="E744" s="8"/>
      <c r="F744" s="8"/>
      <c r="G744" s="8"/>
      <c r="H744" s="8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3"/>
      <c r="Z744" s="3"/>
      <c r="AA744" s="3"/>
      <c r="AB744" s="3"/>
    </row>
    <row r="745">
      <c r="A745" s="8"/>
      <c r="B745" s="8"/>
      <c r="C745" s="8"/>
      <c r="D745" s="2"/>
      <c r="E745" s="8"/>
      <c r="F745" s="8"/>
      <c r="G745" s="8"/>
      <c r="H745" s="8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3"/>
      <c r="Z745" s="3"/>
      <c r="AA745" s="3"/>
      <c r="AB745" s="3"/>
    </row>
    <row r="746">
      <c r="A746" s="8"/>
      <c r="B746" s="8"/>
      <c r="C746" s="8"/>
      <c r="D746" s="2"/>
      <c r="E746" s="8"/>
      <c r="F746" s="8"/>
      <c r="G746" s="8"/>
      <c r="H746" s="8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3"/>
      <c r="Z746" s="3"/>
      <c r="AA746" s="3"/>
      <c r="AB746" s="3"/>
    </row>
    <row r="747">
      <c r="A747" s="8"/>
      <c r="B747" s="8"/>
      <c r="C747" s="8"/>
      <c r="D747" s="2"/>
      <c r="E747" s="8"/>
      <c r="F747" s="8"/>
      <c r="G747" s="8"/>
      <c r="H747" s="8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3"/>
      <c r="Z747" s="3"/>
      <c r="AA747" s="3"/>
      <c r="AB747" s="3"/>
    </row>
    <row r="748">
      <c r="A748" s="8"/>
      <c r="B748" s="8"/>
      <c r="C748" s="8"/>
      <c r="D748" s="2"/>
      <c r="E748" s="8"/>
      <c r="F748" s="8"/>
      <c r="G748" s="8"/>
      <c r="H748" s="8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3"/>
      <c r="Z748" s="3"/>
      <c r="AA748" s="3"/>
      <c r="AB748" s="3"/>
    </row>
    <row r="749">
      <c r="A749" s="8"/>
      <c r="B749" s="8"/>
      <c r="C749" s="8"/>
      <c r="D749" s="2"/>
      <c r="E749" s="8"/>
      <c r="F749" s="8"/>
      <c r="G749" s="8"/>
      <c r="H749" s="8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3"/>
      <c r="Z749" s="3"/>
      <c r="AA749" s="3"/>
      <c r="AB749" s="3"/>
    </row>
    <row r="750">
      <c r="A750" s="8"/>
      <c r="B750" s="8"/>
      <c r="C750" s="8"/>
      <c r="D750" s="2"/>
      <c r="E750" s="8"/>
      <c r="F750" s="8"/>
      <c r="G750" s="8"/>
      <c r="H750" s="8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3"/>
      <c r="Z750" s="3"/>
      <c r="AA750" s="3"/>
      <c r="AB750" s="3"/>
    </row>
    <row r="751">
      <c r="A751" s="8"/>
      <c r="B751" s="8"/>
      <c r="C751" s="8"/>
      <c r="D751" s="2"/>
      <c r="E751" s="8"/>
      <c r="F751" s="8"/>
      <c r="G751" s="8"/>
      <c r="H751" s="8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3"/>
      <c r="Z751" s="3"/>
      <c r="AA751" s="3"/>
      <c r="AB751" s="3"/>
    </row>
    <row r="752">
      <c r="A752" s="8"/>
      <c r="B752" s="8"/>
      <c r="C752" s="8"/>
      <c r="D752" s="2"/>
      <c r="E752" s="8"/>
      <c r="F752" s="8"/>
      <c r="G752" s="8"/>
      <c r="H752" s="8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3"/>
      <c r="Z752" s="3"/>
      <c r="AA752" s="3"/>
      <c r="AB752" s="3"/>
    </row>
    <row r="753">
      <c r="A753" s="8"/>
      <c r="B753" s="8"/>
      <c r="C753" s="8"/>
      <c r="D753" s="2"/>
      <c r="E753" s="8"/>
      <c r="F753" s="8"/>
      <c r="G753" s="8"/>
      <c r="H753" s="8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3"/>
      <c r="Z753" s="3"/>
      <c r="AA753" s="3"/>
      <c r="AB753" s="3"/>
    </row>
    <row r="754">
      <c r="A754" s="8"/>
      <c r="B754" s="8"/>
      <c r="C754" s="8"/>
      <c r="D754" s="2"/>
      <c r="E754" s="8"/>
      <c r="F754" s="8"/>
      <c r="G754" s="8"/>
      <c r="H754" s="8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3"/>
      <c r="Z754" s="3"/>
      <c r="AA754" s="3"/>
      <c r="AB754" s="3"/>
    </row>
    <row r="755">
      <c r="A755" s="8"/>
      <c r="B755" s="8"/>
      <c r="C755" s="8"/>
      <c r="D755" s="2"/>
      <c r="E755" s="8"/>
      <c r="F755" s="8"/>
      <c r="G755" s="8"/>
      <c r="H755" s="8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3"/>
      <c r="Z755" s="3"/>
      <c r="AA755" s="3"/>
      <c r="AB755" s="3"/>
    </row>
    <row r="756">
      <c r="A756" s="8"/>
      <c r="B756" s="8"/>
      <c r="C756" s="8"/>
      <c r="D756" s="2"/>
      <c r="E756" s="8"/>
      <c r="F756" s="8"/>
      <c r="G756" s="8"/>
      <c r="H756" s="8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3"/>
      <c r="Z756" s="3"/>
      <c r="AA756" s="3"/>
      <c r="AB756" s="3"/>
    </row>
    <row r="757">
      <c r="A757" s="8"/>
      <c r="B757" s="8"/>
      <c r="C757" s="8"/>
      <c r="D757" s="2"/>
      <c r="E757" s="8"/>
      <c r="F757" s="8"/>
      <c r="G757" s="8"/>
      <c r="H757" s="8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3"/>
      <c r="Z757" s="3"/>
      <c r="AA757" s="3"/>
      <c r="AB757" s="3"/>
    </row>
    <row r="758">
      <c r="A758" s="8"/>
      <c r="B758" s="8"/>
      <c r="C758" s="8"/>
      <c r="D758" s="2"/>
      <c r="E758" s="8"/>
      <c r="F758" s="8"/>
      <c r="G758" s="8"/>
      <c r="H758" s="8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3"/>
      <c r="Z758" s="3"/>
      <c r="AA758" s="3"/>
      <c r="AB758" s="3"/>
    </row>
    <row r="759">
      <c r="A759" s="8"/>
      <c r="B759" s="8"/>
      <c r="C759" s="8"/>
      <c r="D759" s="2"/>
      <c r="E759" s="8"/>
      <c r="F759" s="8"/>
      <c r="G759" s="8"/>
      <c r="H759" s="8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3"/>
      <c r="Z759" s="3"/>
      <c r="AA759" s="3"/>
      <c r="AB759" s="3"/>
    </row>
    <row r="760">
      <c r="A760" s="8"/>
      <c r="B760" s="8"/>
      <c r="C760" s="8"/>
      <c r="D760" s="2"/>
      <c r="E760" s="8"/>
      <c r="F760" s="8"/>
      <c r="G760" s="8"/>
      <c r="H760" s="8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3"/>
      <c r="Z760" s="3"/>
      <c r="AA760" s="3"/>
      <c r="AB760" s="3"/>
    </row>
    <row r="761">
      <c r="A761" s="8"/>
      <c r="B761" s="8"/>
      <c r="C761" s="8"/>
      <c r="D761" s="2"/>
      <c r="E761" s="8"/>
      <c r="F761" s="8"/>
      <c r="G761" s="8"/>
      <c r="H761" s="8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3"/>
      <c r="Z761" s="3"/>
      <c r="AA761" s="3"/>
      <c r="AB761" s="3"/>
    </row>
    <row r="762">
      <c r="A762" s="8"/>
      <c r="B762" s="8"/>
      <c r="C762" s="8"/>
      <c r="D762" s="2"/>
      <c r="E762" s="8"/>
      <c r="F762" s="8"/>
      <c r="G762" s="8"/>
      <c r="H762" s="8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3"/>
      <c r="Z762" s="3"/>
      <c r="AA762" s="3"/>
      <c r="AB762" s="3"/>
    </row>
    <row r="763">
      <c r="A763" s="8"/>
      <c r="B763" s="8"/>
      <c r="C763" s="8"/>
      <c r="D763" s="2"/>
      <c r="E763" s="8"/>
      <c r="F763" s="8"/>
      <c r="G763" s="8"/>
      <c r="H763" s="8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3"/>
      <c r="Z763" s="3"/>
      <c r="AA763" s="3"/>
      <c r="AB763" s="3"/>
    </row>
    <row r="764">
      <c r="A764" s="8"/>
      <c r="B764" s="8"/>
      <c r="C764" s="8"/>
      <c r="D764" s="2"/>
      <c r="E764" s="8"/>
      <c r="F764" s="8"/>
      <c r="G764" s="8"/>
      <c r="H764" s="8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3"/>
      <c r="Z764" s="3"/>
      <c r="AA764" s="3"/>
      <c r="AB764" s="3"/>
    </row>
    <row r="765">
      <c r="A765" s="8"/>
      <c r="B765" s="8"/>
      <c r="C765" s="8"/>
      <c r="D765" s="2"/>
      <c r="E765" s="8"/>
      <c r="F765" s="8"/>
      <c r="G765" s="8"/>
      <c r="H765" s="8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3"/>
      <c r="Z765" s="3"/>
      <c r="AA765" s="3"/>
      <c r="AB765" s="3"/>
    </row>
    <row r="766">
      <c r="A766" s="8"/>
      <c r="B766" s="8"/>
      <c r="C766" s="8"/>
      <c r="D766" s="2"/>
      <c r="E766" s="8"/>
      <c r="F766" s="8"/>
      <c r="G766" s="8"/>
      <c r="H766" s="8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3"/>
      <c r="Z766" s="3"/>
      <c r="AA766" s="3"/>
      <c r="AB766" s="3"/>
    </row>
    <row r="767">
      <c r="A767" s="8"/>
      <c r="B767" s="8"/>
      <c r="C767" s="8"/>
      <c r="D767" s="2"/>
      <c r="E767" s="8"/>
      <c r="F767" s="8"/>
      <c r="G767" s="8"/>
      <c r="H767" s="8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3"/>
      <c r="Z767" s="3"/>
      <c r="AA767" s="3"/>
      <c r="AB767" s="3"/>
    </row>
    <row r="768">
      <c r="A768" s="8"/>
      <c r="B768" s="8"/>
      <c r="C768" s="8"/>
      <c r="D768" s="2"/>
      <c r="E768" s="8"/>
      <c r="F768" s="8"/>
      <c r="G768" s="8"/>
      <c r="H768" s="8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3"/>
      <c r="Z768" s="3"/>
      <c r="AA768" s="3"/>
      <c r="AB768" s="3"/>
    </row>
    <row r="769">
      <c r="A769" s="8"/>
      <c r="B769" s="8"/>
      <c r="C769" s="8"/>
      <c r="D769" s="2"/>
      <c r="E769" s="8"/>
      <c r="F769" s="8"/>
      <c r="G769" s="8"/>
      <c r="H769" s="8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3"/>
      <c r="Z769" s="3"/>
      <c r="AA769" s="3"/>
      <c r="AB769" s="3"/>
    </row>
    <row r="770">
      <c r="A770" s="8"/>
      <c r="B770" s="8"/>
      <c r="C770" s="8"/>
      <c r="D770" s="2"/>
      <c r="E770" s="8"/>
      <c r="F770" s="8"/>
      <c r="G770" s="8"/>
      <c r="H770" s="8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3"/>
      <c r="Z770" s="3"/>
      <c r="AA770" s="3"/>
      <c r="AB770" s="3"/>
    </row>
    <row r="771">
      <c r="A771" s="8"/>
      <c r="B771" s="8"/>
      <c r="C771" s="8"/>
      <c r="D771" s="2"/>
      <c r="E771" s="8"/>
      <c r="F771" s="8"/>
      <c r="G771" s="8"/>
      <c r="H771" s="8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3"/>
      <c r="Z771" s="3"/>
      <c r="AA771" s="3"/>
      <c r="AB771" s="3"/>
    </row>
    <row r="772">
      <c r="A772" s="8"/>
      <c r="B772" s="8"/>
      <c r="C772" s="8"/>
      <c r="D772" s="2"/>
      <c r="E772" s="8"/>
      <c r="F772" s="8"/>
      <c r="G772" s="8"/>
      <c r="H772" s="8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3"/>
      <c r="Z772" s="3"/>
      <c r="AA772" s="3"/>
      <c r="AB772" s="3"/>
    </row>
    <row r="773">
      <c r="A773" s="8"/>
      <c r="B773" s="8"/>
      <c r="C773" s="8"/>
      <c r="D773" s="2"/>
      <c r="E773" s="8"/>
      <c r="F773" s="8"/>
      <c r="G773" s="8"/>
      <c r="H773" s="8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3"/>
      <c r="Z773" s="3"/>
      <c r="AA773" s="3"/>
      <c r="AB773" s="3"/>
    </row>
    <row r="774">
      <c r="A774" s="8"/>
      <c r="B774" s="8"/>
      <c r="C774" s="8"/>
      <c r="D774" s="2"/>
      <c r="E774" s="8"/>
      <c r="F774" s="8"/>
      <c r="G774" s="8"/>
      <c r="H774" s="8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3"/>
      <c r="Z774" s="3"/>
      <c r="AA774" s="3"/>
      <c r="AB774" s="3"/>
    </row>
    <row r="775">
      <c r="A775" s="8"/>
      <c r="B775" s="8"/>
      <c r="C775" s="8"/>
      <c r="D775" s="2"/>
      <c r="E775" s="8"/>
      <c r="F775" s="8"/>
      <c r="G775" s="8"/>
      <c r="H775" s="8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3"/>
      <c r="Z775" s="3"/>
      <c r="AA775" s="3"/>
      <c r="AB775" s="3"/>
    </row>
    <row r="776">
      <c r="A776" s="8"/>
      <c r="B776" s="8"/>
      <c r="C776" s="8"/>
      <c r="D776" s="2"/>
      <c r="E776" s="8"/>
      <c r="F776" s="8"/>
      <c r="G776" s="8"/>
      <c r="H776" s="8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3"/>
      <c r="Z776" s="3"/>
      <c r="AA776" s="3"/>
      <c r="AB776" s="3"/>
    </row>
    <row r="777">
      <c r="A777" s="8"/>
      <c r="B777" s="8"/>
      <c r="C777" s="8"/>
      <c r="D777" s="2"/>
      <c r="E777" s="8"/>
      <c r="F777" s="8"/>
      <c r="G777" s="8"/>
      <c r="H777" s="8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3"/>
      <c r="Z777" s="3"/>
      <c r="AA777" s="3"/>
      <c r="AB777" s="3"/>
    </row>
    <row r="778">
      <c r="A778" s="8"/>
      <c r="B778" s="8"/>
      <c r="C778" s="8"/>
      <c r="D778" s="2"/>
      <c r="E778" s="8"/>
      <c r="F778" s="8"/>
      <c r="G778" s="8"/>
      <c r="H778" s="8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3"/>
      <c r="Z778" s="3"/>
      <c r="AA778" s="3"/>
      <c r="AB778" s="3"/>
    </row>
    <row r="779">
      <c r="A779" s="8"/>
      <c r="B779" s="8"/>
      <c r="C779" s="8"/>
      <c r="D779" s="2"/>
      <c r="E779" s="8"/>
      <c r="F779" s="8"/>
      <c r="G779" s="8"/>
      <c r="H779" s="8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3"/>
      <c r="Z779" s="3"/>
      <c r="AA779" s="3"/>
      <c r="AB779" s="3"/>
    </row>
    <row r="780">
      <c r="A780" s="8"/>
      <c r="B780" s="8"/>
      <c r="C780" s="8"/>
      <c r="D780" s="2"/>
      <c r="E780" s="8"/>
      <c r="F780" s="8"/>
      <c r="G780" s="8"/>
      <c r="H780" s="8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3"/>
      <c r="Z780" s="3"/>
      <c r="AA780" s="3"/>
      <c r="AB780" s="3"/>
    </row>
    <row r="781">
      <c r="A781" s="8"/>
      <c r="B781" s="8"/>
      <c r="C781" s="8"/>
      <c r="D781" s="2"/>
      <c r="E781" s="8"/>
      <c r="F781" s="8"/>
      <c r="G781" s="8"/>
      <c r="H781" s="8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3"/>
      <c r="Z781" s="3"/>
      <c r="AA781" s="3"/>
      <c r="AB781" s="3"/>
    </row>
    <row r="782">
      <c r="A782" s="8"/>
      <c r="B782" s="8"/>
      <c r="C782" s="8"/>
      <c r="D782" s="2"/>
      <c r="E782" s="8"/>
      <c r="F782" s="8"/>
      <c r="G782" s="8"/>
      <c r="H782" s="8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3"/>
      <c r="Z782" s="3"/>
      <c r="AA782" s="3"/>
      <c r="AB782" s="3"/>
    </row>
    <row r="783">
      <c r="A783" s="8"/>
      <c r="B783" s="8"/>
      <c r="C783" s="8"/>
      <c r="D783" s="2"/>
      <c r="E783" s="8"/>
      <c r="F783" s="8"/>
      <c r="G783" s="8"/>
      <c r="H783" s="8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3"/>
      <c r="Z783" s="3"/>
      <c r="AA783" s="3"/>
      <c r="AB783" s="3"/>
    </row>
    <row r="784">
      <c r="A784" s="8"/>
      <c r="B784" s="8"/>
      <c r="C784" s="8"/>
      <c r="D784" s="2"/>
      <c r="E784" s="8"/>
      <c r="F784" s="8"/>
      <c r="G784" s="8"/>
      <c r="H784" s="8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3"/>
      <c r="Z784" s="3"/>
      <c r="AA784" s="3"/>
      <c r="AB784" s="3"/>
    </row>
    <row r="785">
      <c r="A785" s="8"/>
      <c r="B785" s="8"/>
      <c r="C785" s="8"/>
      <c r="D785" s="2"/>
      <c r="E785" s="8"/>
      <c r="F785" s="8"/>
      <c r="G785" s="8"/>
      <c r="H785" s="8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3"/>
      <c r="Z785" s="3"/>
      <c r="AA785" s="3"/>
      <c r="AB785" s="3"/>
    </row>
    <row r="786">
      <c r="A786" s="8"/>
      <c r="B786" s="8"/>
      <c r="C786" s="8"/>
      <c r="D786" s="2"/>
      <c r="E786" s="8"/>
      <c r="F786" s="8"/>
      <c r="G786" s="8"/>
      <c r="H786" s="8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3"/>
      <c r="Z786" s="3"/>
      <c r="AA786" s="3"/>
      <c r="AB786" s="3"/>
    </row>
    <row r="787">
      <c r="A787" s="8"/>
      <c r="B787" s="8"/>
      <c r="C787" s="8"/>
      <c r="D787" s="2"/>
      <c r="E787" s="8"/>
      <c r="F787" s="8"/>
      <c r="G787" s="8"/>
      <c r="H787" s="8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3"/>
      <c r="Z787" s="3"/>
      <c r="AA787" s="3"/>
      <c r="AB787" s="3"/>
    </row>
    <row r="788">
      <c r="A788" s="8"/>
      <c r="B788" s="8"/>
      <c r="C788" s="8"/>
      <c r="D788" s="2"/>
      <c r="E788" s="8"/>
      <c r="F788" s="8"/>
      <c r="G788" s="8"/>
      <c r="H788" s="8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3"/>
      <c r="Z788" s="3"/>
      <c r="AA788" s="3"/>
      <c r="AB788" s="3"/>
    </row>
    <row r="789">
      <c r="A789" s="8"/>
      <c r="B789" s="8"/>
      <c r="C789" s="8"/>
      <c r="D789" s="2"/>
      <c r="E789" s="8"/>
      <c r="F789" s="8"/>
      <c r="G789" s="8"/>
      <c r="H789" s="8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3"/>
      <c r="Z789" s="3"/>
      <c r="AA789" s="3"/>
      <c r="AB789" s="3"/>
    </row>
    <row r="790">
      <c r="A790" s="8"/>
      <c r="B790" s="8"/>
      <c r="C790" s="8"/>
      <c r="D790" s="2"/>
      <c r="E790" s="8"/>
      <c r="F790" s="8"/>
      <c r="G790" s="8"/>
      <c r="H790" s="8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3"/>
      <c r="Z790" s="3"/>
      <c r="AA790" s="3"/>
      <c r="AB790" s="3"/>
    </row>
    <row r="791">
      <c r="A791" s="8"/>
      <c r="B791" s="8"/>
      <c r="C791" s="8"/>
      <c r="D791" s="2"/>
      <c r="E791" s="8"/>
      <c r="F791" s="8"/>
      <c r="G791" s="8"/>
      <c r="H791" s="8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3"/>
      <c r="Z791" s="3"/>
      <c r="AA791" s="3"/>
      <c r="AB791" s="3"/>
    </row>
    <row r="792">
      <c r="A792" s="8"/>
      <c r="B792" s="8"/>
      <c r="C792" s="8"/>
      <c r="D792" s="2"/>
      <c r="E792" s="8"/>
      <c r="F792" s="8"/>
      <c r="G792" s="8"/>
      <c r="H792" s="8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3"/>
      <c r="Z792" s="3"/>
      <c r="AA792" s="3"/>
      <c r="AB792" s="3"/>
    </row>
    <row r="793">
      <c r="A793" s="8"/>
      <c r="B793" s="8"/>
      <c r="C793" s="8"/>
      <c r="D793" s="2"/>
      <c r="E793" s="8"/>
      <c r="F793" s="8"/>
      <c r="G793" s="8"/>
      <c r="H793" s="8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3"/>
      <c r="Z793" s="3"/>
      <c r="AA793" s="3"/>
      <c r="AB793" s="3"/>
    </row>
    <row r="794">
      <c r="A794" s="8"/>
      <c r="B794" s="8"/>
      <c r="C794" s="8"/>
      <c r="D794" s="2"/>
      <c r="E794" s="8"/>
      <c r="F794" s="8"/>
      <c r="G794" s="8"/>
      <c r="H794" s="8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3"/>
      <c r="Z794" s="3"/>
      <c r="AA794" s="3"/>
      <c r="AB794" s="3"/>
    </row>
    <row r="795">
      <c r="A795" s="8"/>
      <c r="B795" s="8"/>
      <c r="C795" s="8"/>
      <c r="D795" s="2"/>
      <c r="E795" s="8"/>
      <c r="F795" s="8"/>
      <c r="G795" s="8"/>
      <c r="H795" s="8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3"/>
      <c r="Z795" s="3"/>
      <c r="AA795" s="3"/>
      <c r="AB795" s="3"/>
    </row>
    <row r="796">
      <c r="A796" s="8"/>
      <c r="B796" s="8"/>
      <c r="C796" s="8"/>
      <c r="D796" s="2"/>
      <c r="E796" s="8"/>
      <c r="F796" s="8"/>
      <c r="G796" s="8"/>
      <c r="H796" s="8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3"/>
      <c r="Z796" s="3"/>
      <c r="AA796" s="3"/>
      <c r="AB796" s="3"/>
    </row>
    <row r="797">
      <c r="A797" s="8"/>
      <c r="B797" s="8"/>
      <c r="C797" s="8"/>
      <c r="D797" s="2"/>
      <c r="E797" s="8"/>
      <c r="F797" s="8"/>
      <c r="G797" s="8"/>
      <c r="H797" s="8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3"/>
      <c r="Z797" s="3"/>
      <c r="AA797" s="3"/>
      <c r="AB797" s="3"/>
    </row>
    <row r="798">
      <c r="A798" s="8"/>
      <c r="B798" s="8"/>
      <c r="C798" s="8"/>
      <c r="D798" s="2"/>
      <c r="E798" s="8"/>
      <c r="F798" s="8"/>
      <c r="G798" s="8"/>
      <c r="H798" s="8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3"/>
      <c r="Z798" s="3"/>
      <c r="AA798" s="3"/>
      <c r="AB798" s="3"/>
    </row>
    <row r="799">
      <c r="A799" s="8"/>
      <c r="B799" s="8"/>
      <c r="C799" s="8"/>
      <c r="D799" s="2"/>
      <c r="E799" s="8"/>
      <c r="F799" s="8"/>
      <c r="G799" s="8"/>
      <c r="H799" s="8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3"/>
      <c r="Z799" s="3"/>
      <c r="AA799" s="3"/>
      <c r="AB799" s="3"/>
    </row>
    <row r="800">
      <c r="A800" s="8"/>
      <c r="B800" s="8"/>
      <c r="C800" s="8"/>
      <c r="D800" s="2"/>
      <c r="E800" s="8"/>
      <c r="F800" s="8"/>
      <c r="G800" s="8"/>
      <c r="H800" s="8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3"/>
      <c r="Z800" s="3"/>
      <c r="AA800" s="3"/>
      <c r="AB800" s="3"/>
    </row>
    <row r="801">
      <c r="A801" s="8"/>
      <c r="B801" s="8"/>
      <c r="C801" s="8"/>
      <c r="D801" s="2"/>
      <c r="E801" s="8"/>
      <c r="F801" s="8"/>
      <c r="G801" s="8"/>
      <c r="H801" s="8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3"/>
      <c r="Z801" s="3"/>
      <c r="AA801" s="3"/>
      <c r="AB801" s="3"/>
    </row>
    <row r="802">
      <c r="A802" s="8"/>
      <c r="B802" s="8"/>
      <c r="C802" s="8"/>
      <c r="D802" s="2"/>
      <c r="E802" s="8"/>
      <c r="F802" s="8"/>
      <c r="G802" s="8"/>
      <c r="H802" s="8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3"/>
      <c r="Z802" s="3"/>
      <c r="AA802" s="3"/>
      <c r="AB802" s="3"/>
    </row>
    <row r="803">
      <c r="A803" s="8"/>
      <c r="B803" s="8"/>
      <c r="C803" s="8"/>
      <c r="D803" s="2"/>
      <c r="E803" s="8"/>
      <c r="F803" s="8"/>
      <c r="G803" s="8"/>
      <c r="H803" s="8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3"/>
      <c r="Z803" s="3"/>
      <c r="AA803" s="3"/>
      <c r="AB803" s="3"/>
    </row>
    <row r="804">
      <c r="A804" s="8"/>
      <c r="B804" s="8"/>
      <c r="C804" s="8"/>
      <c r="D804" s="2"/>
      <c r="E804" s="8"/>
      <c r="F804" s="8"/>
      <c r="G804" s="8"/>
      <c r="H804" s="8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3"/>
      <c r="Z804" s="3"/>
      <c r="AA804" s="3"/>
      <c r="AB804" s="3"/>
    </row>
    <row r="805">
      <c r="A805" s="8"/>
      <c r="B805" s="8"/>
      <c r="C805" s="8"/>
      <c r="D805" s="2"/>
      <c r="E805" s="8"/>
      <c r="F805" s="8"/>
      <c r="G805" s="8"/>
      <c r="H805" s="8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3"/>
      <c r="Z805" s="3"/>
      <c r="AA805" s="3"/>
      <c r="AB805" s="3"/>
    </row>
    <row r="806">
      <c r="A806" s="8"/>
      <c r="B806" s="8"/>
      <c r="C806" s="8"/>
      <c r="D806" s="2"/>
      <c r="E806" s="8"/>
      <c r="F806" s="8"/>
      <c r="G806" s="8"/>
      <c r="H806" s="8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3"/>
      <c r="Z806" s="3"/>
      <c r="AA806" s="3"/>
      <c r="AB806" s="3"/>
    </row>
    <row r="807">
      <c r="A807" s="8"/>
      <c r="B807" s="8"/>
      <c r="C807" s="8"/>
      <c r="D807" s="2"/>
      <c r="E807" s="8"/>
      <c r="F807" s="8"/>
      <c r="G807" s="8"/>
      <c r="H807" s="8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3"/>
      <c r="Z807" s="3"/>
      <c r="AA807" s="3"/>
      <c r="AB807" s="3"/>
    </row>
    <row r="808">
      <c r="A808" s="8"/>
      <c r="B808" s="8"/>
      <c r="C808" s="8"/>
      <c r="D808" s="2"/>
      <c r="E808" s="8"/>
      <c r="F808" s="8"/>
      <c r="G808" s="8"/>
      <c r="H808" s="8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3"/>
      <c r="Z808" s="3"/>
      <c r="AA808" s="3"/>
      <c r="AB808" s="3"/>
    </row>
    <row r="809">
      <c r="A809" s="8"/>
      <c r="B809" s="8"/>
      <c r="C809" s="8"/>
      <c r="D809" s="2"/>
      <c r="E809" s="8"/>
      <c r="F809" s="8"/>
      <c r="G809" s="8"/>
      <c r="H809" s="8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3"/>
      <c r="Z809" s="3"/>
      <c r="AA809" s="3"/>
      <c r="AB809" s="3"/>
    </row>
    <row r="810">
      <c r="A810" s="8"/>
      <c r="B810" s="8"/>
      <c r="C810" s="8"/>
      <c r="D810" s="2"/>
      <c r="E810" s="8"/>
      <c r="F810" s="8"/>
      <c r="G810" s="8"/>
      <c r="H810" s="8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3"/>
      <c r="Z810" s="3"/>
      <c r="AA810" s="3"/>
      <c r="AB810" s="3"/>
    </row>
    <row r="811">
      <c r="A811" s="8"/>
      <c r="B811" s="8"/>
      <c r="C811" s="8"/>
      <c r="D811" s="2"/>
      <c r="E811" s="8"/>
      <c r="F811" s="8"/>
      <c r="G811" s="8"/>
      <c r="H811" s="8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3"/>
      <c r="Z811" s="3"/>
      <c r="AA811" s="3"/>
      <c r="AB811" s="3"/>
    </row>
    <row r="812">
      <c r="A812" s="8"/>
      <c r="B812" s="8"/>
      <c r="C812" s="8"/>
      <c r="D812" s="2"/>
      <c r="E812" s="8"/>
      <c r="F812" s="8"/>
      <c r="G812" s="8"/>
      <c r="H812" s="8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3"/>
      <c r="Z812" s="3"/>
      <c r="AA812" s="3"/>
      <c r="AB812" s="3"/>
    </row>
    <row r="813">
      <c r="A813" s="8"/>
      <c r="B813" s="8"/>
      <c r="C813" s="8"/>
      <c r="D813" s="2"/>
      <c r="E813" s="8"/>
      <c r="F813" s="8"/>
      <c r="G813" s="8"/>
      <c r="H813" s="8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3"/>
      <c r="Z813" s="3"/>
      <c r="AA813" s="3"/>
      <c r="AB813" s="3"/>
    </row>
    <row r="814">
      <c r="A814" s="8"/>
      <c r="B814" s="8"/>
      <c r="C814" s="8"/>
      <c r="D814" s="2"/>
      <c r="E814" s="8"/>
      <c r="F814" s="8"/>
      <c r="G814" s="8"/>
      <c r="H814" s="8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3"/>
      <c r="Z814" s="3"/>
      <c r="AA814" s="3"/>
      <c r="AB814" s="3"/>
    </row>
    <row r="815">
      <c r="A815" s="8"/>
      <c r="B815" s="8"/>
      <c r="C815" s="8"/>
      <c r="D815" s="2"/>
      <c r="E815" s="8"/>
      <c r="F815" s="8"/>
      <c r="G815" s="8"/>
      <c r="H815" s="8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3"/>
      <c r="Z815" s="3"/>
      <c r="AA815" s="3"/>
      <c r="AB815" s="3"/>
    </row>
    <row r="816">
      <c r="A816" s="8"/>
      <c r="B816" s="8"/>
      <c r="C816" s="8"/>
      <c r="D816" s="2"/>
      <c r="E816" s="8"/>
      <c r="F816" s="8"/>
      <c r="G816" s="8"/>
      <c r="H816" s="8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3"/>
      <c r="Z816" s="3"/>
      <c r="AA816" s="3"/>
      <c r="AB816" s="3"/>
    </row>
    <row r="817">
      <c r="A817" s="8"/>
      <c r="B817" s="8"/>
      <c r="C817" s="8"/>
      <c r="D817" s="2"/>
      <c r="E817" s="8"/>
      <c r="F817" s="8"/>
      <c r="G817" s="8"/>
      <c r="H817" s="8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3"/>
      <c r="Z817" s="3"/>
      <c r="AA817" s="3"/>
      <c r="AB817" s="3"/>
    </row>
    <row r="818">
      <c r="A818" s="8"/>
      <c r="B818" s="8"/>
      <c r="C818" s="8"/>
      <c r="D818" s="2"/>
      <c r="E818" s="8"/>
      <c r="F818" s="8"/>
      <c r="G818" s="8"/>
      <c r="H818" s="8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3"/>
      <c r="Z818" s="3"/>
      <c r="AA818" s="3"/>
      <c r="AB818" s="3"/>
    </row>
    <row r="819">
      <c r="A819" s="8"/>
      <c r="B819" s="8"/>
      <c r="C819" s="8"/>
      <c r="D819" s="2"/>
      <c r="E819" s="8"/>
      <c r="F819" s="8"/>
      <c r="G819" s="8"/>
      <c r="H819" s="8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3"/>
      <c r="Z819" s="3"/>
      <c r="AA819" s="3"/>
      <c r="AB819" s="3"/>
    </row>
    <row r="820">
      <c r="A820" s="8"/>
      <c r="B820" s="8"/>
      <c r="C820" s="8"/>
      <c r="D820" s="2"/>
      <c r="E820" s="8"/>
      <c r="F820" s="8"/>
      <c r="G820" s="8"/>
      <c r="H820" s="8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3"/>
      <c r="Z820" s="3"/>
      <c r="AA820" s="3"/>
      <c r="AB820" s="3"/>
    </row>
    <row r="821">
      <c r="A821" s="8"/>
      <c r="B821" s="8"/>
      <c r="C821" s="8"/>
      <c r="D821" s="2"/>
      <c r="E821" s="8"/>
      <c r="F821" s="8"/>
      <c r="G821" s="8"/>
      <c r="H821" s="8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3"/>
      <c r="Z821" s="3"/>
      <c r="AA821" s="3"/>
      <c r="AB821" s="3"/>
    </row>
    <row r="822">
      <c r="A822" s="8"/>
      <c r="B822" s="8"/>
      <c r="C822" s="8"/>
      <c r="D822" s="2"/>
      <c r="E822" s="8"/>
      <c r="F822" s="8"/>
      <c r="G822" s="8"/>
      <c r="H822" s="8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3"/>
      <c r="Z822" s="3"/>
      <c r="AA822" s="3"/>
      <c r="AB822" s="3"/>
    </row>
    <row r="823">
      <c r="A823" s="8"/>
      <c r="B823" s="8"/>
      <c r="C823" s="8"/>
      <c r="D823" s="2"/>
      <c r="E823" s="8"/>
      <c r="F823" s="8"/>
      <c r="G823" s="8"/>
      <c r="H823" s="8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3"/>
      <c r="Z823" s="3"/>
      <c r="AA823" s="3"/>
      <c r="AB823" s="3"/>
    </row>
    <row r="824">
      <c r="A824" s="8"/>
      <c r="B824" s="8"/>
      <c r="C824" s="8"/>
      <c r="D824" s="2"/>
      <c r="E824" s="8"/>
      <c r="F824" s="8"/>
      <c r="G824" s="8"/>
      <c r="H824" s="8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3"/>
      <c r="Z824" s="3"/>
      <c r="AA824" s="3"/>
      <c r="AB824" s="3"/>
    </row>
    <row r="825">
      <c r="A825" s="8"/>
      <c r="B825" s="8"/>
      <c r="C825" s="8"/>
      <c r="D825" s="2"/>
      <c r="E825" s="8"/>
      <c r="F825" s="8"/>
      <c r="G825" s="8"/>
      <c r="H825" s="8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3"/>
      <c r="Z825" s="3"/>
      <c r="AA825" s="3"/>
      <c r="AB825" s="3"/>
    </row>
    <row r="826">
      <c r="A826" s="8"/>
      <c r="B826" s="8"/>
      <c r="C826" s="8"/>
      <c r="D826" s="2"/>
      <c r="E826" s="8"/>
      <c r="F826" s="8"/>
      <c r="G826" s="8"/>
      <c r="H826" s="8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3"/>
      <c r="Z826" s="3"/>
      <c r="AA826" s="3"/>
      <c r="AB826" s="3"/>
    </row>
    <row r="827">
      <c r="A827" s="8"/>
      <c r="B827" s="8"/>
      <c r="C827" s="8"/>
      <c r="D827" s="2"/>
      <c r="E827" s="8"/>
      <c r="F827" s="8"/>
      <c r="G827" s="8"/>
      <c r="H827" s="8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3"/>
      <c r="Z827" s="3"/>
      <c r="AA827" s="3"/>
      <c r="AB827" s="3"/>
    </row>
    <row r="828">
      <c r="A828" s="8"/>
      <c r="B828" s="8"/>
      <c r="C828" s="8"/>
      <c r="D828" s="2"/>
      <c r="E828" s="8"/>
      <c r="F828" s="8"/>
      <c r="G828" s="8"/>
      <c r="H828" s="8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3"/>
      <c r="Z828" s="3"/>
      <c r="AA828" s="3"/>
      <c r="AB828" s="3"/>
    </row>
    <row r="829">
      <c r="A829" s="8"/>
      <c r="B829" s="8"/>
      <c r="C829" s="8"/>
      <c r="D829" s="2"/>
      <c r="E829" s="8"/>
      <c r="F829" s="8"/>
      <c r="G829" s="8"/>
      <c r="H829" s="8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3"/>
      <c r="Z829" s="3"/>
      <c r="AA829" s="3"/>
      <c r="AB829" s="3"/>
    </row>
    <row r="830">
      <c r="A830" s="8"/>
      <c r="B830" s="8"/>
      <c r="C830" s="8"/>
      <c r="D830" s="2"/>
      <c r="E830" s="8"/>
      <c r="F830" s="8"/>
      <c r="G830" s="8"/>
      <c r="H830" s="8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3"/>
      <c r="Z830" s="3"/>
      <c r="AA830" s="3"/>
      <c r="AB830" s="3"/>
    </row>
    <row r="831">
      <c r="A831" s="8"/>
      <c r="B831" s="8"/>
      <c r="C831" s="8"/>
      <c r="D831" s="2"/>
      <c r="E831" s="8"/>
      <c r="F831" s="8"/>
      <c r="G831" s="8"/>
      <c r="H831" s="8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3"/>
      <c r="Z831" s="3"/>
      <c r="AA831" s="3"/>
      <c r="AB831" s="3"/>
    </row>
    <row r="832">
      <c r="A832" s="8"/>
      <c r="B832" s="8"/>
      <c r="C832" s="8"/>
      <c r="D832" s="2"/>
      <c r="E832" s="8"/>
      <c r="F832" s="8"/>
      <c r="G832" s="8"/>
      <c r="H832" s="8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3"/>
      <c r="Z832" s="3"/>
      <c r="AA832" s="3"/>
      <c r="AB832" s="3"/>
    </row>
    <row r="833">
      <c r="A833" s="8"/>
      <c r="B833" s="8"/>
      <c r="C833" s="8"/>
      <c r="D833" s="2"/>
      <c r="E833" s="8"/>
      <c r="F833" s="8"/>
      <c r="G833" s="8"/>
      <c r="H833" s="8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3"/>
      <c r="Z833" s="3"/>
      <c r="AA833" s="3"/>
      <c r="AB833" s="3"/>
    </row>
    <row r="834">
      <c r="A834" s="8"/>
      <c r="B834" s="8"/>
      <c r="C834" s="8"/>
      <c r="D834" s="2"/>
      <c r="E834" s="8"/>
      <c r="F834" s="8"/>
      <c r="G834" s="8"/>
      <c r="H834" s="8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3"/>
      <c r="Z834" s="3"/>
      <c r="AA834" s="3"/>
      <c r="AB834" s="3"/>
    </row>
    <row r="835">
      <c r="A835" s="8"/>
      <c r="B835" s="8"/>
      <c r="C835" s="8"/>
      <c r="D835" s="2"/>
      <c r="E835" s="8"/>
      <c r="F835" s="8"/>
      <c r="G835" s="8"/>
      <c r="H835" s="8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3"/>
      <c r="Z835" s="3"/>
      <c r="AA835" s="3"/>
      <c r="AB835" s="3"/>
    </row>
    <row r="836">
      <c r="A836" s="8"/>
      <c r="B836" s="8"/>
      <c r="C836" s="8"/>
      <c r="D836" s="2"/>
      <c r="E836" s="8"/>
      <c r="F836" s="8"/>
      <c r="G836" s="8"/>
      <c r="H836" s="8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3"/>
      <c r="Z836" s="3"/>
      <c r="AA836" s="3"/>
      <c r="AB836" s="3"/>
    </row>
    <row r="837">
      <c r="A837" s="8"/>
      <c r="B837" s="8"/>
      <c r="C837" s="8"/>
      <c r="D837" s="2"/>
      <c r="E837" s="8"/>
      <c r="F837" s="8"/>
      <c r="G837" s="8"/>
      <c r="H837" s="8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3"/>
      <c r="Z837" s="3"/>
      <c r="AA837" s="3"/>
      <c r="AB837" s="3"/>
    </row>
    <row r="838">
      <c r="A838" s="8"/>
      <c r="B838" s="8"/>
      <c r="C838" s="8"/>
      <c r="D838" s="2"/>
      <c r="E838" s="8"/>
      <c r="F838" s="8"/>
      <c r="G838" s="8"/>
      <c r="H838" s="8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3"/>
      <c r="Z838" s="3"/>
      <c r="AA838" s="3"/>
      <c r="AB838" s="3"/>
    </row>
    <row r="839">
      <c r="A839" s="8"/>
      <c r="B839" s="8"/>
      <c r="C839" s="8"/>
      <c r="D839" s="2"/>
      <c r="E839" s="8"/>
      <c r="F839" s="8"/>
      <c r="G839" s="8"/>
      <c r="H839" s="8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3"/>
      <c r="Z839" s="3"/>
      <c r="AA839" s="3"/>
      <c r="AB839" s="3"/>
    </row>
    <row r="840">
      <c r="A840" s="8"/>
      <c r="B840" s="8"/>
      <c r="C840" s="8"/>
      <c r="D840" s="2"/>
      <c r="E840" s="8"/>
      <c r="F840" s="8"/>
      <c r="G840" s="8"/>
      <c r="H840" s="8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3"/>
      <c r="Z840" s="3"/>
      <c r="AA840" s="3"/>
      <c r="AB840" s="3"/>
    </row>
    <row r="841">
      <c r="A841" s="8"/>
      <c r="B841" s="8"/>
      <c r="C841" s="8"/>
      <c r="D841" s="2"/>
      <c r="E841" s="8"/>
      <c r="F841" s="8"/>
      <c r="G841" s="8"/>
      <c r="H841" s="8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3"/>
      <c r="Z841" s="3"/>
      <c r="AA841" s="3"/>
      <c r="AB841" s="3"/>
    </row>
    <row r="842">
      <c r="A842" s="8"/>
      <c r="B842" s="8"/>
      <c r="C842" s="8"/>
      <c r="D842" s="2"/>
      <c r="E842" s="8"/>
      <c r="F842" s="8"/>
      <c r="G842" s="8"/>
      <c r="H842" s="8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3"/>
      <c r="Z842" s="3"/>
      <c r="AA842" s="3"/>
      <c r="AB842" s="3"/>
    </row>
    <row r="843">
      <c r="A843" s="8"/>
      <c r="B843" s="8"/>
      <c r="C843" s="8"/>
      <c r="D843" s="2"/>
      <c r="E843" s="8"/>
      <c r="F843" s="8"/>
      <c r="G843" s="8"/>
      <c r="H843" s="8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3"/>
      <c r="Z843" s="3"/>
      <c r="AA843" s="3"/>
      <c r="AB843" s="3"/>
    </row>
    <row r="844">
      <c r="A844" s="8"/>
      <c r="B844" s="8"/>
      <c r="C844" s="8"/>
      <c r="D844" s="2"/>
      <c r="E844" s="8"/>
      <c r="F844" s="8"/>
      <c r="G844" s="8"/>
      <c r="H844" s="8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3"/>
      <c r="Z844" s="3"/>
      <c r="AA844" s="3"/>
      <c r="AB844" s="3"/>
    </row>
    <row r="845">
      <c r="A845" s="8"/>
      <c r="B845" s="8"/>
      <c r="C845" s="8"/>
      <c r="D845" s="2"/>
      <c r="E845" s="8"/>
      <c r="F845" s="8"/>
      <c r="G845" s="8"/>
      <c r="H845" s="8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3"/>
      <c r="Z845" s="3"/>
      <c r="AA845" s="3"/>
      <c r="AB845" s="3"/>
    </row>
    <row r="846">
      <c r="A846" s="8"/>
      <c r="B846" s="8"/>
      <c r="C846" s="8"/>
      <c r="D846" s="2"/>
      <c r="E846" s="8"/>
      <c r="F846" s="8"/>
      <c r="G846" s="8"/>
      <c r="H846" s="8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3"/>
      <c r="Z846" s="3"/>
      <c r="AA846" s="3"/>
      <c r="AB846" s="3"/>
    </row>
    <row r="847">
      <c r="A847" s="8"/>
      <c r="B847" s="8"/>
      <c r="C847" s="8"/>
      <c r="D847" s="2"/>
      <c r="E847" s="8"/>
      <c r="F847" s="8"/>
      <c r="G847" s="8"/>
      <c r="H847" s="8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3"/>
      <c r="Z847" s="3"/>
      <c r="AA847" s="3"/>
      <c r="AB847" s="3"/>
    </row>
    <row r="848">
      <c r="A848" s="8"/>
      <c r="B848" s="8"/>
      <c r="C848" s="8"/>
      <c r="D848" s="2"/>
      <c r="E848" s="8"/>
      <c r="F848" s="8"/>
      <c r="G848" s="8"/>
      <c r="H848" s="8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3"/>
      <c r="Z848" s="3"/>
      <c r="AA848" s="3"/>
      <c r="AB848" s="3"/>
    </row>
    <row r="849">
      <c r="A849" s="8"/>
      <c r="B849" s="8"/>
      <c r="C849" s="8"/>
      <c r="D849" s="2"/>
      <c r="E849" s="8"/>
      <c r="F849" s="8"/>
      <c r="G849" s="8"/>
      <c r="H849" s="8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3"/>
      <c r="Z849" s="3"/>
      <c r="AA849" s="3"/>
      <c r="AB849" s="3"/>
    </row>
    <row r="850">
      <c r="A850" s="8"/>
      <c r="B850" s="8"/>
      <c r="C850" s="8"/>
      <c r="D850" s="2"/>
      <c r="E850" s="8"/>
      <c r="F850" s="8"/>
      <c r="G850" s="8"/>
      <c r="H850" s="8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3"/>
      <c r="Z850" s="3"/>
      <c r="AA850" s="3"/>
      <c r="AB850" s="3"/>
    </row>
    <row r="851">
      <c r="A851" s="8"/>
      <c r="B851" s="8"/>
      <c r="C851" s="8"/>
      <c r="D851" s="2"/>
      <c r="E851" s="8"/>
      <c r="F851" s="8"/>
      <c r="G851" s="8"/>
      <c r="H851" s="8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3"/>
      <c r="Z851" s="3"/>
      <c r="AA851" s="3"/>
      <c r="AB851" s="3"/>
    </row>
    <row r="852">
      <c r="A852" s="8"/>
      <c r="B852" s="8"/>
      <c r="C852" s="8"/>
      <c r="D852" s="2"/>
      <c r="E852" s="8"/>
      <c r="F852" s="8"/>
      <c r="G852" s="8"/>
      <c r="H852" s="8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3"/>
      <c r="Z852" s="3"/>
      <c r="AA852" s="3"/>
      <c r="AB852" s="3"/>
    </row>
    <row r="853">
      <c r="A853" s="8"/>
      <c r="B853" s="8"/>
      <c r="C853" s="8"/>
      <c r="D853" s="2"/>
      <c r="E853" s="8"/>
      <c r="F853" s="8"/>
      <c r="G853" s="8"/>
      <c r="H853" s="8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3"/>
      <c r="Z853" s="3"/>
      <c r="AA853" s="3"/>
      <c r="AB853" s="3"/>
    </row>
    <row r="854">
      <c r="A854" s="8"/>
      <c r="B854" s="8"/>
      <c r="C854" s="8"/>
      <c r="D854" s="2"/>
      <c r="E854" s="8"/>
      <c r="F854" s="8"/>
      <c r="G854" s="8"/>
      <c r="H854" s="8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3"/>
      <c r="Z854" s="3"/>
      <c r="AA854" s="3"/>
      <c r="AB854" s="3"/>
    </row>
    <row r="855">
      <c r="A855" s="8"/>
      <c r="B855" s="8"/>
      <c r="C855" s="8"/>
      <c r="D855" s="2"/>
      <c r="E855" s="8"/>
      <c r="F855" s="8"/>
      <c r="G855" s="8"/>
      <c r="H855" s="8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3"/>
      <c r="Z855" s="3"/>
      <c r="AA855" s="3"/>
      <c r="AB855" s="3"/>
    </row>
    <row r="856">
      <c r="A856" s="8"/>
      <c r="B856" s="8"/>
      <c r="C856" s="8"/>
      <c r="D856" s="2"/>
      <c r="E856" s="8"/>
      <c r="F856" s="8"/>
      <c r="G856" s="8"/>
      <c r="H856" s="8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3"/>
      <c r="Z856" s="3"/>
      <c r="AA856" s="3"/>
      <c r="AB856" s="3"/>
    </row>
    <row r="857">
      <c r="A857" s="8"/>
      <c r="B857" s="8"/>
      <c r="C857" s="8"/>
      <c r="D857" s="2"/>
      <c r="E857" s="8"/>
      <c r="F857" s="8"/>
      <c r="G857" s="8"/>
      <c r="H857" s="8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3"/>
      <c r="Z857" s="3"/>
      <c r="AA857" s="3"/>
      <c r="AB857" s="3"/>
    </row>
    <row r="858">
      <c r="A858" s="8"/>
      <c r="B858" s="8"/>
      <c r="C858" s="8"/>
      <c r="D858" s="2"/>
      <c r="E858" s="8"/>
      <c r="F858" s="8"/>
      <c r="G858" s="8"/>
      <c r="H858" s="8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3"/>
      <c r="Z858" s="3"/>
      <c r="AA858" s="3"/>
      <c r="AB858" s="3"/>
    </row>
    <row r="859">
      <c r="A859" s="8"/>
      <c r="B859" s="8"/>
      <c r="C859" s="8"/>
      <c r="D859" s="2"/>
      <c r="E859" s="8"/>
      <c r="F859" s="8"/>
      <c r="G859" s="8"/>
      <c r="H859" s="8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3"/>
      <c r="Z859" s="3"/>
      <c r="AA859" s="3"/>
      <c r="AB859" s="3"/>
    </row>
    <row r="860">
      <c r="A860" s="8"/>
      <c r="B860" s="8"/>
      <c r="C860" s="8"/>
      <c r="D860" s="2"/>
      <c r="E860" s="8"/>
      <c r="F860" s="8"/>
      <c r="G860" s="8"/>
      <c r="H860" s="8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3"/>
      <c r="Z860" s="3"/>
      <c r="AA860" s="3"/>
      <c r="AB860" s="3"/>
    </row>
    <row r="861">
      <c r="A861" s="8"/>
      <c r="B861" s="8"/>
      <c r="C861" s="8"/>
      <c r="D861" s="2"/>
      <c r="E861" s="8"/>
      <c r="F861" s="8"/>
      <c r="G861" s="8"/>
      <c r="H861" s="8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3"/>
      <c r="Z861" s="3"/>
      <c r="AA861" s="3"/>
      <c r="AB861" s="3"/>
    </row>
    <row r="862">
      <c r="A862" s="8"/>
      <c r="B862" s="8"/>
      <c r="C862" s="8"/>
      <c r="D862" s="2"/>
      <c r="E862" s="8"/>
      <c r="F862" s="8"/>
      <c r="G862" s="8"/>
      <c r="H862" s="8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3"/>
      <c r="Z862" s="3"/>
      <c r="AA862" s="3"/>
      <c r="AB862" s="3"/>
    </row>
    <row r="863">
      <c r="A863" s="8"/>
      <c r="B863" s="8"/>
      <c r="C863" s="8"/>
      <c r="D863" s="2"/>
      <c r="E863" s="8"/>
      <c r="F863" s="8"/>
      <c r="G863" s="8"/>
      <c r="H863" s="8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3"/>
      <c r="Z863" s="3"/>
      <c r="AA863" s="3"/>
      <c r="AB863" s="3"/>
    </row>
    <row r="864">
      <c r="A864" s="8"/>
      <c r="B864" s="8"/>
      <c r="C864" s="8"/>
      <c r="D864" s="2"/>
      <c r="E864" s="8"/>
      <c r="F864" s="8"/>
      <c r="G864" s="8"/>
      <c r="H864" s="8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3"/>
      <c r="Z864" s="3"/>
      <c r="AA864" s="3"/>
      <c r="AB864" s="3"/>
    </row>
    <row r="865">
      <c r="A865" s="8"/>
      <c r="B865" s="8"/>
      <c r="C865" s="8"/>
      <c r="D865" s="2"/>
      <c r="E865" s="8"/>
      <c r="F865" s="8"/>
      <c r="G865" s="8"/>
      <c r="H865" s="8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3"/>
      <c r="Z865" s="3"/>
      <c r="AA865" s="3"/>
      <c r="AB865" s="3"/>
    </row>
    <row r="866">
      <c r="A866" s="8"/>
      <c r="B866" s="8"/>
      <c r="C866" s="8"/>
      <c r="D866" s="2"/>
      <c r="E866" s="8"/>
      <c r="F866" s="8"/>
      <c r="G866" s="8"/>
      <c r="H866" s="8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3"/>
      <c r="Z866" s="3"/>
      <c r="AA866" s="3"/>
      <c r="AB866" s="3"/>
    </row>
    <row r="867">
      <c r="A867" s="8"/>
      <c r="B867" s="8"/>
      <c r="C867" s="8"/>
      <c r="D867" s="2"/>
      <c r="E867" s="8"/>
      <c r="F867" s="8"/>
      <c r="G867" s="8"/>
      <c r="H867" s="8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3"/>
      <c r="Z867" s="3"/>
      <c r="AA867" s="3"/>
      <c r="AB867" s="3"/>
    </row>
    <row r="868">
      <c r="A868" s="8"/>
      <c r="B868" s="8"/>
      <c r="C868" s="8"/>
      <c r="D868" s="2"/>
      <c r="E868" s="8"/>
      <c r="F868" s="8"/>
      <c r="G868" s="8"/>
      <c r="H868" s="8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3"/>
      <c r="Z868" s="3"/>
      <c r="AA868" s="3"/>
      <c r="AB868" s="3"/>
    </row>
    <row r="869">
      <c r="A869" s="8"/>
      <c r="B869" s="8"/>
      <c r="C869" s="8"/>
      <c r="D869" s="2"/>
      <c r="E869" s="8"/>
      <c r="F869" s="8"/>
      <c r="G869" s="8"/>
      <c r="H869" s="8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3"/>
      <c r="Z869" s="3"/>
      <c r="AA869" s="3"/>
      <c r="AB869" s="3"/>
    </row>
    <row r="870">
      <c r="A870" s="8"/>
      <c r="B870" s="8"/>
      <c r="C870" s="8"/>
      <c r="D870" s="2"/>
      <c r="E870" s="8"/>
      <c r="F870" s="8"/>
      <c r="G870" s="8"/>
      <c r="H870" s="8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3"/>
      <c r="Z870" s="3"/>
      <c r="AA870" s="3"/>
      <c r="AB870" s="3"/>
    </row>
    <row r="871">
      <c r="A871" s="8"/>
      <c r="B871" s="8"/>
      <c r="C871" s="8"/>
      <c r="D871" s="2"/>
      <c r="E871" s="8"/>
      <c r="F871" s="8"/>
      <c r="G871" s="8"/>
      <c r="H871" s="8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3"/>
      <c r="Z871" s="3"/>
      <c r="AA871" s="3"/>
      <c r="AB871" s="3"/>
    </row>
    <row r="872">
      <c r="A872" s="8"/>
      <c r="B872" s="8"/>
      <c r="C872" s="8"/>
      <c r="D872" s="2"/>
      <c r="E872" s="8"/>
      <c r="F872" s="8"/>
      <c r="G872" s="8"/>
      <c r="H872" s="8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3"/>
      <c r="Z872" s="3"/>
      <c r="AA872" s="3"/>
      <c r="AB872" s="3"/>
    </row>
    <row r="873">
      <c r="A873" s="8"/>
      <c r="B873" s="8"/>
      <c r="C873" s="8"/>
      <c r="D873" s="2"/>
      <c r="E873" s="8"/>
      <c r="F873" s="8"/>
      <c r="G873" s="8"/>
      <c r="H873" s="8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3"/>
      <c r="Z873" s="3"/>
      <c r="AA873" s="3"/>
      <c r="AB873" s="3"/>
    </row>
    <row r="874">
      <c r="A874" s="8"/>
      <c r="B874" s="8"/>
      <c r="C874" s="8"/>
      <c r="D874" s="2"/>
      <c r="E874" s="8"/>
      <c r="F874" s="8"/>
      <c r="G874" s="8"/>
      <c r="H874" s="8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3"/>
      <c r="Z874" s="3"/>
      <c r="AA874" s="3"/>
      <c r="AB874" s="3"/>
    </row>
    <row r="875">
      <c r="A875" s="8"/>
      <c r="B875" s="8"/>
      <c r="C875" s="8"/>
      <c r="D875" s="2"/>
      <c r="E875" s="8"/>
      <c r="F875" s="8"/>
      <c r="G875" s="8"/>
      <c r="H875" s="8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3"/>
      <c r="Z875" s="3"/>
      <c r="AA875" s="3"/>
      <c r="AB875" s="3"/>
    </row>
    <row r="876">
      <c r="A876" s="8"/>
      <c r="B876" s="8"/>
      <c r="C876" s="8"/>
      <c r="D876" s="2"/>
      <c r="E876" s="8"/>
      <c r="F876" s="8"/>
      <c r="G876" s="8"/>
      <c r="H876" s="8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3"/>
      <c r="Z876" s="3"/>
      <c r="AA876" s="3"/>
      <c r="AB876" s="3"/>
    </row>
    <row r="877">
      <c r="A877" s="8"/>
      <c r="B877" s="8"/>
      <c r="C877" s="8"/>
      <c r="D877" s="2"/>
      <c r="E877" s="8"/>
      <c r="F877" s="8"/>
      <c r="G877" s="8"/>
      <c r="H877" s="8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3"/>
      <c r="Z877" s="3"/>
      <c r="AA877" s="3"/>
      <c r="AB877" s="3"/>
    </row>
    <row r="878">
      <c r="A878" s="8"/>
      <c r="B878" s="8"/>
      <c r="C878" s="8"/>
      <c r="D878" s="2"/>
      <c r="E878" s="8"/>
      <c r="F878" s="8"/>
      <c r="G878" s="8"/>
      <c r="H878" s="8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3"/>
      <c r="Z878" s="3"/>
      <c r="AA878" s="3"/>
      <c r="AB878" s="3"/>
    </row>
    <row r="879">
      <c r="A879" s="8"/>
      <c r="B879" s="8"/>
      <c r="C879" s="8"/>
      <c r="D879" s="2"/>
      <c r="E879" s="8"/>
      <c r="F879" s="8"/>
      <c r="G879" s="8"/>
      <c r="H879" s="8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3"/>
      <c r="Z879" s="3"/>
      <c r="AA879" s="3"/>
      <c r="AB879" s="3"/>
    </row>
    <row r="880">
      <c r="A880" s="8"/>
      <c r="B880" s="8"/>
      <c r="C880" s="8"/>
      <c r="D880" s="2"/>
      <c r="E880" s="8"/>
      <c r="F880" s="8"/>
      <c r="G880" s="8"/>
      <c r="H880" s="8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3"/>
      <c r="Z880" s="3"/>
      <c r="AA880" s="3"/>
      <c r="AB880" s="3"/>
    </row>
    <row r="881">
      <c r="A881" s="8"/>
      <c r="B881" s="8"/>
      <c r="C881" s="8"/>
      <c r="D881" s="2"/>
      <c r="E881" s="8"/>
      <c r="F881" s="8"/>
      <c r="G881" s="8"/>
      <c r="H881" s="8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3"/>
      <c r="Z881" s="3"/>
      <c r="AA881" s="3"/>
      <c r="AB881" s="3"/>
    </row>
    <row r="882">
      <c r="A882" s="8"/>
      <c r="B882" s="8"/>
      <c r="C882" s="8"/>
      <c r="D882" s="2"/>
      <c r="E882" s="8"/>
      <c r="F882" s="8"/>
      <c r="G882" s="8"/>
      <c r="H882" s="8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3"/>
      <c r="Z882" s="3"/>
      <c r="AA882" s="3"/>
      <c r="AB882" s="3"/>
    </row>
    <row r="883">
      <c r="A883" s="8"/>
      <c r="B883" s="8"/>
      <c r="C883" s="8"/>
      <c r="D883" s="2"/>
      <c r="E883" s="8"/>
      <c r="F883" s="8"/>
      <c r="G883" s="8"/>
      <c r="H883" s="8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3"/>
      <c r="Z883" s="3"/>
      <c r="AA883" s="3"/>
      <c r="AB883" s="3"/>
    </row>
    <row r="884">
      <c r="A884" s="8"/>
      <c r="B884" s="8"/>
      <c r="C884" s="8"/>
      <c r="D884" s="2"/>
      <c r="E884" s="8"/>
      <c r="F884" s="8"/>
      <c r="G884" s="8"/>
      <c r="H884" s="8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3"/>
      <c r="Z884" s="3"/>
      <c r="AA884" s="3"/>
      <c r="AB884" s="3"/>
    </row>
    <row r="885">
      <c r="A885" s="8"/>
      <c r="B885" s="8"/>
      <c r="C885" s="8"/>
      <c r="D885" s="2"/>
      <c r="E885" s="8"/>
      <c r="F885" s="8"/>
      <c r="G885" s="8"/>
      <c r="H885" s="8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3"/>
      <c r="Z885" s="3"/>
      <c r="AA885" s="3"/>
      <c r="AB885" s="3"/>
    </row>
    <row r="886">
      <c r="A886" s="8"/>
      <c r="B886" s="8"/>
      <c r="C886" s="8"/>
      <c r="D886" s="2"/>
      <c r="E886" s="8"/>
      <c r="F886" s="8"/>
      <c r="G886" s="8"/>
      <c r="H886" s="8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3"/>
      <c r="Z886" s="3"/>
      <c r="AA886" s="3"/>
      <c r="AB886" s="3"/>
    </row>
    <row r="887">
      <c r="A887" s="8"/>
      <c r="B887" s="8"/>
      <c r="C887" s="8"/>
      <c r="D887" s="2"/>
      <c r="E887" s="8"/>
      <c r="F887" s="8"/>
      <c r="G887" s="8"/>
      <c r="H887" s="8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3"/>
      <c r="Z887" s="3"/>
      <c r="AA887" s="3"/>
      <c r="AB887" s="3"/>
    </row>
    <row r="888">
      <c r="A888" s="8"/>
      <c r="B888" s="8"/>
      <c r="C888" s="8"/>
      <c r="D888" s="2"/>
      <c r="E888" s="8"/>
      <c r="F888" s="8"/>
      <c r="G888" s="8"/>
      <c r="H888" s="8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3"/>
      <c r="Z888" s="3"/>
      <c r="AA888" s="3"/>
      <c r="AB888" s="3"/>
    </row>
    <row r="889">
      <c r="A889" s="8"/>
      <c r="B889" s="8"/>
      <c r="C889" s="8"/>
      <c r="D889" s="2"/>
      <c r="E889" s="8"/>
      <c r="F889" s="8"/>
      <c r="G889" s="8"/>
      <c r="H889" s="8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3"/>
      <c r="Z889" s="3"/>
      <c r="AA889" s="3"/>
      <c r="AB889" s="3"/>
    </row>
    <row r="890">
      <c r="A890" s="8"/>
      <c r="B890" s="8"/>
      <c r="C890" s="8"/>
      <c r="D890" s="2"/>
      <c r="E890" s="8"/>
      <c r="F890" s="8"/>
      <c r="G890" s="8"/>
      <c r="H890" s="8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3"/>
      <c r="Z890" s="3"/>
      <c r="AA890" s="3"/>
      <c r="AB890" s="3"/>
    </row>
    <row r="891">
      <c r="A891" s="8"/>
      <c r="B891" s="8"/>
      <c r="C891" s="8"/>
      <c r="D891" s="2"/>
      <c r="E891" s="8"/>
      <c r="F891" s="8"/>
      <c r="G891" s="8"/>
      <c r="H891" s="8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3"/>
      <c r="Z891" s="3"/>
      <c r="AA891" s="3"/>
      <c r="AB891" s="3"/>
    </row>
    <row r="892">
      <c r="A892" s="8"/>
      <c r="B892" s="8"/>
      <c r="C892" s="8"/>
      <c r="D892" s="2"/>
      <c r="E892" s="8"/>
      <c r="F892" s="8"/>
      <c r="G892" s="8"/>
      <c r="H892" s="8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3"/>
      <c r="Z892" s="3"/>
      <c r="AA892" s="3"/>
      <c r="AB892" s="3"/>
    </row>
    <row r="893">
      <c r="A893" s="8"/>
      <c r="B893" s="8"/>
      <c r="C893" s="8"/>
      <c r="D893" s="2"/>
      <c r="E893" s="8"/>
      <c r="F893" s="8"/>
      <c r="G893" s="8"/>
      <c r="H893" s="8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3"/>
      <c r="Z893" s="3"/>
      <c r="AA893" s="3"/>
      <c r="AB893" s="3"/>
    </row>
    <row r="894">
      <c r="A894" s="8"/>
      <c r="B894" s="8"/>
      <c r="C894" s="8"/>
      <c r="D894" s="2"/>
      <c r="E894" s="8"/>
      <c r="F894" s="8"/>
      <c r="G894" s="8"/>
      <c r="H894" s="8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3"/>
      <c r="Z894" s="3"/>
      <c r="AA894" s="3"/>
      <c r="AB894" s="3"/>
    </row>
    <row r="895">
      <c r="A895" s="8"/>
      <c r="B895" s="8"/>
      <c r="C895" s="8"/>
      <c r="D895" s="2"/>
      <c r="E895" s="8"/>
      <c r="F895" s="8"/>
      <c r="G895" s="8"/>
      <c r="H895" s="8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</sheetData>
  <mergeCells count="6">
    <mergeCell ref="A1:H1"/>
    <mergeCell ref="G3:H4"/>
    <mergeCell ref="A11:H11"/>
    <mergeCell ref="A18:E18"/>
    <mergeCell ref="A20:E20"/>
    <mergeCell ref="A30:C30"/>
  </mergeCells>
  <conditionalFormatting sqref="A13:A16">
    <cfRule type="containsText" dxfId="0" priority="1" operator="containsText" text="PENDIENTE">
      <formula>NOT(ISERROR(SEARCH(("PENDIENTE"),(A13))))</formula>
    </cfRule>
  </conditionalFormatting>
  <conditionalFormatting sqref="A13:A16">
    <cfRule type="containsText" dxfId="1" priority="2" operator="containsText" text="PAGADO">
      <formula>NOT(ISERROR(SEARCH(("PAGADO"),(A13))))</formula>
    </cfRule>
  </conditionalFormatting>
  <dataValidations>
    <dataValidation type="list" allowBlank="1" showErrorMessage="1" sqref="A13:A16">
      <formula1>$A$612:$A$613</formula1>
    </dataValidation>
  </dataValidations>
  <hyperlinks>
    <hyperlink r:id="rId1" ref="B13"/>
    <hyperlink r:id="rId2" ref="B14"/>
    <hyperlink r:id="rId3" ref="B15"/>
  </hyperlinks>
  <printOptions horizontalCentered="1"/>
  <pageMargins bottom="0.75" footer="0.0" header="0.0" left="0.7" right="0.7" top="0.75"/>
  <pageSetup fitToHeight="0" orientation="landscape"/>
  <headerFooter>
    <oddFooter>&amp;RCTS - Estado de Resultados Grupos y Convenciones Pág. &amp;P de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F1C8"/>
    <pageSetUpPr fitToPage="1"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2" width="33.43"/>
    <col customWidth="1" min="3" max="3" width="25.57"/>
    <col customWidth="1" min="4" max="4" width="72.71"/>
    <col customWidth="1" min="5" max="5" width="79.57"/>
    <col customWidth="1" min="6" max="6" width="29.14"/>
    <col customWidth="1" min="7" max="7" width="28.57"/>
    <col customWidth="1" min="8" max="8" width="24.0"/>
    <col customWidth="1" min="9" max="9" width="24.57"/>
    <col customWidth="1" min="10" max="11" width="13.43"/>
    <col customWidth="1" min="12" max="12" width="83.86"/>
    <col customWidth="1" min="13" max="13" width="11.43"/>
    <col customWidth="1" min="14" max="14" width="12.57"/>
    <col customWidth="1" min="15" max="25" width="11.43"/>
  </cols>
  <sheetData>
    <row r="1" ht="35.25" customHeight="1">
      <c r="A1" s="7"/>
      <c r="B1" s="7"/>
      <c r="C1" s="9"/>
      <c r="D1" s="9"/>
      <c r="E1" s="9"/>
      <c r="F1" s="9"/>
      <c r="G1" s="9"/>
      <c r="H1" s="104"/>
      <c r="I1" s="10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</row>
    <row r="2" ht="15.0" customHeight="1">
      <c r="A2" s="4"/>
      <c r="B2" s="4"/>
      <c r="C2" s="4"/>
      <c r="D2" s="4"/>
      <c r="E2" s="3"/>
      <c r="F2" s="7"/>
      <c r="G2" s="3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</row>
    <row r="3">
      <c r="A3" s="8"/>
      <c r="B3" s="8"/>
      <c r="C3" s="9"/>
      <c r="D3" s="9"/>
      <c r="E3" s="3"/>
      <c r="F3" s="8"/>
      <c r="G3" s="3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</row>
    <row r="4">
      <c r="A4" s="8"/>
      <c r="B4" s="8"/>
      <c r="C4" s="8"/>
      <c r="D4" s="8"/>
      <c r="E4" s="3"/>
      <c r="F4" s="104"/>
      <c r="G4" s="3"/>
      <c r="H4" s="104"/>
      <c r="I4" s="10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3"/>
      <c r="AC4" s="3"/>
    </row>
    <row r="5">
      <c r="A5" s="105" t="s">
        <v>37</v>
      </c>
      <c r="B5" s="55"/>
      <c r="C5" s="55"/>
      <c r="D5" s="55"/>
      <c r="E5" s="55"/>
      <c r="F5" s="55"/>
      <c r="G5" s="55"/>
      <c r="H5" s="55"/>
      <c r="I5" s="106"/>
      <c r="J5" s="102"/>
      <c r="K5" s="102"/>
      <c r="L5" s="102"/>
      <c r="M5" s="102"/>
      <c r="N5" s="102"/>
      <c r="O5" s="10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  <c r="AC5" s="3"/>
    </row>
    <row r="6">
      <c r="A6" s="20" t="s">
        <v>11</v>
      </c>
      <c r="B6" s="107" t="s">
        <v>38</v>
      </c>
      <c r="C6" s="21" t="s">
        <v>12</v>
      </c>
      <c r="D6" s="21" t="s">
        <v>13</v>
      </c>
      <c r="E6" s="21" t="s">
        <v>14</v>
      </c>
      <c r="F6" s="21" t="s">
        <v>16</v>
      </c>
      <c r="G6" s="21" t="s">
        <v>17</v>
      </c>
      <c r="H6" s="21" t="s">
        <v>18</v>
      </c>
      <c r="I6" s="90" t="s">
        <v>39</v>
      </c>
      <c r="J6" s="108" t="s">
        <v>40</v>
      </c>
      <c r="K6" s="108" t="s">
        <v>41</v>
      </c>
      <c r="L6" s="109"/>
      <c r="M6" s="109"/>
      <c r="N6" s="109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53"/>
      <c r="AA6" s="53"/>
      <c r="AB6" s="53"/>
      <c r="AC6" s="53"/>
    </row>
    <row r="7">
      <c r="A7" s="111" t="s">
        <v>19</v>
      </c>
      <c r="B7" s="112" t="s">
        <v>42</v>
      </c>
      <c r="C7" s="113" t="s">
        <v>43</v>
      </c>
      <c r="D7" s="114" t="s">
        <v>44</v>
      </c>
      <c r="E7" s="115" t="s">
        <v>45</v>
      </c>
      <c r="F7" s="116">
        <v>160.0</v>
      </c>
      <c r="G7" s="117">
        <v>0.0</v>
      </c>
      <c r="H7" s="118">
        <f>SUM(F7:G7)</f>
        <v>160</v>
      </c>
      <c r="I7" s="119">
        <v>45839.0</v>
      </c>
      <c r="J7" s="120" t="s">
        <v>46</v>
      </c>
      <c r="K7" s="120" t="s">
        <v>46</v>
      </c>
      <c r="L7" s="121"/>
      <c r="M7" s="121"/>
      <c r="N7" s="122"/>
      <c r="O7" s="122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53"/>
      <c r="AA7" s="53"/>
      <c r="AB7" s="53"/>
      <c r="AC7" s="53"/>
    </row>
    <row r="8">
      <c r="A8" s="124" t="s">
        <v>19</v>
      </c>
      <c r="B8" s="125" t="s">
        <v>42</v>
      </c>
      <c r="C8" s="126" t="s">
        <v>47</v>
      </c>
      <c r="D8" s="126" t="s">
        <v>48</v>
      </c>
      <c r="E8" s="127" t="s">
        <v>49</v>
      </c>
      <c r="F8" s="128">
        <v>20000.0</v>
      </c>
      <c r="G8" s="129">
        <v>0.0</v>
      </c>
      <c r="H8" s="130">
        <f t="shared" ref="H8:H11" si="1">F8+G8</f>
        <v>20000</v>
      </c>
      <c r="I8" s="131">
        <v>45919.0</v>
      </c>
      <c r="J8" s="120" t="s">
        <v>46</v>
      </c>
      <c r="K8" s="120" t="s">
        <v>46</v>
      </c>
      <c r="L8" s="132"/>
      <c r="M8" s="132"/>
      <c r="N8" s="132"/>
      <c r="O8" s="132"/>
      <c r="P8" s="3"/>
      <c r="Q8" s="3"/>
      <c r="R8" s="3"/>
      <c r="S8" s="3"/>
      <c r="T8" s="3"/>
      <c r="U8" s="3"/>
      <c r="V8" s="3"/>
      <c r="W8" s="3"/>
      <c r="X8" s="3"/>
      <c r="Y8" s="3"/>
      <c r="Z8" s="133"/>
      <c r="AA8" s="133"/>
      <c r="AB8" s="133"/>
      <c r="AC8" s="133"/>
    </row>
    <row r="9">
      <c r="A9" s="124" t="s">
        <v>19</v>
      </c>
      <c r="B9" s="125" t="s">
        <v>42</v>
      </c>
      <c r="C9" s="134" t="s">
        <v>47</v>
      </c>
      <c r="D9" s="126" t="s">
        <v>50</v>
      </c>
      <c r="E9" s="127" t="s">
        <v>49</v>
      </c>
      <c r="F9" s="128">
        <v>20000.0</v>
      </c>
      <c r="G9" s="129">
        <v>0.0</v>
      </c>
      <c r="H9" s="130">
        <f t="shared" si="1"/>
        <v>20000</v>
      </c>
      <c r="I9" s="131">
        <v>45919.0</v>
      </c>
      <c r="J9" s="120" t="s">
        <v>46</v>
      </c>
      <c r="K9" s="120" t="s">
        <v>46</v>
      </c>
      <c r="L9" s="132"/>
      <c r="M9" s="132"/>
      <c r="N9" s="132"/>
      <c r="O9" s="132"/>
      <c r="P9" s="3"/>
      <c r="Q9" s="3"/>
      <c r="R9" s="3"/>
      <c r="S9" s="3"/>
      <c r="T9" s="3"/>
      <c r="U9" s="3"/>
      <c r="V9" s="3"/>
      <c r="W9" s="3"/>
      <c r="X9" s="3"/>
      <c r="Y9" s="3"/>
      <c r="Z9" s="133"/>
      <c r="AA9" s="133"/>
      <c r="AB9" s="133"/>
      <c r="AC9" s="133"/>
    </row>
    <row r="10">
      <c r="A10" s="135" t="s">
        <v>19</v>
      </c>
      <c r="B10" s="136" t="s">
        <v>42</v>
      </c>
      <c r="C10" s="134" t="s">
        <v>47</v>
      </c>
      <c r="D10" s="134" t="s">
        <v>51</v>
      </c>
      <c r="E10" s="137" t="s">
        <v>49</v>
      </c>
      <c r="F10" s="128">
        <v>20000.0</v>
      </c>
      <c r="G10" s="129">
        <v>0.0</v>
      </c>
      <c r="H10" s="130">
        <f t="shared" si="1"/>
        <v>20000</v>
      </c>
      <c r="I10" s="131">
        <v>45919.0</v>
      </c>
      <c r="J10" s="120" t="s">
        <v>46</v>
      </c>
      <c r="K10" s="120" t="s">
        <v>46</v>
      </c>
      <c r="L10" s="132"/>
      <c r="M10" s="132"/>
      <c r="N10" s="132"/>
      <c r="O10" s="132"/>
      <c r="P10" s="3"/>
      <c r="Q10" s="3"/>
      <c r="R10" s="3"/>
      <c r="S10" s="3"/>
      <c r="T10" s="3"/>
      <c r="U10" s="3"/>
      <c r="V10" s="3"/>
      <c r="W10" s="3"/>
      <c r="X10" s="3"/>
      <c r="Y10" s="3"/>
      <c r="Z10" s="133"/>
      <c r="AA10" s="133"/>
      <c r="AB10" s="133"/>
      <c r="AC10" s="133"/>
    </row>
    <row r="11">
      <c r="A11" s="135" t="s">
        <v>19</v>
      </c>
      <c r="B11" s="138" t="s">
        <v>52</v>
      </c>
      <c r="C11" s="134" t="s">
        <v>47</v>
      </c>
      <c r="D11" s="139" t="s">
        <v>53</v>
      </c>
      <c r="E11" s="137" t="s">
        <v>49</v>
      </c>
      <c r="F11" s="128">
        <v>20000.0</v>
      </c>
      <c r="G11" s="129">
        <v>0.0</v>
      </c>
      <c r="H11" s="140">
        <f t="shared" si="1"/>
        <v>20000</v>
      </c>
      <c r="I11" s="141">
        <v>45922.0</v>
      </c>
      <c r="J11" s="120" t="s">
        <v>46</v>
      </c>
      <c r="K11" s="120" t="s">
        <v>54</v>
      </c>
      <c r="L11" s="132"/>
      <c r="M11" s="132"/>
      <c r="N11" s="132"/>
      <c r="O11" s="132"/>
      <c r="P11" s="3"/>
      <c r="Q11" s="3"/>
      <c r="R11" s="3"/>
      <c r="S11" s="3"/>
      <c r="T11" s="3"/>
      <c r="U11" s="3"/>
      <c r="V11" s="3"/>
      <c r="W11" s="3"/>
      <c r="X11" s="3"/>
      <c r="Y11" s="3"/>
      <c r="Z11" s="133"/>
      <c r="AA11" s="133"/>
      <c r="AB11" s="133"/>
      <c r="AC11" s="133"/>
    </row>
    <row r="12">
      <c r="A12" s="142" t="s">
        <v>19</v>
      </c>
      <c r="B12" s="143" t="s">
        <v>42</v>
      </c>
      <c r="C12" s="144" t="s">
        <v>55</v>
      </c>
      <c r="D12" s="145" t="s">
        <v>56</v>
      </c>
      <c r="E12" s="146" t="s">
        <v>57</v>
      </c>
      <c r="F12" s="147">
        <v>13450.000000000002</v>
      </c>
      <c r="G12" s="148">
        <f>F12*16%</f>
        <v>2152</v>
      </c>
      <c r="H12" s="149">
        <f t="shared" ref="H12:H121" si="2">SUM(F12:G12)</f>
        <v>15602</v>
      </c>
      <c r="I12" s="150">
        <v>45925.0</v>
      </c>
      <c r="J12" s="120" t="s">
        <v>46</v>
      </c>
      <c r="K12" s="120" t="s">
        <v>46</v>
      </c>
      <c r="L12" s="121"/>
      <c r="M12" s="121"/>
      <c r="N12" s="122"/>
      <c r="O12" s="122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53"/>
      <c r="AA12" s="53"/>
      <c r="AB12" s="53"/>
      <c r="AC12" s="53"/>
    </row>
    <row r="13">
      <c r="A13" s="142" t="s">
        <v>19</v>
      </c>
      <c r="B13" s="151" t="s">
        <v>58</v>
      </c>
      <c r="C13" s="152" t="s">
        <v>59</v>
      </c>
      <c r="D13" s="153" t="s">
        <v>60</v>
      </c>
      <c r="E13" s="154" t="s">
        <v>61</v>
      </c>
      <c r="F13" s="155">
        <v>436.05</v>
      </c>
      <c r="G13" s="117">
        <v>0.0</v>
      </c>
      <c r="H13" s="75">
        <f t="shared" si="2"/>
        <v>436.05</v>
      </c>
      <c r="I13" s="156">
        <v>45957.0</v>
      </c>
      <c r="J13" s="157"/>
      <c r="K13" s="121"/>
      <c r="L13" s="158" t="s">
        <v>62</v>
      </c>
      <c r="M13" s="121"/>
      <c r="N13" s="122"/>
      <c r="O13" s="122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53"/>
      <c r="AA13" s="53"/>
      <c r="AB13" s="53"/>
      <c r="AC13" s="53"/>
    </row>
    <row r="14">
      <c r="A14" s="142" t="s">
        <v>19</v>
      </c>
      <c r="B14" s="151" t="s">
        <v>58</v>
      </c>
      <c r="C14" s="159" t="s">
        <v>59</v>
      </c>
      <c r="D14" s="153" t="s">
        <v>60</v>
      </c>
      <c r="E14" s="154" t="s">
        <v>63</v>
      </c>
      <c r="F14" s="155">
        <v>1476.0</v>
      </c>
      <c r="G14" s="117">
        <v>0.0</v>
      </c>
      <c r="H14" s="148">
        <f t="shared" si="2"/>
        <v>1476</v>
      </c>
      <c r="I14" s="156">
        <v>45957.0</v>
      </c>
      <c r="J14" s="157"/>
      <c r="K14" s="121"/>
      <c r="L14" s="158" t="s">
        <v>62</v>
      </c>
      <c r="M14" s="121"/>
      <c r="N14" s="122"/>
      <c r="O14" s="122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53"/>
      <c r="AA14" s="53"/>
      <c r="AB14" s="53"/>
      <c r="AC14" s="53"/>
    </row>
    <row r="15">
      <c r="A15" s="135" t="s">
        <v>19</v>
      </c>
      <c r="B15" s="160" t="s">
        <v>52</v>
      </c>
      <c r="C15" s="161" t="s">
        <v>47</v>
      </c>
      <c r="D15" s="145" t="s">
        <v>64</v>
      </c>
      <c r="E15" s="146" t="s">
        <v>65</v>
      </c>
      <c r="F15" s="155">
        <v>2750.0</v>
      </c>
      <c r="G15" s="117">
        <v>0.0</v>
      </c>
      <c r="H15" s="162">
        <f t="shared" si="2"/>
        <v>2750</v>
      </c>
      <c r="I15" s="163">
        <v>45945.0</v>
      </c>
      <c r="J15" s="120" t="s">
        <v>46</v>
      </c>
      <c r="K15" s="121"/>
      <c r="L15" s="121"/>
      <c r="M15" s="121"/>
      <c r="N15" s="122"/>
      <c r="O15" s="122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53"/>
      <c r="AA15" s="53"/>
      <c r="AB15" s="53"/>
      <c r="AC15" s="53"/>
    </row>
    <row r="16">
      <c r="A16" s="135" t="s">
        <v>19</v>
      </c>
      <c r="B16" s="160" t="s">
        <v>52</v>
      </c>
      <c r="C16" s="164" t="s">
        <v>36</v>
      </c>
      <c r="D16" s="145" t="s">
        <v>66</v>
      </c>
      <c r="E16" s="146" t="s">
        <v>67</v>
      </c>
      <c r="F16" s="155">
        <v>25000.0</v>
      </c>
      <c r="G16" s="117">
        <v>0.0</v>
      </c>
      <c r="H16" s="162">
        <f t="shared" si="2"/>
        <v>25000</v>
      </c>
      <c r="I16" s="163">
        <v>45945.0</v>
      </c>
      <c r="J16" s="120" t="s">
        <v>46</v>
      </c>
      <c r="K16" s="121"/>
      <c r="L16" s="121"/>
      <c r="M16" s="121"/>
      <c r="N16" s="122"/>
      <c r="O16" s="122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53"/>
      <c r="AA16" s="53"/>
      <c r="AB16" s="53"/>
      <c r="AC16" s="53"/>
    </row>
    <row r="17">
      <c r="A17" s="135" t="s">
        <v>19</v>
      </c>
      <c r="B17" s="165" t="s">
        <v>42</v>
      </c>
      <c r="C17" s="166" t="s">
        <v>59</v>
      </c>
      <c r="D17" s="167" t="s">
        <v>68</v>
      </c>
      <c r="E17" s="168" t="s">
        <v>69</v>
      </c>
      <c r="F17" s="169">
        <v>45000.0</v>
      </c>
      <c r="G17" s="170">
        <v>0.0</v>
      </c>
      <c r="H17" s="130">
        <f t="shared" si="2"/>
        <v>45000</v>
      </c>
      <c r="I17" s="171">
        <v>45874.0</v>
      </c>
      <c r="J17" s="172" t="s">
        <v>46</v>
      </c>
      <c r="K17" s="173" t="s">
        <v>46</v>
      </c>
      <c r="L17" s="132"/>
      <c r="M17" s="132"/>
      <c r="N17" s="132"/>
      <c r="O17" s="132"/>
      <c r="P17" s="3"/>
      <c r="Q17" s="3"/>
      <c r="R17" s="3"/>
      <c r="S17" s="3"/>
      <c r="T17" s="3"/>
      <c r="U17" s="3"/>
      <c r="V17" s="3"/>
      <c r="W17" s="3"/>
      <c r="X17" s="3"/>
      <c r="Y17" s="3"/>
      <c r="Z17" s="133"/>
      <c r="AA17" s="133"/>
      <c r="AB17" s="133"/>
      <c r="AC17" s="133"/>
    </row>
    <row r="18">
      <c r="A18" s="135" t="s">
        <v>19</v>
      </c>
      <c r="B18" s="165" t="s">
        <v>42</v>
      </c>
      <c r="C18" s="152" t="s">
        <v>70</v>
      </c>
      <c r="D18" s="145" t="s">
        <v>71</v>
      </c>
      <c r="E18" s="146" t="s">
        <v>72</v>
      </c>
      <c r="F18" s="174">
        <v>5820.0</v>
      </c>
      <c r="G18" s="117">
        <v>0.0</v>
      </c>
      <c r="H18" s="148">
        <f t="shared" si="2"/>
        <v>5820</v>
      </c>
      <c r="I18" s="175">
        <v>45946.0</v>
      </c>
      <c r="J18" s="176" t="s">
        <v>46</v>
      </c>
      <c r="K18" s="121"/>
      <c r="L18" s="121"/>
      <c r="M18" s="121"/>
      <c r="N18" s="122"/>
      <c r="O18" s="122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53"/>
      <c r="AA18" s="53"/>
      <c r="AB18" s="53"/>
      <c r="AC18" s="53"/>
    </row>
    <row r="19">
      <c r="A19" s="135" t="s">
        <v>19</v>
      </c>
      <c r="B19" s="165" t="s">
        <v>42</v>
      </c>
      <c r="C19" s="177" t="s">
        <v>73</v>
      </c>
      <c r="D19" s="145" t="s">
        <v>74</v>
      </c>
      <c r="E19" s="146" t="s">
        <v>75</v>
      </c>
      <c r="F19" s="174">
        <v>12639.95</v>
      </c>
      <c r="G19" s="117">
        <v>2296.0</v>
      </c>
      <c r="H19" s="148">
        <f t="shared" si="2"/>
        <v>14935.95</v>
      </c>
      <c r="I19" s="178">
        <v>45946.0</v>
      </c>
      <c r="J19" s="120" t="s">
        <v>46</v>
      </c>
      <c r="K19" s="121"/>
      <c r="L19" s="121"/>
      <c r="M19" s="121"/>
      <c r="N19" s="122"/>
      <c r="O19" s="122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53"/>
      <c r="AA19" s="53"/>
      <c r="AB19" s="53"/>
      <c r="AC19" s="53"/>
    </row>
    <row r="20">
      <c r="A20" s="135" t="s">
        <v>19</v>
      </c>
      <c r="B20" s="165" t="s">
        <v>42</v>
      </c>
      <c r="C20" s="179" t="s">
        <v>76</v>
      </c>
      <c r="D20" s="145" t="s">
        <v>77</v>
      </c>
      <c r="E20" s="146" t="s">
        <v>78</v>
      </c>
      <c r="F20" s="174">
        <v>3870.0</v>
      </c>
      <c r="G20" s="117">
        <v>0.0</v>
      </c>
      <c r="H20" s="180">
        <f t="shared" si="2"/>
        <v>3870</v>
      </c>
      <c r="I20" s="181">
        <v>45946.0</v>
      </c>
      <c r="J20" s="120" t="s">
        <v>46</v>
      </c>
      <c r="K20" s="121"/>
      <c r="L20" s="121"/>
      <c r="M20" s="121"/>
      <c r="N20" s="122"/>
      <c r="O20" s="122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53"/>
      <c r="AA20" s="53"/>
      <c r="AB20" s="53"/>
      <c r="AC20" s="53"/>
    </row>
    <row r="21">
      <c r="A21" s="135" t="s">
        <v>19</v>
      </c>
      <c r="B21" s="160" t="s">
        <v>52</v>
      </c>
      <c r="C21" s="182" t="s">
        <v>76</v>
      </c>
      <c r="D21" s="145" t="s">
        <v>79</v>
      </c>
      <c r="E21" s="146" t="s">
        <v>80</v>
      </c>
      <c r="F21" s="174">
        <v>2000.0</v>
      </c>
      <c r="G21" s="117">
        <v>0.0</v>
      </c>
      <c r="H21" s="183">
        <f t="shared" si="2"/>
        <v>2000</v>
      </c>
      <c r="I21" s="119">
        <v>45947.0</v>
      </c>
      <c r="J21" s="120" t="s">
        <v>46</v>
      </c>
      <c r="K21" s="121"/>
      <c r="L21" s="121"/>
      <c r="M21" s="121"/>
      <c r="N21" s="122"/>
      <c r="O21" s="122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53"/>
      <c r="AA21" s="53"/>
      <c r="AB21" s="53"/>
      <c r="AC21" s="53"/>
    </row>
    <row r="22">
      <c r="A22" s="135" t="s">
        <v>19</v>
      </c>
      <c r="B22" s="160" t="s">
        <v>52</v>
      </c>
      <c r="C22" s="184" t="s">
        <v>81</v>
      </c>
      <c r="D22" s="145" t="s">
        <v>82</v>
      </c>
      <c r="E22" s="146" t="s">
        <v>83</v>
      </c>
      <c r="F22" s="174">
        <v>22198.0</v>
      </c>
      <c r="G22" s="117">
        <v>0.0</v>
      </c>
      <c r="H22" s="183">
        <f t="shared" si="2"/>
        <v>22198</v>
      </c>
      <c r="I22" s="153" t="s">
        <v>84</v>
      </c>
      <c r="J22" s="120" t="s">
        <v>46</v>
      </c>
      <c r="K22" s="121"/>
      <c r="L22" s="121"/>
      <c r="M22" s="121"/>
      <c r="N22" s="122"/>
      <c r="O22" s="122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53"/>
      <c r="AA22" s="53"/>
      <c r="AB22" s="53"/>
      <c r="AC22" s="53"/>
    </row>
    <row r="23">
      <c r="A23" s="142" t="s">
        <v>19</v>
      </c>
      <c r="B23" s="151" t="s">
        <v>58</v>
      </c>
      <c r="C23" s="164" t="s">
        <v>36</v>
      </c>
      <c r="D23" s="153" t="s">
        <v>60</v>
      </c>
      <c r="E23" s="154" t="s">
        <v>85</v>
      </c>
      <c r="F23" s="174">
        <v>14000.0</v>
      </c>
      <c r="G23" s="117">
        <v>0.0</v>
      </c>
      <c r="H23" s="185">
        <f t="shared" si="2"/>
        <v>14000</v>
      </c>
      <c r="I23" s="156">
        <v>45957.0</v>
      </c>
      <c r="J23" s="157"/>
      <c r="K23" s="121"/>
      <c r="L23" s="158" t="s">
        <v>62</v>
      </c>
      <c r="M23" s="121"/>
      <c r="N23" s="122"/>
      <c r="O23" s="122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53"/>
      <c r="AA23" s="53"/>
      <c r="AB23" s="53"/>
      <c r="AC23" s="53"/>
    </row>
    <row r="24">
      <c r="A24" s="135" t="s">
        <v>19</v>
      </c>
      <c r="B24" s="186" t="s">
        <v>58</v>
      </c>
      <c r="C24" s="187" t="s">
        <v>36</v>
      </c>
      <c r="D24" s="188" t="s">
        <v>60</v>
      </c>
      <c r="E24" s="189" t="s">
        <v>86</v>
      </c>
      <c r="F24" s="190">
        <v>-14000.0</v>
      </c>
      <c r="G24" s="170">
        <v>0.0</v>
      </c>
      <c r="H24" s="191">
        <f t="shared" si="2"/>
        <v>-14000</v>
      </c>
      <c r="I24" s="156">
        <v>45957.0</v>
      </c>
      <c r="J24" s="157"/>
      <c r="K24" s="121"/>
      <c r="L24" s="158" t="s">
        <v>62</v>
      </c>
      <c r="M24" s="132"/>
      <c r="N24" s="132"/>
      <c r="O24" s="132"/>
      <c r="P24" s="3"/>
      <c r="Q24" s="3"/>
      <c r="R24" s="3"/>
      <c r="S24" s="3"/>
      <c r="T24" s="3"/>
      <c r="U24" s="3"/>
      <c r="V24" s="3"/>
      <c r="W24" s="3"/>
      <c r="X24" s="3"/>
      <c r="Y24" s="3"/>
      <c r="Z24" s="133"/>
      <c r="AA24" s="133"/>
      <c r="AB24" s="133"/>
      <c r="AC24" s="133"/>
    </row>
    <row r="25">
      <c r="A25" s="142" t="s">
        <v>19</v>
      </c>
      <c r="B25" s="151" t="s">
        <v>58</v>
      </c>
      <c r="C25" s="164" t="s">
        <v>36</v>
      </c>
      <c r="D25" s="153" t="s">
        <v>60</v>
      </c>
      <c r="E25" s="154" t="s">
        <v>85</v>
      </c>
      <c r="F25" s="174">
        <v>21999.0</v>
      </c>
      <c r="G25" s="117">
        <v>0.0</v>
      </c>
      <c r="H25" s="185">
        <f t="shared" si="2"/>
        <v>21999</v>
      </c>
      <c r="I25" s="156">
        <v>45957.0</v>
      </c>
      <c r="J25" s="157"/>
      <c r="K25" s="121"/>
      <c r="L25" s="158" t="s">
        <v>62</v>
      </c>
      <c r="M25" s="121"/>
      <c r="N25" s="122"/>
      <c r="O25" s="122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53"/>
      <c r="AA25" s="53"/>
      <c r="AB25" s="53"/>
      <c r="AC25" s="53"/>
    </row>
    <row r="26">
      <c r="A26" s="142" t="s">
        <v>19</v>
      </c>
      <c r="B26" s="151" t="s">
        <v>58</v>
      </c>
      <c r="C26" s="164" t="s">
        <v>36</v>
      </c>
      <c r="D26" s="153" t="s">
        <v>60</v>
      </c>
      <c r="E26" s="154" t="s">
        <v>87</v>
      </c>
      <c r="F26" s="190">
        <v>-21999.0</v>
      </c>
      <c r="G26" s="117">
        <v>0.0</v>
      </c>
      <c r="H26" s="192">
        <f t="shared" si="2"/>
        <v>-21999</v>
      </c>
      <c r="I26" s="156">
        <v>45957.0</v>
      </c>
      <c r="J26" s="157"/>
      <c r="K26" s="121"/>
      <c r="L26" s="158" t="s">
        <v>62</v>
      </c>
      <c r="M26" s="121"/>
      <c r="N26" s="122"/>
      <c r="O26" s="122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53"/>
      <c r="AA26" s="53"/>
      <c r="AB26" s="53"/>
      <c r="AC26" s="53"/>
    </row>
    <row r="27">
      <c r="A27" s="142" t="s">
        <v>19</v>
      </c>
      <c r="B27" s="151" t="s">
        <v>58</v>
      </c>
      <c r="C27" s="193" t="s">
        <v>59</v>
      </c>
      <c r="D27" s="153" t="s">
        <v>60</v>
      </c>
      <c r="E27" s="154" t="s">
        <v>88</v>
      </c>
      <c r="F27" s="174">
        <v>819.94</v>
      </c>
      <c r="G27" s="117">
        <v>0.0</v>
      </c>
      <c r="H27" s="148">
        <f t="shared" si="2"/>
        <v>819.94</v>
      </c>
      <c r="I27" s="156">
        <v>45957.0</v>
      </c>
      <c r="J27" s="157"/>
      <c r="K27" s="121"/>
      <c r="L27" s="158" t="s">
        <v>62</v>
      </c>
      <c r="M27" s="121"/>
      <c r="N27" s="122"/>
      <c r="O27" s="122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53"/>
      <c r="AA27" s="53"/>
      <c r="AB27" s="53"/>
      <c r="AC27" s="53"/>
    </row>
    <row r="28">
      <c r="A28" s="135" t="s">
        <v>19</v>
      </c>
      <c r="B28" s="165" t="s">
        <v>42</v>
      </c>
      <c r="C28" s="144" t="s">
        <v>59</v>
      </c>
      <c r="D28" s="145" t="s">
        <v>89</v>
      </c>
      <c r="E28" s="146" t="s">
        <v>90</v>
      </c>
      <c r="F28" s="174">
        <v>25803.0</v>
      </c>
      <c r="G28" s="148">
        <f>F28*16%</f>
        <v>4128.48</v>
      </c>
      <c r="H28" s="148">
        <f t="shared" si="2"/>
        <v>29931.48</v>
      </c>
      <c r="I28" s="181">
        <v>45951.0</v>
      </c>
      <c r="J28" s="120" t="s">
        <v>46</v>
      </c>
      <c r="K28" s="121"/>
      <c r="L28" s="121"/>
      <c r="M28" s="121"/>
      <c r="N28" s="122"/>
      <c r="O28" s="122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53"/>
      <c r="AA28" s="53"/>
      <c r="AB28" s="53"/>
      <c r="AC28" s="53"/>
    </row>
    <row r="29">
      <c r="A29" s="135" t="s">
        <v>19</v>
      </c>
      <c r="B29" s="165" t="s">
        <v>42</v>
      </c>
      <c r="C29" s="194" t="s">
        <v>59</v>
      </c>
      <c r="D29" s="195" t="s">
        <v>91</v>
      </c>
      <c r="E29" s="196" t="s">
        <v>92</v>
      </c>
      <c r="F29" s="174">
        <v>2600.0</v>
      </c>
      <c r="G29" s="117">
        <v>0.0</v>
      </c>
      <c r="H29" s="148">
        <f t="shared" si="2"/>
        <v>2600</v>
      </c>
      <c r="I29" s="181">
        <v>45951.0</v>
      </c>
      <c r="J29" s="120" t="s">
        <v>46</v>
      </c>
      <c r="K29" s="121"/>
      <c r="L29" s="121"/>
      <c r="M29" s="121"/>
      <c r="N29" s="122"/>
      <c r="O29" s="122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53"/>
      <c r="AA29" s="53"/>
      <c r="AB29" s="53"/>
      <c r="AC29" s="53"/>
    </row>
    <row r="30">
      <c r="A30" s="135" t="s">
        <v>19</v>
      </c>
      <c r="B30" s="165" t="s">
        <v>42</v>
      </c>
      <c r="C30" s="194" t="s">
        <v>59</v>
      </c>
      <c r="D30" s="195" t="s">
        <v>93</v>
      </c>
      <c r="E30" s="197" t="s">
        <v>94</v>
      </c>
      <c r="F30" s="174">
        <v>2500.0</v>
      </c>
      <c r="G30" s="117">
        <v>0.0</v>
      </c>
      <c r="H30" s="148">
        <f t="shared" si="2"/>
        <v>2500</v>
      </c>
      <c r="I30" s="181">
        <v>45951.0</v>
      </c>
      <c r="J30" s="120" t="s">
        <v>46</v>
      </c>
      <c r="K30" s="121"/>
      <c r="L30" s="121"/>
      <c r="M30" s="121"/>
      <c r="N30" s="122"/>
      <c r="O30" s="122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53"/>
      <c r="AA30" s="53"/>
      <c r="AB30" s="53"/>
      <c r="AC30" s="53"/>
    </row>
    <row r="31">
      <c r="A31" s="135" t="s">
        <v>19</v>
      </c>
      <c r="B31" s="160" t="s">
        <v>52</v>
      </c>
      <c r="C31" s="198" t="s">
        <v>59</v>
      </c>
      <c r="D31" s="199" t="s">
        <v>95</v>
      </c>
      <c r="E31" s="200" t="s">
        <v>96</v>
      </c>
      <c r="F31" s="174">
        <v>1300.0</v>
      </c>
      <c r="G31" s="117">
        <v>0.0</v>
      </c>
      <c r="H31" s="183">
        <f t="shared" si="2"/>
        <v>1300</v>
      </c>
      <c r="I31" s="201">
        <v>45951.0</v>
      </c>
      <c r="J31" s="120" t="s">
        <v>46</v>
      </c>
      <c r="K31" s="121"/>
      <c r="L31" s="121"/>
      <c r="M31" s="121"/>
      <c r="N31" s="122"/>
      <c r="O31" s="122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53"/>
      <c r="AA31" s="53"/>
      <c r="AB31" s="53"/>
      <c r="AC31" s="53"/>
    </row>
    <row r="32">
      <c r="A32" s="135" t="s">
        <v>19</v>
      </c>
      <c r="B32" s="160" t="s">
        <v>52</v>
      </c>
      <c r="C32" s="161" t="s">
        <v>47</v>
      </c>
      <c r="D32" s="199" t="s">
        <v>64</v>
      </c>
      <c r="E32" s="200" t="s">
        <v>97</v>
      </c>
      <c r="F32" s="174">
        <v>2750.0</v>
      </c>
      <c r="G32" s="117">
        <v>0.0</v>
      </c>
      <c r="H32" s="183">
        <f t="shared" si="2"/>
        <v>2750</v>
      </c>
      <c r="I32" s="201">
        <v>45951.0</v>
      </c>
      <c r="J32" s="120" t="s">
        <v>46</v>
      </c>
      <c r="K32" s="121"/>
      <c r="L32" s="121"/>
      <c r="M32" s="121"/>
      <c r="N32" s="122"/>
      <c r="O32" s="122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53"/>
      <c r="AA32" s="53"/>
      <c r="AB32" s="53"/>
      <c r="AC32" s="53"/>
    </row>
    <row r="33">
      <c r="A33" s="202" t="s">
        <v>19</v>
      </c>
      <c r="B33" s="203" t="s">
        <v>52</v>
      </c>
      <c r="C33" s="204" t="s">
        <v>47</v>
      </c>
      <c r="D33" s="205" t="s">
        <v>64</v>
      </c>
      <c r="E33" s="206" t="s">
        <v>98</v>
      </c>
      <c r="F33" s="207">
        <v>2750.0</v>
      </c>
      <c r="G33" s="208">
        <v>0.0</v>
      </c>
      <c r="H33" s="209">
        <f t="shared" si="2"/>
        <v>2750</v>
      </c>
      <c r="I33" s="210">
        <v>45951.0</v>
      </c>
      <c r="J33" s="211" t="s">
        <v>46</v>
      </c>
      <c r="K33" s="212"/>
      <c r="L33" s="213"/>
      <c r="M33" s="212"/>
      <c r="N33" s="214"/>
      <c r="O33" s="214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6"/>
      <c r="AA33" s="216"/>
      <c r="AB33" s="216"/>
      <c r="AC33" s="216"/>
    </row>
    <row r="34">
      <c r="A34" s="135" t="s">
        <v>19</v>
      </c>
      <c r="B34" s="160" t="s">
        <v>52</v>
      </c>
      <c r="C34" s="217" t="s">
        <v>99</v>
      </c>
      <c r="D34" s="199" t="s">
        <v>100</v>
      </c>
      <c r="E34" s="200" t="s">
        <v>101</v>
      </c>
      <c r="F34" s="174">
        <v>300.0</v>
      </c>
      <c r="G34" s="117">
        <v>0.0</v>
      </c>
      <c r="H34" s="183">
        <f t="shared" si="2"/>
        <v>300</v>
      </c>
      <c r="I34" s="201">
        <v>45951.0</v>
      </c>
      <c r="J34" s="120" t="s">
        <v>46</v>
      </c>
      <c r="K34" s="121"/>
      <c r="L34" s="121"/>
      <c r="M34" s="121"/>
      <c r="N34" s="122"/>
      <c r="O34" s="122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53"/>
      <c r="AA34" s="53"/>
      <c r="AB34" s="53"/>
      <c r="AC34" s="53"/>
    </row>
    <row r="35">
      <c r="A35" s="135" t="s">
        <v>19</v>
      </c>
      <c r="B35" s="160" t="s">
        <v>52</v>
      </c>
      <c r="C35" s="217" t="s">
        <v>99</v>
      </c>
      <c r="D35" s="199" t="s">
        <v>102</v>
      </c>
      <c r="E35" s="200" t="s">
        <v>101</v>
      </c>
      <c r="F35" s="174">
        <v>300.0</v>
      </c>
      <c r="G35" s="117">
        <v>0.0</v>
      </c>
      <c r="H35" s="183">
        <f t="shared" si="2"/>
        <v>300</v>
      </c>
      <c r="I35" s="201">
        <v>45951.0</v>
      </c>
      <c r="J35" s="120" t="s">
        <v>46</v>
      </c>
      <c r="K35" s="121"/>
      <c r="L35" s="121"/>
      <c r="M35" s="121"/>
      <c r="N35" s="122"/>
      <c r="O35" s="122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53"/>
      <c r="AA35" s="53"/>
      <c r="AB35" s="53"/>
      <c r="AC35" s="53"/>
    </row>
    <row r="36">
      <c r="A36" s="142" t="s">
        <v>19</v>
      </c>
      <c r="B36" s="218" t="s">
        <v>58</v>
      </c>
      <c r="C36" s="219" t="s">
        <v>59</v>
      </c>
      <c r="D36" s="220" t="s">
        <v>60</v>
      </c>
      <c r="E36" s="221" t="s">
        <v>103</v>
      </c>
      <c r="F36" s="174">
        <v>1969.16</v>
      </c>
      <c r="G36" s="117">
        <v>0.0</v>
      </c>
      <c r="H36" s="180">
        <f t="shared" si="2"/>
        <v>1969.16</v>
      </c>
      <c r="I36" s="156">
        <v>45957.0</v>
      </c>
      <c r="J36" s="157"/>
      <c r="K36" s="121"/>
      <c r="L36" s="158" t="s">
        <v>62</v>
      </c>
      <c r="M36" s="121"/>
      <c r="N36" s="122"/>
      <c r="O36" s="122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53"/>
      <c r="AA36" s="53"/>
      <c r="AB36" s="53"/>
      <c r="AC36" s="53"/>
    </row>
    <row r="37">
      <c r="A37" s="135" t="s">
        <v>19</v>
      </c>
      <c r="B37" s="222" t="s">
        <v>58</v>
      </c>
      <c r="C37" s="219" t="s">
        <v>59</v>
      </c>
      <c r="D37" s="223" t="s">
        <v>60</v>
      </c>
      <c r="E37" s="224" t="s">
        <v>88</v>
      </c>
      <c r="F37" s="174">
        <v>507.68</v>
      </c>
      <c r="G37" s="170">
        <v>0.0</v>
      </c>
      <c r="H37" s="225">
        <f t="shared" si="2"/>
        <v>507.68</v>
      </c>
      <c r="I37" s="156">
        <v>45957.0</v>
      </c>
      <c r="J37" s="157"/>
      <c r="K37" s="121"/>
      <c r="L37" s="158" t="s">
        <v>62</v>
      </c>
      <c r="M37" s="132"/>
      <c r="N37" s="132"/>
      <c r="O37" s="132"/>
      <c r="P37" s="3"/>
      <c r="Q37" s="3"/>
      <c r="R37" s="3"/>
      <c r="S37" s="3"/>
      <c r="T37" s="3"/>
      <c r="U37" s="3"/>
      <c r="V37" s="3"/>
      <c r="W37" s="3"/>
      <c r="X37" s="3"/>
      <c r="Y37" s="3"/>
      <c r="Z37" s="133"/>
      <c r="AA37" s="133"/>
      <c r="AB37" s="133"/>
      <c r="AC37" s="133"/>
    </row>
    <row r="38">
      <c r="A38" s="135" t="s">
        <v>19</v>
      </c>
      <c r="B38" s="222" t="s">
        <v>42</v>
      </c>
      <c r="C38" s="182" t="s">
        <v>76</v>
      </c>
      <c r="D38" s="199" t="s">
        <v>77</v>
      </c>
      <c r="E38" s="200" t="s">
        <v>104</v>
      </c>
      <c r="F38" s="226">
        <v>3870.0</v>
      </c>
      <c r="G38" s="117">
        <v>0.0</v>
      </c>
      <c r="H38" s="180">
        <f t="shared" si="2"/>
        <v>3870</v>
      </c>
      <c r="I38" s="181">
        <v>45952.0</v>
      </c>
      <c r="J38" s="120" t="s">
        <v>46</v>
      </c>
      <c r="K38" s="121"/>
      <c r="L38" s="121"/>
      <c r="M38" s="121"/>
      <c r="N38" s="122"/>
      <c r="O38" s="122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53"/>
      <c r="AA38" s="53"/>
      <c r="AB38" s="53"/>
      <c r="AC38" s="53"/>
    </row>
    <row r="39">
      <c r="A39" s="135" t="s">
        <v>19</v>
      </c>
      <c r="B39" s="222" t="s">
        <v>42</v>
      </c>
      <c r="C39" s="152">
        <v>6366.0</v>
      </c>
      <c r="D39" s="199" t="s">
        <v>105</v>
      </c>
      <c r="E39" s="200" t="s">
        <v>106</v>
      </c>
      <c r="F39" s="226">
        <v>35700.0</v>
      </c>
      <c r="G39" s="117">
        <f>F39*16%</f>
        <v>5712</v>
      </c>
      <c r="H39" s="180">
        <f t="shared" si="2"/>
        <v>41412</v>
      </c>
      <c r="I39" s="181">
        <v>45952.0</v>
      </c>
      <c r="J39" s="120" t="s">
        <v>46</v>
      </c>
      <c r="K39" s="157"/>
      <c r="L39" s="121"/>
      <c r="M39" s="121"/>
      <c r="N39" s="122"/>
      <c r="O39" s="122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53"/>
      <c r="AA39" s="53"/>
      <c r="AB39" s="53"/>
      <c r="AC39" s="53"/>
    </row>
    <row r="40">
      <c r="A40" s="135" t="s">
        <v>19</v>
      </c>
      <c r="B40" s="222" t="s">
        <v>42</v>
      </c>
      <c r="C40" s="227" t="s">
        <v>59</v>
      </c>
      <c r="D40" s="228" t="s">
        <v>107</v>
      </c>
      <c r="E40" s="229" t="s">
        <v>108</v>
      </c>
      <c r="F40" s="226">
        <v>1300.0</v>
      </c>
      <c r="G40" s="117">
        <v>0.0</v>
      </c>
      <c r="H40" s="180">
        <f t="shared" si="2"/>
        <v>1300</v>
      </c>
      <c r="I40" s="230">
        <v>45952.0</v>
      </c>
      <c r="J40" s="120" t="s">
        <v>46</v>
      </c>
      <c r="K40" s="157"/>
      <c r="L40" s="121"/>
      <c r="M40" s="121"/>
      <c r="N40" s="122"/>
      <c r="O40" s="122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53"/>
      <c r="AA40" s="53"/>
      <c r="AB40" s="53"/>
      <c r="AC40" s="53"/>
    </row>
    <row r="41">
      <c r="A41" s="135" t="s">
        <v>19</v>
      </c>
      <c r="B41" s="222" t="s">
        <v>42</v>
      </c>
      <c r="C41" s="227" t="s">
        <v>59</v>
      </c>
      <c r="D41" s="228" t="s">
        <v>107</v>
      </c>
      <c r="E41" s="229" t="s">
        <v>109</v>
      </c>
      <c r="F41" s="226">
        <v>1300.0</v>
      </c>
      <c r="G41" s="117">
        <v>0.0</v>
      </c>
      <c r="H41" s="180">
        <f t="shared" si="2"/>
        <v>1300</v>
      </c>
      <c r="I41" s="230">
        <v>45952.0</v>
      </c>
      <c r="J41" s="120" t="s">
        <v>46</v>
      </c>
      <c r="K41" s="157"/>
      <c r="L41" s="121"/>
      <c r="M41" s="121"/>
      <c r="N41" s="122"/>
      <c r="O41" s="122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53"/>
      <c r="AA41" s="53"/>
      <c r="AB41" s="53"/>
      <c r="AC41" s="53"/>
    </row>
    <row r="42">
      <c r="A42" s="231" t="s">
        <v>19</v>
      </c>
      <c r="B42" s="100" t="s">
        <v>42</v>
      </c>
      <c r="C42" s="232" t="s">
        <v>59</v>
      </c>
      <c r="D42" s="228" t="s">
        <v>107</v>
      </c>
      <c r="E42" s="229" t="s">
        <v>110</v>
      </c>
      <c r="F42" s="226">
        <v>1300.0</v>
      </c>
      <c r="G42" s="117">
        <v>0.0</v>
      </c>
      <c r="H42" s="180">
        <f t="shared" si="2"/>
        <v>1300</v>
      </c>
      <c r="I42" s="230">
        <v>45952.0</v>
      </c>
      <c r="J42" s="120" t="s">
        <v>46</v>
      </c>
      <c r="K42" s="157"/>
      <c r="L42" s="121"/>
      <c r="M42" s="121"/>
      <c r="N42" s="122"/>
      <c r="O42" s="122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53"/>
      <c r="AA42" s="53"/>
      <c r="AB42" s="53"/>
      <c r="AC42" s="53"/>
    </row>
    <row r="43">
      <c r="A43" s="233" t="s">
        <v>19</v>
      </c>
      <c r="B43" s="234" t="s">
        <v>42</v>
      </c>
      <c r="C43" s="152" t="s">
        <v>76</v>
      </c>
      <c r="D43" s="145" t="s">
        <v>111</v>
      </c>
      <c r="E43" s="235" t="s">
        <v>112</v>
      </c>
      <c r="F43" s="174">
        <v>1380.0</v>
      </c>
      <c r="G43" s="236">
        <v>0.0</v>
      </c>
      <c r="H43" s="75">
        <f t="shared" si="2"/>
        <v>1380</v>
      </c>
      <c r="I43" s="181">
        <v>45952.0</v>
      </c>
      <c r="J43" s="120" t="s">
        <v>46</v>
      </c>
      <c r="K43" s="157"/>
      <c r="L43" s="121"/>
      <c r="M43" s="121"/>
      <c r="N43" s="122"/>
      <c r="O43" s="122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53"/>
      <c r="AA43" s="53"/>
      <c r="AB43" s="53"/>
      <c r="AC43" s="53"/>
    </row>
    <row r="44">
      <c r="A44" s="233" t="s">
        <v>19</v>
      </c>
      <c r="B44" s="234" t="s">
        <v>42</v>
      </c>
      <c r="C44" s="179" t="s">
        <v>59</v>
      </c>
      <c r="D44" s="145" t="s">
        <v>91</v>
      </c>
      <c r="E44" s="235" t="s">
        <v>113</v>
      </c>
      <c r="F44" s="174">
        <v>350.0</v>
      </c>
      <c r="G44" s="236">
        <v>0.0</v>
      </c>
      <c r="H44" s="237">
        <f t="shared" si="2"/>
        <v>350</v>
      </c>
      <c r="I44" s="238">
        <v>45953.0</v>
      </c>
      <c r="J44" s="120" t="s">
        <v>46</v>
      </c>
      <c r="K44" s="157"/>
      <c r="L44" s="121"/>
      <c r="M44" s="121"/>
      <c r="N44" s="122"/>
      <c r="O44" s="122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53"/>
      <c r="AA44" s="53"/>
      <c r="AB44" s="53"/>
      <c r="AC44" s="53"/>
    </row>
    <row r="45">
      <c r="A45" s="233" t="s">
        <v>19</v>
      </c>
      <c r="B45" s="234" t="s">
        <v>42</v>
      </c>
      <c r="C45" s="153" t="s">
        <v>47</v>
      </c>
      <c r="D45" s="145" t="s">
        <v>64</v>
      </c>
      <c r="E45" s="239" t="s">
        <v>114</v>
      </c>
      <c r="F45" s="174">
        <v>2750.0</v>
      </c>
      <c r="G45" s="236">
        <v>0.0</v>
      </c>
      <c r="H45" s="237">
        <f t="shared" si="2"/>
        <v>2750</v>
      </c>
      <c r="I45" s="238">
        <v>45953.0</v>
      </c>
      <c r="J45" s="120" t="s">
        <v>46</v>
      </c>
      <c r="K45" s="157"/>
      <c r="L45" s="121"/>
      <c r="M45" s="121"/>
      <c r="N45" s="122"/>
      <c r="O45" s="122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53"/>
      <c r="AA45" s="53"/>
      <c r="AB45" s="53"/>
      <c r="AC45" s="53"/>
    </row>
    <row r="46">
      <c r="A46" s="233" t="s">
        <v>19</v>
      </c>
      <c r="B46" s="234" t="s">
        <v>42</v>
      </c>
      <c r="C46" s="153" t="s">
        <v>47</v>
      </c>
      <c r="D46" s="145" t="s">
        <v>115</v>
      </c>
      <c r="E46" s="235" t="s">
        <v>116</v>
      </c>
      <c r="F46" s="174">
        <v>300.0</v>
      </c>
      <c r="G46" s="236">
        <v>0.0</v>
      </c>
      <c r="H46" s="237">
        <f t="shared" si="2"/>
        <v>300</v>
      </c>
      <c r="I46" s="240">
        <v>45953.0</v>
      </c>
      <c r="J46" s="120" t="s">
        <v>46</v>
      </c>
      <c r="K46" s="157"/>
      <c r="L46" s="121"/>
      <c r="M46" s="121"/>
      <c r="N46" s="122"/>
      <c r="O46" s="12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53"/>
      <c r="AA46" s="53"/>
      <c r="AB46" s="53"/>
      <c r="AC46" s="53"/>
    </row>
    <row r="47">
      <c r="A47" s="233" t="s">
        <v>19</v>
      </c>
      <c r="B47" s="234" t="s">
        <v>42</v>
      </c>
      <c r="C47" s="153" t="s">
        <v>47</v>
      </c>
      <c r="D47" s="145" t="s">
        <v>117</v>
      </c>
      <c r="E47" s="235" t="s">
        <v>116</v>
      </c>
      <c r="F47" s="174">
        <v>300.0</v>
      </c>
      <c r="G47" s="236">
        <v>0.0</v>
      </c>
      <c r="H47" s="237">
        <f t="shared" si="2"/>
        <v>300</v>
      </c>
      <c r="I47" s="240">
        <v>45953.0</v>
      </c>
      <c r="J47" s="120" t="s">
        <v>46</v>
      </c>
      <c r="K47" s="157"/>
      <c r="L47" s="121"/>
      <c r="M47" s="121"/>
      <c r="N47" s="122"/>
      <c r="O47" s="122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53"/>
      <c r="AA47" s="53"/>
      <c r="AB47" s="53"/>
      <c r="AC47" s="53"/>
    </row>
    <row r="48">
      <c r="A48" s="233" t="s">
        <v>19</v>
      </c>
      <c r="B48" s="234" t="s">
        <v>42</v>
      </c>
      <c r="C48" s="153" t="s">
        <v>47</v>
      </c>
      <c r="D48" s="145" t="s">
        <v>118</v>
      </c>
      <c r="E48" s="235" t="s">
        <v>116</v>
      </c>
      <c r="F48" s="174">
        <v>300.0</v>
      </c>
      <c r="G48" s="236">
        <v>0.0</v>
      </c>
      <c r="H48" s="237">
        <f t="shared" si="2"/>
        <v>300</v>
      </c>
      <c r="I48" s="240">
        <v>45953.0</v>
      </c>
      <c r="J48" s="120" t="s">
        <v>46</v>
      </c>
      <c r="K48" s="157"/>
      <c r="L48" s="121"/>
      <c r="M48" s="121"/>
      <c r="N48" s="122"/>
      <c r="O48" s="122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53"/>
      <c r="AA48" s="53"/>
      <c r="AB48" s="53"/>
      <c r="AC48" s="53"/>
    </row>
    <row r="49">
      <c r="A49" s="233" t="s">
        <v>19</v>
      </c>
      <c r="B49" s="234" t="s">
        <v>42</v>
      </c>
      <c r="C49" s="194" t="s">
        <v>59</v>
      </c>
      <c r="D49" s="145" t="s">
        <v>93</v>
      </c>
      <c r="E49" s="235" t="s">
        <v>119</v>
      </c>
      <c r="F49" s="174">
        <v>500.0</v>
      </c>
      <c r="G49" s="236">
        <v>0.0</v>
      </c>
      <c r="H49" s="237">
        <f t="shared" si="2"/>
        <v>500</v>
      </c>
      <c r="I49" s="240">
        <v>45953.0</v>
      </c>
      <c r="J49" s="120" t="s">
        <v>46</v>
      </c>
      <c r="K49" s="157"/>
      <c r="L49" s="121"/>
      <c r="M49" s="121"/>
      <c r="N49" s="122"/>
      <c r="O49" s="122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53"/>
      <c r="AA49" s="53"/>
      <c r="AB49" s="53"/>
      <c r="AC49" s="53"/>
    </row>
    <row r="50">
      <c r="A50" s="233" t="s">
        <v>19</v>
      </c>
      <c r="B50" s="234" t="s">
        <v>42</v>
      </c>
      <c r="C50" s="194" t="s">
        <v>59</v>
      </c>
      <c r="D50" s="145" t="s">
        <v>93</v>
      </c>
      <c r="E50" s="235" t="s">
        <v>120</v>
      </c>
      <c r="F50" s="174">
        <v>100.0</v>
      </c>
      <c r="G50" s="236">
        <v>0.0</v>
      </c>
      <c r="H50" s="237">
        <f t="shared" si="2"/>
        <v>100</v>
      </c>
      <c r="I50" s="240">
        <v>45953.0</v>
      </c>
      <c r="J50" s="120" t="s">
        <v>46</v>
      </c>
      <c r="K50" s="157"/>
      <c r="L50" s="121"/>
      <c r="M50" s="121"/>
      <c r="N50" s="122"/>
      <c r="O50" s="122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53"/>
      <c r="AA50" s="53"/>
      <c r="AB50" s="53"/>
      <c r="AC50" s="53"/>
    </row>
    <row r="51">
      <c r="A51" s="233" t="s">
        <v>19</v>
      </c>
      <c r="B51" s="234" t="s">
        <v>42</v>
      </c>
      <c r="C51" s="241" t="s">
        <v>59</v>
      </c>
      <c r="D51" s="145" t="s">
        <v>93</v>
      </c>
      <c r="E51" s="235" t="s">
        <v>121</v>
      </c>
      <c r="F51" s="174">
        <v>7700.0</v>
      </c>
      <c r="G51" s="236">
        <v>0.0</v>
      </c>
      <c r="H51" s="237">
        <f t="shared" si="2"/>
        <v>7700</v>
      </c>
      <c r="I51" s="238">
        <v>45953.0</v>
      </c>
      <c r="J51" s="120" t="s">
        <v>46</v>
      </c>
      <c r="K51" s="157"/>
      <c r="L51" s="158" t="s">
        <v>62</v>
      </c>
      <c r="M51" s="121"/>
      <c r="N51" s="122"/>
      <c r="O51" s="122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53"/>
      <c r="AA51" s="53"/>
      <c r="AB51" s="53"/>
      <c r="AC51" s="53"/>
    </row>
    <row r="52">
      <c r="A52" s="233" t="s">
        <v>19</v>
      </c>
      <c r="B52" s="153" t="s">
        <v>58</v>
      </c>
      <c r="C52" s="242" t="s">
        <v>122</v>
      </c>
      <c r="D52" s="153" t="s">
        <v>60</v>
      </c>
      <c r="E52" s="239" t="s">
        <v>123</v>
      </c>
      <c r="F52" s="174">
        <v>896.55</v>
      </c>
      <c r="G52" s="148">
        <f t="shared" ref="G52:G53" si="3">F52*16%</f>
        <v>143.448</v>
      </c>
      <c r="H52" s="180">
        <f t="shared" si="2"/>
        <v>1039.998</v>
      </c>
      <c r="I52" s="243" t="s">
        <v>84</v>
      </c>
      <c r="J52" s="157"/>
      <c r="K52" s="157"/>
      <c r="L52" s="121"/>
      <c r="M52" s="121"/>
      <c r="N52" s="122"/>
      <c r="O52" s="122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53"/>
      <c r="AA52" s="53"/>
      <c r="AB52" s="53"/>
      <c r="AC52" s="53"/>
    </row>
    <row r="53">
      <c r="A53" s="233" t="s">
        <v>19</v>
      </c>
      <c r="B53" s="153" t="s">
        <v>58</v>
      </c>
      <c r="C53" s="242" t="s">
        <v>122</v>
      </c>
      <c r="D53" s="153" t="s">
        <v>60</v>
      </c>
      <c r="E53" s="239" t="s">
        <v>123</v>
      </c>
      <c r="F53" s="174">
        <v>12327.59</v>
      </c>
      <c r="G53" s="148">
        <f t="shared" si="3"/>
        <v>1972.4144</v>
      </c>
      <c r="H53" s="180">
        <f t="shared" si="2"/>
        <v>14300.0044</v>
      </c>
      <c r="I53" s="243" t="s">
        <v>84</v>
      </c>
      <c r="J53" s="157"/>
      <c r="K53" s="157"/>
      <c r="L53" s="121"/>
      <c r="M53" s="121"/>
      <c r="N53" s="122"/>
      <c r="O53" s="122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53"/>
      <c r="AA53" s="53"/>
      <c r="AB53" s="53"/>
      <c r="AC53" s="53"/>
    </row>
    <row r="54">
      <c r="A54" s="233" t="s">
        <v>19</v>
      </c>
      <c r="B54" s="153" t="s">
        <v>58</v>
      </c>
      <c r="C54" s="244" t="s">
        <v>122</v>
      </c>
      <c r="D54" s="153" t="s">
        <v>60</v>
      </c>
      <c r="E54" s="239" t="s">
        <v>123</v>
      </c>
      <c r="F54" s="174">
        <v>19109.33</v>
      </c>
      <c r="G54" s="117">
        <v>2890.67</v>
      </c>
      <c r="H54" s="180">
        <f t="shared" si="2"/>
        <v>22000</v>
      </c>
      <c r="I54" s="245">
        <v>45957.0</v>
      </c>
      <c r="J54" s="157"/>
      <c r="K54" s="157"/>
      <c r="L54" s="121"/>
      <c r="M54" s="121"/>
      <c r="N54" s="122"/>
      <c r="O54" s="122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53"/>
      <c r="AA54" s="53"/>
      <c r="AB54" s="53"/>
      <c r="AC54" s="53"/>
    </row>
    <row r="55">
      <c r="A55" s="135" t="s">
        <v>19</v>
      </c>
      <c r="B55" s="160" t="s">
        <v>52</v>
      </c>
      <c r="C55" s="194" t="s">
        <v>59</v>
      </c>
      <c r="D55" s="145" t="s">
        <v>93</v>
      </c>
      <c r="E55" s="235" t="s">
        <v>124</v>
      </c>
      <c r="F55" s="174">
        <v>200.0</v>
      </c>
      <c r="G55" s="117">
        <v>0.0</v>
      </c>
      <c r="H55" s="183">
        <f t="shared" si="2"/>
        <v>200</v>
      </c>
      <c r="I55" s="246">
        <v>45954.0</v>
      </c>
      <c r="J55" s="120" t="s">
        <v>46</v>
      </c>
      <c r="K55" s="157"/>
      <c r="L55" s="247" t="s">
        <v>125</v>
      </c>
      <c r="M55" s="121"/>
      <c r="N55" s="122"/>
      <c r="O55" s="122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53"/>
      <c r="AA55" s="53"/>
      <c r="AB55" s="53"/>
      <c r="AC55" s="53"/>
    </row>
    <row r="56">
      <c r="A56" s="135" t="s">
        <v>19</v>
      </c>
      <c r="B56" s="160" t="s">
        <v>52</v>
      </c>
      <c r="C56" s="194" t="s">
        <v>59</v>
      </c>
      <c r="D56" s="145" t="s">
        <v>126</v>
      </c>
      <c r="E56" s="235" t="s">
        <v>127</v>
      </c>
      <c r="F56" s="174">
        <v>200.0</v>
      </c>
      <c r="G56" s="117">
        <v>0.0</v>
      </c>
      <c r="H56" s="183">
        <f t="shared" si="2"/>
        <v>200</v>
      </c>
      <c r="I56" s="246">
        <v>45954.0</v>
      </c>
      <c r="J56" s="120" t="s">
        <v>46</v>
      </c>
      <c r="K56" s="157"/>
      <c r="L56" s="248">
        <f>F65+F64+F63+F62+F11+F10+F9+F8</f>
        <v>200000</v>
      </c>
      <c r="M56" s="121"/>
      <c r="N56" s="122"/>
      <c r="O56" s="122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53"/>
      <c r="AA56" s="53"/>
      <c r="AB56" s="53"/>
      <c r="AC56" s="53"/>
    </row>
    <row r="57">
      <c r="A57" s="135" t="s">
        <v>19</v>
      </c>
      <c r="B57" s="160" t="s">
        <v>52</v>
      </c>
      <c r="C57" s="194" t="s">
        <v>59</v>
      </c>
      <c r="D57" s="145" t="s">
        <v>128</v>
      </c>
      <c r="E57" s="235" t="s">
        <v>129</v>
      </c>
      <c r="F57" s="174">
        <v>100.0</v>
      </c>
      <c r="G57" s="117">
        <v>0.0</v>
      </c>
      <c r="H57" s="183">
        <f t="shared" si="2"/>
        <v>100</v>
      </c>
      <c r="I57" s="249">
        <v>45954.0</v>
      </c>
      <c r="J57" s="120" t="s">
        <v>46</v>
      </c>
      <c r="K57" s="157"/>
      <c r="L57" s="121"/>
      <c r="M57" s="121"/>
      <c r="N57" s="122"/>
      <c r="O57" s="122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53"/>
      <c r="AA57" s="53"/>
      <c r="AB57" s="53"/>
      <c r="AC57" s="53"/>
    </row>
    <row r="58">
      <c r="A58" s="135" t="s">
        <v>19</v>
      </c>
      <c r="B58" s="160" t="s">
        <v>52</v>
      </c>
      <c r="C58" s="194" t="s">
        <v>59</v>
      </c>
      <c r="D58" s="145" t="s">
        <v>100</v>
      </c>
      <c r="E58" s="235" t="s">
        <v>130</v>
      </c>
      <c r="F58" s="174">
        <v>300.0</v>
      </c>
      <c r="G58" s="117">
        <v>0.0</v>
      </c>
      <c r="H58" s="183">
        <f t="shared" si="2"/>
        <v>300</v>
      </c>
      <c r="I58" s="249">
        <v>45954.0</v>
      </c>
      <c r="J58" s="120" t="s">
        <v>46</v>
      </c>
      <c r="K58" s="157"/>
      <c r="L58" s="121"/>
      <c r="M58" s="121"/>
      <c r="N58" s="122"/>
      <c r="O58" s="122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53"/>
      <c r="AA58" s="53"/>
      <c r="AB58" s="53"/>
      <c r="AC58" s="53"/>
    </row>
    <row r="59">
      <c r="A59" s="135" t="s">
        <v>19</v>
      </c>
      <c r="B59" s="160" t="s">
        <v>52</v>
      </c>
      <c r="C59" s="194" t="s">
        <v>59</v>
      </c>
      <c r="D59" s="145" t="s">
        <v>102</v>
      </c>
      <c r="E59" s="235" t="s">
        <v>131</v>
      </c>
      <c r="F59" s="174">
        <v>300.0</v>
      </c>
      <c r="G59" s="117">
        <v>0.0</v>
      </c>
      <c r="H59" s="183">
        <f t="shared" si="2"/>
        <v>300</v>
      </c>
      <c r="I59" s="249">
        <v>45954.0</v>
      </c>
      <c r="J59" s="120" t="s">
        <v>46</v>
      </c>
      <c r="K59" s="157"/>
      <c r="L59" s="121"/>
      <c r="M59" s="121"/>
      <c r="N59" s="122"/>
      <c r="O59" s="122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53"/>
      <c r="AA59" s="53"/>
      <c r="AB59" s="53"/>
      <c r="AC59" s="53"/>
    </row>
    <row r="60">
      <c r="A60" s="135" t="s">
        <v>19</v>
      </c>
      <c r="B60" s="160" t="s">
        <v>52</v>
      </c>
      <c r="C60" s="194" t="s">
        <v>59</v>
      </c>
      <c r="D60" s="145" t="s">
        <v>126</v>
      </c>
      <c r="E60" s="235" t="s">
        <v>132</v>
      </c>
      <c r="F60" s="174">
        <v>300.0</v>
      </c>
      <c r="G60" s="117">
        <v>0.0</v>
      </c>
      <c r="H60" s="183">
        <f t="shared" si="2"/>
        <v>300</v>
      </c>
      <c r="I60" s="249">
        <v>45954.0</v>
      </c>
      <c r="J60" s="120" t="s">
        <v>46</v>
      </c>
      <c r="K60" s="157"/>
      <c r="L60" s="121"/>
      <c r="M60" s="121"/>
      <c r="N60" s="122"/>
      <c r="O60" s="122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53"/>
      <c r="AA60" s="53"/>
      <c r="AB60" s="53"/>
      <c r="AC60" s="53"/>
    </row>
    <row r="61">
      <c r="A61" s="250" t="s">
        <v>19</v>
      </c>
      <c r="B61" s="153" t="s">
        <v>42</v>
      </c>
      <c r="C61" s="251" t="s">
        <v>76</v>
      </c>
      <c r="D61" s="145" t="s">
        <v>79</v>
      </c>
      <c r="E61" s="235" t="s">
        <v>133</v>
      </c>
      <c r="F61" s="226">
        <v>2000.0</v>
      </c>
      <c r="G61" s="117">
        <v>0.0</v>
      </c>
      <c r="H61" s="75">
        <f t="shared" si="2"/>
        <v>2000</v>
      </c>
      <c r="I61" s="181">
        <v>45954.0</v>
      </c>
      <c r="J61" s="120" t="s">
        <v>46</v>
      </c>
      <c r="K61" s="157"/>
      <c r="L61" s="121"/>
      <c r="M61" s="121"/>
      <c r="N61" s="122"/>
      <c r="O61" s="122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53"/>
      <c r="AA61" s="53"/>
      <c r="AB61" s="53"/>
      <c r="AC61" s="53"/>
    </row>
    <row r="62">
      <c r="A62" s="250" t="s">
        <v>19</v>
      </c>
      <c r="B62" s="252" t="s">
        <v>42</v>
      </c>
      <c r="C62" s="252" t="s">
        <v>47</v>
      </c>
      <c r="D62" s="253" t="s">
        <v>48</v>
      </c>
      <c r="E62" s="254" t="s">
        <v>49</v>
      </c>
      <c r="F62" s="255">
        <v>30000.0</v>
      </c>
      <c r="G62" s="117">
        <v>0.0</v>
      </c>
      <c r="H62" s="75">
        <f t="shared" si="2"/>
        <v>30000</v>
      </c>
      <c r="I62" s="230">
        <v>45954.0</v>
      </c>
      <c r="J62" s="120" t="s">
        <v>46</v>
      </c>
      <c r="K62" s="157"/>
      <c r="L62" s="121"/>
      <c r="M62" s="121"/>
      <c r="N62" s="122"/>
      <c r="O62" s="122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53"/>
      <c r="AA62" s="53"/>
      <c r="AB62" s="53"/>
      <c r="AC62" s="53"/>
    </row>
    <row r="63">
      <c r="A63" s="250" t="s">
        <v>19</v>
      </c>
      <c r="B63" s="252" t="s">
        <v>42</v>
      </c>
      <c r="C63" s="252" t="s">
        <v>47</v>
      </c>
      <c r="D63" s="253" t="s">
        <v>134</v>
      </c>
      <c r="E63" s="254" t="s">
        <v>49</v>
      </c>
      <c r="F63" s="255">
        <v>30000.0</v>
      </c>
      <c r="G63" s="117">
        <v>0.0</v>
      </c>
      <c r="H63" s="75">
        <f t="shared" si="2"/>
        <v>30000</v>
      </c>
      <c r="I63" s="230">
        <v>45954.0</v>
      </c>
      <c r="J63" s="120" t="s">
        <v>46</v>
      </c>
      <c r="K63" s="157"/>
      <c r="L63" s="121"/>
      <c r="M63" s="121"/>
      <c r="N63" s="122"/>
      <c r="O63" s="122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53"/>
      <c r="AA63" s="53"/>
      <c r="AB63" s="53"/>
      <c r="AC63" s="53"/>
    </row>
    <row r="64">
      <c r="A64" s="250" t="s">
        <v>19</v>
      </c>
      <c r="B64" s="252" t="s">
        <v>42</v>
      </c>
      <c r="C64" s="252" t="s">
        <v>47</v>
      </c>
      <c r="D64" s="253" t="s">
        <v>135</v>
      </c>
      <c r="E64" s="254" t="s">
        <v>49</v>
      </c>
      <c r="F64" s="255">
        <v>30000.0</v>
      </c>
      <c r="G64" s="117">
        <v>0.0</v>
      </c>
      <c r="H64" s="75">
        <f t="shared" si="2"/>
        <v>30000</v>
      </c>
      <c r="I64" s="230">
        <v>45954.0</v>
      </c>
      <c r="J64" s="120" t="s">
        <v>46</v>
      </c>
      <c r="K64" s="157"/>
      <c r="L64" s="121"/>
      <c r="M64" s="121"/>
      <c r="N64" s="122"/>
      <c r="O64" s="122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53"/>
      <c r="AA64" s="53"/>
      <c r="AB64" s="53"/>
      <c r="AC64" s="53"/>
    </row>
    <row r="65">
      <c r="A65" s="250" t="s">
        <v>19</v>
      </c>
      <c r="B65" s="252" t="s">
        <v>42</v>
      </c>
      <c r="C65" s="252" t="s">
        <v>47</v>
      </c>
      <c r="D65" s="253" t="s">
        <v>53</v>
      </c>
      <c r="E65" s="254" t="s">
        <v>49</v>
      </c>
      <c r="F65" s="255">
        <v>30000.0</v>
      </c>
      <c r="G65" s="117">
        <v>0.0</v>
      </c>
      <c r="H65" s="75">
        <f t="shared" si="2"/>
        <v>30000</v>
      </c>
      <c r="I65" s="230">
        <v>45954.0</v>
      </c>
      <c r="J65" s="120" t="s">
        <v>46</v>
      </c>
      <c r="K65" s="157"/>
      <c r="L65" s="121"/>
      <c r="M65" s="121"/>
      <c r="N65" s="122"/>
      <c r="O65" s="122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53"/>
      <c r="AA65" s="53"/>
      <c r="AB65" s="53"/>
      <c r="AC65" s="53"/>
    </row>
    <row r="66">
      <c r="A66" s="250" t="s">
        <v>19</v>
      </c>
      <c r="B66" s="256" t="s">
        <v>42</v>
      </c>
      <c r="C66" s="256" t="s">
        <v>47</v>
      </c>
      <c r="D66" s="257" t="s">
        <v>136</v>
      </c>
      <c r="E66" s="258" t="s">
        <v>49</v>
      </c>
      <c r="F66" s="259">
        <v>80000.0</v>
      </c>
      <c r="G66" s="260">
        <v>0.0</v>
      </c>
      <c r="H66" s="261">
        <f t="shared" si="2"/>
        <v>80000</v>
      </c>
      <c r="I66" s="262">
        <v>45954.0</v>
      </c>
      <c r="J66" s="120"/>
      <c r="K66" s="157"/>
      <c r="L66" s="158" t="s">
        <v>137</v>
      </c>
      <c r="M66" s="121"/>
      <c r="N66" s="122"/>
      <c r="O66" s="122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53"/>
      <c r="AA66" s="53"/>
      <c r="AB66" s="53"/>
      <c r="AC66" s="53"/>
    </row>
    <row r="67">
      <c r="A67" s="250" t="s">
        <v>19</v>
      </c>
      <c r="B67" s="153" t="s">
        <v>42</v>
      </c>
      <c r="C67" s="263" t="s">
        <v>36</v>
      </c>
      <c r="D67" s="145" t="s">
        <v>138</v>
      </c>
      <c r="E67" s="235" t="s">
        <v>139</v>
      </c>
      <c r="F67" s="226">
        <v>17000.0</v>
      </c>
      <c r="G67" s="117">
        <v>0.0</v>
      </c>
      <c r="H67" s="180">
        <f t="shared" si="2"/>
        <v>17000</v>
      </c>
      <c r="I67" s="230">
        <v>45954.0</v>
      </c>
      <c r="J67" s="120" t="s">
        <v>46</v>
      </c>
      <c r="K67" s="157"/>
      <c r="L67" s="158">
        <v>80000.0</v>
      </c>
      <c r="M67" s="121"/>
      <c r="N67" s="122"/>
      <c r="O67" s="122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53"/>
      <c r="AA67" s="53"/>
      <c r="AB67" s="53"/>
      <c r="AC67" s="53"/>
    </row>
    <row r="68">
      <c r="A68" s="135" t="s">
        <v>19</v>
      </c>
      <c r="B68" s="160" t="s">
        <v>52</v>
      </c>
      <c r="C68" s="263" t="s">
        <v>36</v>
      </c>
      <c r="D68" s="145" t="s">
        <v>66</v>
      </c>
      <c r="E68" s="235" t="s">
        <v>140</v>
      </c>
      <c r="F68" s="226">
        <v>25000.0</v>
      </c>
      <c r="G68" s="117">
        <v>0.0</v>
      </c>
      <c r="H68" s="264">
        <f t="shared" si="2"/>
        <v>25000</v>
      </c>
      <c r="I68" s="265">
        <v>45955.0</v>
      </c>
      <c r="J68" s="157"/>
      <c r="K68" s="157"/>
      <c r="L68" s="121"/>
      <c r="M68" s="121"/>
      <c r="N68" s="122"/>
      <c r="O68" s="122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53"/>
      <c r="AA68" s="53"/>
      <c r="AB68" s="53"/>
      <c r="AC68" s="53"/>
    </row>
    <row r="69">
      <c r="A69" s="135" t="s">
        <v>19</v>
      </c>
      <c r="B69" s="160" t="s">
        <v>52</v>
      </c>
      <c r="C69" s="266" t="s">
        <v>59</v>
      </c>
      <c r="D69" s="145" t="s">
        <v>107</v>
      </c>
      <c r="E69" s="235" t="s">
        <v>141</v>
      </c>
      <c r="F69" s="226">
        <v>200.0</v>
      </c>
      <c r="G69" s="117">
        <v>0.0</v>
      </c>
      <c r="H69" s="264">
        <f t="shared" si="2"/>
        <v>200</v>
      </c>
      <c r="I69" s="267">
        <v>45955.0</v>
      </c>
      <c r="J69" s="120" t="s">
        <v>46</v>
      </c>
      <c r="K69" s="157"/>
      <c r="L69" s="121"/>
      <c r="M69" s="121"/>
      <c r="N69" s="122"/>
      <c r="O69" s="122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53"/>
      <c r="AA69" s="53"/>
      <c r="AB69" s="53"/>
      <c r="AC69" s="53"/>
    </row>
    <row r="70">
      <c r="A70" s="135" t="s">
        <v>19</v>
      </c>
      <c r="B70" s="160" t="s">
        <v>52</v>
      </c>
      <c r="C70" s="266" t="s">
        <v>59</v>
      </c>
      <c r="D70" s="145" t="s">
        <v>100</v>
      </c>
      <c r="E70" s="235" t="s">
        <v>142</v>
      </c>
      <c r="F70" s="226">
        <v>200.0</v>
      </c>
      <c r="G70" s="117">
        <v>0.0</v>
      </c>
      <c r="H70" s="264">
        <f t="shared" si="2"/>
        <v>200</v>
      </c>
      <c r="I70" s="267">
        <v>45955.0</v>
      </c>
      <c r="J70" s="120" t="s">
        <v>46</v>
      </c>
      <c r="K70" s="157"/>
      <c r="L70" s="121"/>
      <c r="M70" s="121"/>
      <c r="N70" s="122"/>
      <c r="O70" s="122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53"/>
      <c r="AA70" s="53"/>
      <c r="AB70" s="53"/>
      <c r="AC70" s="53"/>
    </row>
    <row r="71">
      <c r="A71" s="135" t="s">
        <v>19</v>
      </c>
      <c r="B71" s="160" t="s">
        <v>52</v>
      </c>
      <c r="C71" s="266" t="s">
        <v>59</v>
      </c>
      <c r="D71" s="145" t="s">
        <v>93</v>
      </c>
      <c r="E71" s="235" t="s">
        <v>142</v>
      </c>
      <c r="F71" s="226">
        <v>200.0</v>
      </c>
      <c r="G71" s="117">
        <v>0.0</v>
      </c>
      <c r="H71" s="264">
        <f t="shared" si="2"/>
        <v>200</v>
      </c>
      <c r="I71" s="267">
        <v>45955.0</v>
      </c>
      <c r="J71" s="120" t="s">
        <v>46</v>
      </c>
      <c r="K71" s="121"/>
      <c r="L71" s="121"/>
      <c r="M71" s="121"/>
      <c r="N71" s="122"/>
      <c r="O71" s="122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53"/>
      <c r="AA71" s="53"/>
      <c r="AB71" s="53"/>
      <c r="AC71" s="53"/>
    </row>
    <row r="72">
      <c r="A72" s="250" t="s">
        <v>19</v>
      </c>
      <c r="B72" s="153" t="s">
        <v>143</v>
      </c>
      <c r="C72" s="268" t="s">
        <v>144</v>
      </c>
      <c r="D72" s="145" t="s">
        <v>145</v>
      </c>
      <c r="E72" s="235" t="s">
        <v>146</v>
      </c>
      <c r="F72" s="226">
        <v>2165.83</v>
      </c>
      <c r="G72" s="117">
        <v>0.0</v>
      </c>
      <c r="H72" s="180">
        <f t="shared" si="2"/>
        <v>2165.83</v>
      </c>
      <c r="I72" s="269">
        <v>45950.0</v>
      </c>
      <c r="J72" s="157"/>
      <c r="K72" s="121"/>
      <c r="L72" s="121"/>
      <c r="M72" s="121"/>
      <c r="N72" s="122"/>
      <c r="O72" s="122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53"/>
      <c r="AA72" s="53"/>
      <c r="AB72" s="53"/>
      <c r="AC72" s="53"/>
    </row>
    <row r="73">
      <c r="A73" s="250" t="s">
        <v>19</v>
      </c>
      <c r="B73" s="153" t="s">
        <v>147</v>
      </c>
      <c r="C73" s="251" t="s">
        <v>148</v>
      </c>
      <c r="D73" s="153" t="s">
        <v>149</v>
      </c>
      <c r="E73" s="239" t="s">
        <v>150</v>
      </c>
      <c r="F73" s="226">
        <v>173.09</v>
      </c>
      <c r="G73" s="117">
        <v>26.91</v>
      </c>
      <c r="H73" s="180">
        <f t="shared" si="2"/>
        <v>200</v>
      </c>
      <c r="I73" s="270"/>
      <c r="J73" s="157"/>
      <c r="K73" s="121"/>
      <c r="L73" s="121"/>
      <c r="M73" s="121"/>
      <c r="N73" s="122"/>
      <c r="O73" s="122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53"/>
      <c r="AA73" s="53"/>
      <c r="AB73" s="53"/>
      <c r="AC73" s="53"/>
    </row>
    <row r="74">
      <c r="A74" s="250" t="s">
        <v>19</v>
      </c>
      <c r="B74" s="153" t="s">
        <v>147</v>
      </c>
      <c r="C74" s="268" t="s">
        <v>59</v>
      </c>
      <c r="D74" s="153" t="s">
        <v>151</v>
      </c>
      <c r="E74" s="239" t="s">
        <v>152</v>
      </c>
      <c r="F74" s="226">
        <v>900.0</v>
      </c>
      <c r="G74" s="117">
        <v>0.0</v>
      </c>
      <c r="H74" s="180">
        <f t="shared" si="2"/>
        <v>900</v>
      </c>
      <c r="I74" s="269">
        <v>45946.0</v>
      </c>
      <c r="J74" s="157"/>
      <c r="K74" s="121"/>
      <c r="L74" s="121"/>
      <c r="M74" s="121"/>
      <c r="N74" s="122"/>
      <c r="O74" s="122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53"/>
      <c r="AA74" s="53"/>
      <c r="AB74" s="53"/>
      <c r="AC74" s="53"/>
    </row>
    <row r="75">
      <c r="A75" s="250" t="s">
        <v>19</v>
      </c>
      <c r="B75" s="153" t="s">
        <v>147</v>
      </c>
      <c r="C75" s="268" t="s">
        <v>59</v>
      </c>
      <c r="D75" s="153" t="s">
        <v>153</v>
      </c>
      <c r="E75" s="239" t="s">
        <v>154</v>
      </c>
      <c r="F75" s="226">
        <v>330.0</v>
      </c>
      <c r="G75" s="117">
        <v>0.0</v>
      </c>
      <c r="H75" s="180">
        <f t="shared" si="2"/>
        <v>330</v>
      </c>
      <c r="I75" s="271">
        <v>45952.0</v>
      </c>
      <c r="J75" s="157"/>
      <c r="K75" s="121"/>
      <c r="L75" s="121"/>
      <c r="M75" s="121"/>
      <c r="N75" s="122"/>
      <c r="O75" s="122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53"/>
      <c r="AA75" s="53"/>
      <c r="AB75" s="53"/>
      <c r="AC75" s="53"/>
    </row>
    <row r="76">
      <c r="A76" s="250" t="s">
        <v>19</v>
      </c>
      <c r="B76" s="153" t="s">
        <v>147</v>
      </c>
      <c r="C76" s="268" t="s">
        <v>59</v>
      </c>
      <c r="D76" s="153" t="s">
        <v>151</v>
      </c>
      <c r="E76" s="239" t="s">
        <v>155</v>
      </c>
      <c r="F76" s="226">
        <v>687.0</v>
      </c>
      <c r="G76" s="117">
        <v>0.0</v>
      </c>
      <c r="H76" s="180">
        <f t="shared" si="2"/>
        <v>687</v>
      </c>
      <c r="I76" s="269">
        <v>45953.0</v>
      </c>
      <c r="J76" s="157"/>
      <c r="K76" s="121"/>
      <c r="L76" s="121"/>
      <c r="M76" s="121"/>
      <c r="N76" s="122"/>
      <c r="O76" s="122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53"/>
      <c r="AA76" s="53"/>
      <c r="AB76" s="53"/>
      <c r="AC76" s="53"/>
    </row>
    <row r="77">
      <c r="A77" s="250" t="s">
        <v>19</v>
      </c>
      <c r="B77" s="153" t="s">
        <v>147</v>
      </c>
      <c r="C77" s="268" t="s">
        <v>156</v>
      </c>
      <c r="D77" s="153" t="s">
        <v>157</v>
      </c>
      <c r="E77" s="239" t="s">
        <v>158</v>
      </c>
      <c r="F77" s="226">
        <v>340.0</v>
      </c>
      <c r="G77" s="117">
        <v>0.0</v>
      </c>
      <c r="H77" s="180">
        <f t="shared" si="2"/>
        <v>340</v>
      </c>
      <c r="I77" s="269">
        <v>45951.0</v>
      </c>
      <c r="J77" s="157"/>
      <c r="K77" s="121"/>
      <c r="L77" s="121"/>
      <c r="M77" s="121"/>
      <c r="N77" s="122"/>
      <c r="O77" s="122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53"/>
      <c r="AA77" s="53"/>
      <c r="AB77" s="53"/>
      <c r="AC77" s="53"/>
    </row>
    <row r="78">
      <c r="A78" s="135" t="s">
        <v>19</v>
      </c>
      <c r="B78" s="160" t="s">
        <v>52</v>
      </c>
      <c r="C78" s="145" t="s">
        <v>47</v>
      </c>
      <c r="D78" s="272" t="s">
        <v>95</v>
      </c>
      <c r="E78" s="235" t="s">
        <v>159</v>
      </c>
      <c r="F78" s="226">
        <v>11200.0</v>
      </c>
      <c r="G78" s="117">
        <v>0.0</v>
      </c>
      <c r="H78" s="264">
        <f t="shared" si="2"/>
        <v>11200</v>
      </c>
      <c r="I78" s="267">
        <v>45957.0</v>
      </c>
      <c r="J78" s="120" t="s">
        <v>46</v>
      </c>
      <c r="K78" s="121"/>
      <c r="L78" s="121"/>
      <c r="M78" s="121"/>
      <c r="N78" s="122"/>
      <c r="O78" s="122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53"/>
      <c r="AA78" s="53"/>
      <c r="AB78" s="53"/>
      <c r="AC78" s="53"/>
    </row>
    <row r="79">
      <c r="A79" s="135" t="s">
        <v>19</v>
      </c>
      <c r="B79" s="160" t="s">
        <v>52</v>
      </c>
      <c r="C79" s="145" t="s">
        <v>47</v>
      </c>
      <c r="D79" s="145" t="s">
        <v>115</v>
      </c>
      <c r="E79" s="235" t="s">
        <v>160</v>
      </c>
      <c r="F79" s="226">
        <v>2125.0</v>
      </c>
      <c r="G79" s="117">
        <v>0.0</v>
      </c>
      <c r="H79" s="264">
        <f t="shared" si="2"/>
        <v>2125</v>
      </c>
      <c r="I79" s="267">
        <v>45957.0</v>
      </c>
      <c r="J79" s="120" t="s">
        <v>46</v>
      </c>
      <c r="K79" s="121"/>
      <c r="L79" s="121"/>
      <c r="M79" s="121"/>
      <c r="N79" s="122"/>
      <c r="O79" s="122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53"/>
      <c r="AA79" s="53"/>
      <c r="AB79" s="53"/>
      <c r="AC79" s="53"/>
    </row>
    <row r="80">
      <c r="A80" s="135" t="s">
        <v>19</v>
      </c>
      <c r="B80" s="160" t="s">
        <v>52</v>
      </c>
      <c r="C80" s="145" t="s">
        <v>47</v>
      </c>
      <c r="D80" s="145" t="s">
        <v>117</v>
      </c>
      <c r="E80" s="235" t="s">
        <v>160</v>
      </c>
      <c r="F80" s="226">
        <v>2125.0</v>
      </c>
      <c r="G80" s="117">
        <v>0.0</v>
      </c>
      <c r="H80" s="264">
        <f t="shared" si="2"/>
        <v>2125</v>
      </c>
      <c r="I80" s="267">
        <v>45957.0</v>
      </c>
      <c r="J80" s="120" t="s">
        <v>46</v>
      </c>
      <c r="K80" s="121"/>
      <c r="L80" s="121"/>
      <c r="M80" s="121"/>
      <c r="N80" s="122"/>
      <c r="O80" s="122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53"/>
      <c r="AA80" s="53"/>
      <c r="AB80" s="53"/>
      <c r="AC80" s="53"/>
    </row>
    <row r="81">
      <c r="A81" s="135" t="s">
        <v>19</v>
      </c>
      <c r="B81" s="160" t="s">
        <v>143</v>
      </c>
      <c r="C81" s="268" t="s">
        <v>161</v>
      </c>
      <c r="D81" s="153" t="s">
        <v>162</v>
      </c>
      <c r="E81" s="239" t="s">
        <v>163</v>
      </c>
      <c r="F81" s="226">
        <v>4136.56</v>
      </c>
      <c r="G81" s="117">
        <v>661.84</v>
      </c>
      <c r="H81" s="180">
        <f t="shared" si="2"/>
        <v>4798.4</v>
      </c>
      <c r="I81" s="269">
        <v>45950.0</v>
      </c>
      <c r="J81" s="157"/>
      <c r="K81" s="121"/>
      <c r="L81" s="121"/>
      <c r="M81" s="121"/>
      <c r="N81" s="122"/>
      <c r="O81" s="122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53"/>
      <c r="AA81" s="53"/>
      <c r="AB81" s="53"/>
      <c r="AC81" s="53"/>
    </row>
    <row r="82">
      <c r="A82" s="250" t="s">
        <v>19</v>
      </c>
      <c r="B82" s="153" t="s">
        <v>42</v>
      </c>
      <c r="C82" s="144" t="s">
        <v>55</v>
      </c>
      <c r="D82" s="145" t="s">
        <v>56</v>
      </c>
      <c r="E82" s="235" t="s">
        <v>164</v>
      </c>
      <c r="F82" s="147">
        <v>13450.000000000002</v>
      </c>
      <c r="G82" s="148">
        <f>F82*16%</f>
        <v>2152</v>
      </c>
      <c r="H82" s="180">
        <f t="shared" si="2"/>
        <v>15602</v>
      </c>
      <c r="I82" s="178">
        <v>45957.0</v>
      </c>
      <c r="J82" s="157"/>
      <c r="K82" s="121"/>
      <c r="L82" s="121"/>
      <c r="M82" s="121"/>
      <c r="N82" s="122"/>
      <c r="O82" s="122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53"/>
      <c r="AA82" s="53"/>
      <c r="AB82" s="53"/>
      <c r="AC82" s="53"/>
    </row>
    <row r="83">
      <c r="A83" s="135" t="s">
        <v>19</v>
      </c>
      <c r="B83" s="160" t="s">
        <v>52</v>
      </c>
      <c r="C83" s="153" t="s">
        <v>47</v>
      </c>
      <c r="D83" s="145" t="s">
        <v>115</v>
      </c>
      <c r="E83" s="235" t="s">
        <v>165</v>
      </c>
      <c r="F83" s="226">
        <v>3500.0</v>
      </c>
      <c r="G83" s="117">
        <v>0.0</v>
      </c>
      <c r="H83" s="264">
        <f t="shared" si="2"/>
        <v>3500</v>
      </c>
      <c r="I83" s="240">
        <v>45958.0</v>
      </c>
      <c r="J83" s="157"/>
      <c r="K83" s="121"/>
      <c r="L83" s="121"/>
      <c r="M83" s="121"/>
      <c r="N83" s="122"/>
      <c r="O83" s="122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53"/>
      <c r="AA83" s="53"/>
      <c r="AB83" s="53"/>
      <c r="AC83" s="53"/>
    </row>
    <row r="84">
      <c r="A84" s="135" t="s">
        <v>19</v>
      </c>
      <c r="B84" s="160" t="s">
        <v>52</v>
      </c>
      <c r="C84" s="273" t="s">
        <v>47</v>
      </c>
      <c r="D84" s="145" t="s">
        <v>117</v>
      </c>
      <c r="E84" s="235" t="s">
        <v>165</v>
      </c>
      <c r="F84" s="226">
        <v>3200.0</v>
      </c>
      <c r="G84" s="117">
        <v>0.0</v>
      </c>
      <c r="H84" s="264">
        <f t="shared" si="2"/>
        <v>3200</v>
      </c>
      <c r="I84" s="240">
        <v>45958.0</v>
      </c>
      <c r="J84" s="121"/>
      <c r="K84" s="121"/>
      <c r="L84" s="121"/>
      <c r="M84" s="121"/>
      <c r="N84" s="122"/>
      <c r="O84" s="122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53"/>
      <c r="AA84" s="53"/>
      <c r="AB84" s="53"/>
      <c r="AC84" s="53"/>
    </row>
    <row r="85">
      <c r="A85" s="135" t="s">
        <v>19</v>
      </c>
      <c r="B85" s="274" t="s">
        <v>52</v>
      </c>
      <c r="C85" s="266" t="s">
        <v>59</v>
      </c>
      <c r="D85" s="275" t="s">
        <v>166</v>
      </c>
      <c r="E85" s="235" t="s">
        <v>167</v>
      </c>
      <c r="F85" s="276">
        <v>300.0</v>
      </c>
      <c r="G85" s="117">
        <v>0.0</v>
      </c>
      <c r="H85" s="264">
        <f t="shared" si="2"/>
        <v>300</v>
      </c>
      <c r="I85" s="240">
        <v>45958.0</v>
      </c>
      <c r="J85" s="121"/>
      <c r="K85" s="121"/>
      <c r="L85" s="121"/>
      <c r="M85" s="121"/>
      <c r="N85" s="122"/>
      <c r="O85" s="122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53"/>
      <c r="AA85" s="53"/>
      <c r="AB85" s="53"/>
      <c r="AC85" s="53"/>
    </row>
    <row r="86">
      <c r="A86" s="135" t="s">
        <v>19</v>
      </c>
      <c r="B86" s="274" t="s">
        <v>52</v>
      </c>
      <c r="C86" s="266" t="s">
        <v>59</v>
      </c>
      <c r="D86" s="275" t="s">
        <v>168</v>
      </c>
      <c r="E86" s="235" t="s">
        <v>167</v>
      </c>
      <c r="F86" s="276">
        <v>300.0</v>
      </c>
      <c r="G86" s="117">
        <v>0.0</v>
      </c>
      <c r="H86" s="264">
        <f t="shared" si="2"/>
        <v>300</v>
      </c>
      <c r="I86" s="240">
        <v>45958.0</v>
      </c>
      <c r="J86" s="121"/>
      <c r="K86" s="121"/>
      <c r="L86" s="121"/>
      <c r="M86" s="121"/>
      <c r="N86" s="122"/>
      <c r="O86" s="122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53"/>
      <c r="AA86" s="53"/>
      <c r="AB86" s="53"/>
      <c r="AC86" s="53"/>
    </row>
    <row r="87">
      <c r="A87" s="135" t="s">
        <v>19</v>
      </c>
      <c r="B87" s="274" t="s">
        <v>52</v>
      </c>
      <c r="C87" s="266" t="s">
        <v>59</v>
      </c>
      <c r="D87" s="275" t="s">
        <v>107</v>
      </c>
      <c r="E87" s="235" t="s">
        <v>169</v>
      </c>
      <c r="F87" s="276">
        <v>1300.0</v>
      </c>
      <c r="G87" s="117">
        <v>0.0</v>
      </c>
      <c r="H87" s="264">
        <f t="shared" si="2"/>
        <v>1300</v>
      </c>
      <c r="I87" s="240">
        <v>45958.0</v>
      </c>
      <c r="J87" s="121"/>
      <c r="K87" s="121"/>
      <c r="L87" s="121"/>
      <c r="M87" s="121"/>
      <c r="N87" s="122"/>
      <c r="O87" s="122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53"/>
      <c r="AA87" s="53"/>
      <c r="AB87" s="53"/>
      <c r="AC87" s="53"/>
    </row>
    <row r="88">
      <c r="A88" s="135" t="s">
        <v>19</v>
      </c>
      <c r="B88" s="274" t="s">
        <v>52</v>
      </c>
      <c r="C88" s="266" t="s">
        <v>59</v>
      </c>
      <c r="D88" s="275" t="s">
        <v>170</v>
      </c>
      <c r="E88" s="235" t="s">
        <v>169</v>
      </c>
      <c r="F88" s="276">
        <v>1300.0</v>
      </c>
      <c r="G88" s="117">
        <v>0.0</v>
      </c>
      <c r="H88" s="264">
        <f t="shared" si="2"/>
        <v>1300</v>
      </c>
      <c r="I88" s="240">
        <v>45958.0</v>
      </c>
      <c r="J88" s="121"/>
      <c r="K88" s="121"/>
      <c r="L88" s="121"/>
      <c r="M88" s="121"/>
      <c r="N88" s="122"/>
      <c r="O88" s="122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53"/>
      <c r="AA88" s="53"/>
      <c r="AB88" s="53"/>
      <c r="AC88" s="53"/>
    </row>
    <row r="89">
      <c r="A89" s="135" t="s">
        <v>19</v>
      </c>
      <c r="B89" s="274" t="s">
        <v>52</v>
      </c>
      <c r="C89" s="266" t="s">
        <v>59</v>
      </c>
      <c r="D89" s="275" t="s">
        <v>107</v>
      </c>
      <c r="E89" s="235" t="s">
        <v>171</v>
      </c>
      <c r="F89" s="276">
        <v>200.0</v>
      </c>
      <c r="G89" s="117">
        <v>0.0</v>
      </c>
      <c r="H89" s="264">
        <f t="shared" si="2"/>
        <v>200</v>
      </c>
      <c r="I89" s="277">
        <v>45958.0</v>
      </c>
      <c r="J89" s="121"/>
      <c r="K89" s="121"/>
      <c r="L89" s="121"/>
      <c r="M89" s="121"/>
      <c r="N89" s="122"/>
      <c r="O89" s="122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53"/>
      <c r="AA89" s="53"/>
      <c r="AB89" s="53"/>
      <c r="AC89" s="53"/>
    </row>
    <row r="90">
      <c r="A90" s="135" t="s">
        <v>19</v>
      </c>
      <c r="B90" s="274" t="s">
        <v>52</v>
      </c>
      <c r="C90" s="278" t="s">
        <v>59</v>
      </c>
      <c r="D90" s="153" t="s">
        <v>100</v>
      </c>
      <c r="E90" s="239" t="s">
        <v>172</v>
      </c>
      <c r="F90" s="226">
        <v>538.0</v>
      </c>
      <c r="G90" s="117">
        <v>0.0</v>
      </c>
      <c r="H90" s="180">
        <f t="shared" si="2"/>
        <v>538</v>
      </c>
      <c r="I90" s="277">
        <v>45965.0</v>
      </c>
      <c r="J90" s="121"/>
      <c r="K90" s="121"/>
      <c r="L90" s="158" t="s">
        <v>173</v>
      </c>
      <c r="M90" s="121"/>
      <c r="N90" s="122"/>
      <c r="O90" s="122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53"/>
      <c r="AA90" s="53"/>
      <c r="AB90" s="53"/>
      <c r="AC90" s="53"/>
    </row>
    <row r="91" ht="21.75" customHeight="1">
      <c r="A91" s="250" t="s">
        <v>19</v>
      </c>
      <c r="B91" s="153" t="s">
        <v>42</v>
      </c>
      <c r="C91" s="279" t="s">
        <v>59</v>
      </c>
      <c r="D91" s="272" t="s">
        <v>174</v>
      </c>
      <c r="E91" s="280" t="s">
        <v>175</v>
      </c>
      <c r="F91" s="226">
        <v>9196.0</v>
      </c>
      <c r="G91" s="117">
        <v>0.0</v>
      </c>
      <c r="H91" s="180">
        <f t="shared" si="2"/>
        <v>9196</v>
      </c>
      <c r="I91" s="181">
        <v>45958.0</v>
      </c>
      <c r="J91" s="121"/>
      <c r="K91" s="121"/>
      <c r="L91" s="121"/>
      <c r="M91" s="121"/>
      <c r="N91" s="122"/>
      <c r="O91" s="122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53"/>
      <c r="AA91" s="53"/>
      <c r="AB91" s="53"/>
      <c r="AC91" s="53"/>
    </row>
    <row r="92" ht="21.75" customHeight="1">
      <c r="A92" s="250" t="s">
        <v>19</v>
      </c>
      <c r="B92" s="153" t="s">
        <v>42</v>
      </c>
      <c r="C92" s="281" t="s">
        <v>47</v>
      </c>
      <c r="D92" s="153" t="s">
        <v>176</v>
      </c>
      <c r="E92" s="280" t="s">
        <v>177</v>
      </c>
      <c r="F92" s="226">
        <v>15400.0</v>
      </c>
      <c r="G92" s="148"/>
      <c r="H92" s="180">
        <f t="shared" si="2"/>
        <v>15400</v>
      </c>
      <c r="I92" s="230">
        <v>45958.0</v>
      </c>
      <c r="J92" s="121"/>
      <c r="K92" s="121"/>
      <c r="L92" s="121"/>
      <c r="M92" s="121"/>
      <c r="N92" s="122"/>
      <c r="O92" s="122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53"/>
      <c r="AA92" s="53"/>
      <c r="AB92" s="53"/>
      <c r="AC92" s="53"/>
    </row>
    <row r="93" ht="21.75" customHeight="1">
      <c r="A93" s="250" t="s">
        <v>19</v>
      </c>
      <c r="B93" s="153" t="s">
        <v>42</v>
      </c>
      <c r="C93" s="281" t="s">
        <v>47</v>
      </c>
      <c r="D93" s="153" t="s">
        <v>176</v>
      </c>
      <c r="E93" s="280" t="s">
        <v>178</v>
      </c>
      <c r="F93" s="226">
        <v>2400.0</v>
      </c>
      <c r="G93" s="148"/>
      <c r="H93" s="180">
        <f t="shared" si="2"/>
        <v>2400</v>
      </c>
      <c r="I93" s="230">
        <v>45958.0</v>
      </c>
      <c r="J93" s="121"/>
      <c r="K93" s="121"/>
      <c r="L93" s="121"/>
      <c r="M93" s="121"/>
      <c r="N93" s="122"/>
      <c r="O93" s="122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53"/>
      <c r="AA93" s="53"/>
      <c r="AB93" s="53"/>
      <c r="AC93" s="53"/>
    </row>
    <row r="94" ht="48.0" customHeight="1">
      <c r="A94" s="135" t="s">
        <v>19</v>
      </c>
      <c r="B94" s="274" t="s">
        <v>52</v>
      </c>
      <c r="C94" s="152" t="s">
        <v>59</v>
      </c>
      <c r="D94" s="272" t="s">
        <v>107</v>
      </c>
      <c r="E94" s="280" t="s">
        <v>179</v>
      </c>
      <c r="F94" s="226">
        <v>500.0</v>
      </c>
      <c r="G94" s="117">
        <v>0.0</v>
      </c>
      <c r="H94" s="264">
        <f t="shared" si="2"/>
        <v>500</v>
      </c>
      <c r="I94" s="181">
        <v>45959.0</v>
      </c>
      <c r="J94" s="121"/>
      <c r="K94" s="121"/>
      <c r="L94" s="121"/>
      <c r="M94" s="121"/>
      <c r="N94" s="122"/>
      <c r="O94" s="122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53"/>
      <c r="AA94" s="53"/>
      <c r="AB94" s="53"/>
      <c r="AC94" s="53"/>
    </row>
    <row r="95">
      <c r="A95" s="135" t="s">
        <v>19</v>
      </c>
      <c r="B95" s="274" t="s">
        <v>52</v>
      </c>
      <c r="C95" s="282" t="s">
        <v>180</v>
      </c>
      <c r="D95" s="272" t="s">
        <v>181</v>
      </c>
      <c r="E95" s="239" t="s">
        <v>182</v>
      </c>
      <c r="F95" s="226">
        <v>3344.0</v>
      </c>
      <c r="G95" s="117">
        <v>0.0</v>
      </c>
      <c r="H95" s="264">
        <f t="shared" si="2"/>
        <v>3344</v>
      </c>
      <c r="I95" s="181">
        <v>45959.0</v>
      </c>
      <c r="J95" s="121"/>
      <c r="K95" s="121"/>
      <c r="L95" s="121"/>
      <c r="M95" s="121"/>
      <c r="N95" s="122"/>
      <c r="O95" s="122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53"/>
      <c r="AA95" s="53"/>
      <c r="AB95" s="53"/>
      <c r="AC95" s="53"/>
    </row>
    <row r="96" ht="21.75" customHeight="1">
      <c r="A96" s="250" t="s">
        <v>19</v>
      </c>
      <c r="B96" s="153" t="s">
        <v>42</v>
      </c>
      <c r="C96" s="283" t="s">
        <v>76</v>
      </c>
      <c r="D96" s="272" t="s">
        <v>183</v>
      </c>
      <c r="E96" s="280" t="s">
        <v>184</v>
      </c>
      <c r="F96" s="226">
        <v>35000.0</v>
      </c>
      <c r="G96" s="117">
        <v>0.0</v>
      </c>
      <c r="H96" s="180">
        <f t="shared" si="2"/>
        <v>35000</v>
      </c>
      <c r="I96" s="181">
        <v>45960.0</v>
      </c>
      <c r="J96" s="121"/>
      <c r="K96" s="121"/>
      <c r="L96" s="121"/>
      <c r="M96" s="121"/>
      <c r="N96" s="122"/>
      <c r="O96" s="122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53"/>
      <c r="AA96" s="53"/>
      <c r="AB96" s="53"/>
      <c r="AC96" s="53"/>
    </row>
    <row r="97" ht="21.75" customHeight="1">
      <c r="A97" s="250" t="s">
        <v>19</v>
      </c>
      <c r="B97" s="153" t="s">
        <v>42</v>
      </c>
      <c r="C97" s="152" t="s">
        <v>185</v>
      </c>
      <c r="D97" s="272" t="s">
        <v>74</v>
      </c>
      <c r="E97" s="280" t="s">
        <v>186</v>
      </c>
      <c r="F97" s="226">
        <v>21448.28</v>
      </c>
      <c r="G97" s="117">
        <v>3896.0</v>
      </c>
      <c r="H97" s="180">
        <f t="shared" si="2"/>
        <v>25344.28</v>
      </c>
      <c r="I97" s="284">
        <v>45960.0</v>
      </c>
      <c r="J97" s="121"/>
      <c r="K97" s="121"/>
      <c r="L97" s="121"/>
      <c r="M97" s="121"/>
      <c r="N97" s="122"/>
      <c r="O97" s="122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53"/>
      <c r="AA97" s="53"/>
      <c r="AB97" s="53"/>
      <c r="AC97" s="53"/>
    </row>
    <row r="98" ht="21.75" customHeight="1">
      <c r="A98" s="250" t="s">
        <v>19</v>
      </c>
      <c r="B98" s="153" t="s">
        <v>42</v>
      </c>
      <c r="C98" s="241" t="s">
        <v>187</v>
      </c>
      <c r="D98" s="272" t="s">
        <v>188</v>
      </c>
      <c r="E98" s="280" t="s">
        <v>189</v>
      </c>
      <c r="F98" s="226">
        <v>14643.1</v>
      </c>
      <c r="G98" s="117">
        <f t="shared" ref="G98:G99" si="4">F98*16%</f>
        <v>2342.896</v>
      </c>
      <c r="H98" s="180">
        <f t="shared" si="2"/>
        <v>16985.996</v>
      </c>
      <c r="I98" s="181">
        <v>45960.0</v>
      </c>
      <c r="J98" s="121"/>
      <c r="K98" s="121"/>
      <c r="L98" s="121"/>
      <c r="M98" s="121"/>
      <c r="N98" s="122"/>
      <c r="O98" s="122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53"/>
      <c r="AA98" s="53"/>
      <c r="AB98" s="53"/>
      <c r="AC98" s="53"/>
    </row>
    <row r="99" ht="21.75" customHeight="1">
      <c r="A99" s="250" t="s">
        <v>19</v>
      </c>
      <c r="B99" s="153" t="s">
        <v>42</v>
      </c>
      <c r="C99" s="144">
        <v>6346.0</v>
      </c>
      <c r="D99" s="272" t="s">
        <v>105</v>
      </c>
      <c r="E99" s="280" t="s">
        <v>190</v>
      </c>
      <c r="F99" s="226">
        <v>5100.0</v>
      </c>
      <c r="G99" s="117">
        <f t="shared" si="4"/>
        <v>816</v>
      </c>
      <c r="H99" s="180">
        <f t="shared" si="2"/>
        <v>5916</v>
      </c>
      <c r="I99" s="181">
        <v>45960.0</v>
      </c>
      <c r="J99" s="121"/>
      <c r="K99" s="121"/>
      <c r="L99" s="121"/>
      <c r="M99" s="121"/>
      <c r="N99" s="122"/>
      <c r="O99" s="122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53"/>
      <c r="AA99" s="53"/>
      <c r="AB99" s="53"/>
      <c r="AC99" s="53"/>
    </row>
    <row r="100" ht="21.75" customHeight="1">
      <c r="A100" s="135" t="s">
        <v>19</v>
      </c>
      <c r="B100" s="274" t="s">
        <v>52</v>
      </c>
      <c r="C100" s="285" t="s">
        <v>47</v>
      </c>
      <c r="D100" s="272" t="s">
        <v>71</v>
      </c>
      <c r="E100" s="280" t="s">
        <v>191</v>
      </c>
      <c r="F100" s="226">
        <v>450.0</v>
      </c>
      <c r="G100" s="117">
        <v>0.0</v>
      </c>
      <c r="H100" s="264">
        <f t="shared" si="2"/>
        <v>450</v>
      </c>
      <c r="I100" s="286">
        <v>45965.0</v>
      </c>
      <c r="J100" s="121"/>
      <c r="K100" s="121"/>
      <c r="L100" s="121"/>
      <c r="M100" s="121"/>
      <c r="N100" s="122"/>
      <c r="O100" s="122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53"/>
      <c r="AA100" s="53"/>
      <c r="AB100" s="53"/>
      <c r="AC100" s="53"/>
    </row>
    <row r="101" ht="21.75" customHeight="1">
      <c r="A101" s="135" t="s">
        <v>19</v>
      </c>
      <c r="B101" s="274" t="s">
        <v>52</v>
      </c>
      <c r="C101" s="283" t="s">
        <v>180</v>
      </c>
      <c r="D101" s="272" t="s">
        <v>192</v>
      </c>
      <c r="E101" s="280" t="s">
        <v>193</v>
      </c>
      <c r="F101" s="226">
        <v>544.9</v>
      </c>
      <c r="G101" s="117">
        <v>0.0</v>
      </c>
      <c r="H101" s="264">
        <f t="shared" si="2"/>
        <v>544.9</v>
      </c>
      <c r="I101" s="238">
        <v>45965.0</v>
      </c>
      <c r="J101" s="121"/>
      <c r="K101" s="121"/>
      <c r="L101" s="121"/>
      <c r="M101" s="121"/>
      <c r="N101" s="122"/>
      <c r="O101" s="122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53"/>
      <c r="AA101" s="53"/>
      <c r="AB101" s="53"/>
      <c r="AC101" s="53"/>
    </row>
    <row r="102">
      <c r="A102" s="135" t="s">
        <v>19</v>
      </c>
      <c r="B102" s="274" t="s">
        <v>52</v>
      </c>
      <c r="C102" s="283" t="s">
        <v>194</v>
      </c>
      <c r="D102" s="145" t="s">
        <v>44</v>
      </c>
      <c r="E102" s="235" t="s">
        <v>195</v>
      </c>
      <c r="F102" s="226">
        <v>510.09</v>
      </c>
      <c r="G102" s="117">
        <v>0.0</v>
      </c>
      <c r="H102" s="264">
        <f t="shared" si="2"/>
        <v>510.09</v>
      </c>
      <c r="I102" s="238">
        <v>45965.0</v>
      </c>
      <c r="J102" s="121"/>
      <c r="K102" s="121"/>
      <c r="L102" s="121"/>
      <c r="M102" s="121"/>
      <c r="N102" s="122"/>
      <c r="O102" s="122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53"/>
      <c r="AA102" s="53"/>
      <c r="AB102" s="53"/>
      <c r="AC102" s="53"/>
    </row>
    <row r="103">
      <c r="A103" s="135" t="s">
        <v>19</v>
      </c>
      <c r="B103" s="287" t="s">
        <v>52</v>
      </c>
      <c r="C103" s="152" t="s">
        <v>59</v>
      </c>
      <c r="D103" s="145" t="s">
        <v>196</v>
      </c>
      <c r="E103" s="235" t="s">
        <v>197</v>
      </c>
      <c r="F103" s="226">
        <v>1200.0</v>
      </c>
      <c r="G103" s="117">
        <v>0.0</v>
      </c>
      <c r="H103" s="264">
        <f t="shared" si="2"/>
        <v>1200</v>
      </c>
      <c r="I103" s="238">
        <v>45965.0</v>
      </c>
      <c r="J103" s="121"/>
      <c r="K103" s="121"/>
      <c r="L103" s="121"/>
      <c r="M103" s="121"/>
      <c r="N103" s="122"/>
      <c r="O103" s="122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53"/>
      <c r="AA103" s="53"/>
      <c r="AB103" s="53"/>
      <c r="AC103" s="53"/>
    </row>
    <row r="104">
      <c r="A104" s="135" t="s">
        <v>19</v>
      </c>
      <c r="B104" s="287" t="s">
        <v>52</v>
      </c>
      <c r="C104" s="283" t="s">
        <v>59</v>
      </c>
      <c r="D104" s="145" t="s">
        <v>100</v>
      </c>
      <c r="E104" s="288" t="s">
        <v>198</v>
      </c>
      <c r="F104" s="226">
        <v>546.0</v>
      </c>
      <c r="G104" s="117">
        <v>0.0</v>
      </c>
      <c r="H104" s="264">
        <f t="shared" si="2"/>
        <v>546</v>
      </c>
      <c r="I104" s="238">
        <v>45965.0</v>
      </c>
      <c r="J104" s="121"/>
      <c r="K104" s="121"/>
      <c r="L104" s="121"/>
      <c r="M104" s="121"/>
      <c r="N104" s="122"/>
      <c r="O104" s="122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53"/>
      <c r="AA104" s="53"/>
      <c r="AB104" s="53"/>
      <c r="AC104" s="53"/>
    </row>
    <row r="105">
      <c r="A105" s="135" t="s">
        <v>19</v>
      </c>
      <c r="B105" s="287" t="s">
        <v>52</v>
      </c>
      <c r="C105" s="283" t="s">
        <v>180</v>
      </c>
      <c r="D105" s="153" t="s">
        <v>199</v>
      </c>
      <c r="E105" s="288" t="s">
        <v>200</v>
      </c>
      <c r="F105" s="226">
        <v>274.0</v>
      </c>
      <c r="G105" s="117">
        <v>0.0</v>
      </c>
      <c r="H105" s="264">
        <f t="shared" si="2"/>
        <v>274</v>
      </c>
      <c r="I105" s="238">
        <v>45965.0</v>
      </c>
      <c r="J105" s="121"/>
      <c r="K105" s="121"/>
      <c r="L105" s="121"/>
      <c r="M105" s="121"/>
      <c r="N105" s="122"/>
      <c r="O105" s="122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53"/>
      <c r="AA105" s="53"/>
      <c r="AB105" s="53"/>
      <c r="AC105" s="53"/>
    </row>
    <row r="106">
      <c r="A106" s="250" t="s">
        <v>19</v>
      </c>
      <c r="B106" s="153" t="s">
        <v>42</v>
      </c>
      <c r="C106" s="266" t="s">
        <v>59</v>
      </c>
      <c r="D106" s="153" t="s">
        <v>201</v>
      </c>
      <c r="E106" s="288" t="s">
        <v>202</v>
      </c>
      <c r="F106" s="226">
        <v>5000.0</v>
      </c>
      <c r="G106" s="117">
        <v>0.0</v>
      </c>
      <c r="H106" s="180">
        <f t="shared" si="2"/>
        <v>5000</v>
      </c>
      <c r="I106" s="240">
        <v>45965.0</v>
      </c>
      <c r="J106" s="121"/>
      <c r="K106" s="121"/>
      <c r="L106" s="121"/>
      <c r="M106" s="121"/>
      <c r="N106" s="122"/>
      <c r="O106" s="122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53"/>
      <c r="AA106" s="53"/>
      <c r="AB106" s="53"/>
      <c r="AC106" s="53"/>
    </row>
    <row r="107">
      <c r="A107" s="250" t="s">
        <v>19</v>
      </c>
      <c r="B107" s="153" t="s">
        <v>42</v>
      </c>
      <c r="C107" s="266" t="s">
        <v>59</v>
      </c>
      <c r="D107" s="153" t="s">
        <v>201</v>
      </c>
      <c r="E107" s="288" t="s">
        <v>203</v>
      </c>
      <c r="F107" s="226">
        <v>2100.0</v>
      </c>
      <c r="G107" s="117">
        <v>0.0</v>
      </c>
      <c r="H107" s="180">
        <f t="shared" si="2"/>
        <v>2100</v>
      </c>
      <c r="I107" s="240">
        <v>45965.0</v>
      </c>
      <c r="J107" s="121"/>
      <c r="K107" s="121"/>
      <c r="L107" s="121"/>
      <c r="M107" s="121"/>
      <c r="N107" s="122"/>
      <c r="O107" s="122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53"/>
      <c r="AA107" s="53"/>
      <c r="AB107" s="53"/>
      <c r="AC107" s="53"/>
    </row>
    <row r="108">
      <c r="A108" s="250" t="s">
        <v>19</v>
      </c>
      <c r="B108" s="153" t="s">
        <v>42</v>
      </c>
      <c r="C108" s="266" t="s">
        <v>59</v>
      </c>
      <c r="D108" s="153" t="s">
        <v>201</v>
      </c>
      <c r="E108" s="288" t="s">
        <v>204</v>
      </c>
      <c r="F108" s="226">
        <v>500.0</v>
      </c>
      <c r="G108" s="117">
        <v>0.0</v>
      </c>
      <c r="H108" s="180">
        <f t="shared" si="2"/>
        <v>500</v>
      </c>
      <c r="I108" s="240">
        <v>45965.0</v>
      </c>
      <c r="J108" s="121"/>
      <c r="K108" s="121"/>
      <c r="L108" s="121"/>
      <c r="M108" s="121"/>
      <c r="N108" s="122"/>
      <c r="O108" s="122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53"/>
      <c r="AA108" s="53"/>
      <c r="AB108" s="53"/>
      <c r="AC108" s="53"/>
    </row>
    <row r="109">
      <c r="A109" s="250" t="s">
        <v>19</v>
      </c>
      <c r="B109" s="153" t="s">
        <v>42</v>
      </c>
      <c r="C109" s="266" t="s">
        <v>59</v>
      </c>
      <c r="D109" s="153" t="s">
        <v>201</v>
      </c>
      <c r="E109" s="288" t="s">
        <v>205</v>
      </c>
      <c r="F109" s="226">
        <v>500.0</v>
      </c>
      <c r="G109" s="117">
        <v>0.0</v>
      </c>
      <c r="H109" s="180">
        <f t="shared" si="2"/>
        <v>500</v>
      </c>
      <c r="I109" s="240">
        <v>45965.0</v>
      </c>
      <c r="J109" s="121"/>
      <c r="K109" s="121"/>
      <c r="L109" s="121"/>
      <c r="M109" s="121"/>
      <c r="N109" s="122"/>
      <c r="O109" s="122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53"/>
      <c r="AA109" s="53"/>
      <c r="AB109" s="53"/>
      <c r="AC109" s="53"/>
    </row>
    <row r="110">
      <c r="A110" s="135" t="s">
        <v>19</v>
      </c>
      <c r="B110" s="287" t="s">
        <v>52</v>
      </c>
      <c r="C110" s="153" t="s">
        <v>47</v>
      </c>
      <c r="D110" s="145" t="s">
        <v>206</v>
      </c>
      <c r="E110" s="289" t="s">
        <v>207</v>
      </c>
      <c r="F110" s="226">
        <v>1500.0</v>
      </c>
      <c r="G110" s="117">
        <v>0.0</v>
      </c>
      <c r="H110" s="264">
        <f t="shared" si="2"/>
        <v>1500</v>
      </c>
      <c r="I110" s="290">
        <v>45966.0</v>
      </c>
      <c r="J110" s="121"/>
      <c r="K110" s="121"/>
      <c r="L110" s="121"/>
      <c r="M110" s="121"/>
      <c r="N110" s="122"/>
      <c r="O110" s="122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53"/>
      <c r="AA110" s="53"/>
      <c r="AB110" s="53"/>
      <c r="AC110" s="53"/>
    </row>
    <row r="111">
      <c r="A111" s="250" t="s">
        <v>19</v>
      </c>
      <c r="B111" s="153" t="s">
        <v>42</v>
      </c>
      <c r="C111" s="152" t="s">
        <v>59</v>
      </c>
      <c r="D111" s="272" t="s">
        <v>196</v>
      </c>
      <c r="E111" s="291" t="s">
        <v>208</v>
      </c>
      <c r="F111" s="226">
        <v>3150.0</v>
      </c>
      <c r="G111" s="117">
        <v>0.0</v>
      </c>
      <c r="H111" s="180">
        <f t="shared" si="2"/>
        <v>3150</v>
      </c>
      <c r="I111" s="292">
        <v>45968.0</v>
      </c>
      <c r="J111" s="121"/>
      <c r="K111" s="121"/>
      <c r="L111" s="121"/>
      <c r="M111" s="121"/>
      <c r="N111" s="122"/>
      <c r="O111" s="122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53"/>
      <c r="AA111" s="53"/>
      <c r="AB111" s="53"/>
      <c r="AC111" s="53"/>
    </row>
    <row r="112">
      <c r="A112" s="250" t="s">
        <v>19</v>
      </c>
      <c r="B112" s="153" t="s">
        <v>42</v>
      </c>
      <c r="C112" s="152" t="s">
        <v>59</v>
      </c>
      <c r="D112" s="272" t="s">
        <v>196</v>
      </c>
      <c r="E112" s="291" t="s">
        <v>209</v>
      </c>
      <c r="F112" s="226">
        <v>2000.0</v>
      </c>
      <c r="G112" s="117">
        <v>0.0</v>
      </c>
      <c r="H112" s="180">
        <f t="shared" si="2"/>
        <v>2000</v>
      </c>
      <c r="I112" s="292">
        <v>45968.0</v>
      </c>
      <c r="J112" s="121"/>
      <c r="K112" s="121"/>
      <c r="L112" s="121"/>
      <c r="M112" s="121"/>
      <c r="N112" s="122"/>
      <c r="O112" s="122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53"/>
      <c r="AA112" s="53"/>
      <c r="AB112" s="53"/>
      <c r="AC112" s="53"/>
    </row>
    <row r="113">
      <c r="A113" s="250" t="s">
        <v>19</v>
      </c>
      <c r="B113" s="153" t="s">
        <v>42</v>
      </c>
      <c r="C113" s="152" t="s">
        <v>59</v>
      </c>
      <c r="D113" s="272" t="s">
        <v>196</v>
      </c>
      <c r="E113" s="291" t="s">
        <v>210</v>
      </c>
      <c r="F113" s="226">
        <v>3500.0</v>
      </c>
      <c r="G113" s="117">
        <v>0.0</v>
      </c>
      <c r="H113" s="180">
        <f t="shared" si="2"/>
        <v>3500</v>
      </c>
      <c r="I113" s="292">
        <v>45968.0</v>
      </c>
      <c r="J113" s="121"/>
      <c r="K113" s="121"/>
      <c r="L113" s="121"/>
      <c r="M113" s="121"/>
      <c r="N113" s="122"/>
      <c r="O113" s="122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53"/>
      <c r="AA113" s="53"/>
      <c r="AB113" s="53"/>
      <c r="AC113" s="53"/>
    </row>
    <row r="114">
      <c r="A114" s="250" t="s">
        <v>19</v>
      </c>
      <c r="B114" s="153" t="s">
        <v>42</v>
      </c>
      <c r="C114" s="152" t="s">
        <v>180</v>
      </c>
      <c r="D114" s="272" t="s">
        <v>211</v>
      </c>
      <c r="E114" s="291" t="s">
        <v>212</v>
      </c>
      <c r="F114" s="293">
        <v>4250.9</v>
      </c>
      <c r="G114" s="117">
        <v>0.0</v>
      </c>
      <c r="H114" s="180">
        <f t="shared" si="2"/>
        <v>4250.9</v>
      </c>
      <c r="I114" s="238">
        <v>45968.0</v>
      </c>
      <c r="J114" s="121"/>
      <c r="K114" s="121"/>
      <c r="L114" s="121"/>
      <c r="M114" s="121"/>
      <c r="N114" s="122"/>
      <c r="O114" s="122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53"/>
      <c r="AA114" s="53"/>
      <c r="AB114" s="53"/>
      <c r="AC114" s="53"/>
    </row>
    <row r="115">
      <c r="A115" s="250" t="s">
        <v>19</v>
      </c>
      <c r="B115" s="153" t="s">
        <v>42</v>
      </c>
      <c r="C115" s="152" t="s">
        <v>180</v>
      </c>
      <c r="D115" s="153" t="s">
        <v>213</v>
      </c>
      <c r="E115" s="288" t="s">
        <v>214</v>
      </c>
      <c r="F115" s="226">
        <v>4666.93</v>
      </c>
      <c r="G115" s="117">
        <v>0.0</v>
      </c>
      <c r="H115" s="180">
        <f t="shared" si="2"/>
        <v>4666.93</v>
      </c>
      <c r="I115" s="294">
        <v>45968.0</v>
      </c>
      <c r="J115" s="121"/>
      <c r="K115" s="121"/>
      <c r="L115" s="121"/>
      <c r="M115" s="121"/>
      <c r="N115" s="122"/>
      <c r="O115" s="122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53"/>
      <c r="AA115" s="53"/>
      <c r="AB115" s="53"/>
      <c r="AC115" s="53"/>
    </row>
    <row r="116">
      <c r="A116" s="135" t="s">
        <v>19</v>
      </c>
      <c r="B116" s="287" t="s">
        <v>52</v>
      </c>
      <c r="C116" s="282" t="s">
        <v>43</v>
      </c>
      <c r="D116" s="145" t="s">
        <v>215</v>
      </c>
      <c r="E116" s="289" t="s">
        <v>216</v>
      </c>
      <c r="F116" s="226">
        <v>450.0</v>
      </c>
      <c r="G116" s="117">
        <v>0.0</v>
      </c>
      <c r="H116" s="264">
        <f t="shared" si="2"/>
        <v>450</v>
      </c>
      <c r="I116" s="238">
        <v>45972.0</v>
      </c>
      <c r="J116" s="121"/>
      <c r="K116" s="121"/>
      <c r="L116" s="121"/>
      <c r="M116" s="121"/>
      <c r="N116" s="122"/>
      <c r="O116" s="122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53"/>
      <c r="AA116" s="53"/>
      <c r="AB116" s="53"/>
      <c r="AC116" s="53"/>
    </row>
    <row r="117">
      <c r="A117" s="250" t="s">
        <v>19</v>
      </c>
      <c r="B117" s="153" t="s">
        <v>42</v>
      </c>
      <c r="C117" s="152" t="s">
        <v>217</v>
      </c>
      <c r="D117" s="145" t="s">
        <v>218</v>
      </c>
      <c r="E117" s="289" t="s">
        <v>219</v>
      </c>
      <c r="F117" s="226">
        <v>27700.0</v>
      </c>
      <c r="G117" s="117">
        <f>F117*16%</f>
        <v>4432</v>
      </c>
      <c r="H117" s="180">
        <f t="shared" si="2"/>
        <v>32132</v>
      </c>
      <c r="I117" s="238">
        <v>45972.0</v>
      </c>
      <c r="J117" s="121"/>
      <c r="K117" s="121"/>
      <c r="L117" s="121"/>
      <c r="M117" s="121"/>
      <c r="N117" s="122"/>
      <c r="O117" s="122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53"/>
      <c r="AA117" s="53"/>
      <c r="AB117" s="53"/>
      <c r="AC117" s="53"/>
    </row>
    <row r="118">
      <c r="A118" s="250" t="s">
        <v>19</v>
      </c>
      <c r="B118" s="153" t="s">
        <v>42</v>
      </c>
      <c r="C118" s="278" t="s">
        <v>59</v>
      </c>
      <c r="D118" s="145" t="s">
        <v>220</v>
      </c>
      <c r="E118" s="289" t="s">
        <v>221</v>
      </c>
      <c r="F118" s="226">
        <v>3000.0</v>
      </c>
      <c r="G118" s="117">
        <v>0.0</v>
      </c>
      <c r="H118" s="180">
        <f t="shared" si="2"/>
        <v>3000</v>
      </c>
      <c r="I118" s="238">
        <v>45972.0</v>
      </c>
      <c r="J118" s="121"/>
      <c r="K118" s="121"/>
      <c r="L118" s="121"/>
      <c r="M118" s="121"/>
      <c r="N118" s="122"/>
      <c r="O118" s="122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53"/>
      <c r="AA118" s="53"/>
      <c r="AB118" s="53"/>
      <c r="AC118" s="53"/>
    </row>
    <row r="119">
      <c r="A119" s="250" t="s">
        <v>19</v>
      </c>
      <c r="B119" s="153" t="s">
        <v>58</v>
      </c>
      <c r="C119" s="153" t="s">
        <v>47</v>
      </c>
      <c r="D119" s="153" t="s">
        <v>60</v>
      </c>
      <c r="E119" s="288" t="s">
        <v>222</v>
      </c>
      <c r="F119" s="226">
        <v>9723.8</v>
      </c>
      <c r="G119" s="117">
        <v>0.0</v>
      </c>
      <c r="H119" s="180">
        <f t="shared" si="2"/>
        <v>9723.8</v>
      </c>
      <c r="I119" s="243" t="s">
        <v>84</v>
      </c>
      <c r="J119" s="121"/>
      <c r="K119" s="121"/>
      <c r="L119" s="121"/>
      <c r="M119" s="121"/>
      <c r="N119" s="122"/>
      <c r="O119" s="122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53"/>
      <c r="AA119" s="53"/>
      <c r="AB119" s="53"/>
      <c r="AC119" s="53"/>
    </row>
    <row r="120">
      <c r="A120" s="250" t="s">
        <v>19</v>
      </c>
      <c r="B120" s="153" t="s">
        <v>52</v>
      </c>
      <c r="C120" s="153" t="s">
        <v>47</v>
      </c>
      <c r="D120" s="153" t="s">
        <v>176</v>
      </c>
      <c r="E120" s="288" t="s">
        <v>223</v>
      </c>
      <c r="F120" s="226">
        <v>6000.0</v>
      </c>
      <c r="G120" s="117">
        <v>0.0</v>
      </c>
      <c r="H120" s="264">
        <f t="shared" si="2"/>
        <v>6000</v>
      </c>
      <c r="I120" s="238">
        <v>45983.0</v>
      </c>
      <c r="J120" s="121"/>
      <c r="K120" s="121"/>
      <c r="L120" s="121"/>
      <c r="M120" s="121"/>
      <c r="N120" s="122"/>
      <c r="O120" s="122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53"/>
      <c r="AA120" s="53"/>
      <c r="AB120" s="53"/>
      <c r="AC120" s="53"/>
    </row>
    <row r="121">
      <c r="A121" s="250" t="s">
        <v>19</v>
      </c>
      <c r="B121" s="153" t="s">
        <v>42</v>
      </c>
      <c r="C121" s="283" t="s">
        <v>59</v>
      </c>
      <c r="D121" s="153" t="s">
        <v>224</v>
      </c>
      <c r="E121" s="288" t="s">
        <v>225</v>
      </c>
      <c r="F121" s="226">
        <v>1300.0</v>
      </c>
      <c r="G121" s="117">
        <v>0.0</v>
      </c>
      <c r="H121" s="180">
        <f t="shared" si="2"/>
        <v>1300</v>
      </c>
      <c r="I121" s="181">
        <v>45986.0</v>
      </c>
      <c r="J121" s="121"/>
      <c r="K121" s="121"/>
      <c r="L121" s="121"/>
      <c r="M121" s="121"/>
      <c r="N121" s="122"/>
      <c r="O121" s="122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53"/>
      <c r="AA121" s="53"/>
      <c r="AB121" s="53"/>
      <c r="AC121" s="53"/>
    </row>
    <row r="122">
      <c r="A122" s="295"/>
      <c r="B122" s="145"/>
      <c r="C122" s="145"/>
      <c r="D122" s="145"/>
      <c r="E122" s="289"/>
      <c r="F122" s="296"/>
      <c r="G122" s="117"/>
      <c r="H122" s="180"/>
      <c r="I122" s="270"/>
      <c r="J122" s="121"/>
      <c r="K122" s="121"/>
      <c r="L122" s="121"/>
      <c r="M122" s="121"/>
      <c r="N122" s="122"/>
      <c r="O122" s="122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53"/>
      <c r="AA122" s="53"/>
      <c r="AB122" s="53"/>
      <c r="AC122" s="53"/>
    </row>
    <row r="123">
      <c r="A123" s="295"/>
      <c r="B123" s="145"/>
      <c r="C123" s="145"/>
      <c r="D123" s="145"/>
      <c r="E123" s="289"/>
      <c r="F123" s="296"/>
      <c r="G123" s="117"/>
      <c r="H123" s="180"/>
      <c r="I123" s="270"/>
      <c r="J123" s="121"/>
      <c r="K123" s="121"/>
      <c r="L123" s="121"/>
      <c r="M123" s="121"/>
      <c r="N123" s="122"/>
      <c r="O123" s="122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53"/>
      <c r="AA123" s="53"/>
      <c r="AB123" s="53"/>
      <c r="AC123" s="53"/>
    </row>
    <row r="124">
      <c r="A124" s="295"/>
      <c r="B124" s="145"/>
      <c r="C124" s="145"/>
      <c r="D124" s="145"/>
      <c r="E124" s="289"/>
      <c r="F124" s="296"/>
      <c r="G124" s="117"/>
      <c r="H124" s="180"/>
      <c r="I124" s="270"/>
      <c r="J124" s="121"/>
      <c r="K124" s="121"/>
      <c r="L124" s="121"/>
      <c r="M124" s="121"/>
      <c r="N124" s="122"/>
      <c r="O124" s="122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53"/>
      <c r="AA124" s="53"/>
      <c r="AB124" s="53"/>
      <c r="AC124" s="53"/>
    </row>
    <row r="125">
      <c r="A125" s="295"/>
      <c r="B125" s="145"/>
      <c r="C125" s="145"/>
      <c r="D125" s="145"/>
      <c r="E125" s="289"/>
      <c r="F125" s="296"/>
      <c r="G125" s="117"/>
      <c r="H125" s="180"/>
      <c r="I125" s="270"/>
      <c r="J125" s="121"/>
      <c r="K125" s="121"/>
      <c r="L125" s="121"/>
      <c r="M125" s="121"/>
      <c r="N125" s="122"/>
      <c r="O125" s="122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53"/>
      <c r="AA125" s="53"/>
      <c r="AB125" s="53"/>
      <c r="AC125" s="53"/>
    </row>
    <row r="126">
      <c r="A126" s="295"/>
      <c r="B126" s="145"/>
      <c r="C126" s="145"/>
      <c r="D126" s="145"/>
      <c r="E126" s="289"/>
      <c r="F126" s="296"/>
      <c r="G126" s="117"/>
      <c r="H126" s="180"/>
      <c r="I126" s="270"/>
      <c r="J126" s="121"/>
      <c r="K126" s="121"/>
      <c r="L126" s="121"/>
      <c r="M126" s="121"/>
      <c r="N126" s="122"/>
      <c r="O126" s="122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53"/>
      <c r="AA126" s="53"/>
      <c r="AB126" s="53"/>
      <c r="AC126" s="53"/>
    </row>
    <row r="127">
      <c r="A127" s="295"/>
      <c r="B127" s="145"/>
      <c r="C127" s="145"/>
      <c r="D127" s="145"/>
      <c r="E127" s="289"/>
      <c r="F127" s="296"/>
      <c r="G127" s="117"/>
      <c r="H127" s="180"/>
      <c r="I127" s="270"/>
      <c r="J127" s="121"/>
      <c r="K127" s="121"/>
      <c r="L127" s="121"/>
      <c r="M127" s="121"/>
      <c r="N127" s="122"/>
      <c r="O127" s="122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53"/>
      <c r="AA127" s="53"/>
      <c r="AB127" s="53"/>
      <c r="AC127" s="53"/>
    </row>
    <row r="128">
      <c r="A128" s="295"/>
      <c r="B128" s="145"/>
      <c r="C128" s="145"/>
      <c r="D128" s="145"/>
      <c r="E128" s="289"/>
      <c r="F128" s="296"/>
      <c r="G128" s="117"/>
      <c r="H128" s="180"/>
      <c r="I128" s="270"/>
      <c r="J128" s="121"/>
      <c r="K128" s="121"/>
      <c r="L128" s="121"/>
      <c r="M128" s="121"/>
      <c r="N128" s="122"/>
      <c r="O128" s="122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53"/>
      <c r="AA128" s="53"/>
      <c r="AB128" s="53"/>
      <c r="AC128" s="53"/>
    </row>
    <row r="129">
      <c r="A129" s="295"/>
      <c r="B129" s="145"/>
      <c r="C129" s="145"/>
      <c r="D129" s="145"/>
      <c r="E129" s="289"/>
      <c r="F129" s="296"/>
      <c r="G129" s="117"/>
      <c r="H129" s="180"/>
      <c r="I129" s="270"/>
      <c r="J129" s="121"/>
      <c r="K129" s="121"/>
      <c r="L129" s="121"/>
      <c r="M129" s="121"/>
      <c r="N129" s="122"/>
      <c r="O129" s="122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53"/>
      <c r="AA129" s="53"/>
      <c r="AB129" s="53"/>
      <c r="AC129" s="53"/>
    </row>
    <row r="130">
      <c r="A130" s="295"/>
      <c r="B130" s="145"/>
      <c r="C130" s="145"/>
      <c r="D130" s="145"/>
      <c r="E130" s="289"/>
      <c r="F130" s="296"/>
      <c r="G130" s="117"/>
      <c r="H130" s="180"/>
      <c r="I130" s="270"/>
      <c r="J130" s="121"/>
      <c r="K130" s="121"/>
      <c r="L130" s="121"/>
      <c r="M130" s="121"/>
      <c r="N130" s="122"/>
      <c r="O130" s="122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53"/>
      <c r="AA130" s="53"/>
      <c r="AB130" s="53"/>
      <c r="AC130" s="53"/>
    </row>
    <row r="131">
      <c r="A131" s="295"/>
      <c r="B131" s="145"/>
      <c r="C131" s="145"/>
      <c r="D131" s="145"/>
      <c r="E131" s="289"/>
      <c r="F131" s="296"/>
      <c r="G131" s="117"/>
      <c r="H131" s="180"/>
      <c r="I131" s="270"/>
      <c r="J131" s="121"/>
      <c r="K131" s="121"/>
      <c r="L131" s="121"/>
      <c r="M131" s="121"/>
      <c r="N131" s="122"/>
      <c r="O131" s="122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53"/>
      <c r="AA131" s="53"/>
      <c r="AB131" s="53"/>
      <c r="AC131" s="53"/>
    </row>
    <row r="132">
      <c r="A132" s="295"/>
      <c r="B132" s="145"/>
      <c r="C132" s="145"/>
      <c r="D132" s="145"/>
      <c r="E132" s="289"/>
      <c r="F132" s="296"/>
      <c r="G132" s="117">
        <f t="shared" ref="G132:G135" si="5">F132*16%</f>
        <v>0</v>
      </c>
      <c r="H132" s="180">
        <f t="shared" ref="H132:H136" si="6">SUM(F132:G132)</f>
        <v>0</v>
      </c>
      <c r="I132" s="270"/>
      <c r="J132" s="121"/>
      <c r="K132" s="121"/>
      <c r="L132" s="121"/>
      <c r="M132" s="121"/>
      <c r="N132" s="122"/>
      <c r="O132" s="122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53"/>
      <c r="AA132" s="53"/>
      <c r="AB132" s="53"/>
      <c r="AC132" s="53"/>
    </row>
    <row r="133">
      <c r="A133" s="295"/>
      <c r="B133" s="145"/>
      <c r="C133" s="145"/>
      <c r="D133" s="145"/>
      <c r="E133" s="289"/>
      <c r="F133" s="296"/>
      <c r="G133" s="117">
        <f t="shared" si="5"/>
        <v>0</v>
      </c>
      <c r="H133" s="180">
        <f t="shared" si="6"/>
        <v>0</v>
      </c>
      <c r="I133" s="270"/>
      <c r="J133" s="121"/>
      <c r="K133" s="121"/>
      <c r="L133" s="121"/>
      <c r="M133" s="121"/>
      <c r="N133" s="122"/>
      <c r="O133" s="122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53"/>
      <c r="AA133" s="53"/>
      <c r="AB133" s="53"/>
      <c r="AC133" s="53"/>
    </row>
    <row r="134">
      <c r="A134" s="297"/>
      <c r="B134" s="145"/>
      <c r="C134" s="145"/>
      <c r="D134" s="145"/>
      <c r="E134" s="289"/>
      <c r="F134" s="296"/>
      <c r="G134" s="117">
        <f t="shared" si="5"/>
        <v>0</v>
      </c>
      <c r="H134" s="180">
        <f t="shared" si="6"/>
        <v>0</v>
      </c>
      <c r="I134" s="270"/>
      <c r="J134" s="121"/>
      <c r="K134" s="121"/>
      <c r="L134" s="121"/>
      <c r="M134" s="121"/>
      <c r="N134" s="122"/>
      <c r="O134" s="122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53"/>
      <c r="AA134" s="53"/>
      <c r="AB134" s="53"/>
      <c r="AC134" s="53"/>
    </row>
    <row r="135">
      <c r="A135" s="297"/>
      <c r="B135" s="145"/>
      <c r="C135" s="298"/>
      <c r="D135" s="299"/>
      <c r="E135" s="200"/>
      <c r="F135" s="296"/>
      <c r="G135" s="117">
        <f t="shared" si="5"/>
        <v>0</v>
      </c>
      <c r="H135" s="180">
        <f t="shared" si="6"/>
        <v>0</v>
      </c>
      <c r="I135" s="270"/>
      <c r="J135" s="121"/>
      <c r="K135" s="121"/>
      <c r="L135" s="121"/>
      <c r="M135" s="121"/>
      <c r="N135" s="122"/>
      <c r="O135" s="122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53"/>
      <c r="AA135" s="53"/>
      <c r="AB135" s="53"/>
      <c r="AC135" s="53"/>
    </row>
    <row r="136">
      <c r="A136" s="300"/>
      <c r="B136" s="301"/>
      <c r="C136" s="302"/>
      <c r="D136" s="302"/>
      <c r="E136" s="303"/>
      <c r="F136" s="304">
        <v>0.0</v>
      </c>
      <c r="G136" s="305">
        <f>F136*16%</f>
        <v>0</v>
      </c>
      <c r="H136" s="305">
        <f t="shared" si="6"/>
        <v>0</v>
      </c>
      <c r="I136" s="306"/>
      <c r="J136" s="307"/>
      <c r="K136" s="121"/>
      <c r="L136" s="121"/>
      <c r="M136" s="121"/>
      <c r="N136" s="122"/>
      <c r="O136" s="122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53"/>
      <c r="AA136" s="53"/>
      <c r="AB136" s="53"/>
      <c r="AC136" s="53"/>
    </row>
    <row r="137" ht="8.25" customHeight="1">
      <c r="A137" s="51"/>
      <c r="B137" s="51"/>
      <c r="C137" s="51"/>
      <c r="D137" s="51"/>
      <c r="E137" s="51"/>
      <c r="F137" s="51"/>
      <c r="G137" s="51"/>
      <c r="H137" s="52"/>
      <c r="I137" s="52"/>
      <c r="J137" s="52"/>
      <c r="K137" s="52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</row>
    <row r="138" ht="26.25" customHeight="1">
      <c r="A138" s="308" t="s">
        <v>226</v>
      </c>
      <c r="B138" s="55"/>
      <c r="C138" s="55"/>
      <c r="D138" s="55"/>
      <c r="E138" s="56"/>
      <c r="F138" s="309">
        <f>SUM($F$7:$F$137)</f>
        <v>826051.73</v>
      </c>
      <c r="G138" s="309">
        <f>SUM($G$7:$G$137)</f>
        <v>33622.6584</v>
      </c>
      <c r="H138" s="310">
        <f>SUM($H$7:$H$137)</f>
        <v>859674.3884</v>
      </c>
      <c r="I138" s="310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</row>
    <row r="139" ht="15.75" customHeight="1">
      <c r="A139" s="8"/>
      <c r="B139" s="8"/>
      <c r="C139" s="8"/>
      <c r="D139" s="8"/>
      <c r="E139" s="2"/>
      <c r="F139" s="101"/>
      <c r="G139" s="101"/>
      <c r="H139" s="101"/>
      <c r="I139" s="10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  <c r="AA139" s="3"/>
      <c r="AB139" s="3"/>
      <c r="AC139" s="3"/>
    </row>
    <row r="140" ht="15.75" customHeight="1">
      <c r="A140" s="2"/>
      <c r="B140" s="2"/>
      <c r="C140" s="8"/>
      <c r="D140" s="8"/>
      <c r="E140" s="2"/>
      <c r="F140" s="101"/>
      <c r="G140" s="101"/>
      <c r="H140" s="101"/>
      <c r="I140" s="10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  <c r="AA140" s="3"/>
      <c r="AB140" s="3"/>
      <c r="AC140" s="3"/>
    </row>
    <row r="141">
      <c r="A141" s="3"/>
      <c r="B141" s="311" t="s">
        <v>19</v>
      </c>
      <c r="C141" s="106"/>
      <c r="D141" s="312">
        <f>SUMIFS($H7:H$136,$A7:A$136,"PAGADO")</f>
        <v>859674.3884</v>
      </c>
      <c r="E141" s="2"/>
      <c r="F141" s="101"/>
      <c r="G141" s="101"/>
      <c r="H141" s="101"/>
      <c r="I141" s="10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  <c r="AA141" s="3"/>
      <c r="AB141" s="3"/>
      <c r="AC141" s="3"/>
    </row>
    <row r="142">
      <c r="A142" s="3"/>
      <c r="B142" s="311" t="s">
        <v>227</v>
      </c>
      <c r="C142" s="106"/>
      <c r="D142" s="313">
        <f>SUMIFS($H7:H$136,$A7:A$136,"PENDIENTE")</f>
        <v>0</v>
      </c>
      <c r="E142" s="2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  <c r="AA142" s="3"/>
      <c r="AB142" s="3"/>
      <c r="AC142" s="3"/>
    </row>
    <row r="143" ht="15.75" customHeight="1">
      <c r="A143" s="3"/>
      <c r="B143" s="8"/>
      <c r="C143" s="3"/>
      <c r="D143" s="3"/>
      <c r="E143" s="3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  <c r="AA143" s="3"/>
      <c r="AB143" s="3"/>
      <c r="AC143" s="3"/>
    </row>
    <row r="144" ht="15.75" customHeight="1">
      <c r="A144" s="3"/>
      <c r="B144" s="8"/>
      <c r="C144" s="3"/>
      <c r="D144" s="3"/>
      <c r="E144" s="3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  <c r="AA144" s="3"/>
      <c r="AB144" s="3"/>
      <c r="AC144" s="3"/>
    </row>
    <row r="145" ht="15.75" customHeight="1">
      <c r="A145" s="8"/>
      <c r="B145" s="8"/>
      <c r="C145" s="8"/>
      <c r="D145" s="8"/>
      <c r="E145" s="2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  <c r="AA145" s="3"/>
      <c r="AB145" s="3"/>
      <c r="AC145" s="3"/>
    </row>
    <row r="146" ht="15.75" customHeight="1">
      <c r="A146" s="8"/>
      <c r="B146" s="8"/>
      <c r="C146" s="8"/>
      <c r="D146" s="8"/>
      <c r="E146" s="2"/>
      <c r="F146" s="8"/>
      <c r="G146" s="8"/>
      <c r="H146" s="8"/>
      <c r="I146" s="8"/>
      <c r="J146" s="2"/>
      <c r="K146" s="2"/>
      <c r="L146" s="3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  <c r="AA146" s="3"/>
      <c r="AB146" s="3"/>
      <c r="AC146" s="3"/>
    </row>
    <row r="147" ht="15.75" customHeight="1">
      <c r="A147" s="8"/>
      <c r="B147" s="8"/>
      <c r="C147" s="8"/>
      <c r="D147" s="8"/>
      <c r="E147" s="2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  <c r="AA147" s="3"/>
      <c r="AB147" s="3"/>
      <c r="AC147" s="3"/>
    </row>
    <row r="148" ht="15.75" customHeight="1">
      <c r="A148" s="8"/>
      <c r="B148" s="8"/>
      <c r="C148" s="8"/>
      <c r="D148" s="8"/>
      <c r="E148" s="2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  <c r="AA148" s="3"/>
      <c r="AB148" s="3"/>
      <c r="AC148" s="3"/>
    </row>
    <row r="149" ht="15.75" customHeight="1">
      <c r="A149" s="8"/>
      <c r="B149" s="8"/>
      <c r="C149" s="8"/>
      <c r="D149" s="8"/>
      <c r="E149" s="2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  <c r="AA149" s="3"/>
      <c r="AB149" s="3"/>
      <c r="AC149" s="3"/>
    </row>
    <row r="150" ht="15.75" customHeight="1">
      <c r="A150" s="8"/>
      <c r="B150" s="8"/>
      <c r="C150" s="8"/>
      <c r="D150" s="8"/>
      <c r="E150" s="2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  <c r="AA150" s="3"/>
      <c r="AB150" s="3"/>
      <c r="AC150" s="3"/>
    </row>
    <row r="151" ht="15.75" customHeight="1">
      <c r="A151" s="8"/>
      <c r="B151" s="8"/>
      <c r="C151" s="8"/>
      <c r="D151" s="8"/>
      <c r="E151" s="2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  <c r="AA151" s="3"/>
      <c r="AB151" s="3"/>
      <c r="AC151" s="3"/>
    </row>
    <row r="152" ht="15.75" customHeight="1">
      <c r="A152" s="8"/>
      <c r="B152" s="8"/>
      <c r="C152" s="8"/>
      <c r="D152" s="8"/>
      <c r="E152" s="2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  <c r="AA152" s="3"/>
      <c r="AB152" s="3"/>
      <c r="AC152" s="3"/>
    </row>
    <row r="153" ht="15.75" customHeight="1">
      <c r="A153" s="8"/>
      <c r="B153" s="8"/>
      <c r="C153" s="8"/>
      <c r="D153" s="8"/>
      <c r="E153" s="2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  <c r="AA153" s="3"/>
      <c r="AB153" s="3"/>
      <c r="AC153" s="3"/>
    </row>
    <row r="154" ht="15.75" customHeight="1">
      <c r="A154" s="8"/>
      <c r="B154" s="8"/>
      <c r="C154" s="8"/>
      <c r="D154" s="8"/>
      <c r="E154" s="2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  <c r="AA154" s="3"/>
      <c r="AB154" s="3"/>
      <c r="AC154" s="3"/>
    </row>
    <row r="155" ht="15.75" customHeight="1">
      <c r="A155" s="8"/>
      <c r="B155" s="8"/>
      <c r="C155" s="8"/>
      <c r="D155" s="8"/>
      <c r="E155" s="2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  <c r="AA155" s="3"/>
      <c r="AB155" s="3"/>
      <c r="AC155" s="3"/>
    </row>
    <row r="156" ht="15.75" customHeight="1">
      <c r="A156" s="8"/>
      <c r="B156" s="8"/>
      <c r="C156" s="8"/>
      <c r="D156" s="8"/>
      <c r="E156" s="2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  <c r="AA156" s="3"/>
      <c r="AB156" s="3"/>
      <c r="AC156" s="3"/>
    </row>
    <row r="157" ht="15.75" customHeight="1">
      <c r="A157" s="8"/>
      <c r="B157" s="8"/>
      <c r="C157" s="8"/>
      <c r="D157" s="8"/>
      <c r="E157" s="2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  <c r="AA157" s="3"/>
      <c r="AB157" s="3"/>
      <c r="AC157" s="3"/>
    </row>
    <row r="158" ht="15.75" customHeight="1">
      <c r="A158" s="8"/>
      <c r="B158" s="8"/>
      <c r="C158" s="8"/>
      <c r="D158" s="8"/>
      <c r="E158" s="2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  <c r="AA158" s="3"/>
      <c r="AB158" s="3"/>
      <c r="AC158" s="3"/>
    </row>
    <row r="159" ht="15.75" customHeight="1">
      <c r="A159" s="8"/>
      <c r="B159" s="8"/>
      <c r="C159" s="8"/>
      <c r="D159" s="8"/>
      <c r="E159" s="2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  <c r="AA159" s="3"/>
      <c r="AB159" s="3"/>
      <c r="AC159" s="3"/>
    </row>
    <row r="160" ht="15.75" customHeight="1">
      <c r="A160" s="8"/>
      <c r="B160" s="8"/>
      <c r="C160" s="8"/>
      <c r="D160" s="8"/>
      <c r="E160" s="2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  <c r="AA160" s="3"/>
      <c r="AB160" s="3"/>
      <c r="AC160" s="3"/>
    </row>
    <row r="161" ht="15.75" customHeight="1">
      <c r="A161" s="8"/>
      <c r="B161" s="8"/>
      <c r="C161" s="8"/>
      <c r="D161" s="8"/>
      <c r="E161" s="2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  <c r="AA161" s="3"/>
      <c r="AB161" s="3"/>
      <c r="AC161" s="3"/>
    </row>
    <row r="162" ht="15.75" customHeight="1">
      <c r="A162" s="8"/>
      <c r="B162" s="8"/>
      <c r="C162" s="8"/>
      <c r="D162" s="8"/>
      <c r="E162" s="2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  <c r="AA162" s="3"/>
      <c r="AB162" s="3"/>
      <c r="AC162" s="3"/>
    </row>
    <row r="163" ht="15.75" customHeight="1">
      <c r="A163" s="8"/>
      <c r="B163" s="8"/>
      <c r="C163" s="8"/>
      <c r="D163" s="8"/>
      <c r="E163" s="2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  <c r="AA163" s="3"/>
      <c r="AB163" s="3"/>
      <c r="AC163" s="3"/>
    </row>
    <row r="164" ht="15.75" customHeight="1">
      <c r="A164" s="8"/>
      <c r="B164" s="8"/>
      <c r="C164" s="8"/>
      <c r="D164" s="8"/>
      <c r="E164" s="2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  <c r="AA164" s="3"/>
      <c r="AB164" s="3"/>
      <c r="AC164" s="3"/>
    </row>
    <row r="165" ht="15.75" customHeight="1">
      <c r="A165" s="8"/>
      <c r="B165" s="8"/>
      <c r="C165" s="8"/>
      <c r="D165" s="8"/>
      <c r="E165" s="2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  <c r="AA165" s="3"/>
      <c r="AB165" s="3"/>
      <c r="AC165" s="3"/>
    </row>
    <row r="166" ht="15.75" customHeight="1">
      <c r="A166" s="8"/>
      <c r="B166" s="8"/>
      <c r="C166" s="8"/>
      <c r="D166" s="8"/>
      <c r="E166" s="2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  <c r="AA166" s="3"/>
      <c r="AB166" s="3"/>
      <c r="AC166" s="3"/>
    </row>
    <row r="167" ht="15.75" customHeight="1">
      <c r="A167" s="8"/>
      <c r="B167" s="8"/>
      <c r="C167" s="8"/>
      <c r="D167" s="8"/>
      <c r="E167" s="2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  <c r="AA167" s="3"/>
      <c r="AB167" s="3"/>
      <c r="AC167" s="3"/>
    </row>
    <row r="168" ht="15.75" customHeight="1">
      <c r="A168" s="8"/>
      <c r="B168" s="8"/>
      <c r="C168" s="8"/>
      <c r="D168" s="8"/>
      <c r="E168" s="2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  <c r="AA168" s="3"/>
      <c r="AB168" s="3"/>
      <c r="AC168" s="3"/>
    </row>
    <row r="169" ht="15.75" customHeight="1">
      <c r="A169" s="8"/>
      <c r="B169" s="8"/>
      <c r="C169" s="8"/>
      <c r="D169" s="8"/>
      <c r="E169" s="2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  <c r="AA169" s="3"/>
      <c r="AB169" s="3"/>
      <c r="AC169" s="3"/>
    </row>
    <row r="170" ht="15.75" customHeight="1">
      <c r="A170" s="8"/>
      <c r="B170" s="8"/>
      <c r="C170" s="8"/>
      <c r="D170" s="8"/>
      <c r="E170" s="2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  <c r="AA170" s="3"/>
      <c r="AB170" s="3"/>
      <c r="AC170" s="3"/>
    </row>
    <row r="171" ht="15.75" customHeight="1">
      <c r="A171" s="8"/>
      <c r="B171" s="8"/>
      <c r="C171" s="8"/>
      <c r="D171" s="8"/>
      <c r="E171" s="2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  <c r="AA171" s="3"/>
      <c r="AB171" s="3"/>
      <c r="AC171" s="3"/>
    </row>
    <row r="172" ht="15.75" customHeight="1">
      <c r="A172" s="8"/>
      <c r="B172" s="8"/>
      <c r="C172" s="8"/>
      <c r="D172" s="8"/>
      <c r="E172" s="2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  <c r="AA172" s="3"/>
      <c r="AB172" s="3"/>
      <c r="AC172" s="3"/>
    </row>
    <row r="173" ht="15.75" customHeight="1">
      <c r="A173" s="8"/>
      <c r="B173" s="8"/>
      <c r="C173" s="8"/>
      <c r="D173" s="8"/>
      <c r="E173" s="2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  <c r="AA173" s="3"/>
      <c r="AB173" s="3"/>
      <c r="AC173" s="3"/>
    </row>
    <row r="174" ht="15.75" customHeight="1">
      <c r="A174" s="8"/>
      <c r="B174" s="8"/>
      <c r="C174" s="8"/>
      <c r="D174" s="8"/>
      <c r="E174" s="2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  <c r="AA174" s="3"/>
      <c r="AB174" s="3"/>
      <c r="AC174" s="3"/>
    </row>
    <row r="175" ht="15.75" customHeight="1">
      <c r="A175" s="8"/>
      <c r="B175" s="8"/>
      <c r="C175" s="8"/>
      <c r="D175" s="8"/>
      <c r="E175" s="2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  <c r="AA175" s="3"/>
      <c r="AB175" s="3"/>
      <c r="AC175" s="3"/>
    </row>
    <row r="176" ht="15.75" customHeight="1">
      <c r="A176" s="8"/>
      <c r="B176" s="8"/>
      <c r="C176" s="8"/>
      <c r="D176" s="8"/>
      <c r="E176" s="2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  <c r="AA176" s="3"/>
      <c r="AB176" s="3"/>
      <c r="AC176" s="3"/>
    </row>
    <row r="177" ht="15.75" customHeight="1">
      <c r="A177" s="8"/>
      <c r="B177" s="8"/>
      <c r="C177" s="8"/>
      <c r="D177" s="8"/>
      <c r="E177" s="2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  <c r="AA177" s="3"/>
      <c r="AB177" s="3"/>
      <c r="AC177" s="3"/>
    </row>
    <row r="178" ht="15.75" customHeight="1">
      <c r="A178" s="8"/>
      <c r="B178" s="8"/>
      <c r="C178" s="8"/>
      <c r="D178" s="8"/>
      <c r="E178" s="2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  <c r="AA178" s="3"/>
      <c r="AB178" s="3"/>
      <c r="AC178" s="3"/>
    </row>
    <row r="179" ht="15.75" customHeight="1">
      <c r="A179" s="8"/>
      <c r="B179" s="8"/>
      <c r="C179" s="8"/>
      <c r="D179" s="8"/>
      <c r="E179" s="2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  <c r="AA179" s="3"/>
      <c r="AB179" s="3"/>
      <c r="AC179" s="3"/>
    </row>
    <row r="180" ht="15.75" customHeight="1">
      <c r="A180" s="8"/>
      <c r="B180" s="8"/>
      <c r="C180" s="8"/>
      <c r="D180" s="8"/>
      <c r="E180" s="2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  <c r="AA180" s="3"/>
      <c r="AB180" s="3"/>
      <c r="AC180" s="3"/>
    </row>
    <row r="181" ht="15.75" customHeight="1">
      <c r="A181" s="8"/>
      <c r="B181" s="8"/>
      <c r="C181" s="8"/>
      <c r="D181" s="8"/>
      <c r="E181" s="2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  <c r="AA181" s="3"/>
      <c r="AB181" s="3"/>
      <c r="AC181" s="3"/>
    </row>
    <row r="182" ht="15.75" customHeight="1">
      <c r="A182" s="8"/>
      <c r="B182" s="8"/>
      <c r="C182" s="8"/>
      <c r="D182" s="8"/>
      <c r="E182" s="2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  <c r="AA182" s="3"/>
      <c r="AB182" s="3"/>
      <c r="AC182" s="3"/>
    </row>
    <row r="183" ht="15.75" customHeight="1">
      <c r="A183" s="8"/>
      <c r="B183" s="8"/>
      <c r="C183" s="8"/>
      <c r="D183" s="8"/>
      <c r="E183" s="2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  <c r="AA183" s="3"/>
      <c r="AB183" s="3"/>
      <c r="AC183" s="3"/>
    </row>
    <row r="184" ht="15.75" customHeight="1">
      <c r="A184" s="8"/>
      <c r="B184" s="8"/>
      <c r="C184" s="8"/>
      <c r="D184" s="8"/>
      <c r="E184" s="2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  <c r="AA184" s="3"/>
      <c r="AB184" s="3"/>
      <c r="AC184" s="3"/>
    </row>
    <row r="185" ht="15.75" customHeight="1">
      <c r="A185" s="8"/>
      <c r="B185" s="8"/>
      <c r="C185" s="8"/>
      <c r="D185" s="8"/>
      <c r="E185" s="2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  <c r="AA185" s="3"/>
      <c r="AB185" s="3"/>
      <c r="AC185" s="3"/>
    </row>
    <row r="186" ht="15.75" customHeight="1">
      <c r="A186" s="8"/>
      <c r="B186" s="8"/>
      <c r="C186" s="8"/>
      <c r="D186" s="8"/>
      <c r="E186" s="2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  <c r="AA186" s="3"/>
      <c r="AB186" s="3"/>
      <c r="AC186" s="3"/>
    </row>
    <row r="187" ht="15.75" customHeight="1">
      <c r="A187" s="8"/>
      <c r="B187" s="8"/>
      <c r="C187" s="8"/>
      <c r="D187" s="8"/>
      <c r="E187" s="2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  <c r="AA187" s="3"/>
      <c r="AB187" s="3"/>
      <c r="AC187" s="3"/>
    </row>
    <row r="188" ht="15.75" customHeight="1">
      <c r="A188" s="8"/>
      <c r="B188" s="8"/>
      <c r="C188" s="8"/>
      <c r="D188" s="8"/>
      <c r="E188" s="2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  <c r="AA188" s="3"/>
      <c r="AB188" s="3"/>
      <c r="AC188" s="3"/>
    </row>
    <row r="189" ht="15.75" customHeight="1">
      <c r="A189" s="8"/>
      <c r="B189" s="8"/>
      <c r="C189" s="8"/>
      <c r="D189" s="8"/>
      <c r="E189" s="2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  <c r="AA189" s="3"/>
      <c r="AB189" s="3"/>
      <c r="AC189" s="3"/>
    </row>
    <row r="190" ht="15.75" customHeight="1">
      <c r="A190" s="8"/>
      <c r="B190" s="8"/>
      <c r="C190" s="8"/>
      <c r="D190" s="8"/>
      <c r="E190" s="2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  <c r="AA190" s="3"/>
      <c r="AB190" s="3"/>
      <c r="AC190" s="3"/>
    </row>
    <row r="191" ht="15.75" customHeight="1">
      <c r="A191" s="8"/>
      <c r="B191" s="8"/>
      <c r="C191" s="8"/>
      <c r="D191" s="8"/>
      <c r="E191" s="2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  <c r="AA191" s="3"/>
      <c r="AB191" s="3"/>
      <c r="AC191" s="3"/>
    </row>
    <row r="192" ht="15.75" customHeight="1">
      <c r="A192" s="8"/>
      <c r="B192" s="8"/>
      <c r="C192" s="8"/>
      <c r="D192" s="8"/>
      <c r="E192" s="2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  <c r="AA192" s="3"/>
      <c r="AB192" s="3"/>
      <c r="AC192" s="3"/>
    </row>
    <row r="193" ht="15.75" customHeight="1">
      <c r="A193" s="8"/>
      <c r="B193" s="8"/>
      <c r="C193" s="8"/>
      <c r="D193" s="8"/>
      <c r="E193" s="2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  <c r="AA193" s="3"/>
      <c r="AB193" s="3"/>
      <c r="AC193" s="3"/>
    </row>
    <row r="194" ht="15.75" customHeight="1">
      <c r="A194" s="8"/>
      <c r="B194" s="8"/>
      <c r="C194" s="8"/>
      <c r="D194" s="8"/>
      <c r="E194" s="2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  <c r="AA194" s="3"/>
      <c r="AB194" s="3"/>
      <c r="AC194" s="3"/>
    </row>
    <row r="195" ht="15.75" customHeight="1">
      <c r="A195" s="8"/>
      <c r="B195" s="8"/>
      <c r="C195" s="8"/>
      <c r="D195" s="8"/>
      <c r="E195" s="2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  <c r="AA195" s="3"/>
      <c r="AB195" s="3"/>
      <c r="AC195" s="3"/>
    </row>
    <row r="196" ht="15.75" customHeight="1">
      <c r="A196" s="8"/>
      <c r="B196" s="8"/>
      <c r="C196" s="8"/>
      <c r="D196" s="8"/>
      <c r="E196" s="2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  <c r="AA196" s="3"/>
      <c r="AB196" s="3"/>
      <c r="AC196" s="3"/>
    </row>
    <row r="197" ht="15.75" customHeight="1">
      <c r="A197" s="8"/>
      <c r="B197" s="8"/>
      <c r="C197" s="8"/>
      <c r="D197" s="8"/>
      <c r="E197" s="2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  <c r="AA197" s="3"/>
      <c r="AB197" s="3"/>
      <c r="AC197" s="3"/>
    </row>
    <row r="198" ht="15.75" customHeight="1">
      <c r="A198" s="8"/>
      <c r="B198" s="8"/>
      <c r="C198" s="8"/>
      <c r="D198" s="8"/>
      <c r="E198" s="2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  <c r="AA198" s="3"/>
      <c r="AB198" s="3"/>
      <c r="AC198" s="3"/>
    </row>
    <row r="199" ht="15.75" customHeight="1">
      <c r="A199" s="8"/>
      <c r="B199" s="8"/>
      <c r="C199" s="8"/>
      <c r="D199" s="8"/>
      <c r="E199" s="2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  <c r="AA199" s="3"/>
      <c r="AB199" s="3"/>
      <c r="AC199" s="3"/>
    </row>
    <row r="200" ht="15.75" customHeight="1">
      <c r="A200" s="8"/>
      <c r="B200" s="8"/>
      <c r="C200" s="8"/>
      <c r="D200" s="8"/>
      <c r="E200" s="2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  <c r="AA200" s="3"/>
      <c r="AB200" s="3"/>
      <c r="AC200" s="3"/>
    </row>
    <row r="201" ht="15.75" customHeight="1">
      <c r="A201" s="8"/>
      <c r="B201" s="8"/>
      <c r="C201" s="8"/>
      <c r="D201" s="8"/>
      <c r="E201" s="2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  <c r="AA201" s="3"/>
      <c r="AB201" s="3"/>
      <c r="AC201" s="3"/>
    </row>
    <row r="202" ht="15.75" customHeight="1">
      <c r="A202" s="8"/>
      <c r="B202" s="8"/>
      <c r="C202" s="8"/>
      <c r="D202" s="8"/>
      <c r="E202" s="2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  <c r="AA202" s="3"/>
      <c r="AB202" s="3"/>
      <c r="AC202" s="3"/>
    </row>
    <row r="203" ht="15.75" customHeight="1">
      <c r="A203" s="8"/>
      <c r="B203" s="8"/>
      <c r="C203" s="8"/>
      <c r="D203" s="8"/>
      <c r="E203" s="2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  <c r="AA203" s="3"/>
      <c r="AB203" s="3"/>
      <c r="AC203" s="3"/>
    </row>
    <row r="204" ht="15.75" customHeight="1">
      <c r="A204" s="8"/>
      <c r="B204" s="8"/>
      <c r="C204" s="8"/>
      <c r="D204" s="8"/>
      <c r="E204" s="2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  <c r="AA204" s="3"/>
      <c r="AB204" s="3"/>
      <c r="AC204" s="3"/>
    </row>
    <row r="205" ht="15.75" customHeight="1">
      <c r="A205" s="8"/>
      <c r="B205" s="8"/>
      <c r="C205" s="8"/>
      <c r="D205" s="8"/>
      <c r="E205" s="2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  <c r="AA205" s="3"/>
      <c r="AB205" s="3"/>
      <c r="AC205" s="3"/>
    </row>
    <row r="206" ht="15.75" customHeight="1">
      <c r="A206" s="8"/>
      <c r="B206" s="8"/>
      <c r="C206" s="8"/>
      <c r="D206" s="8"/>
      <c r="E206" s="2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  <c r="AA206" s="3"/>
      <c r="AB206" s="3"/>
      <c r="AC206" s="3"/>
    </row>
    <row r="207" ht="15.75" customHeight="1">
      <c r="A207" s="8"/>
      <c r="B207" s="8"/>
      <c r="C207" s="8"/>
      <c r="D207" s="8"/>
      <c r="E207" s="2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  <c r="AA207" s="3"/>
      <c r="AB207" s="3"/>
      <c r="AC207" s="3"/>
    </row>
    <row r="208" ht="15.75" customHeight="1">
      <c r="A208" s="8"/>
      <c r="B208" s="8"/>
      <c r="C208" s="8"/>
      <c r="D208" s="8"/>
      <c r="E208" s="2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  <c r="AA208" s="3"/>
      <c r="AB208" s="3"/>
      <c r="AC208" s="3"/>
    </row>
    <row r="209" ht="15.75" customHeight="1">
      <c r="A209" s="8"/>
      <c r="B209" s="8"/>
      <c r="C209" s="8"/>
      <c r="D209" s="8"/>
      <c r="E209" s="2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  <c r="AA209" s="3"/>
      <c r="AB209" s="3"/>
      <c r="AC209" s="3"/>
    </row>
    <row r="210" ht="15.75" customHeight="1">
      <c r="A210" s="8"/>
      <c r="B210" s="8"/>
      <c r="C210" s="8"/>
      <c r="D210" s="8"/>
      <c r="E210" s="2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  <c r="AA210" s="3"/>
      <c r="AB210" s="3"/>
      <c r="AC210" s="3"/>
    </row>
    <row r="211" ht="15.75" customHeight="1">
      <c r="A211" s="8"/>
      <c r="B211" s="8"/>
      <c r="C211" s="8"/>
      <c r="D211" s="8"/>
      <c r="E211" s="2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  <c r="AA211" s="3"/>
      <c r="AB211" s="3"/>
      <c r="AC211" s="3"/>
    </row>
    <row r="212" ht="15.75" customHeight="1">
      <c r="A212" s="8"/>
      <c r="B212" s="8"/>
      <c r="C212" s="8"/>
      <c r="D212" s="8"/>
      <c r="E212" s="2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  <c r="AA212" s="3"/>
      <c r="AB212" s="3"/>
      <c r="AC212" s="3"/>
    </row>
    <row r="213" ht="15.75" customHeight="1">
      <c r="A213" s="8"/>
      <c r="B213" s="8"/>
      <c r="C213" s="8"/>
      <c r="D213" s="8"/>
      <c r="E213" s="2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3"/>
      <c r="AB213" s="3"/>
      <c r="AC213" s="3"/>
    </row>
    <row r="214" ht="15.75" customHeight="1">
      <c r="A214" s="8"/>
      <c r="B214" s="8"/>
      <c r="C214" s="8"/>
      <c r="D214" s="8"/>
      <c r="E214" s="2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  <c r="AA214" s="3"/>
      <c r="AB214" s="3"/>
      <c r="AC214" s="3"/>
    </row>
    <row r="215" ht="15.75" customHeight="1">
      <c r="A215" s="8"/>
      <c r="B215" s="8"/>
      <c r="C215" s="8"/>
      <c r="D215" s="8"/>
      <c r="E215" s="2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  <c r="AA215" s="3"/>
      <c r="AB215" s="3"/>
      <c r="AC215" s="3"/>
    </row>
    <row r="216" ht="15.75" customHeight="1">
      <c r="A216" s="8"/>
      <c r="B216" s="8"/>
      <c r="C216" s="8"/>
      <c r="D216" s="8"/>
      <c r="E216" s="2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  <c r="AA216" s="3"/>
      <c r="AB216" s="3"/>
      <c r="AC216" s="3"/>
    </row>
    <row r="217" ht="15.75" customHeight="1">
      <c r="A217" s="8"/>
      <c r="B217" s="8"/>
      <c r="C217" s="8"/>
      <c r="D217" s="8"/>
      <c r="E217" s="2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  <c r="AA217" s="3"/>
      <c r="AB217" s="3"/>
      <c r="AC217" s="3"/>
    </row>
    <row r="218" ht="15.75" customHeight="1">
      <c r="A218" s="8"/>
      <c r="B218" s="8"/>
      <c r="C218" s="8"/>
      <c r="D218" s="8"/>
      <c r="E218" s="2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  <c r="AA218" s="3"/>
      <c r="AB218" s="3"/>
      <c r="AC218" s="3"/>
    </row>
    <row r="219" ht="15.75" customHeight="1">
      <c r="A219" s="8"/>
      <c r="B219" s="8"/>
      <c r="C219" s="8"/>
      <c r="D219" s="8"/>
      <c r="E219" s="2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  <c r="AA219" s="3"/>
      <c r="AB219" s="3"/>
      <c r="AC219" s="3"/>
    </row>
    <row r="220" ht="15.75" customHeight="1">
      <c r="A220" s="8"/>
      <c r="B220" s="8"/>
      <c r="C220" s="8"/>
      <c r="D220" s="8"/>
      <c r="E220" s="2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  <c r="AA220" s="3"/>
      <c r="AB220" s="3"/>
      <c r="AC220" s="3"/>
    </row>
    <row r="221" ht="15.75" customHeight="1">
      <c r="A221" s="8"/>
      <c r="B221" s="8"/>
      <c r="C221" s="8"/>
      <c r="D221" s="8"/>
      <c r="E221" s="2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  <c r="AA221" s="3"/>
      <c r="AB221" s="3"/>
      <c r="AC221" s="3"/>
    </row>
    <row r="222" ht="15.75" customHeight="1">
      <c r="A222" s="8"/>
      <c r="B222" s="8"/>
      <c r="C222" s="8"/>
      <c r="D222" s="8"/>
      <c r="E222" s="2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  <c r="AA222" s="3"/>
      <c r="AB222" s="3"/>
      <c r="AC222" s="3"/>
    </row>
    <row r="223" ht="15.75" customHeight="1">
      <c r="A223" s="8"/>
      <c r="B223" s="8"/>
      <c r="C223" s="8"/>
      <c r="D223" s="8"/>
      <c r="E223" s="2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  <c r="AA223" s="3"/>
      <c r="AB223" s="3"/>
      <c r="AC223" s="3"/>
    </row>
    <row r="224" ht="15.75" customHeight="1">
      <c r="A224" s="8"/>
      <c r="B224" s="8"/>
      <c r="C224" s="8"/>
      <c r="D224" s="8"/>
      <c r="E224" s="2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  <c r="AA224" s="3"/>
      <c r="AB224" s="3"/>
      <c r="AC224" s="3"/>
    </row>
    <row r="225" ht="15.75" customHeight="1">
      <c r="A225" s="8"/>
      <c r="B225" s="8"/>
      <c r="C225" s="8"/>
      <c r="D225" s="8"/>
      <c r="E225" s="2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  <c r="AA225" s="3"/>
      <c r="AB225" s="3"/>
      <c r="AC225" s="3"/>
    </row>
    <row r="226" ht="15.75" customHeight="1">
      <c r="A226" s="8"/>
      <c r="B226" s="8"/>
      <c r="C226" s="8"/>
      <c r="D226" s="8"/>
      <c r="E226" s="2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  <c r="AA226" s="3"/>
      <c r="AB226" s="3"/>
      <c r="AC226" s="3"/>
    </row>
    <row r="227" ht="15.75" customHeight="1">
      <c r="A227" s="8"/>
      <c r="B227" s="8"/>
      <c r="C227" s="8"/>
      <c r="D227" s="8"/>
      <c r="E227" s="2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  <c r="AA227" s="3"/>
      <c r="AB227" s="3"/>
      <c r="AC227" s="3"/>
    </row>
    <row r="228" ht="15.75" customHeight="1">
      <c r="A228" s="8"/>
      <c r="B228" s="8"/>
      <c r="C228" s="8"/>
      <c r="D228" s="8"/>
      <c r="E228" s="2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  <c r="AA228" s="3"/>
      <c r="AB228" s="3"/>
      <c r="AC228" s="3"/>
    </row>
    <row r="229" ht="15.75" customHeight="1">
      <c r="A229" s="8"/>
      <c r="B229" s="8"/>
      <c r="C229" s="8"/>
      <c r="D229" s="8"/>
      <c r="E229" s="2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  <c r="AA229" s="3"/>
      <c r="AB229" s="3"/>
      <c r="AC229" s="3"/>
    </row>
    <row r="230" ht="15.75" customHeight="1">
      <c r="A230" s="8"/>
      <c r="B230" s="8"/>
      <c r="C230" s="8"/>
      <c r="D230" s="8"/>
      <c r="E230" s="2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  <c r="AA230" s="3"/>
      <c r="AB230" s="3"/>
      <c r="AC230" s="3"/>
    </row>
    <row r="231" ht="15.75" customHeight="1">
      <c r="A231" s="8"/>
      <c r="B231" s="8"/>
      <c r="C231" s="8"/>
      <c r="D231" s="8"/>
      <c r="E231" s="2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  <c r="AA231" s="3"/>
      <c r="AB231" s="3"/>
      <c r="AC231" s="3"/>
    </row>
    <row r="232" ht="15.75" customHeight="1">
      <c r="A232" s="8"/>
      <c r="B232" s="8"/>
      <c r="C232" s="8"/>
      <c r="D232" s="8"/>
      <c r="E232" s="2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  <c r="AA232" s="3"/>
      <c r="AB232" s="3"/>
      <c r="AC232" s="3"/>
    </row>
    <row r="233" ht="15.75" customHeight="1">
      <c r="A233" s="8"/>
      <c r="B233" s="8"/>
      <c r="C233" s="8"/>
      <c r="D233" s="8"/>
      <c r="E233" s="2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  <c r="AA233" s="3"/>
      <c r="AB233" s="3"/>
      <c r="AC233" s="3"/>
    </row>
    <row r="234" ht="15.75" customHeight="1">
      <c r="A234" s="8"/>
      <c r="B234" s="8"/>
      <c r="C234" s="8"/>
      <c r="D234" s="8"/>
      <c r="E234" s="2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  <c r="AA234" s="3"/>
      <c r="AB234" s="3"/>
      <c r="AC234" s="3"/>
    </row>
    <row r="235" ht="15.75" customHeight="1">
      <c r="A235" s="8"/>
      <c r="B235" s="8"/>
      <c r="C235" s="8"/>
      <c r="D235" s="8"/>
      <c r="E235" s="2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  <c r="AA235" s="3"/>
      <c r="AB235" s="3"/>
      <c r="AC235" s="3"/>
    </row>
    <row r="236" ht="15.75" customHeight="1">
      <c r="A236" s="8"/>
      <c r="B236" s="8"/>
      <c r="C236" s="8"/>
      <c r="D236" s="8"/>
      <c r="E236" s="2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  <c r="AA236" s="3"/>
      <c r="AB236" s="3"/>
      <c r="AC236" s="3"/>
    </row>
    <row r="237" ht="15.75" customHeight="1">
      <c r="A237" s="8"/>
      <c r="B237" s="8"/>
      <c r="C237" s="8"/>
      <c r="D237" s="8"/>
      <c r="E237" s="2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  <c r="AA237" s="3"/>
      <c r="AB237" s="3"/>
      <c r="AC237" s="3"/>
    </row>
    <row r="238" ht="15.75" customHeight="1">
      <c r="A238" s="8"/>
      <c r="B238" s="8"/>
      <c r="C238" s="8"/>
      <c r="D238" s="8"/>
      <c r="E238" s="2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  <c r="AA238" s="3"/>
      <c r="AB238" s="3"/>
      <c r="AC238" s="3"/>
    </row>
    <row r="239" ht="15.75" customHeight="1">
      <c r="A239" s="8"/>
      <c r="B239" s="8"/>
      <c r="C239" s="8"/>
      <c r="D239" s="8"/>
      <c r="E239" s="2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  <c r="AA239" s="3"/>
      <c r="AB239" s="3"/>
      <c r="AC239" s="3"/>
    </row>
    <row r="240" ht="15.75" customHeight="1">
      <c r="A240" s="8"/>
      <c r="B240" s="8"/>
      <c r="C240" s="8"/>
      <c r="D240" s="8"/>
      <c r="E240" s="2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  <c r="AA240" s="3"/>
      <c r="AB240" s="3"/>
      <c r="AC240" s="3"/>
    </row>
    <row r="241" ht="15.75" customHeight="1">
      <c r="A241" s="8"/>
      <c r="B241" s="8"/>
      <c r="C241" s="8"/>
      <c r="D241" s="8"/>
      <c r="E241" s="2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  <c r="AA241" s="3"/>
      <c r="AB241" s="3"/>
      <c r="AC241" s="3"/>
    </row>
    <row r="242" ht="15.75" customHeight="1">
      <c r="A242" s="8"/>
      <c r="B242" s="8"/>
      <c r="C242" s="8"/>
      <c r="D242" s="8"/>
      <c r="E242" s="2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  <c r="AA242" s="3"/>
      <c r="AB242" s="3"/>
      <c r="AC242" s="3"/>
    </row>
    <row r="243" ht="15.75" customHeight="1">
      <c r="A243" s="8"/>
      <c r="B243" s="8"/>
      <c r="C243" s="8"/>
      <c r="D243" s="8"/>
      <c r="E243" s="2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  <c r="AA243" s="3"/>
      <c r="AB243" s="3"/>
      <c r="AC243" s="3"/>
    </row>
    <row r="244" ht="15.75" customHeight="1">
      <c r="A244" s="8"/>
      <c r="B244" s="8"/>
      <c r="C244" s="8"/>
      <c r="D244" s="8"/>
      <c r="E244" s="2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  <c r="AA244" s="3"/>
      <c r="AB244" s="3"/>
      <c r="AC244" s="3"/>
    </row>
    <row r="245" ht="15.75" customHeight="1">
      <c r="A245" s="8"/>
      <c r="B245" s="8"/>
      <c r="C245" s="8"/>
      <c r="D245" s="8"/>
      <c r="E245" s="2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  <c r="AA245" s="3"/>
      <c r="AB245" s="3"/>
      <c r="AC245" s="3"/>
    </row>
    <row r="246" ht="15.75" customHeight="1">
      <c r="A246" s="8"/>
      <c r="B246" s="8"/>
      <c r="C246" s="8"/>
      <c r="D246" s="8"/>
      <c r="E246" s="2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  <c r="AA246" s="3"/>
      <c r="AB246" s="3"/>
      <c r="AC246" s="3"/>
    </row>
    <row r="247" ht="15.75" customHeight="1">
      <c r="A247" s="8"/>
      <c r="B247" s="8"/>
      <c r="C247" s="8"/>
      <c r="D247" s="8"/>
      <c r="E247" s="2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  <c r="AA247" s="3"/>
      <c r="AB247" s="3"/>
      <c r="AC247" s="3"/>
    </row>
    <row r="248" ht="15.75" customHeight="1">
      <c r="A248" s="8"/>
      <c r="B248" s="8"/>
      <c r="C248" s="8"/>
      <c r="D248" s="8"/>
      <c r="E248" s="2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  <c r="AA248" s="3"/>
      <c r="AB248" s="3"/>
      <c r="AC248" s="3"/>
    </row>
    <row r="249" ht="15.75" customHeight="1">
      <c r="A249" s="8"/>
      <c r="B249" s="8"/>
      <c r="C249" s="8"/>
      <c r="D249" s="8"/>
      <c r="E249" s="2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  <c r="AA249" s="3"/>
      <c r="AB249" s="3"/>
      <c r="AC249" s="3"/>
    </row>
    <row r="250" ht="15.75" customHeight="1">
      <c r="A250" s="8"/>
      <c r="B250" s="8"/>
      <c r="C250" s="8"/>
      <c r="D250" s="8"/>
      <c r="E250" s="2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  <c r="AA250" s="3"/>
      <c r="AB250" s="3"/>
      <c r="AC250" s="3"/>
    </row>
    <row r="251" ht="15.75" customHeight="1">
      <c r="A251" s="8"/>
      <c r="B251" s="8"/>
      <c r="C251" s="8"/>
      <c r="D251" s="8"/>
      <c r="E251" s="2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  <c r="AA251" s="3"/>
      <c r="AB251" s="3"/>
      <c r="AC251" s="3"/>
    </row>
    <row r="252" ht="15.75" customHeight="1">
      <c r="A252" s="8"/>
      <c r="B252" s="8"/>
      <c r="C252" s="8"/>
      <c r="D252" s="8"/>
      <c r="E252" s="2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  <c r="AA252" s="3"/>
      <c r="AB252" s="3"/>
      <c r="AC252" s="3"/>
    </row>
    <row r="253" ht="15.75" customHeight="1">
      <c r="A253" s="8"/>
      <c r="B253" s="8"/>
      <c r="C253" s="8"/>
      <c r="D253" s="8"/>
      <c r="E253" s="2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  <c r="AA253" s="3"/>
      <c r="AB253" s="3"/>
      <c r="AC253" s="3"/>
    </row>
    <row r="254" ht="15.75" customHeight="1">
      <c r="A254" s="8"/>
      <c r="B254" s="8"/>
      <c r="C254" s="8"/>
      <c r="D254" s="8"/>
      <c r="E254" s="2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  <c r="AA254" s="3"/>
      <c r="AB254" s="3"/>
      <c r="AC254" s="3"/>
    </row>
    <row r="255" ht="15.75" customHeight="1">
      <c r="A255" s="8"/>
      <c r="B255" s="8"/>
      <c r="C255" s="8"/>
      <c r="D255" s="8"/>
      <c r="E255" s="2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  <c r="AA255" s="3"/>
      <c r="AB255" s="3"/>
      <c r="AC255" s="3"/>
    </row>
    <row r="256" ht="15.75" customHeight="1">
      <c r="A256" s="8"/>
      <c r="B256" s="8"/>
      <c r="C256" s="8"/>
      <c r="D256" s="8"/>
      <c r="E256" s="2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  <c r="AA256" s="3"/>
      <c r="AB256" s="3"/>
      <c r="AC256" s="3"/>
    </row>
    <row r="257" ht="15.75" customHeight="1">
      <c r="A257" s="8"/>
      <c r="B257" s="8"/>
      <c r="C257" s="8"/>
      <c r="D257" s="8"/>
      <c r="E257" s="2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  <c r="AA257" s="3"/>
      <c r="AB257" s="3"/>
      <c r="AC257" s="3"/>
    </row>
    <row r="258" ht="15.75" customHeight="1">
      <c r="A258" s="8"/>
      <c r="B258" s="8"/>
      <c r="C258" s="8"/>
      <c r="D258" s="8"/>
      <c r="E258" s="2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  <c r="AA258" s="3"/>
      <c r="AB258" s="3"/>
      <c r="AC258" s="3"/>
    </row>
    <row r="259" ht="15.75" customHeight="1">
      <c r="A259" s="8"/>
      <c r="B259" s="8"/>
      <c r="C259" s="8"/>
      <c r="D259" s="8"/>
      <c r="E259" s="2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  <c r="AA259" s="3"/>
      <c r="AB259" s="3"/>
      <c r="AC259" s="3"/>
    </row>
    <row r="260" ht="15.75" customHeight="1">
      <c r="A260" s="8"/>
      <c r="B260" s="8"/>
      <c r="C260" s="8"/>
      <c r="D260" s="8"/>
      <c r="E260" s="2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  <c r="AA260" s="3"/>
      <c r="AB260" s="3"/>
      <c r="AC260" s="3"/>
    </row>
    <row r="261" ht="15.75" customHeight="1">
      <c r="A261" s="8"/>
      <c r="B261" s="8"/>
      <c r="C261" s="8"/>
      <c r="D261" s="8"/>
      <c r="E261" s="2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  <c r="AA261" s="3"/>
      <c r="AB261" s="3"/>
      <c r="AC261" s="3"/>
    </row>
    <row r="262" ht="15.75" customHeight="1">
      <c r="A262" s="8"/>
      <c r="B262" s="8"/>
      <c r="C262" s="8"/>
      <c r="D262" s="8"/>
      <c r="E262" s="2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  <c r="AA262" s="3"/>
      <c r="AB262" s="3"/>
      <c r="AC262" s="3"/>
    </row>
    <row r="263" ht="15.75" customHeight="1">
      <c r="A263" s="8"/>
      <c r="B263" s="8"/>
      <c r="C263" s="8"/>
      <c r="D263" s="8"/>
      <c r="E263" s="2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  <c r="AA263" s="3"/>
      <c r="AB263" s="3"/>
      <c r="AC263" s="3"/>
    </row>
    <row r="264" ht="15.75" customHeight="1">
      <c r="A264" s="8"/>
      <c r="B264" s="8"/>
      <c r="C264" s="8"/>
      <c r="D264" s="8"/>
      <c r="E264" s="2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  <c r="AA264" s="3"/>
      <c r="AB264" s="3"/>
      <c r="AC264" s="3"/>
    </row>
    <row r="265" ht="15.75" customHeight="1">
      <c r="A265" s="8"/>
      <c r="B265" s="8"/>
      <c r="C265" s="8"/>
      <c r="D265" s="8"/>
      <c r="E265" s="2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  <c r="AA265" s="3"/>
      <c r="AB265" s="3"/>
      <c r="AC265" s="3"/>
    </row>
    <row r="266" ht="15.75" customHeight="1">
      <c r="A266" s="8"/>
      <c r="B266" s="8"/>
      <c r="C266" s="8"/>
      <c r="D266" s="8"/>
      <c r="E266" s="2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  <c r="AA266" s="3"/>
      <c r="AB266" s="3"/>
      <c r="AC266" s="3"/>
    </row>
    <row r="267" ht="15.75" customHeight="1">
      <c r="A267" s="8"/>
      <c r="B267" s="8"/>
      <c r="C267" s="8"/>
      <c r="D267" s="8"/>
      <c r="E267" s="2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  <c r="AA267" s="3"/>
      <c r="AB267" s="3"/>
      <c r="AC267" s="3"/>
    </row>
    <row r="268" ht="15.75" customHeight="1">
      <c r="A268" s="8"/>
      <c r="B268" s="8"/>
      <c r="C268" s="8"/>
      <c r="D268" s="8"/>
      <c r="E268" s="2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  <c r="AA268" s="3"/>
      <c r="AB268" s="3"/>
      <c r="AC268" s="3"/>
    </row>
    <row r="269" ht="15.75" customHeight="1">
      <c r="A269" s="8"/>
      <c r="B269" s="8"/>
      <c r="C269" s="8"/>
      <c r="D269" s="8"/>
      <c r="E269" s="2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  <c r="AA269" s="3"/>
      <c r="AB269" s="3"/>
      <c r="AC269" s="3"/>
    </row>
    <row r="270" ht="15.75" customHeight="1">
      <c r="A270" s="8"/>
      <c r="B270" s="8"/>
      <c r="C270" s="8"/>
      <c r="D270" s="8"/>
      <c r="E270" s="2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  <c r="AA270" s="3"/>
      <c r="AB270" s="3"/>
      <c r="AC270" s="3"/>
    </row>
    <row r="271" ht="15.75" customHeight="1">
      <c r="A271" s="8"/>
      <c r="B271" s="8"/>
      <c r="C271" s="8"/>
      <c r="D271" s="8"/>
      <c r="E271" s="2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  <c r="AA271" s="3"/>
      <c r="AB271" s="3"/>
      <c r="AC271" s="3"/>
    </row>
    <row r="272" ht="15.75" customHeight="1">
      <c r="A272" s="8"/>
      <c r="B272" s="8"/>
      <c r="C272" s="8"/>
      <c r="D272" s="8"/>
      <c r="E272" s="2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  <c r="AA272" s="3"/>
      <c r="AB272" s="3"/>
      <c r="AC272" s="3"/>
    </row>
    <row r="273" ht="15.75" customHeight="1">
      <c r="A273" s="8"/>
      <c r="B273" s="8"/>
      <c r="C273" s="8"/>
      <c r="D273" s="8"/>
      <c r="E273" s="2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  <c r="AA273" s="3"/>
      <c r="AB273" s="3"/>
      <c r="AC273" s="3"/>
    </row>
    <row r="274" ht="15.75" customHeight="1">
      <c r="A274" s="8"/>
      <c r="B274" s="8"/>
      <c r="C274" s="8"/>
      <c r="D274" s="8"/>
      <c r="E274" s="2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  <c r="AA274" s="3"/>
      <c r="AB274" s="3"/>
      <c r="AC274" s="3"/>
    </row>
    <row r="275" ht="15.75" customHeight="1">
      <c r="A275" s="8"/>
      <c r="B275" s="8"/>
      <c r="C275" s="8"/>
      <c r="D275" s="8"/>
      <c r="E275" s="2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  <c r="AA275" s="3"/>
      <c r="AB275" s="3"/>
      <c r="AC275" s="3"/>
    </row>
    <row r="276" ht="15.75" customHeight="1">
      <c r="A276" s="8"/>
      <c r="B276" s="8"/>
      <c r="C276" s="8"/>
      <c r="D276" s="8"/>
      <c r="E276" s="2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  <c r="AA276" s="3"/>
      <c r="AB276" s="3"/>
      <c r="AC276" s="3"/>
    </row>
    <row r="277" ht="15.75" customHeight="1">
      <c r="A277" s="8"/>
      <c r="B277" s="8"/>
      <c r="C277" s="8"/>
      <c r="D277" s="8"/>
      <c r="E277" s="2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  <c r="AA277" s="3"/>
      <c r="AB277" s="3"/>
      <c r="AC277" s="3"/>
    </row>
    <row r="278" ht="15.75" customHeight="1">
      <c r="A278" s="8"/>
      <c r="B278" s="8"/>
      <c r="C278" s="8"/>
      <c r="D278" s="8"/>
      <c r="E278" s="2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  <c r="AA278" s="3"/>
      <c r="AB278" s="3"/>
      <c r="AC278" s="3"/>
    </row>
    <row r="279" ht="15.75" customHeight="1">
      <c r="A279" s="8"/>
      <c r="B279" s="8"/>
      <c r="C279" s="8"/>
      <c r="D279" s="8"/>
      <c r="E279" s="2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  <c r="AA279" s="3"/>
      <c r="AB279" s="3"/>
      <c r="AC279" s="3"/>
    </row>
    <row r="280" ht="15.75" customHeight="1">
      <c r="A280" s="8"/>
      <c r="B280" s="8"/>
      <c r="C280" s="8"/>
      <c r="D280" s="8"/>
      <c r="E280" s="2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  <c r="AA280" s="3"/>
      <c r="AB280" s="3"/>
      <c r="AC280" s="3"/>
    </row>
    <row r="281" ht="15.75" customHeight="1">
      <c r="A281" s="8"/>
      <c r="B281" s="8"/>
      <c r="C281" s="8"/>
      <c r="D281" s="8"/>
      <c r="E281" s="2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  <c r="AA281" s="3"/>
      <c r="AB281" s="3"/>
      <c r="AC281" s="3"/>
    </row>
    <row r="282" ht="15.75" customHeight="1">
      <c r="A282" s="8"/>
      <c r="B282" s="8"/>
      <c r="C282" s="8"/>
      <c r="D282" s="8"/>
      <c r="E282" s="2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  <c r="AA282" s="3"/>
      <c r="AB282" s="3"/>
      <c r="AC282" s="3"/>
    </row>
    <row r="283" ht="15.75" customHeight="1">
      <c r="A283" s="8"/>
      <c r="B283" s="8"/>
      <c r="C283" s="8"/>
      <c r="D283" s="8"/>
      <c r="E283" s="2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  <c r="AA283" s="3"/>
      <c r="AB283" s="3"/>
      <c r="AC283" s="3"/>
    </row>
    <row r="284" ht="15.75" customHeight="1">
      <c r="A284" s="8"/>
      <c r="B284" s="8"/>
      <c r="C284" s="8"/>
      <c r="D284" s="8"/>
      <c r="E284" s="2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  <c r="AA284" s="3"/>
      <c r="AB284" s="3"/>
      <c r="AC284" s="3"/>
    </row>
    <row r="285" ht="15.75" customHeight="1">
      <c r="A285" s="8"/>
      <c r="B285" s="8"/>
      <c r="C285" s="8"/>
      <c r="D285" s="8"/>
      <c r="E285" s="2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  <c r="AA285" s="3"/>
      <c r="AB285" s="3"/>
      <c r="AC285" s="3"/>
    </row>
    <row r="286" ht="15.75" customHeight="1">
      <c r="A286" s="8"/>
      <c r="B286" s="8"/>
      <c r="C286" s="8"/>
      <c r="D286" s="8"/>
      <c r="E286" s="2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  <c r="AA286" s="3"/>
      <c r="AB286" s="3"/>
      <c r="AC286" s="3"/>
    </row>
    <row r="287" ht="15.75" customHeight="1">
      <c r="A287" s="8"/>
      <c r="B287" s="8"/>
      <c r="C287" s="8"/>
      <c r="D287" s="8"/>
      <c r="E287" s="2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  <c r="AA287" s="3"/>
      <c r="AB287" s="3"/>
      <c r="AC287" s="3"/>
    </row>
    <row r="288" ht="15.75" customHeight="1">
      <c r="A288" s="8"/>
      <c r="B288" s="8"/>
      <c r="C288" s="8"/>
      <c r="D288" s="8"/>
      <c r="E288" s="2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  <c r="AA288" s="3"/>
      <c r="AB288" s="3"/>
      <c r="AC288" s="3"/>
    </row>
    <row r="289" ht="15.75" customHeight="1">
      <c r="A289" s="8"/>
      <c r="B289" s="8"/>
      <c r="C289" s="8"/>
      <c r="D289" s="8"/>
      <c r="E289" s="2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  <c r="AA289" s="3"/>
      <c r="AB289" s="3"/>
      <c r="AC289" s="3"/>
    </row>
    <row r="290" ht="15.75" customHeight="1">
      <c r="A290" s="8"/>
      <c r="B290" s="8"/>
      <c r="C290" s="8"/>
      <c r="D290" s="8"/>
      <c r="E290" s="2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  <c r="AA290" s="3"/>
      <c r="AB290" s="3"/>
      <c r="AC290" s="3"/>
    </row>
    <row r="291" ht="15.75" customHeight="1">
      <c r="A291" s="8"/>
      <c r="B291" s="8"/>
      <c r="C291" s="8"/>
      <c r="D291" s="8"/>
      <c r="E291" s="2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  <c r="AA291" s="3"/>
      <c r="AB291" s="3"/>
      <c r="AC291" s="3"/>
    </row>
    <row r="292" ht="15.75" customHeight="1">
      <c r="A292" s="8"/>
      <c r="B292" s="8"/>
      <c r="C292" s="8"/>
      <c r="D292" s="8"/>
      <c r="E292" s="2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  <c r="AA292" s="3"/>
      <c r="AB292" s="3"/>
      <c r="AC292" s="3"/>
    </row>
    <row r="293" ht="15.75" customHeight="1">
      <c r="A293" s="8"/>
      <c r="B293" s="8"/>
      <c r="C293" s="8"/>
      <c r="D293" s="8"/>
      <c r="E293" s="2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  <c r="AA293" s="3"/>
      <c r="AB293" s="3"/>
      <c r="AC293" s="3"/>
    </row>
    <row r="294" ht="15.75" customHeight="1">
      <c r="A294" s="8"/>
      <c r="B294" s="8"/>
      <c r="C294" s="8"/>
      <c r="D294" s="8"/>
      <c r="E294" s="2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  <c r="AA294" s="3"/>
      <c r="AB294" s="3"/>
      <c r="AC294" s="3"/>
    </row>
    <row r="295" ht="15.75" customHeight="1">
      <c r="A295" s="8"/>
      <c r="B295" s="8"/>
      <c r="C295" s="8"/>
      <c r="D295" s="8"/>
      <c r="E295" s="2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  <c r="AA295" s="3"/>
      <c r="AB295" s="3"/>
      <c r="AC295" s="3"/>
    </row>
    <row r="296" ht="15.75" customHeight="1">
      <c r="A296" s="8"/>
      <c r="B296" s="8"/>
      <c r="C296" s="8"/>
      <c r="D296" s="8"/>
      <c r="E296" s="2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  <c r="AA296" s="3"/>
      <c r="AB296" s="3"/>
      <c r="AC296" s="3"/>
    </row>
    <row r="297" ht="15.75" customHeight="1">
      <c r="A297" s="8"/>
      <c r="B297" s="8"/>
      <c r="C297" s="8"/>
      <c r="D297" s="8"/>
      <c r="E297" s="2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  <c r="AA297" s="3"/>
      <c r="AB297" s="3"/>
      <c r="AC297" s="3"/>
    </row>
    <row r="298" ht="15.75" customHeight="1">
      <c r="A298" s="8"/>
      <c r="B298" s="8"/>
      <c r="C298" s="8"/>
      <c r="D298" s="8"/>
      <c r="E298" s="2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  <c r="AA298" s="3"/>
      <c r="AB298" s="3"/>
      <c r="AC298" s="3"/>
    </row>
    <row r="299" ht="15.75" customHeight="1">
      <c r="A299" s="8"/>
      <c r="B299" s="8"/>
      <c r="C299" s="8"/>
      <c r="D299" s="8"/>
      <c r="E299" s="2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  <c r="AA299" s="3"/>
      <c r="AB299" s="3"/>
      <c r="AC299" s="3"/>
    </row>
    <row r="300" ht="15.75" customHeight="1">
      <c r="A300" s="8"/>
      <c r="B300" s="8"/>
      <c r="C300" s="8"/>
      <c r="D300" s="8"/>
      <c r="E300" s="2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  <c r="AA300" s="3"/>
      <c r="AB300" s="3"/>
      <c r="AC300" s="3"/>
    </row>
    <row r="301" ht="15.75" customHeight="1">
      <c r="A301" s="8"/>
      <c r="B301" s="8"/>
      <c r="C301" s="8"/>
      <c r="D301" s="8"/>
      <c r="E301" s="2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  <c r="AA301" s="3"/>
      <c r="AB301" s="3"/>
      <c r="AC301" s="3"/>
    </row>
    <row r="302" ht="15.75" customHeight="1">
      <c r="A302" s="8"/>
      <c r="B302" s="8"/>
      <c r="C302" s="8"/>
      <c r="D302" s="8"/>
      <c r="E302" s="2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  <c r="AA302" s="3"/>
      <c r="AB302" s="3"/>
      <c r="AC302" s="3"/>
    </row>
    <row r="303" ht="15.75" customHeight="1">
      <c r="A303" s="8"/>
      <c r="B303" s="8"/>
      <c r="C303" s="8"/>
      <c r="D303" s="8"/>
      <c r="E303" s="2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  <c r="AA303" s="3"/>
      <c r="AB303" s="3"/>
      <c r="AC303" s="3"/>
    </row>
    <row r="304" ht="15.75" customHeight="1">
      <c r="A304" s="8"/>
      <c r="B304" s="8"/>
      <c r="C304" s="8"/>
      <c r="D304" s="8"/>
      <c r="E304" s="2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  <c r="AA304" s="3"/>
      <c r="AB304" s="3"/>
      <c r="AC304" s="3"/>
    </row>
    <row r="305" ht="15.75" customHeight="1">
      <c r="A305" s="8"/>
      <c r="B305" s="8"/>
      <c r="C305" s="8"/>
      <c r="D305" s="8"/>
      <c r="E305" s="2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  <c r="AA305" s="3"/>
      <c r="AB305" s="3"/>
      <c r="AC305" s="3"/>
    </row>
    <row r="306" ht="15.75" customHeight="1">
      <c r="A306" s="8"/>
      <c r="B306" s="8"/>
      <c r="C306" s="8"/>
      <c r="D306" s="8"/>
      <c r="E306" s="2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  <c r="AA306" s="3"/>
      <c r="AB306" s="3"/>
      <c r="AC306" s="3"/>
    </row>
    <row r="307" ht="15.75" customHeight="1">
      <c r="A307" s="8"/>
      <c r="B307" s="8"/>
      <c r="C307" s="8"/>
      <c r="D307" s="8"/>
      <c r="E307" s="2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  <c r="AA307" s="3"/>
      <c r="AB307" s="3"/>
      <c r="AC307" s="3"/>
    </row>
    <row r="308" ht="15.75" customHeight="1">
      <c r="A308" s="8"/>
      <c r="B308" s="8"/>
      <c r="C308" s="8"/>
      <c r="D308" s="8"/>
      <c r="E308" s="2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  <c r="AA308" s="3"/>
      <c r="AB308" s="3"/>
      <c r="AC308" s="3"/>
    </row>
    <row r="309" ht="15.75" customHeight="1">
      <c r="A309" s="8"/>
      <c r="B309" s="8"/>
      <c r="C309" s="8"/>
      <c r="D309" s="8"/>
      <c r="E309" s="2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  <c r="AA309" s="3"/>
      <c r="AB309" s="3"/>
      <c r="AC309" s="3"/>
    </row>
    <row r="310" ht="15.75" customHeight="1">
      <c r="A310" s="8"/>
      <c r="B310" s="8"/>
      <c r="C310" s="8"/>
      <c r="D310" s="8"/>
      <c r="E310" s="2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  <c r="AA310" s="3"/>
      <c r="AB310" s="3"/>
      <c r="AC310" s="3"/>
    </row>
    <row r="311" ht="15.75" customHeight="1">
      <c r="A311" s="8"/>
      <c r="B311" s="8"/>
      <c r="C311" s="8"/>
      <c r="D311" s="8"/>
      <c r="E311" s="2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  <c r="AA311" s="3"/>
      <c r="AB311" s="3"/>
      <c r="AC311" s="3"/>
    </row>
    <row r="312" ht="15.75" customHeight="1">
      <c r="A312" s="8"/>
      <c r="B312" s="8"/>
      <c r="C312" s="8"/>
      <c r="D312" s="8"/>
      <c r="E312" s="2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  <c r="AA312" s="3"/>
      <c r="AB312" s="3"/>
      <c r="AC312" s="3"/>
    </row>
    <row r="313" ht="15.75" customHeight="1">
      <c r="A313" s="8"/>
      <c r="B313" s="8"/>
      <c r="C313" s="8"/>
      <c r="D313" s="8"/>
      <c r="E313" s="2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  <c r="AA313" s="3"/>
      <c r="AB313" s="3"/>
      <c r="AC313" s="3"/>
    </row>
    <row r="314" ht="15.75" customHeight="1">
      <c r="A314" s="8"/>
      <c r="B314" s="8"/>
      <c r="C314" s="8"/>
      <c r="D314" s="8"/>
      <c r="E314" s="2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  <c r="AA314" s="3"/>
      <c r="AB314" s="3"/>
      <c r="AC314" s="3"/>
    </row>
    <row r="315" ht="15.75" customHeight="1">
      <c r="A315" s="8"/>
      <c r="B315" s="8"/>
      <c r="C315" s="8"/>
      <c r="D315" s="8"/>
      <c r="E315" s="2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  <c r="AA315" s="3"/>
      <c r="AB315" s="3"/>
      <c r="AC315" s="3"/>
    </row>
    <row r="316" ht="15.75" customHeight="1">
      <c r="A316" s="8"/>
      <c r="B316" s="8"/>
      <c r="C316" s="8"/>
      <c r="D316" s="8"/>
      <c r="E316" s="2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  <c r="AA316" s="3"/>
      <c r="AB316" s="3"/>
      <c r="AC316" s="3"/>
    </row>
    <row r="317" ht="15.75" customHeight="1">
      <c r="A317" s="8"/>
      <c r="B317" s="8"/>
      <c r="C317" s="8"/>
      <c r="D317" s="8"/>
      <c r="E317" s="2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  <c r="AA317" s="3"/>
      <c r="AB317" s="3"/>
      <c r="AC317" s="3"/>
    </row>
    <row r="318" ht="15.75" customHeight="1">
      <c r="A318" s="8"/>
      <c r="B318" s="8"/>
      <c r="C318" s="8"/>
      <c r="D318" s="8"/>
      <c r="E318" s="2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  <c r="AA318" s="3"/>
      <c r="AB318" s="3"/>
      <c r="AC318" s="3"/>
    </row>
    <row r="319" ht="15.75" customHeight="1">
      <c r="A319" s="8"/>
      <c r="B319" s="8"/>
      <c r="C319" s="8"/>
      <c r="D319" s="8"/>
      <c r="E319" s="2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  <c r="AA319" s="3"/>
      <c r="AB319" s="3"/>
      <c r="AC319" s="3"/>
    </row>
    <row r="320" ht="15.75" customHeight="1">
      <c r="A320" s="8"/>
      <c r="B320" s="8"/>
      <c r="C320" s="8"/>
      <c r="D320" s="8"/>
      <c r="E320" s="2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  <c r="AA320" s="3"/>
      <c r="AB320" s="3"/>
      <c r="AC320" s="3"/>
    </row>
    <row r="321" ht="15.75" customHeight="1">
      <c r="A321" s="8"/>
      <c r="B321" s="8"/>
      <c r="C321" s="8"/>
      <c r="D321" s="8"/>
      <c r="E321" s="2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  <c r="AA321" s="3"/>
      <c r="AB321" s="3"/>
      <c r="AC321" s="3"/>
    </row>
    <row r="322" ht="15.75" customHeight="1">
      <c r="A322" s="8"/>
      <c r="B322" s="8"/>
      <c r="C322" s="8"/>
      <c r="D322" s="8"/>
      <c r="E322" s="2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  <c r="AA322" s="3"/>
      <c r="AB322" s="3"/>
      <c r="AC322" s="3"/>
    </row>
    <row r="323" ht="15.75" customHeight="1">
      <c r="A323" s="8"/>
      <c r="B323" s="8"/>
      <c r="C323" s="8"/>
      <c r="D323" s="8"/>
      <c r="E323" s="2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  <c r="AA323" s="3"/>
      <c r="AB323" s="3"/>
      <c r="AC323" s="3"/>
    </row>
    <row r="324" ht="15.75" customHeight="1">
      <c r="A324" s="8"/>
      <c r="B324" s="8"/>
      <c r="C324" s="8"/>
      <c r="D324" s="8"/>
      <c r="E324" s="2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  <c r="AA324" s="3"/>
      <c r="AB324" s="3"/>
      <c r="AC324" s="3"/>
    </row>
    <row r="325" ht="15.75" customHeight="1">
      <c r="A325" s="8"/>
      <c r="B325" s="8"/>
      <c r="C325" s="8"/>
      <c r="D325" s="8"/>
      <c r="E325" s="2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  <c r="AA325" s="3"/>
      <c r="AB325" s="3"/>
      <c r="AC325" s="3"/>
    </row>
    <row r="326" ht="15.75" customHeight="1">
      <c r="A326" s="8"/>
      <c r="B326" s="8"/>
      <c r="C326" s="8"/>
      <c r="D326" s="8"/>
      <c r="E326" s="2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  <c r="AA326" s="3"/>
      <c r="AB326" s="3"/>
      <c r="AC326" s="3"/>
    </row>
    <row r="327" ht="15.75" customHeight="1">
      <c r="A327" s="8"/>
      <c r="B327" s="8"/>
      <c r="C327" s="8"/>
      <c r="D327" s="8"/>
      <c r="E327" s="2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  <c r="AA327" s="3"/>
      <c r="AB327" s="3"/>
      <c r="AC327" s="3"/>
    </row>
    <row r="328" ht="15.75" customHeight="1">
      <c r="A328" s="8"/>
      <c r="B328" s="8"/>
      <c r="C328" s="8"/>
      <c r="D328" s="8"/>
      <c r="E328" s="2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  <c r="AA328" s="3"/>
      <c r="AB328" s="3"/>
      <c r="AC328" s="3"/>
    </row>
    <row r="329" ht="15.75" customHeight="1">
      <c r="A329" s="8"/>
      <c r="B329" s="8"/>
      <c r="C329" s="8"/>
      <c r="D329" s="8"/>
      <c r="E329" s="2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  <c r="AA329" s="3"/>
      <c r="AB329" s="3"/>
      <c r="AC329" s="3"/>
    </row>
    <row r="330" ht="15.75" customHeight="1">
      <c r="A330" s="8"/>
      <c r="B330" s="8"/>
      <c r="C330" s="8"/>
      <c r="D330" s="8"/>
      <c r="E330" s="2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  <c r="AA330" s="3"/>
      <c r="AB330" s="3"/>
      <c r="AC330" s="3"/>
    </row>
    <row r="331" ht="15.75" customHeight="1">
      <c r="A331" s="8"/>
      <c r="B331" s="8"/>
      <c r="C331" s="8"/>
      <c r="D331" s="8"/>
      <c r="E331" s="2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  <c r="AA331" s="3"/>
      <c r="AB331" s="3"/>
      <c r="AC331" s="3"/>
    </row>
    <row r="332" ht="15.75" customHeight="1">
      <c r="A332" s="8"/>
      <c r="B332" s="8"/>
      <c r="C332" s="8"/>
      <c r="D332" s="8"/>
      <c r="E332" s="2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  <c r="AA332" s="3"/>
      <c r="AB332" s="3"/>
      <c r="AC332" s="3"/>
    </row>
    <row r="333" ht="15.75" customHeight="1">
      <c r="A333" s="8"/>
      <c r="B333" s="8"/>
      <c r="C333" s="8"/>
      <c r="D333" s="8"/>
      <c r="E333" s="2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  <c r="AA333" s="3"/>
      <c r="AB333" s="3"/>
      <c r="AC333" s="3"/>
    </row>
    <row r="334" ht="15.75" customHeight="1">
      <c r="A334" s="8"/>
      <c r="B334" s="8"/>
      <c r="C334" s="8"/>
      <c r="D334" s="8"/>
      <c r="E334" s="2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  <c r="AA334" s="3"/>
      <c r="AB334" s="3"/>
      <c r="AC334" s="3"/>
    </row>
    <row r="335" ht="15.75" customHeight="1">
      <c r="A335" s="8"/>
      <c r="B335" s="8"/>
      <c r="C335" s="8"/>
      <c r="D335" s="8"/>
      <c r="E335" s="2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  <c r="AA335" s="3"/>
      <c r="AB335" s="3"/>
      <c r="AC335" s="3"/>
    </row>
    <row r="336" ht="15.75" customHeight="1">
      <c r="A336" s="8"/>
      <c r="B336" s="8"/>
      <c r="C336" s="8"/>
      <c r="D336" s="8"/>
      <c r="E336" s="2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  <c r="AA336" s="3"/>
      <c r="AB336" s="3"/>
      <c r="AC336" s="3"/>
    </row>
    <row r="337" ht="15.75" customHeight="1">
      <c r="A337" s="8"/>
      <c r="B337" s="8"/>
      <c r="C337" s="8"/>
      <c r="D337" s="8"/>
      <c r="E337" s="2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  <c r="AA337" s="3"/>
      <c r="AB337" s="3"/>
      <c r="AC337" s="3"/>
    </row>
    <row r="338" ht="15.75" customHeight="1">
      <c r="A338" s="8"/>
      <c r="B338" s="8"/>
      <c r="C338" s="8"/>
      <c r="D338" s="8"/>
      <c r="E338" s="2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  <c r="AA338" s="3"/>
      <c r="AB338" s="3"/>
      <c r="AC338" s="3"/>
    </row>
    <row r="339" ht="15.75" customHeight="1">
      <c r="A339" s="8"/>
      <c r="B339" s="8"/>
      <c r="C339" s="8"/>
      <c r="D339" s="8"/>
      <c r="E339" s="2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  <c r="AA339" s="3"/>
      <c r="AB339" s="3"/>
      <c r="AC339" s="3"/>
    </row>
    <row r="340" ht="15.75" customHeight="1">
      <c r="A340" s="8"/>
      <c r="B340" s="8"/>
      <c r="C340" s="8"/>
      <c r="D340" s="8"/>
      <c r="E340" s="2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  <c r="AA340" s="3"/>
      <c r="AB340" s="3"/>
      <c r="AC340" s="3"/>
    </row>
    <row r="341" ht="15.75" customHeight="1">
      <c r="A341" s="8"/>
      <c r="B341" s="8"/>
      <c r="C341" s="8"/>
      <c r="D341" s="8"/>
      <c r="E341" s="2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  <c r="AA341" s="3"/>
      <c r="AB341" s="3"/>
      <c r="AC341" s="3"/>
    </row>
    <row r="342" ht="15.75" customHeight="1">
      <c r="A342" s="8"/>
      <c r="B342" s="8"/>
      <c r="C342" s="8"/>
      <c r="D342" s="8"/>
      <c r="E342" s="2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  <c r="AA342" s="3"/>
      <c r="AB342" s="3"/>
      <c r="AC342" s="3"/>
    </row>
    <row r="343" ht="15.75" customHeight="1">
      <c r="A343" s="8"/>
      <c r="B343" s="8"/>
      <c r="C343" s="8"/>
      <c r="D343" s="8"/>
      <c r="E343" s="2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  <c r="AA343" s="3"/>
      <c r="AB343" s="3"/>
      <c r="AC343" s="3"/>
    </row>
    <row r="344" ht="15.75" customHeight="1">
      <c r="A344" s="8"/>
      <c r="B344" s="8"/>
      <c r="C344" s="8"/>
      <c r="D344" s="8"/>
      <c r="E344" s="2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  <c r="AA344" s="3"/>
      <c r="AB344" s="3"/>
      <c r="AC344" s="3"/>
    </row>
    <row r="345" ht="15.75" customHeight="1">
      <c r="A345" s="8"/>
      <c r="B345" s="8"/>
      <c r="C345" s="8"/>
      <c r="D345" s="8"/>
      <c r="E345" s="2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  <c r="AA345" s="3"/>
      <c r="AB345" s="3"/>
      <c r="AC345" s="3"/>
    </row>
    <row r="346" ht="15.75" customHeight="1">
      <c r="A346" s="8"/>
      <c r="B346" s="8"/>
      <c r="C346" s="8"/>
      <c r="D346" s="8"/>
      <c r="E346" s="2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  <c r="AA346" s="3"/>
      <c r="AB346" s="3"/>
      <c r="AC346" s="3"/>
    </row>
    <row r="347" ht="15.75" customHeight="1">
      <c r="A347" s="8"/>
      <c r="B347" s="8"/>
      <c r="C347" s="8"/>
      <c r="D347" s="8"/>
      <c r="E347" s="2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  <c r="AA347" s="3"/>
      <c r="AB347" s="3"/>
      <c r="AC347" s="3"/>
    </row>
    <row r="348" ht="15.75" customHeight="1">
      <c r="A348" s="8"/>
      <c r="B348" s="8"/>
      <c r="C348" s="8"/>
      <c r="D348" s="8"/>
      <c r="E348" s="2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  <c r="AA348" s="3"/>
      <c r="AB348" s="3"/>
      <c r="AC348" s="3"/>
    </row>
    <row r="349" ht="15.75" customHeight="1">
      <c r="A349" s="8"/>
      <c r="B349" s="8"/>
      <c r="C349" s="8"/>
      <c r="D349" s="8"/>
      <c r="E349" s="2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  <c r="AA349" s="3"/>
      <c r="AB349" s="3"/>
      <c r="AC349" s="3"/>
    </row>
    <row r="350" ht="15.75" customHeight="1">
      <c r="A350" s="8"/>
      <c r="B350" s="8"/>
      <c r="C350" s="8"/>
      <c r="D350" s="8"/>
      <c r="E350" s="2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  <c r="AA350" s="3"/>
      <c r="AB350" s="3"/>
      <c r="AC350" s="3"/>
    </row>
    <row r="351" ht="15.75" customHeight="1">
      <c r="A351" s="8"/>
      <c r="B351" s="8"/>
      <c r="C351" s="8"/>
      <c r="D351" s="8"/>
      <c r="E351" s="2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  <c r="AA351" s="3"/>
      <c r="AB351" s="3"/>
      <c r="AC351" s="3"/>
    </row>
    <row r="352" ht="15.75" customHeight="1">
      <c r="A352" s="8"/>
      <c r="B352" s="8"/>
      <c r="C352" s="8"/>
      <c r="D352" s="8"/>
      <c r="E352" s="2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  <c r="AA352" s="3"/>
      <c r="AB352" s="3"/>
      <c r="AC352" s="3"/>
    </row>
    <row r="353" ht="15.75" customHeight="1">
      <c r="A353" s="8"/>
      <c r="B353" s="8"/>
      <c r="C353" s="8"/>
      <c r="D353" s="8"/>
      <c r="E353" s="2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  <c r="AA353" s="3"/>
      <c r="AB353" s="3"/>
      <c r="AC353" s="3"/>
    </row>
    <row r="354" ht="15.75" customHeight="1">
      <c r="A354" s="8"/>
      <c r="B354" s="8"/>
      <c r="C354" s="8"/>
      <c r="D354" s="8"/>
      <c r="E354" s="2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  <c r="AA354" s="3"/>
      <c r="AB354" s="3"/>
      <c r="AC354" s="3"/>
    </row>
    <row r="355" ht="15.75" customHeight="1">
      <c r="A355" s="8"/>
      <c r="B355" s="8"/>
      <c r="C355" s="8"/>
      <c r="D355" s="8"/>
      <c r="E355" s="2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  <c r="AA355" s="3"/>
      <c r="AB355" s="3"/>
      <c r="AC355" s="3"/>
    </row>
    <row r="356" ht="15.75" customHeight="1">
      <c r="A356" s="8"/>
      <c r="B356" s="8"/>
      <c r="C356" s="8"/>
      <c r="D356" s="8"/>
      <c r="E356" s="2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  <c r="AA356" s="3"/>
      <c r="AB356" s="3"/>
      <c r="AC356" s="3"/>
    </row>
    <row r="357" ht="15.75" customHeight="1">
      <c r="A357" s="8"/>
      <c r="B357" s="8"/>
      <c r="C357" s="8"/>
      <c r="D357" s="8"/>
      <c r="E357" s="2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  <c r="AA357" s="3"/>
      <c r="AB357" s="3"/>
      <c r="AC357" s="3"/>
    </row>
    <row r="358" ht="15.75" customHeight="1">
      <c r="A358" s="8"/>
      <c r="B358" s="8"/>
      <c r="C358" s="8"/>
      <c r="D358" s="8"/>
      <c r="E358" s="2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  <c r="AA358" s="3"/>
      <c r="AB358" s="3"/>
      <c r="AC358" s="3"/>
    </row>
    <row r="359" ht="15.75" customHeight="1">
      <c r="A359" s="8"/>
      <c r="B359" s="8"/>
      <c r="C359" s="8"/>
      <c r="D359" s="8"/>
      <c r="E359" s="2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  <c r="AA359" s="3"/>
      <c r="AB359" s="3"/>
      <c r="AC359" s="3"/>
    </row>
    <row r="360" ht="15.75" customHeight="1">
      <c r="A360" s="8"/>
      <c r="B360" s="8"/>
      <c r="C360" s="8"/>
      <c r="D360" s="8"/>
      <c r="E360" s="2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  <c r="AA360" s="3"/>
      <c r="AB360" s="3"/>
      <c r="AC360" s="3"/>
    </row>
    <row r="361" ht="15.75" customHeight="1">
      <c r="A361" s="8"/>
      <c r="B361" s="8"/>
      <c r="C361" s="8"/>
      <c r="D361" s="8"/>
      <c r="E361" s="2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  <c r="AA361" s="3"/>
      <c r="AB361" s="3"/>
      <c r="AC361" s="3"/>
    </row>
    <row r="362" ht="15.75" customHeight="1">
      <c r="A362" s="8"/>
      <c r="B362" s="8"/>
      <c r="C362" s="8"/>
      <c r="D362" s="8"/>
      <c r="E362" s="2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  <c r="AA362" s="3"/>
      <c r="AB362" s="3"/>
      <c r="AC362" s="3"/>
    </row>
    <row r="363" ht="15.75" customHeight="1">
      <c r="A363" s="8"/>
      <c r="B363" s="8"/>
      <c r="C363" s="8"/>
      <c r="D363" s="8"/>
      <c r="E363" s="2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  <c r="AA363" s="3"/>
      <c r="AB363" s="3"/>
      <c r="AC363" s="3"/>
    </row>
    <row r="364" ht="15.75" customHeight="1">
      <c r="A364" s="8"/>
      <c r="B364" s="8"/>
      <c r="C364" s="8"/>
      <c r="D364" s="8"/>
      <c r="E364" s="2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  <c r="AA364" s="3"/>
      <c r="AB364" s="3"/>
      <c r="AC364" s="3"/>
    </row>
    <row r="365" ht="15.75" customHeight="1">
      <c r="A365" s="8"/>
      <c r="B365" s="8"/>
      <c r="C365" s="8"/>
      <c r="D365" s="8"/>
      <c r="E365" s="2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  <c r="AA365" s="3"/>
      <c r="AB365" s="3"/>
      <c r="AC365" s="3"/>
    </row>
    <row r="366" ht="15.75" customHeight="1">
      <c r="A366" s="8"/>
      <c r="B366" s="8"/>
      <c r="C366" s="8"/>
      <c r="D366" s="8"/>
      <c r="E366" s="2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  <c r="AA366" s="3"/>
      <c r="AB366" s="3"/>
      <c r="AC366" s="3"/>
    </row>
    <row r="367" ht="15.75" customHeight="1">
      <c r="A367" s="8"/>
      <c r="B367" s="8"/>
      <c r="C367" s="8"/>
      <c r="D367" s="8"/>
      <c r="E367" s="2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  <c r="AA367" s="3"/>
      <c r="AB367" s="3"/>
      <c r="AC367" s="3"/>
    </row>
    <row r="368" ht="15.75" customHeight="1">
      <c r="A368" s="8"/>
      <c r="B368" s="8"/>
      <c r="C368" s="8"/>
      <c r="D368" s="8"/>
      <c r="E368" s="2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  <c r="AA368" s="3"/>
      <c r="AB368" s="3"/>
      <c r="AC368" s="3"/>
    </row>
    <row r="369" ht="15.75" customHeight="1">
      <c r="A369" s="8"/>
      <c r="B369" s="8"/>
      <c r="C369" s="8"/>
      <c r="D369" s="8"/>
      <c r="E369" s="2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  <c r="AA369" s="3"/>
      <c r="AB369" s="3"/>
      <c r="AC369" s="3"/>
    </row>
    <row r="370" ht="15.75" customHeight="1">
      <c r="A370" s="8"/>
      <c r="B370" s="8"/>
      <c r="C370" s="8"/>
      <c r="D370" s="8"/>
      <c r="E370" s="2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  <c r="AA370" s="3"/>
      <c r="AB370" s="3"/>
      <c r="AC370" s="3"/>
    </row>
    <row r="371" ht="15.75" customHeight="1">
      <c r="A371" s="8"/>
      <c r="B371" s="8"/>
      <c r="C371" s="8"/>
      <c r="D371" s="8"/>
      <c r="E371" s="2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  <c r="AA371" s="3"/>
      <c r="AB371" s="3"/>
      <c r="AC371" s="3"/>
    </row>
    <row r="372" ht="15.75" customHeight="1">
      <c r="A372" s="8"/>
      <c r="B372" s="8"/>
      <c r="C372" s="8"/>
      <c r="D372" s="8"/>
      <c r="E372" s="2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  <c r="AA372" s="3"/>
      <c r="AB372" s="3"/>
      <c r="AC372" s="3"/>
    </row>
    <row r="373" ht="15.75" customHeight="1">
      <c r="A373" s="8"/>
      <c r="B373" s="8"/>
      <c r="C373" s="8"/>
      <c r="D373" s="8"/>
      <c r="E373" s="2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  <c r="AA373" s="3"/>
      <c r="AB373" s="3"/>
      <c r="AC373" s="3"/>
    </row>
    <row r="374" ht="15.75" customHeight="1">
      <c r="A374" s="8"/>
      <c r="B374" s="8"/>
      <c r="C374" s="8"/>
      <c r="D374" s="8"/>
      <c r="E374" s="2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  <c r="AA374" s="3"/>
      <c r="AB374" s="3"/>
      <c r="AC374" s="3"/>
    </row>
    <row r="375" ht="15.75" customHeight="1">
      <c r="A375" s="8"/>
      <c r="B375" s="8"/>
      <c r="C375" s="8"/>
      <c r="D375" s="8"/>
      <c r="E375" s="2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  <c r="AA375" s="3"/>
      <c r="AB375" s="3"/>
      <c r="AC375" s="3"/>
    </row>
    <row r="376" ht="15.75" customHeight="1">
      <c r="A376" s="8"/>
      <c r="B376" s="8"/>
      <c r="C376" s="8"/>
      <c r="D376" s="8"/>
      <c r="E376" s="2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  <c r="AA376" s="3"/>
      <c r="AB376" s="3"/>
      <c r="AC376" s="3"/>
    </row>
    <row r="377" ht="15.75" customHeight="1">
      <c r="A377" s="8"/>
      <c r="B377" s="8"/>
      <c r="C377" s="8"/>
      <c r="D377" s="8"/>
      <c r="E377" s="2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  <c r="AA377" s="3"/>
      <c r="AB377" s="3"/>
      <c r="AC377" s="3"/>
    </row>
    <row r="378" ht="15.75" customHeight="1">
      <c r="A378" s="8"/>
      <c r="B378" s="8"/>
      <c r="C378" s="8"/>
      <c r="D378" s="8"/>
      <c r="E378" s="2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  <c r="AA378" s="3"/>
      <c r="AB378" s="3"/>
      <c r="AC378" s="3"/>
    </row>
    <row r="379" ht="15.75" customHeight="1">
      <c r="A379" s="8"/>
      <c r="B379" s="8"/>
      <c r="C379" s="8"/>
      <c r="D379" s="8"/>
      <c r="E379" s="2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  <c r="AA379" s="3"/>
      <c r="AB379" s="3"/>
      <c r="AC379" s="3"/>
    </row>
    <row r="380" ht="15.75" customHeight="1">
      <c r="A380" s="8"/>
      <c r="B380" s="8"/>
      <c r="C380" s="8"/>
      <c r="D380" s="8"/>
      <c r="E380" s="2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  <c r="AA380" s="3"/>
      <c r="AB380" s="3"/>
      <c r="AC380" s="3"/>
    </row>
    <row r="381" ht="15.75" customHeight="1">
      <c r="A381" s="8"/>
      <c r="B381" s="8"/>
      <c r="C381" s="8"/>
      <c r="D381" s="8"/>
      <c r="E381" s="2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  <c r="AA381" s="3"/>
      <c r="AB381" s="3"/>
      <c r="AC381" s="3"/>
    </row>
    <row r="382" ht="15.75" customHeight="1">
      <c r="A382" s="8"/>
      <c r="B382" s="8"/>
      <c r="C382" s="8"/>
      <c r="D382" s="8"/>
      <c r="E382" s="2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  <c r="AA382" s="3"/>
      <c r="AB382" s="3"/>
      <c r="AC382" s="3"/>
    </row>
    <row r="383" ht="15.75" customHeight="1">
      <c r="A383" s="8"/>
      <c r="B383" s="8"/>
      <c r="C383" s="8"/>
      <c r="D383" s="8"/>
      <c r="E383" s="2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  <c r="AA383" s="3"/>
      <c r="AB383" s="3"/>
      <c r="AC383" s="3"/>
    </row>
    <row r="384" ht="15.75" customHeight="1">
      <c r="A384" s="8"/>
      <c r="B384" s="8"/>
      <c r="C384" s="8"/>
      <c r="D384" s="8"/>
      <c r="E384" s="2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  <c r="AA384" s="3"/>
      <c r="AB384" s="3"/>
      <c r="AC384" s="3"/>
    </row>
    <row r="385" ht="15.75" customHeight="1">
      <c r="A385" s="8"/>
      <c r="B385" s="8"/>
      <c r="C385" s="8"/>
      <c r="D385" s="8"/>
      <c r="E385" s="2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  <c r="AA385" s="3"/>
      <c r="AB385" s="3"/>
      <c r="AC385" s="3"/>
    </row>
    <row r="386" ht="15.75" customHeight="1">
      <c r="A386" s="8"/>
      <c r="B386" s="8"/>
      <c r="C386" s="8"/>
      <c r="D386" s="8"/>
      <c r="E386" s="2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  <c r="AA386" s="3"/>
      <c r="AB386" s="3"/>
      <c r="AC386" s="3"/>
    </row>
    <row r="387" ht="15.75" customHeight="1">
      <c r="A387" s="8"/>
      <c r="B387" s="8"/>
      <c r="C387" s="8"/>
      <c r="D387" s="8"/>
      <c r="E387" s="2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  <c r="AA387" s="3"/>
      <c r="AB387" s="3"/>
      <c r="AC387" s="3"/>
    </row>
    <row r="388" ht="15.75" customHeight="1">
      <c r="A388" s="8"/>
      <c r="B388" s="8"/>
      <c r="C388" s="8"/>
      <c r="D388" s="8"/>
      <c r="E388" s="2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  <c r="AA388" s="3"/>
      <c r="AB388" s="3"/>
      <c r="AC388" s="3"/>
    </row>
    <row r="389" ht="15.75" customHeight="1">
      <c r="A389" s="8"/>
      <c r="B389" s="8"/>
      <c r="C389" s="8"/>
      <c r="D389" s="8"/>
      <c r="E389" s="2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  <c r="AA389" s="3"/>
      <c r="AB389" s="3"/>
      <c r="AC389" s="3"/>
    </row>
    <row r="390" ht="15.75" customHeight="1">
      <c r="A390" s="8"/>
      <c r="B390" s="8"/>
      <c r="C390" s="8"/>
      <c r="D390" s="8"/>
      <c r="E390" s="2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  <c r="AA390" s="3"/>
      <c r="AB390" s="3"/>
      <c r="AC390" s="3"/>
    </row>
    <row r="391" ht="15.75" customHeight="1">
      <c r="A391" s="8"/>
      <c r="B391" s="8"/>
      <c r="C391" s="8"/>
      <c r="D391" s="8"/>
      <c r="E391" s="2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  <c r="AA391" s="3"/>
      <c r="AB391" s="3"/>
      <c r="AC391" s="3"/>
    </row>
    <row r="392" ht="15.75" customHeight="1">
      <c r="A392" s="8"/>
      <c r="B392" s="8"/>
      <c r="C392" s="8"/>
      <c r="D392" s="8"/>
      <c r="E392" s="2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  <c r="AA392" s="3"/>
      <c r="AB392" s="3"/>
      <c r="AC392" s="3"/>
    </row>
    <row r="393" ht="15.75" customHeight="1">
      <c r="A393" s="8"/>
      <c r="B393" s="8"/>
      <c r="C393" s="8"/>
      <c r="D393" s="8"/>
      <c r="E393" s="2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  <c r="AA393" s="3"/>
      <c r="AB393" s="3"/>
      <c r="AC393" s="3"/>
    </row>
    <row r="394" ht="15.75" customHeight="1">
      <c r="A394" s="8"/>
      <c r="B394" s="8"/>
      <c r="C394" s="8"/>
      <c r="D394" s="8"/>
      <c r="E394" s="2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  <c r="AA394" s="3"/>
      <c r="AB394" s="3"/>
      <c r="AC394" s="3"/>
    </row>
    <row r="395" ht="15.75" customHeight="1">
      <c r="A395" s="8"/>
      <c r="B395" s="8"/>
      <c r="C395" s="8"/>
      <c r="D395" s="8"/>
      <c r="E395" s="2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  <c r="AA395" s="3"/>
      <c r="AB395" s="3"/>
      <c r="AC395" s="3"/>
    </row>
    <row r="396" ht="15.75" customHeight="1">
      <c r="A396" s="8"/>
      <c r="B396" s="8"/>
      <c r="C396" s="8"/>
      <c r="D396" s="8"/>
      <c r="E396" s="2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  <c r="AA396" s="3"/>
      <c r="AB396" s="3"/>
      <c r="AC396" s="3"/>
    </row>
    <row r="397" ht="15.75" customHeight="1">
      <c r="A397" s="8"/>
      <c r="B397" s="8"/>
      <c r="C397" s="8"/>
      <c r="D397" s="8"/>
      <c r="E397" s="2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  <c r="AA397" s="3"/>
      <c r="AB397" s="3"/>
      <c r="AC397" s="3"/>
    </row>
    <row r="398" ht="15.75" customHeight="1">
      <c r="A398" s="8"/>
      <c r="B398" s="8"/>
      <c r="C398" s="8"/>
      <c r="D398" s="8"/>
      <c r="E398" s="2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  <c r="AA398" s="3"/>
      <c r="AB398" s="3"/>
      <c r="AC398" s="3"/>
    </row>
    <row r="399" ht="15.75" customHeight="1">
      <c r="A399" s="8"/>
      <c r="B399" s="8"/>
      <c r="C399" s="8"/>
      <c r="D399" s="8"/>
      <c r="E399" s="2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  <c r="AA399" s="3"/>
      <c r="AB399" s="3"/>
      <c r="AC399" s="3"/>
    </row>
    <row r="400" ht="15.75" customHeight="1">
      <c r="A400" s="8"/>
      <c r="B400" s="8"/>
      <c r="C400" s="8"/>
      <c r="D400" s="8"/>
      <c r="E400" s="2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  <c r="AA400" s="3"/>
      <c r="AB400" s="3"/>
      <c r="AC400" s="3"/>
    </row>
    <row r="401" ht="15.75" customHeight="1">
      <c r="A401" s="8"/>
      <c r="B401" s="8"/>
      <c r="C401" s="8"/>
      <c r="D401" s="8"/>
      <c r="E401" s="2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  <c r="AA401" s="3"/>
      <c r="AB401" s="3"/>
      <c r="AC401" s="3"/>
    </row>
    <row r="402" ht="15.75" customHeight="1">
      <c r="A402" s="8"/>
      <c r="B402" s="8"/>
      <c r="C402" s="8"/>
      <c r="D402" s="8"/>
      <c r="E402" s="2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  <c r="AA402" s="3"/>
      <c r="AB402" s="3"/>
      <c r="AC402" s="3"/>
    </row>
    <row r="403" ht="15.75" customHeight="1">
      <c r="A403" s="8"/>
      <c r="B403" s="8"/>
      <c r="C403" s="8"/>
      <c r="D403" s="8"/>
      <c r="E403" s="2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  <c r="AA403" s="3"/>
      <c r="AB403" s="3"/>
      <c r="AC403" s="3"/>
    </row>
    <row r="404" ht="15.75" customHeight="1">
      <c r="A404" s="8"/>
      <c r="B404" s="8"/>
      <c r="C404" s="8"/>
      <c r="D404" s="8"/>
      <c r="E404" s="2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  <c r="AA404" s="3"/>
      <c r="AB404" s="3"/>
      <c r="AC404" s="3"/>
    </row>
    <row r="405" ht="15.75" customHeight="1">
      <c r="A405" s="8"/>
      <c r="B405" s="8"/>
      <c r="C405" s="8"/>
      <c r="D405" s="8"/>
      <c r="E405" s="2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  <c r="AA405" s="3"/>
      <c r="AB405" s="3"/>
      <c r="AC405" s="3"/>
    </row>
    <row r="406" ht="15.75" customHeight="1">
      <c r="A406" s="8"/>
      <c r="B406" s="8"/>
      <c r="C406" s="8"/>
      <c r="D406" s="8"/>
      <c r="E406" s="2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  <c r="AA406" s="3"/>
      <c r="AB406" s="3"/>
      <c r="AC406" s="3"/>
    </row>
    <row r="407" ht="15.75" customHeight="1">
      <c r="A407" s="8"/>
      <c r="B407" s="8"/>
      <c r="C407" s="8"/>
      <c r="D407" s="8"/>
      <c r="E407" s="2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  <c r="AA407" s="3"/>
      <c r="AB407" s="3"/>
      <c r="AC407" s="3"/>
    </row>
    <row r="408" ht="15.75" customHeight="1">
      <c r="A408" s="8"/>
      <c r="B408" s="8"/>
      <c r="C408" s="8"/>
      <c r="D408" s="8"/>
      <c r="E408" s="2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  <c r="AA408" s="3"/>
      <c r="AB408" s="3"/>
      <c r="AC408" s="3"/>
    </row>
    <row r="409" ht="15.75" customHeight="1">
      <c r="A409" s="8"/>
      <c r="B409" s="8"/>
      <c r="C409" s="8"/>
      <c r="D409" s="8"/>
      <c r="E409" s="2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  <c r="AA409" s="3"/>
      <c r="AB409" s="3"/>
      <c r="AC409" s="3"/>
    </row>
    <row r="410" ht="15.75" customHeight="1">
      <c r="A410" s="8"/>
      <c r="B410" s="8"/>
      <c r="C410" s="8"/>
      <c r="D410" s="8"/>
      <c r="E410" s="2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  <c r="AA410" s="3"/>
      <c r="AB410" s="3"/>
      <c r="AC410" s="3"/>
    </row>
    <row r="411" ht="15.75" customHeight="1">
      <c r="A411" s="8"/>
      <c r="B411" s="8"/>
      <c r="C411" s="8"/>
      <c r="D411" s="8"/>
      <c r="E411" s="2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  <c r="AA411" s="3"/>
      <c r="AB411" s="3"/>
      <c r="AC411" s="3"/>
    </row>
    <row r="412" ht="15.75" customHeight="1">
      <c r="A412" s="8"/>
      <c r="B412" s="8"/>
      <c r="C412" s="8"/>
      <c r="D412" s="8"/>
      <c r="E412" s="2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  <c r="AA412" s="3"/>
      <c r="AB412" s="3"/>
      <c r="AC412" s="3"/>
    </row>
    <row r="413" ht="15.75" customHeight="1">
      <c r="A413" s="8"/>
      <c r="B413" s="8"/>
      <c r="C413" s="8"/>
      <c r="D413" s="8"/>
      <c r="E413" s="2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  <c r="AA413" s="3"/>
      <c r="AB413" s="3"/>
      <c r="AC413" s="3"/>
    </row>
    <row r="414" ht="15.75" customHeight="1">
      <c r="A414" s="8"/>
      <c r="B414" s="8"/>
      <c r="C414" s="8"/>
      <c r="D414" s="8"/>
      <c r="E414" s="2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  <c r="AA414" s="3"/>
      <c r="AB414" s="3"/>
      <c r="AC414" s="3"/>
    </row>
    <row r="415" ht="15.75" customHeight="1">
      <c r="A415" s="8"/>
      <c r="B415" s="8"/>
      <c r="C415" s="8"/>
      <c r="D415" s="8"/>
      <c r="E415" s="2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  <c r="AA415" s="3"/>
      <c r="AB415" s="3"/>
      <c r="AC415" s="3"/>
    </row>
    <row r="416" ht="15.75" customHeight="1">
      <c r="A416" s="8"/>
      <c r="B416" s="8"/>
      <c r="C416" s="8"/>
      <c r="D416" s="8"/>
      <c r="E416" s="2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  <c r="AA416" s="3"/>
      <c r="AB416" s="3"/>
      <c r="AC416" s="3"/>
    </row>
    <row r="417" ht="15.75" customHeight="1">
      <c r="A417" s="8"/>
      <c r="B417" s="8"/>
      <c r="C417" s="8"/>
      <c r="D417" s="8"/>
      <c r="E417" s="2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  <c r="AA417" s="3"/>
      <c r="AB417" s="3"/>
      <c r="AC417" s="3"/>
    </row>
    <row r="418" ht="15.75" customHeight="1">
      <c r="A418" s="8"/>
      <c r="B418" s="8"/>
      <c r="C418" s="8"/>
      <c r="D418" s="8"/>
      <c r="E418" s="2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  <c r="AA418" s="3"/>
      <c r="AB418" s="3"/>
      <c r="AC418" s="3"/>
    </row>
    <row r="419" ht="15.75" customHeight="1">
      <c r="A419" s="8"/>
      <c r="B419" s="8"/>
      <c r="C419" s="8"/>
      <c r="D419" s="8"/>
      <c r="E419" s="2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  <c r="AA419" s="3"/>
      <c r="AB419" s="3"/>
      <c r="AC419" s="3"/>
    </row>
    <row r="420" ht="15.75" customHeight="1">
      <c r="A420" s="8"/>
      <c r="B420" s="8"/>
      <c r="C420" s="8"/>
      <c r="D420" s="8"/>
      <c r="E420" s="2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  <c r="AA420" s="3"/>
      <c r="AB420" s="3"/>
      <c r="AC420" s="3"/>
    </row>
    <row r="421" ht="15.75" customHeight="1">
      <c r="A421" s="8"/>
      <c r="B421" s="8"/>
      <c r="C421" s="8"/>
      <c r="D421" s="8"/>
      <c r="E421" s="2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  <c r="AA421" s="3"/>
      <c r="AB421" s="3"/>
      <c r="AC421" s="3"/>
    </row>
    <row r="422" ht="15.75" customHeight="1">
      <c r="A422" s="8"/>
      <c r="B422" s="8"/>
      <c r="C422" s="8"/>
      <c r="D422" s="8"/>
      <c r="E422" s="2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  <c r="AA422" s="3"/>
      <c r="AB422" s="3"/>
      <c r="AC422" s="3"/>
    </row>
    <row r="423" ht="15.75" customHeight="1">
      <c r="A423" s="8"/>
      <c r="B423" s="8"/>
      <c r="C423" s="8"/>
      <c r="D423" s="8"/>
      <c r="E423" s="2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  <c r="AA423" s="3"/>
      <c r="AB423" s="3"/>
      <c r="AC423" s="3"/>
    </row>
    <row r="424" ht="15.75" customHeight="1">
      <c r="A424" s="8"/>
      <c r="B424" s="8"/>
      <c r="C424" s="8"/>
      <c r="D424" s="8"/>
      <c r="E424" s="2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  <c r="AA424" s="3"/>
      <c r="AB424" s="3"/>
      <c r="AC424" s="3"/>
    </row>
    <row r="425" ht="15.75" customHeight="1">
      <c r="A425" s="8"/>
      <c r="B425" s="8"/>
      <c r="C425" s="8"/>
      <c r="D425" s="8"/>
      <c r="E425" s="2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  <c r="AA425" s="3"/>
      <c r="AB425" s="3"/>
      <c r="AC425" s="3"/>
    </row>
    <row r="426" ht="15.75" customHeight="1">
      <c r="A426" s="8"/>
      <c r="B426" s="8"/>
      <c r="C426" s="8"/>
      <c r="D426" s="8"/>
      <c r="E426" s="2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  <c r="AA426" s="3"/>
      <c r="AB426" s="3"/>
      <c r="AC426" s="3"/>
    </row>
    <row r="427" ht="15.75" customHeight="1">
      <c r="A427" s="8"/>
      <c r="B427" s="8"/>
      <c r="C427" s="8"/>
      <c r="D427" s="8"/>
      <c r="E427" s="2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  <c r="AA427" s="3"/>
      <c r="AB427" s="3"/>
      <c r="AC427" s="3"/>
    </row>
    <row r="428" ht="15.75" customHeight="1">
      <c r="A428" s="8"/>
      <c r="B428" s="8"/>
      <c r="C428" s="8"/>
      <c r="D428" s="8"/>
      <c r="E428" s="2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  <c r="AA428" s="3"/>
      <c r="AB428" s="3"/>
      <c r="AC428" s="3"/>
    </row>
    <row r="429" ht="15.75" customHeight="1">
      <c r="A429" s="8"/>
      <c r="B429" s="8"/>
      <c r="C429" s="8"/>
      <c r="D429" s="8"/>
      <c r="E429" s="2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  <c r="AA429" s="3"/>
      <c r="AB429" s="3"/>
      <c r="AC429" s="3"/>
    </row>
    <row r="430" ht="15.75" customHeight="1">
      <c r="A430" s="8"/>
      <c r="B430" s="8"/>
      <c r="C430" s="8"/>
      <c r="D430" s="8"/>
      <c r="E430" s="2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  <c r="AA430" s="3"/>
      <c r="AB430" s="3"/>
      <c r="AC430" s="3"/>
    </row>
    <row r="431" ht="15.75" customHeight="1">
      <c r="A431" s="8"/>
      <c r="B431" s="8"/>
      <c r="C431" s="8"/>
      <c r="D431" s="8"/>
      <c r="E431" s="2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  <c r="AA431" s="3"/>
      <c r="AB431" s="3"/>
      <c r="AC431" s="3"/>
    </row>
    <row r="432" ht="15.75" customHeight="1">
      <c r="A432" s="8"/>
      <c r="B432" s="8"/>
      <c r="C432" s="8"/>
      <c r="D432" s="8"/>
      <c r="E432" s="2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  <c r="AA432" s="3"/>
      <c r="AB432" s="3"/>
      <c r="AC432" s="3"/>
    </row>
    <row r="433" ht="15.75" customHeight="1">
      <c r="A433" s="8"/>
      <c r="B433" s="8"/>
      <c r="C433" s="8"/>
      <c r="D433" s="8"/>
      <c r="E433" s="2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  <c r="AA433" s="3"/>
      <c r="AB433" s="3"/>
      <c r="AC433" s="3"/>
    </row>
    <row r="434" ht="15.75" customHeight="1">
      <c r="A434" s="8"/>
      <c r="B434" s="8"/>
      <c r="C434" s="8"/>
      <c r="D434" s="8"/>
      <c r="E434" s="2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  <c r="AA434" s="3"/>
      <c r="AB434" s="3"/>
      <c r="AC434" s="3"/>
    </row>
    <row r="435" ht="15.75" customHeight="1">
      <c r="A435" s="8"/>
      <c r="B435" s="8"/>
      <c r="C435" s="8"/>
      <c r="D435" s="8"/>
      <c r="E435" s="2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  <c r="AA435" s="3"/>
      <c r="AB435" s="3"/>
      <c r="AC435" s="3"/>
    </row>
    <row r="436" ht="15.75" customHeight="1">
      <c r="A436" s="8"/>
      <c r="B436" s="8"/>
      <c r="C436" s="8"/>
      <c r="D436" s="8"/>
      <c r="E436" s="2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  <c r="AA436" s="3"/>
      <c r="AB436" s="3"/>
      <c r="AC436" s="3"/>
    </row>
    <row r="437" ht="15.75" customHeight="1">
      <c r="A437" s="8"/>
      <c r="B437" s="8"/>
      <c r="C437" s="8"/>
      <c r="D437" s="8"/>
      <c r="E437" s="2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  <c r="AA437" s="3"/>
      <c r="AB437" s="3"/>
      <c r="AC437" s="3"/>
    </row>
    <row r="438" ht="15.75" customHeight="1">
      <c r="A438" s="8"/>
      <c r="B438" s="8"/>
      <c r="C438" s="8"/>
      <c r="D438" s="8"/>
      <c r="E438" s="2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  <c r="AA438" s="3"/>
      <c r="AB438" s="3"/>
      <c r="AC438" s="3"/>
    </row>
    <row r="439" ht="15.75" customHeight="1">
      <c r="A439" s="8"/>
      <c r="B439" s="8"/>
      <c r="C439" s="8"/>
      <c r="D439" s="8"/>
      <c r="E439" s="2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  <c r="AA439" s="3"/>
      <c r="AB439" s="3"/>
      <c r="AC439" s="3"/>
    </row>
    <row r="440" ht="15.75" customHeight="1">
      <c r="A440" s="8"/>
      <c r="B440" s="8"/>
      <c r="C440" s="8"/>
      <c r="D440" s="8"/>
      <c r="E440" s="2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  <c r="AA440" s="3"/>
      <c r="AB440" s="3"/>
      <c r="AC440" s="3"/>
    </row>
    <row r="441" ht="15.75" customHeight="1">
      <c r="A441" s="8"/>
      <c r="B441" s="8"/>
      <c r="C441" s="8"/>
      <c r="D441" s="8"/>
      <c r="E441" s="2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  <c r="AA441" s="3"/>
      <c r="AB441" s="3"/>
      <c r="AC441" s="3"/>
    </row>
    <row r="442" ht="15.75" customHeight="1">
      <c r="A442" s="8"/>
      <c r="B442" s="8"/>
      <c r="C442" s="8"/>
      <c r="D442" s="8"/>
      <c r="E442" s="2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  <c r="AA442" s="3"/>
      <c r="AB442" s="3"/>
      <c r="AC442" s="3"/>
    </row>
    <row r="443" ht="15.75" customHeight="1">
      <c r="A443" s="8"/>
      <c r="B443" s="8"/>
      <c r="C443" s="8"/>
      <c r="D443" s="8"/>
      <c r="E443" s="2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  <c r="AA443" s="3"/>
      <c r="AB443" s="3"/>
      <c r="AC443" s="3"/>
    </row>
    <row r="444" ht="15.75" customHeight="1">
      <c r="A444" s="8"/>
      <c r="B444" s="8"/>
      <c r="C444" s="8"/>
      <c r="D444" s="8"/>
      <c r="E444" s="2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  <c r="AA444" s="3"/>
      <c r="AB444" s="3"/>
      <c r="AC444" s="3"/>
    </row>
    <row r="445" ht="15.75" customHeight="1">
      <c r="A445" s="8"/>
      <c r="B445" s="8"/>
      <c r="C445" s="8"/>
      <c r="D445" s="8"/>
      <c r="E445" s="2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  <c r="AA445" s="3"/>
      <c r="AB445" s="3"/>
      <c r="AC445" s="3"/>
    </row>
    <row r="446" ht="15.75" customHeight="1">
      <c r="A446" s="8"/>
      <c r="B446" s="8"/>
      <c r="C446" s="8"/>
      <c r="D446" s="8"/>
      <c r="E446" s="2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  <c r="AA446" s="3"/>
      <c r="AB446" s="3"/>
      <c r="AC446" s="3"/>
    </row>
    <row r="447" ht="15.75" customHeight="1">
      <c r="A447" s="8"/>
      <c r="B447" s="8"/>
      <c r="C447" s="8"/>
      <c r="D447" s="8"/>
      <c r="E447" s="2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  <c r="AA447" s="3"/>
      <c r="AB447" s="3"/>
      <c r="AC447" s="3"/>
    </row>
    <row r="448" ht="15.75" customHeight="1">
      <c r="A448" s="8"/>
      <c r="B448" s="8"/>
      <c r="C448" s="8"/>
      <c r="D448" s="8"/>
      <c r="E448" s="2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  <c r="AA448" s="3"/>
      <c r="AB448" s="3"/>
      <c r="AC448" s="3"/>
    </row>
    <row r="449" ht="15.75" customHeight="1">
      <c r="A449" s="8"/>
      <c r="B449" s="8"/>
      <c r="C449" s="8"/>
      <c r="D449" s="8"/>
      <c r="E449" s="2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  <c r="AA449" s="3"/>
      <c r="AB449" s="3"/>
      <c r="AC449" s="3"/>
    </row>
    <row r="450" ht="15.75" customHeight="1">
      <c r="A450" s="8"/>
      <c r="B450" s="8"/>
      <c r="C450" s="8"/>
      <c r="D450" s="8"/>
      <c r="E450" s="2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  <c r="AA450" s="3"/>
      <c r="AB450" s="3"/>
      <c r="AC450" s="3"/>
    </row>
    <row r="451" ht="15.75" customHeight="1">
      <c r="A451" s="8"/>
      <c r="B451" s="8"/>
      <c r="C451" s="8"/>
      <c r="D451" s="8"/>
      <c r="E451" s="2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  <c r="AA451" s="3"/>
      <c r="AB451" s="3"/>
      <c r="AC451" s="3"/>
    </row>
    <row r="452" ht="15.75" customHeight="1">
      <c r="A452" s="8"/>
      <c r="B452" s="8"/>
      <c r="C452" s="8"/>
      <c r="D452" s="8"/>
      <c r="E452" s="2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  <c r="AA452" s="3"/>
      <c r="AB452" s="3"/>
      <c r="AC452" s="3"/>
    </row>
    <row r="453" ht="15.75" customHeight="1">
      <c r="A453" s="8"/>
      <c r="B453" s="8"/>
      <c r="C453" s="8"/>
      <c r="D453" s="8"/>
      <c r="E453" s="2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  <c r="AA453" s="3"/>
      <c r="AB453" s="3"/>
      <c r="AC453" s="3"/>
    </row>
    <row r="454" ht="15.75" customHeight="1">
      <c r="A454" s="8"/>
      <c r="B454" s="8"/>
      <c r="C454" s="8"/>
      <c r="D454" s="8"/>
      <c r="E454" s="2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  <c r="AA454" s="3"/>
      <c r="AB454" s="3"/>
      <c r="AC454" s="3"/>
    </row>
    <row r="455" ht="15.75" customHeight="1">
      <c r="A455" s="8"/>
      <c r="B455" s="8"/>
      <c r="C455" s="8"/>
      <c r="D455" s="8"/>
      <c r="E455" s="2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  <c r="AA455" s="3"/>
      <c r="AB455" s="3"/>
      <c r="AC455" s="3"/>
    </row>
    <row r="456" ht="15.75" customHeight="1">
      <c r="A456" s="8"/>
      <c r="B456" s="8"/>
      <c r="C456" s="8"/>
      <c r="D456" s="8"/>
      <c r="E456" s="2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  <c r="AA456" s="3"/>
      <c r="AB456" s="3"/>
      <c r="AC456" s="3"/>
    </row>
    <row r="457" ht="15.75" customHeight="1">
      <c r="A457" s="8"/>
      <c r="B457" s="8"/>
      <c r="C457" s="8"/>
      <c r="D457" s="8"/>
      <c r="E457" s="2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  <c r="AA457" s="3"/>
      <c r="AB457" s="3"/>
      <c r="AC457" s="3"/>
    </row>
    <row r="458" ht="15.75" customHeight="1">
      <c r="A458" s="8"/>
      <c r="B458" s="8"/>
      <c r="C458" s="8"/>
      <c r="D458" s="8"/>
      <c r="E458" s="2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  <c r="AA458" s="3"/>
      <c r="AB458" s="3"/>
      <c r="AC458" s="3"/>
    </row>
    <row r="459" ht="15.75" customHeight="1">
      <c r="A459" s="8"/>
      <c r="B459" s="8"/>
      <c r="C459" s="8"/>
      <c r="D459" s="8"/>
      <c r="E459" s="2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  <c r="AA459" s="3"/>
      <c r="AB459" s="3"/>
      <c r="AC459" s="3"/>
    </row>
    <row r="460" ht="15.75" customHeight="1">
      <c r="A460" s="8"/>
      <c r="B460" s="8"/>
      <c r="C460" s="8"/>
      <c r="D460" s="8"/>
      <c r="E460" s="2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  <c r="AA460" s="3"/>
      <c r="AB460" s="3"/>
      <c r="AC460" s="3"/>
    </row>
    <row r="461" ht="15.75" customHeight="1">
      <c r="A461" s="8"/>
      <c r="B461" s="8"/>
      <c r="C461" s="8"/>
      <c r="D461" s="8"/>
      <c r="E461" s="2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  <c r="AA461" s="3"/>
      <c r="AB461" s="3"/>
      <c r="AC461" s="3"/>
    </row>
    <row r="462" ht="15.75" customHeight="1">
      <c r="A462" s="8"/>
      <c r="B462" s="8"/>
      <c r="C462" s="8"/>
      <c r="D462" s="8"/>
      <c r="E462" s="2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  <c r="AA462" s="3"/>
      <c r="AB462" s="3"/>
      <c r="AC462" s="3"/>
    </row>
    <row r="463" ht="15.75" customHeight="1">
      <c r="A463" s="8"/>
      <c r="B463" s="8"/>
      <c r="C463" s="8"/>
      <c r="D463" s="8"/>
      <c r="E463" s="2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  <c r="AA463" s="3"/>
      <c r="AB463" s="3"/>
      <c r="AC463" s="3"/>
    </row>
    <row r="464" ht="15.75" customHeight="1">
      <c r="A464" s="8"/>
      <c r="B464" s="8"/>
      <c r="C464" s="8"/>
      <c r="D464" s="8"/>
      <c r="E464" s="2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  <c r="AA464" s="3"/>
      <c r="AB464" s="3"/>
      <c r="AC464" s="3"/>
    </row>
    <row r="465" ht="15.75" customHeight="1">
      <c r="A465" s="8"/>
      <c r="B465" s="8"/>
      <c r="C465" s="8"/>
      <c r="D465" s="8"/>
      <c r="E465" s="2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  <c r="AA465" s="3"/>
      <c r="AB465" s="3"/>
      <c r="AC465" s="3"/>
    </row>
    <row r="466" ht="15.75" customHeight="1">
      <c r="A466" s="8"/>
      <c r="B466" s="8"/>
      <c r="C466" s="8"/>
      <c r="D466" s="8"/>
      <c r="E466" s="2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  <c r="AA466" s="3"/>
      <c r="AB466" s="3"/>
      <c r="AC466" s="3"/>
    </row>
    <row r="467" ht="15.75" customHeight="1">
      <c r="A467" s="8"/>
      <c r="B467" s="8"/>
      <c r="C467" s="8"/>
      <c r="D467" s="8"/>
      <c r="E467" s="2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  <c r="AA467" s="3"/>
      <c r="AB467" s="3"/>
      <c r="AC467" s="3"/>
    </row>
    <row r="468" ht="15.75" customHeight="1">
      <c r="A468" s="8"/>
      <c r="B468" s="8"/>
      <c r="C468" s="8"/>
      <c r="D468" s="8"/>
      <c r="E468" s="2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  <c r="AA468" s="3"/>
      <c r="AB468" s="3"/>
      <c r="AC468" s="3"/>
    </row>
    <row r="469" ht="15.75" customHeight="1">
      <c r="A469" s="8"/>
      <c r="B469" s="8"/>
      <c r="C469" s="8"/>
      <c r="D469" s="8"/>
      <c r="E469" s="2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  <c r="AA469" s="3"/>
      <c r="AB469" s="3"/>
      <c r="AC469" s="3"/>
    </row>
    <row r="470" ht="15.75" customHeight="1">
      <c r="A470" s="8"/>
      <c r="B470" s="8"/>
      <c r="C470" s="8"/>
      <c r="D470" s="8"/>
      <c r="E470" s="2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  <c r="AA470" s="3"/>
      <c r="AB470" s="3"/>
      <c r="AC470" s="3"/>
    </row>
    <row r="471" ht="15.75" customHeight="1">
      <c r="A471" s="8"/>
      <c r="B471" s="8"/>
      <c r="C471" s="8"/>
      <c r="D471" s="8"/>
      <c r="E471" s="2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  <c r="AA471" s="3"/>
      <c r="AB471" s="3"/>
      <c r="AC471" s="3"/>
    </row>
    <row r="472" ht="15.75" customHeight="1">
      <c r="A472" s="8"/>
      <c r="B472" s="8"/>
      <c r="C472" s="8"/>
      <c r="D472" s="8"/>
      <c r="E472" s="2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  <c r="AA472" s="3"/>
      <c r="AB472" s="3"/>
      <c r="AC472" s="3"/>
    </row>
    <row r="473" ht="15.75" customHeight="1">
      <c r="A473" s="8"/>
      <c r="B473" s="8"/>
      <c r="C473" s="8"/>
      <c r="D473" s="8"/>
      <c r="E473" s="2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  <c r="AA473" s="3"/>
      <c r="AB473" s="3"/>
      <c r="AC473" s="3"/>
    </row>
    <row r="474" ht="15.75" customHeight="1">
      <c r="A474" s="8"/>
      <c r="B474" s="8"/>
      <c r="C474" s="8"/>
      <c r="D474" s="8"/>
      <c r="E474" s="2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  <c r="AA474" s="3"/>
      <c r="AB474" s="3"/>
      <c r="AC474" s="3"/>
    </row>
    <row r="475" ht="15.75" customHeight="1">
      <c r="A475" s="8"/>
      <c r="B475" s="8"/>
      <c r="C475" s="8"/>
      <c r="D475" s="8"/>
      <c r="E475" s="2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  <c r="AA475" s="3"/>
      <c r="AB475" s="3"/>
      <c r="AC475" s="3"/>
    </row>
    <row r="476" ht="15.75" customHeight="1">
      <c r="A476" s="8"/>
      <c r="B476" s="8"/>
      <c r="C476" s="8"/>
      <c r="D476" s="8"/>
      <c r="E476" s="2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  <c r="AA476" s="3"/>
      <c r="AB476" s="3"/>
      <c r="AC476" s="3"/>
    </row>
    <row r="477" ht="15.75" customHeight="1">
      <c r="A477" s="8"/>
      <c r="B477" s="8"/>
      <c r="C477" s="8"/>
      <c r="D477" s="8"/>
      <c r="E477" s="2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  <c r="AA477" s="3"/>
      <c r="AB477" s="3"/>
      <c r="AC477" s="3"/>
    </row>
    <row r="478" ht="15.75" customHeight="1">
      <c r="A478" s="8"/>
      <c r="B478" s="8"/>
      <c r="C478" s="8"/>
      <c r="D478" s="8"/>
      <c r="E478" s="2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  <c r="AA478" s="3"/>
      <c r="AB478" s="3"/>
      <c r="AC478" s="3"/>
    </row>
    <row r="479" ht="15.75" customHeight="1">
      <c r="A479" s="8"/>
      <c r="B479" s="8"/>
      <c r="C479" s="8"/>
      <c r="D479" s="8"/>
      <c r="E479" s="2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  <c r="AA479" s="3"/>
      <c r="AB479" s="3"/>
      <c r="AC479" s="3"/>
    </row>
    <row r="480" ht="15.75" customHeight="1">
      <c r="A480" s="8"/>
      <c r="B480" s="8"/>
      <c r="C480" s="8"/>
      <c r="D480" s="8"/>
      <c r="E480" s="2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  <c r="AA480" s="3"/>
      <c r="AB480" s="3"/>
      <c r="AC480" s="3"/>
    </row>
    <row r="481" ht="15.75" customHeight="1">
      <c r="A481" s="8"/>
      <c r="B481" s="8"/>
      <c r="C481" s="8"/>
      <c r="D481" s="8"/>
      <c r="E481" s="2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  <c r="AA481" s="3"/>
      <c r="AB481" s="3"/>
      <c r="AC481" s="3"/>
    </row>
    <row r="482" ht="15.75" customHeight="1">
      <c r="A482" s="8"/>
      <c r="B482" s="8"/>
      <c r="C482" s="8"/>
      <c r="D482" s="8"/>
      <c r="E482" s="2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  <c r="AA482" s="3"/>
      <c r="AB482" s="3"/>
      <c r="AC482" s="3"/>
    </row>
    <row r="483" ht="15.75" customHeight="1">
      <c r="A483" s="8"/>
      <c r="B483" s="8"/>
      <c r="C483" s="8"/>
      <c r="D483" s="8"/>
      <c r="E483" s="2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  <c r="AA483" s="3"/>
      <c r="AB483" s="3"/>
      <c r="AC483" s="3"/>
    </row>
    <row r="484" ht="15.75" customHeight="1">
      <c r="A484" s="8"/>
      <c r="B484" s="8"/>
      <c r="C484" s="8"/>
      <c r="D484" s="8"/>
      <c r="E484" s="2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  <c r="AA484" s="3"/>
      <c r="AB484" s="3"/>
      <c r="AC484" s="3"/>
    </row>
    <row r="485" ht="15.75" customHeight="1">
      <c r="A485" s="8"/>
      <c r="B485" s="8"/>
      <c r="C485" s="8"/>
      <c r="D485" s="8"/>
      <c r="E485" s="2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  <c r="AA485" s="3"/>
      <c r="AB485" s="3"/>
      <c r="AC485" s="3"/>
    </row>
    <row r="486" ht="15.75" customHeight="1">
      <c r="A486" s="8"/>
      <c r="B486" s="8"/>
      <c r="C486" s="8"/>
      <c r="D486" s="8"/>
      <c r="E486" s="2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  <c r="AA486" s="3"/>
      <c r="AB486" s="3"/>
      <c r="AC486" s="3"/>
    </row>
    <row r="487" ht="15.75" customHeight="1">
      <c r="A487" s="8"/>
      <c r="B487" s="8"/>
      <c r="C487" s="8"/>
      <c r="D487" s="8"/>
      <c r="E487" s="2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  <c r="AA487" s="3"/>
      <c r="AB487" s="3"/>
      <c r="AC487" s="3"/>
    </row>
    <row r="488" ht="15.75" customHeight="1">
      <c r="A488" s="8"/>
      <c r="B488" s="8"/>
      <c r="C488" s="8"/>
      <c r="D488" s="8"/>
      <c r="E488" s="2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  <c r="AA488" s="3"/>
      <c r="AB488" s="3"/>
      <c r="AC488" s="3"/>
    </row>
    <row r="489" ht="15.75" customHeight="1">
      <c r="A489" s="8"/>
      <c r="B489" s="8"/>
      <c r="C489" s="8"/>
      <c r="D489" s="8"/>
      <c r="E489" s="2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  <c r="AA489" s="3"/>
      <c r="AB489" s="3"/>
      <c r="AC489" s="3"/>
    </row>
    <row r="490" ht="15.75" customHeight="1">
      <c r="A490" s="8"/>
      <c r="B490" s="8"/>
      <c r="C490" s="8"/>
      <c r="D490" s="8"/>
      <c r="E490" s="2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  <c r="AA490" s="3"/>
      <c r="AB490" s="3"/>
      <c r="AC490" s="3"/>
    </row>
    <row r="491" ht="15.75" customHeight="1">
      <c r="A491" s="8"/>
      <c r="B491" s="8"/>
      <c r="C491" s="8"/>
      <c r="D491" s="8"/>
      <c r="E491" s="2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  <c r="AA491" s="3"/>
      <c r="AB491" s="3"/>
      <c r="AC491" s="3"/>
    </row>
    <row r="492" ht="15.75" customHeight="1">
      <c r="A492" s="8"/>
      <c r="B492" s="8"/>
      <c r="C492" s="8"/>
      <c r="D492" s="8"/>
      <c r="E492" s="2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  <c r="AA492" s="3"/>
      <c r="AB492" s="3"/>
      <c r="AC492" s="3"/>
    </row>
    <row r="493" ht="15.75" customHeight="1">
      <c r="A493" s="8"/>
      <c r="B493" s="8"/>
      <c r="C493" s="8"/>
      <c r="D493" s="8"/>
      <c r="E493" s="2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  <c r="AA493" s="3"/>
      <c r="AB493" s="3"/>
      <c r="AC493" s="3"/>
    </row>
    <row r="494" ht="15.75" customHeight="1">
      <c r="A494" s="8"/>
      <c r="B494" s="8"/>
      <c r="C494" s="8"/>
      <c r="D494" s="8"/>
      <c r="E494" s="2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  <c r="AA494" s="3"/>
      <c r="AB494" s="3"/>
      <c r="AC494" s="3"/>
    </row>
    <row r="495" ht="15.75" customHeight="1">
      <c r="A495" s="8"/>
      <c r="B495" s="8"/>
      <c r="C495" s="8"/>
      <c r="D495" s="8"/>
      <c r="E495" s="2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  <c r="AA495" s="3"/>
      <c r="AB495" s="3"/>
      <c r="AC495" s="3"/>
    </row>
    <row r="496" ht="15.75" customHeight="1">
      <c r="A496" s="8"/>
      <c r="B496" s="8"/>
      <c r="C496" s="8"/>
      <c r="D496" s="8"/>
      <c r="E496" s="2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  <c r="AA496" s="3"/>
      <c r="AB496" s="3"/>
      <c r="AC496" s="3"/>
    </row>
    <row r="497" ht="15.75" customHeight="1">
      <c r="A497" s="8"/>
      <c r="B497" s="8"/>
      <c r="C497" s="8"/>
      <c r="D497" s="8"/>
      <c r="E497" s="2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  <c r="AA497" s="3"/>
      <c r="AB497" s="3"/>
      <c r="AC497" s="3"/>
    </row>
    <row r="498" ht="15.75" customHeight="1">
      <c r="A498" s="8"/>
      <c r="B498" s="8"/>
      <c r="C498" s="8"/>
      <c r="D498" s="8"/>
      <c r="E498" s="2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  <c r="AA498" s="3"/>
      <c r="AB498" s="3"/>
      <c r="AC498" s="3"/>
    </row>
    <row r="499" ht="15.75" customHeight="1">
      <c r="A499" s="8"/>
      <c r="B499" s="8"/>
      <c r="C499" s="8"/>
      <c r="D499" s="8"/>
      <c r="E499" s="2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  <c r="AA499" s="3"/>
      <c r="AB499" s="3"/>
      <c r="AC499" s="3"/>
    </row>
    <row r="500" ht="15.75" customHeight="1">
      <c r="A500" s="8"/>
      <c r="B500" s="8"/>
      <c r="C500" s="8"/>
      <c r="D500" s="8"/>
      <c r="E500" s="2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  <c r="AA500" s="3"/>
      <c r="AB500" s="3"/>
      <c r="AC500" s="3"/>
    </row>
    <row r="501" ht="15.75" customHeight="1">
      <c r="A501" s="8"/>
      <c r="B501" s="8"/>
      <c r="C501" s="8"/>
      <c r="D501" s="8"/>
      <c r="E501" s="2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  <c r="AA501" s="3"/>
      <c r="AB501" s="3"/>
      <c r="AC501" s="3"/>
    </row>
    <row r="502" ht="15.75" customHeight="1">
      <c r="A502" s="8"/>
      <c r="B502" s="8"/>
      <c r="C502" s="8"/>
      <c r="D502" s="8"/>
      <c r="E502" s="2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  <c r="AA502" s="3"/>
      <c r="AB502" s="3"/>
      <c r="AC502" s="3"/>
    </row>
    <row r="503" ht="15.75" customHeight="1">
      <c r="A503" s="8"/>
      <c r="B503" s="8"/>
      <c r="C503" s="8"/>
      <c r="D503" s="8"/>
      <c r="E503" s="2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  <c r="AA503" s="3"/>
      <c r="AB503" s="3"/>
      <c r="AC503" s="3"/>
    </row>
    <row r="504" ht="15.75" customHeight="1">
      <c r="A504" s="8"/>
      <c r="B504" s="8"/>
      <c r="C504" s="8"/>
      <c r="D504" s="8"/>
      <c r="E504" s="2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  <c r="AA504" s="3"/>
      <c r="AB504" s="3"/>
      <c r="AC504" s="3"/>
    </row>
    <row r="505" ht="15.75" customHeight="1">
      <c r="A505" s="8"/>
      <c r="B505" s="8"/>
      <c r="C505" s="8"/>
      <c r="D505" s="8"/>
      <c r="E505" s="2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  <c r="AA505" s="3"/>
      <c r="AB505" s="3"/>
      <c r="AC505" s="3"/>
    </row>
    <row r="506" ht="15.75" customHeight="1">
      <c r="A506" s="8"/>
      <c r="B506" s="8"/>
      <c r="C506" s="8"/>
      <c r="D506" s="8"/>
      <c r="E506" s="2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  <c r="AA506" s="3"/>
      <c r="AB506" s="3"/>
      <c r="AC506" s="3"/>
    </row>
    <row r="507" ht="15.75" customHeight="1">
      <c r="A507" s="8"/>
      <c r="B507" s="8"/>
      <c r="C507" s="8"/>
      <c r="D507" s="8"/>
      <c r="E507" s="2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  <c r="AA507" s="3"/>
      <c r="AB507" s="3"/>
      <c r="AC507" s="3"/>
    </row>
    <row r="508" ht="15.75" customHeight="1">
      <c r="A508" s="8"/>
      <c r="B508" s="8"/>
      <c r="C508" s="8"/>
      <c r="D508" s="8"/>
      <c r="E508" s="2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  <c r="AA508" s="3"/>
      <c r="AB508" s="3"/>
      <c r="AC508" s="3"/>
    </row>
    <row r="509" ht="15.75" customHeight="1">
      <c r="A509" s="8"/>
      <c r="B509" s="8"/>
      <c r="C509" s="8"/>
      <c r="D509" s="8"/>
      <c r="E509" s="2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  <c r="AA509" s="3"/>
      <c r="AB509" s="3"/>
      <c r="AC509" s="3"/>
    </row>
    <row r="510" ht="15.75" customHeight="1">
      <c r="A510" s="8"/>
      <c r="B510" s="8"/>
      <c r="C510" s="8"/>
      <c r="D510" s="8"/>
      <c r="E510" s="2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  <c r="AA510" s="3"/>
      <c r="AB510" s="3"/>
      <c r="AC510" s="3"/>
    </row>
    <row r="511" ht="15.75" customHeight="1">
      <c r="A511" s="8"/>
      <c r="B511" s="8"/>
      <c r="C511" s="8"/>
      <c r="D511" s="8"/>
      <c r="E511" s="2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  <c r="AA511" s="3"/>
      <c r="AB511" s="3"/>
      <c r="AC511" s="3"/>
    </row>
    <row r="512" ht="15.75" customHeight="1">
      <c r="A512" s="8"/>
      <c r="B512" s="8"/>
      <c r="C512" s="8"/>
      <c r="D512" s="8"/>
      <c r="E512" s="2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  <c r="AA512" s="3"/>
      <c r="AB512" s="3"/>
      <c r="AC512" s="3"/>
    </row>
    <row r="513" ht="15.75" customHeight="1">
      <c r="A513" s="8"/>
      <c r="B513" s="8"/>
      <c r="C513" s="8"/>
      <c r="D513" s="8"/>
      <c r="E513" s="2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  <c r="AA513" s="3"/>
      <c r="AB513" s="3"/>
      <c r="AC513" s="3"/>
    </row>
    <row r="514" ht="15.75" customHeight="1">
      <c r="A514" s="8"/>
      <c r="B514" s="8"/>
      <c r="C514" s="8"/>
      <c r="D514" s="8"/>
      <c r="E514" s="2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  <c r="AA514" s="3"/>
      <c r="AB514" s="3"/>
      <c r="AC514" s="3"/>
    </row>
    <row r="515" ht="15.75" customHeight="1">
      <c r="A515" s="8"/>
      <c r="B515" s="8"/>
      <c r="C515" s="8"/>
      <c r="D515" s="8"/>
      <c r="E515" s="2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  <c r="AA515" s="3"/>
      <c r="AB515" s="3"/>
      <c r="AC515" s="3"/>
    </row>
    <row r="516" ht="15.75" customHeight="1">
      <c r="A516" s="8"/>
      <c r="B516" s="8"/>
      <c r="C516" s="8"/>
      <c r="D516" s="8"/>
      <c r="E516" s="2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  <c r="AA516" s="3"/>
      <c r="AB516" s="3"/>
      <c r="AC516" s="3"/>
    </row>
    <row r="517" ht="15.75" customHeight="1">
      <c r="A517" s="8"/>
      <c r="B517" s="8"/>
      <c r="C517" s="8"/>
      <c r="D517" s="8"/>
      <c r="E517" s="2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  <c r="AA517" s="3"/>
      <c r="AB517" s="3"/>
      <c r="AC517" s="3"/>
    </row>
    <row r="518" ht="15.75" customHeight="1">
      <c r="A518" s="8"/>
      <c r="B518" s="8"/>
      <c r="C518" s="8"/>
      <c r="D518" s="8"/>
      <c r="E518" s="2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  <c r="AA518" s="3"/>
      <c r="AB518" s="3"/>
      <c r="AC518" s="3"/>
    </row>
    <row r="519" ht="15.75" customHeight="1">
      <c r="A519" s="8"/>
      <c r="B519" s="8"/>
      <c r="C519" s="8"/>
      <c r="D519" s="8"/>
      <c r="E519" s="2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  <c r="AA519" s="3"/>
      <c r="AB519" s="3"/>
      <c r="AC519" s="3"/>
    </row>
    <row r="520" ht="15.75" customHeight="1">
      <c r="A520" s="8"/>
      <c r="B520" s="8"/>
      <c r="C520" s="8"/>
      <c r="D520" s="8"/>
      <c r="E520" s="2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  <c r="AA520" s="3"/>
      <c r="AB520" s="3"/>
      <c r="AC520" s="3"/>
    </row>
    <row r="521" ht="15.75" customHeight="1">
      <c r="A521" s="8"/>
      <c r="B521" s="8"/>
      <c r="C521" s="8"/>
      <c r="D521" s="8"/>
      <c r="E521" s="2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  <c r="AA521" s="3"/>
      <c r="AB521" s="3"/>
      <c r="AC521" s="3"/>
    </row>
    <row r="522" ht="15.75" customHeight="1">
      <c r="A522" s="8"/>
      <c r="B522" s="8"/>
      <c r="C522" s="8"/>
      <c r="D522" s="8"/>
      <c r="E522" s="2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  <c r="AA522" s="3"/>
      <c r="AB522" s="3"/>
      <c r="AC522" s="3"/>
    </row>
    <row r="523" ht="15.75" customHeight="1">
      <c r="A523" s="8"/>
      <c r="B523" s="8"/>
      <c r="C523" s="8"/>
      <c r="D523" s="8"/>
      <c r="E523" s="2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  <c r="AA523" s="3"/>
      <c r="AB523" s="3"/>
      <c r="AC523" s="3"/>
    </row>
    <row r="524" ht="15.75" customHeight="1">
      <c r="A524" s="8"/>
      <c r="B524" s="8"/>
      <c r="C524" s="8"/>
      <c r="D524" s="8"/>
      <c r="E524" s="2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  <c r="AA524" s="3"/>
      <c r="AB524" s="3"/>
      <c r="AC524" s="3"/>
    </row>
    <row r="525" ht="15.75" customHeight="1">
      <c r="A525" s="8"/>
      <c r="B525" s="8"/>
      <c r="C525" s="8"/>
      <c r="D525" s="8"/>
      <c r="E525" s="2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  <c r="AA525" s="3"/>
      <c r="AB525" s="3"/>
      <c r="AC525" s="3"/>
    </row>
    <row r="526" ht="15.75" customHeight="1">
      <c r="A526" s="8"/>
      <c r="B526" s="8"/>
      <c r="C526" s="8"/>
      <c r="D526" s="8"/>
      <c r="E526" s="2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  <c r="AA526" s="3"/>
      <c r="AB526" s="3"/>
      <c r="AC526" s="3"/>
    </row>
    <row r="527" ht="15.75" customHeight="1">
      <c r="A527" s="8"/>
      <c r="B527" s="8"/>
      <c r="C527" s="8"/>
      <c r="D527" s="8"/>
      <c r="E527" s="2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  <c r="AA527" s="3"/>
      <c r="AB527" s="3"/>
      <c r="AC527" s="3"/>
    </row>
    <row r="528" ht="15.75" customHeight="1">
      <c r="A528" s="8"/>
      <c r="B528" s="8"/>
      <c r="C528" s="8"/>
      <c r="D528" s="8"/>
      <c r="E528" s="2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  <c r="AA528" s="3"/>
      <c r="AB528" s="3"/>
      <c r="AC528" s="3"/>
    </row>
    <row r="529" ht="15.75" customHeight="1">
      <c r="A529" s="8"/>
      <c r="B529" s="8"/>
      <c r="C529" s="8"/>
      <c r="D529" s="8"/>
      <c r="E529" s="2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  <c r="AA529" s="3"/>
      <c r="AB529" s="3"/>
      <c r="AC529" s="3"/>
    </row>
    <row r="530" ht="15.75" customHeight="1">
      <c r="A530" s="8"/>
      <c r="B530" s="8"/>
      <c r="C530" s="8"/>
      <c r="D530" s="8"/>
      <c r="E530" s="2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  <c r="AA530" s="3"/>
      <c r="AB530" s="3"/>
      <c r="AC530" s="3"/>
    </row>
    <row r="531" ht="15.75" customHeight="1">
      <c r="A531" s="8"/>
      <c r="B531" s="8"/>
      <c r="C531" s="8"/>
      <c r="D531" s="8"/>
      <c r="E531" s="2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  <c r="AA531" s="3"/>
      <c r="AB531" s="3"/>
      <c r="AC531" s="3"/>
    </row>
    <row r="532" ht="15.75" customHeight="1">
      <c r="A532" s="8"/>
      <c r="B532" s="8"/>
      <c r="C532" s="8"/>
      <c r="D532" s="8"/>
      <c r="E532" s="2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  <c r="AA532" s="3"/>
      <c r="AB532" s="3"/>
      <c r="AC532" s="3"/>
    </row>
    <row r="533" ht="15.75" customHeight="1">
      <c r="A533" s="8"/>
      <c r="B533" s="8"/>
      <c r="C533" s="8"/>
      <c r="D533" s="8"/>
      <c r="E533" s="2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  <c r="AA533" s="3"/>
      <c r="AB533" s="3"/>
      <c r="AC533" s="3"/>
    </row>
    <row r="534" ht="15.75" customHeight="1">
      <c r="A534" s="8"/>
      <c r="B534" s="8"/>
      <c r="C534" s="8"/>
      <c r="D534" s="8"/>
      <c r="E534" s="2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  <c r="AA534" s="3"/>
      <c r="AB534" s="3"/>
      <c r="AC534" s="3"/>
    </row>
    <row r="535" ht="15.75" customHeight="1">
      <c r="A535" s="8"/>
      <c r="B535" s="8"/>
      <c r="C535" s="8"/>
      <c r="D535" s="8"/>
      <c r="E535" s="2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  <c r="AA535" s="3"/>
      <c r="AB535" s="3"/>
      <c r="AC535" s="3"/>
    </row>
    <row r="536" ht="15.75" customHeight="1">
      <c r="A536" s="8"/>
      <c r="B536" s="8"/>
      <c r="C536" s="8"/>
      <c r="D536" s="8"/>
      <c r="E536" s="2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  <c r="AA536" s="3"/>
      <c r="AB536" s="3"/>
      <c r="AC536" s="3"/>
    </row>
    <row r="537" ht="15.75" customHeight="1">
      <c r="A537" s="8"/>
      <c r="B537" s="8"/>
      <c r="C537" s="8"/>
      <c r="D537" s="8"/>
      <c r="E537" s="2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  <c r="AA537" s="3"/>
      <c r="AB537" s="3"/>
      <c r="AC537" s="3"/>
    </row>
    <row r="538" ht="15.75" customHeight="1">
      <c r="A538" s="8"/>
      <c r="B538" s="8"/>
      <c r="C538" s="8"/>
      <c r="D538" s="8"/>
      <c r="E538" s="2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  <c r="AA538" s="3"/>
      <c r="AB538" s="3"/>
      <c r="AC538" s="3"/>
    </row>
    <row r="539" ht="15.75" customHeight="1">
      <c r="A539" s="8"/>
      <c r="B539" s="8"/>
      <c r="C539" s="8"/>
      <c r="D539" s="8"/>
      <c r="E539" s="2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  <c r="AA539" s="3"/>
      <c r="AB539" s="3"/>
      <c r="AC539" s="3"/>
    </row>
    <row r="540" ht="15.75" customHeight="1">
      <c r="A540" s="8"/>
      <c r="B540" s="8"/>
      <c r="C540" s="8"/>
      <c r="D540" s="8"/>
      <c r="E540" s="2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  <c r="AA540" s="3"/>
      <c r="AB540" s="3"/>
      <c r="AC540" s="3"/>
    </row>
    <row r="541" ht="15.75" customHeight="1">
      <c r="A541" s="8"/>
      <c r="B541" s="8"/>
      <c r="C541" s="8"/>
      <c r="D541" s="8"/>
      <c r="E541" s="2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  <c r="AA541" s="3"/>
      <c r="AB541" s="3"/>
      <c r="AC541" s="3"/>
    </row>
    <row r="542" ht="15.75" customHeight="1">
      <c r="A542" s="8"/>
      <c r="B542" s="8"/>
      <c r="C542" s="8"/>
      <c r="D542" s="8"/>
      <c r="E542" s="2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  <c r="AA542" s="3"/>
      <c r="AB542" s="3"/>
      <c r="AC542" s="3"/>
    </row>
    <row r="543" ht="15.75" customHeight="1">
      <c r="A543" s="8"/>
      <c r="B543" s="8"/>
      <c r="C543" s="8"/>
      <c r="D543" s="8"/>
      <c r="E543" s="2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  <c r="AA543" s="3"/>
      <c r="AB543" s="3"/>
      <c r="AC543" s="3"/>
    </row>
    <row r="544" ht="15.75" customHeight="1">
      <c r="A544" s="8"/>
      <c r="B544" s="8"/>
      <c r="C544" s="8"/>
      <c r="D544" s="8"/>
      <c r="E544" s="2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  <c r="AA544" s="3"/>
      <c r="AB544" s="3"/>
      <c r="AC544" s="3"/>
    </row>
    <row r="545" ht="15.75" customHeight="1">
      <c r="A545" s="8"/>
      <c r="B545" s="8"/>
      <c r="C545" s="8"/>
      <c r="D545" s="8"/>
      <c r="E545" s="2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  <c r="AA545" s="3"/>
      <c r="AB545" s="3"/>
      <c r="AC545" s="3"/>
    </row>
    <row r="546" ht="15.75" customHeight="1">
      <c r="A546" s="8"/>
      <c r="B546" s="8"/>
      <c r="C546" s="8"/>
      <c r="D546" s="8"/>
      <c r="E546" s="2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  <c r="AA546" s="3"/>
      <c r="AB546" s="3"/>
      <c r="AC546" s="3"/>
    </row>
    <row r="547" ht="15.75" customHeight="1">
      <c r="A547" s="8"/>
      <c r="B547" s="8"/>
      <c r="C547" s="8"/>
      <c r="D547" s="8"/>
      <c r="E547" s="2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  <c r="AA547" s="3"/>
      <c r="AB547" s="3"/>
      <c r="AC547" s="3"/>
    </row>
    <row r="548" ht="15.75" customHeight="1">
      <c r="A548" s="8"/>
      <c r="B548" s="8"/>
      <c r="C548" s="8"/>
      <c r="D548" s="8"/>
      <c r="E548" s="2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  <c r="AA548" s="3"/>
      <c r="AB548" s="3"/>
      <c r="AC548" s="3"/>
    </row>
    <row r="549" ht="15.75" customHeight="1">
      <c r="A549" s="8"/>
      <c r="B549" s="8"/>
      <c r="C549" s="8"/>
      <c r="D549" s="8"/>
      <c r="E549" s="2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  <c r="AA549" s="3"/>
      <c r="AB549" s="3"/>
      <c r="AC549" s="3"/>
    </row>
    <row r="550" ht="15.75" customHeight="1">
      <c r="A550" s="8"/>
      <c r="B550" s="8"/>
      <c r="C550" s="8"/>
      <c r="D550" s="8"/>
      <c r="E550" s="2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  <c r="AA550" s="3"/>
      <c r="AB550" s="3"/>
      <c r="AC550" s="3"/>
    </row>
    <row r="551" ht="15.75" customHeight="1">
      <c r="A551" s="8"/>
      <c r="B551" s="8"/>
      <c r="C551" s="8"/>
      <c r="D551" s="8"/>
      <c r="E551" s="2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  <c r="AA551" s="3"/>
      <c r="AB551" s="3"/>
      <c r="AC551" s="3"/>
    </row>
    <row r="552" ht="15.75" customHeight="1">
      <c r="A552" s="8"/>
      <c r="B552" s="8"/>
      <c r="C552" s="8"/>
      <c r="D552" s="8"/>
      <c r="E552" s="2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  <c r="AA552" s="3"/>
      <c r="AB552" s="3"/>
      <c r="AC552" s="3"/>
    </row>
    <row r="553" ht="15.75" customHeight="1">
      <c r="A553" s="8"/>
      <c r="B553" s="8"/>
      <c r="C553" s="8"/>
      <c r="D553" s="8"/>
      <c r="E553" s="2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  <c r="AA553" s="3"/>
      <c r="AB553" s="3"/>
      <c r="AC553" s="3"/>
    </row>
    <row r="554" ht="15.75" customHeight="1">
      <c r="A554" s="8"/>
      <c r="B554" s="8"/>
      <c r="C554" s="8"/>
      <c r="D554" s="8"/>
      <c r="E554" s="2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  <c r="AA554" s="3"/>
      <c r="AB554" s="3"/>
      <c r="AC554" s="3"/>
    </row>
    <row r="555" ht="15.75" customHeight="1">
      <c r="A555" s="8"/>
      <c r="B555" s="8"/>
      <c r="C555" s="8"/>
      <c r="D555" s="8"/>
      <c r="E555" s="2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  <c r="AA555" s="3"/>
      <c r="AB555" s="3"/>
      <c r="AC555" s="3"/>
    </row>
    <row r="556" ht="15.75" customHeight="1">
      <c r="A556" s="8"/>
      <c r="B556" s="8"/>
      <c r="C556" s="8"/>
      <c r="D556" s="8"/>
      <c r="E556" s="2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  <c r="AA556" s="3"/>
      <c r="AB556" s="3"/>
      <c r="AC556" s="3"/>
    </row>
    <row r="557" ht="15.75" customHeight="1">
      <c r="A557" s="8"/>
      <c r="B557" s="8"/>
      <c r="C557" s="8"/>
      <c r="D557" s="8"/>
      <c r="E557" s="2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  <c r="AA557" s="3"/>
      <c r="AB557" s="3"/>
      <c r="AC557" s="3"/>
    </row>
    <row r="558" ht="15.75" customHeight="1">
      <c r="A558" s="8"/>
      <c r="B558" s="8"/>
      <c r="C558" s="8"/>
      <c r="D558" s="8"/>
      <c r="E558" s="2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  <c r="AA558" s="3"/>
      <c r="AB558" s="3"/>
      <c r="AC558" s="3"/>
    </row>
    <row r="559" ht="15.75" customHeight="1">
      <c r="A559" s="8"/>
      <c r="B559" s="8"/>
      <c r="C559" s="8"/>
      <c r="D559" s="8"/>
      <c r="E559" s="2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  <c r="AA559" s="3"/>
      <c r="AB559" s="3"/>
      <c r="AC559" s="3"/>
    </row>
    <row r="560" ht="15.75" customHeight="1">
      <c r="A560" s="8"/>
      <c r="B560" s="8"/>
      <c r="C560" s="8"/>
      <c r="D560" s="8"/>
      <c r="E560" s="2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  <c r="AA560" s="3"/>
      <c r="AB560" s="3"/>
      <c r="AC560" s="3"/>
    </row>
    <row r="561" ht="15.75" customHeight="1">
      <c r="A561" s="8"/>
      <c r="B561" s="8"/>
      <c r="C561" s="8"/>
      <c r="D561" s="8"/>
      <c r="E561" s="2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  <c r="AA561" s="3"/>
      <c r="AB561" s="3"/>
      <c r="AC561" s="3"/>
    </row>
    <row r="562" ht="15.75" customHeight="1">
      <c r="A562" s="8"/>
      <c r="B562" s="8"/>
      <c r="C562" s="8"/>
      <c r="D562" s="8"/>
      <c r="E562" s="2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  <c r="AA562" s="3"/>
      <c r="AB562" s="3"/>
      <c r="AC562" s="3"/>
    </row>
    <row r="563" ht="15.75" customHeight="1">
      <c r="A563" s="8"/>
      <c r="B563" s="8"/>
      <c r="C563" s="8"/>
      <c r="D563" s="8"/>
      <c r="E563" s="2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  <c r="AA563" s="3"/>
      <c r="AB563" s="3"/>
      <c r="AC563" s="3"/>
    </row>
    <row r="564" ht="15.75" customHeight="1">
      <c r="A564" s="8"/>
      <c r="B564" s="8"/>
      <c r="C564" s="8"/>
      <c r="D564" s="8"/>
      <c r="E564" s="2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  <c r="AA564" s="3"/>
      <c r="AB564" s="3"/>
      <c r="AC564" s="3"/>
    </row>
    <row r="565" ht="15.75" customHeight="1">
      <c r="A565" s="8"/>
      <c r="B565" s="8"/>
      <c r="C565" s="8"/>
      <c r="D565" s="8"/>
      <c r="E565" s="2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  <c r="AA565" s="3"/>
      <c r="AB565" s="3"/>
      <c r="AC565" s="3"/>
    </row>
    <row r="566" ht="15.75" customHeight="1">
      <c r="A566" s="8"/>
      <c r="B566" s="8"/>
      <c r="C566" s="8"/>
      <c r="D566" s="8"/>
      <c r="E566" s="2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  <c r="AA566" s="3"/>
      <c r="AB566" s="3"/>
      <c r="AC566" s="3"/>
    </row>
    <row r="567" ht="15.75" customHeight="1">
      <c r="A567" s="8"/>
      <c r="B567" s="8"/>
      <c r="C567" s="8"/>
      <c r="D567" s="8"/>
      <c r="E567" s="2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  <c r="AA567" s="3"/>
      <c r="AB567" s="3"/>
      <c r="AC567" s="3"/>
    </row>
    <row r="568" ht="15.75" customHeight="1">
      <c r="A568" s="8"/>
      <c r="B568" s="8"/>
      <c r="C568" s="8"/>
      <c r="D568" s="8"/>
      <c r="E568" s="2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  <c r="AA568" s="3"/>
      <c r="AB568" s="3"/>
      <c r="AC568" s="3"/>
    </row>
    <row r="569" ht="15.75" customHeight="1">
      <c r="A569" s="8"/>
      <c r="B569" s="8"/>
      <c r="C569" s="8"/>
      <c r="D569" s="8"/>
      <c r="E569" s="2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  <c r="AA569" s="3"/>
      <c r="AB569" s="3"/>
      <c r="AC569" s="3"/>
    </row>
    <row r="570" ht="15.75" customHeight="1">
      <c r="A570" s="8"/>
      <c r="B570" s="8"/>
      <c r="C570" s="8"/>
      <c r="D570" s="8"/>
      <c r="E570" s="2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  <c r="AA570" s="3"/>
      <c r="AB570" s="3"/>
      <c r="AC570" s="3"/>
    </row>
    <row r="571" ht="15.75" customHeight="1">
      <c r="A571" s="8"/>
      <c r="B571" s="8"/>
      <c r="C571" s="8"/>
      <c r="D571" s="8"/>
      <c r="E571" s="2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  <c r="AA571" s="3"/>
      <c r="AB571" s="3"/>
      <c r="AC571" s="3"/>
    </row>
    <row r="572" ht="15.75" customHeight="1">
      <c r="A572" s="8"/>
      <c r="B572" s="8"/>
      <c r="C572" s="8"/>
      <c r="D572" s="8"/>
      <c r="E572" s="2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  <c r="AA572" s="3"/>
      <c r="AB572" s="3"/>
      <c r="AC572" s="3"/>
    </row>
    <row r="573" ht="15.75" customHeight="1">
      <c r="A573" s="8"/>
      <c r="B573" s="8"/>
      <c r="C573" s="8"/>
      <c r="D573" s="8"/>
      <c r="E573" s="2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  <c r="AA573" s="3"/>
      <c r="AB573" s="3"/>
      <c r="AC573" s="3"/>
    </row>
    <row r="574" ht="15.75" customHeight="1">
      <c r="A574" s="8"/>
      <c r="B574" s="8"/>
      <c r="C574" s="8"/>
      <c r="D574" s="8"/>
      <c r="E574" s="2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  <c r="AA574" s="3"/>
      <c r="AB574" s="3"/>
      <c r="AC574" s="3"/>
    </row>
    <row r="575" ht="15.75" customHeight="1">
      <c r="A575" s="8"/>
      <c r="B575" s="8"/>
      <c r="C575" s="8"/>
      <c r="D575" s="8"/>
      <c r="E575" s="2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  <c r="AA575" s="3"/>
      <c r="AB575" s="3"/>
      <c r="AC575" s="3"/>
    </row>
    <row r="576" ht="15.75" customHeight="1">
      <c r="A576" s="8"/>
      <c r="B576" s="8"/>
      <c r="C576" s="8"/>
      <c r="D576" s="8"/>
      <c r="E576" s="2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  <c r="AA576" s="3"/>
      <c r="AB576" s="3"/>
      <c r="AC576" s="3"/>
    </row>
    <row r="577" ht="15.75" customHeight="1">
      <c r="A577" s="8"/>
      <c r="B577" s="8"/>
      <c r="C577" s="8"/>
      <c r="D577" s="8"/>
      <c r="E577" s="2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  <c r="AA577" s="3"/>
      <c r="AB577" s="3"/>
      <c r="AC577" s="3"/>
    </row>
    <row r="578" ht="15.75" customHeight="1">
      <c r="A578" s="8"/>
      <c r="B578" s="8"/>
      <c r="C578" s="8"/>
      <c r="D578" s="8"/>
      <c r="E578" s="2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  <c r="AA578" s="3"/>
      <c r="AB578" s="3"/>
      <c r="AC578" s="3"/>
    </row>
    <row r="579" ht="15.75" customHeight="1">
      <c r="A579" s="8"/>
      <c r="B579" s="8"/>
      <c r="C579" s="8"/>
      <c r="D579" s="8"/>
      <c r="E579" s="2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  <c r="AA579" s="3"/>
      <c r="AB579" s="3"/>
      <c r="AC579" s="3"/>
    </row>
    <row r="580" ht="15.75" customHeight="1">
      <c r="A580" s="8"/>
      <c r="B580" s="8"/>
      <c r="C580" s="8"/>
      <c r="D580" s="8"/>
      <c r="E580" s="2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  <c r="AA580" s="3"/>
      <c r="AB580" s="3"/>
      <c r="AC580" s="3"/>
    </row>
    <row r="581" ht="15.75" customHeight="1">
      <c r="A581" s="8"/>
      <c r="B581" s="8"/>
      <c r="C581" s="8"/>
      <c r="D581" s="8"/>
      <c r="E581" s="2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  <c r="AA581" s="3"/>
      <c r="AB581" s="3"/>
      <c r="AC581" s="3"/>
    </row>
    <row r="582" ht="15.75" customHeight="1">
      <c r="A582" s="8"/>
      <c r="B582" s="8"/>
      <c r="C582" s="8"/>
      <c r="D582" s="8"/>
      <c r="E582" s="2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  <c r="AA582" s="3"/>
      <c r="AB582" s="3"/>
      <c r="AC582" s="3"/>
    </row>
    <row r="583" ht="15.75" customHeight="1">
      <c r="A583" s="8"/>
      <c r="B583" s="8"/>
      <c r="C583" s="8"/>
      <c r="D583" s="8"/>
      <c r="E583" s="2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  <c r="AA583" s="3"/>
      <c r="AB583" s="3"/>
      <c r="AC583" s="3"/>
    </row>
    <row r="584" ht="15.75" customHeight="1">
      <c r="A584" s="8"/>
      <c r="B584" s="8"/>
      <c r="C584" s="8"/>
      <c r="D584" s="8"/>
      <c r="E584" s="2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  <c r="AA584" s="3"/>
      <c r="AB584" s="3"/>
      <c r="AC584" s="3"/>
    </row>
    <row r="585" ht="15.75" customHeight="1">
      <c r="A585" s="8"/>
      <c r="B585" s="8"/>
      <c r="C585" s="8"/>
      <c r="D585" s="8"/>
      <c r="E585" s="2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  <c r="AA585" s="3"/>
      <c r="AB585" s="3"/>
      <c r="AC585" s="3"/>
    </row>
    <row r="586" ht="15.75" customHeight="1">
      <c r="A586" s="8"/>
      <c r="B586" s="8"/>
      <c r="C586" s="8"/>
      <c r="D586" s="8"/>
      <c r="E586" s="2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  <c r="AA586" s="3"/>
      <c r="AB586" s="3"/>
      <c r="AC586" s="3"/>
    </row>
    <row r="587" ht="15.75" customHeight="1">
      <c r="A587" s="8"/>
      <c r="B587" s="8"/>
      <c r="C587" s="8"/>
      <c r="D587" s="8"/>
      <c r="E587" s="2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  <c r="AA587" s="3"/>
      <c r="AB587" s="3"/>
      <c r="AC587" s="3"/>
    </row>
    <row r="588" ht="15.75" customHeight="1">
      <c r="A588" s="8"/>
      <c r="B588" s="8"/>
      <c r="C588" s="8"/>
      <c r="D588" s="8"/>
      <c r="E588" s="2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  <c r="AA588" s="3"/>
      <c r="AB588" s="3"/>
      <c r="AC588" s="3"/>
    </row>
    <row r="589" ht="15.75" customHeight="1">
      <c r="A589" s="8"/>
      <c r="B589" s="8"/>
      <c r="C589" s="8"/>
      <c r="D589" s="8"/>
      <c r="E589" s="2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  <c r="AA589" s="3"/>
      <c r="AB589" s="3"/>
      <c r="AC589" s="3"/>
    </row>
    <row r="590" ht="15.75" customHeight="1">
      <c r="A590" s="8"/>
      <c r="B590" s="8"/>
      <c r="C590" s="8"/>
      <c r="D590" s="8"/>
      <c r="E590" s="2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  <c r="AA590" s="3"/>
      <c r="AB590" s="3"/>
      <c r="AC590" s="3"/>
    </row>
    <row r="591" ht="15.75" customHeight="1">
      <c r="A591" s="8"/>
      <c r="B591" s="8"/>
      <c r="C591" s="8"/>
      <c r="D591" s="8"/>
      <c r="E591" s="2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  <c r="AA591" s="3"/>
      <c r="AB591" s="3"/>
      <c r="AC591" s="3"/>
    </row>
    <row r="592" ht="15.75" customHeight="1">
      <c r="A592" s="8"/>
      <c r="B592" s="8"/>
      <c r="C592" s="8"/>
      <c r="D592" s="8"/>
      <c r="E592" s="2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  <c r="AA592" s="3"/>
      <c r="AB592" s="3"/>
      <c r="AC592" s="3"/>
    </row>
    <row r="593" ht="15.75" customHeight="1">
      <c r="A593" s="8"/>
      <c r="B593" s="8"/>
      <c r="C593" s="8"/>
      <c r="D593" s="8"/>
      <c r="E593" s="2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  <c r="AA593" s="3"/>
      <c r="AB593" s="3"/>
      <c r="AC593" s="3"/>
    </row>
    <row r="594" ht="15.75" customHeight="1">
      <c r="A594" s="8"/>
      <c r="B594" s="8"/>
      <c r="C594" s="8"/>
      <c r="D594" s="8"/>
      <c r="E594" s="2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  <c r="AA594" s="3"/>
      <c r="AB594" s="3"/>
      <c r="AC594" s="3"/>
    </row>
    <row r="595" ht="15.75" customHeight="1">
      <c r="A595" s="8"/>
      <c r="B595" s="8"/>
      <c r="C595" s="8"/>
      <c r="D595" s="8"/>
      <c r="E595" s="2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  <c r="AA595" s="3"/>
      <c r="AB595" s="3"/>
      <c r="AC595" s="3"/>
    </row>
    <row r="596" ht="15.75" customHeight="1">
      <c r="A596" s="8"/>
      <c r="B596" s="8"/>
      <c r="C596" s="8"/>
      <c r="D596" s="8"/>
      <c r="E596" s="2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  <c r="AA596" s="3"/>
      <c r="AB596" s="3"/>
      <c r="AC596" s="3"/>
    </row>
    <row r="597" ht="15.75" customHeight="1">
      <c r="A597" s="8"/>
      <c r="B597" s="8"/>
      <c r="C597" s="8"/>
      <c r="D597" s="8"/>
      <c r="E597" s="2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  <c r="AA597" s="3"/>
      <c r="AB597" s="3"/>
      <c r="AC597" s="3"/>
    </row>
    <row r="598" ht="15.75" customHeight="1">
      <c r="A598" s="8"/>
      <c r="B598" s="8"/>
      <c r="C598" s="8"/>
      <c r="D598" s="8"/>
      <c r="E598" s="2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  <c r="AA598" s="3"/>
      <c r="AB598" s="3"/>
      <c r="AC598" s="3"/>
    </row>
    <row r="599" ht="15.75" customHeight="1">
      <c r="A599" s="8"/>
      <c r="B599" s="8"/>
      <c r="C599" s="8"/>
      <c r="D599" s="8"/>
      <c r="E599" s="2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  <c r="AA599" s="3"/>
      <c r="AB599" s="3"/>
      <c r="AC599" s="3"/>
    </row>
    <row r="600" ht="15.75" customHeight="1">
      <c r="A600" s="8"/>
      <c r="B600" s="8"/>
      <c r="C600" s="8"/>
      <c r="D600" s="8"/>
      <c r="E600" s="2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  <c r="AA600" s="3"/>
      <c r="AB600" s="3"/>
      <c r="AC600" s="3"/>
    </row>
    <row r="601" ht="15.75" customHeight="1">
      <c r="A601" s="8"/>
      <c r="B601" s="8"/>
      <c r="C601" s="8"/>
      <c r="D601" s="8"/>
      <c r="E601" s="2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  <c r="AA601" s="3"/>
      <c r="AB601" s="3"/>
      <c r="AC601" s="3"/>
    </row>
    <row r="602" ht="15.75" customHeight="1">
      <c r="A602" s="8"/>
      <c r="B602" s="8"/>
      <c r="C602" s="8"/>
      <c r="D602" s="8"/>
      <c r="E602" s="2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  <c r="AA602" s="3"/>
      <c r="AB602" s="3"/>
      <c r="AC602" s="3"/>
    </row>
    <row r="603" ht="15.75" customHeight="1">
      <c r="A603" s="8"/>
      <c r="B603" s="8"/>
      <c r="C603" s="8"/>
      <c r="D603" s="8"/>
      <c r="E603" s="2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  <c r="AA603" s="3"/>
      <c r="AB603" s="3"/>
      <c r="AC603" s="3"/>
    </row>
    <row r="604" ht="15.75" customHeight="1">
      <c r="A604" s="8"/>
      <c r="B604" s="8"/>
      <c r="C604" s="8"/>
      <c r="D604" s="8"/>
      <c r="E604" s="2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  <c r="AA604" s="3"/>
      <c r="AB604" s="3"/>
      <c r="AC604" s="3"/>
    </row>
    <row r="605" ht="15.75" customHeight="1">
      <c r="A605" s="8"/>
      <c r="B605" s="8"/>
      <c r="C605" s="8"/>
      <c r="D605" s="8"/>
      <c r="E605" s="2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  <c r="AA605" s="3"/>
      <c r="AB605" s="3"/>
      <c r="AC605" s="3"/>
    </row>
    <row r="606" ht="15.75" customHeight="1">
      <c r="A606" s="8"/>
      <c r="B606" s="8"/>
      <c r="C606" s="8"/>
      <c r="D606" s="8"/>
      <c r="E606" s="2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  <c r="AA606" s="3"/>
      <c r="AB606" s="3"/>
      <c r="AC606" s="3"/>
    </row>
    <row r="607" ht="15.75" customHeight="1">
      <c r="A607" s="8"/>
      <c r="B607" s="8"/>
      <c r="C607" s="8"/>
      <c r="D607" s="8"/>
      <c r="E607" s="2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  <c r="AA607" s="3"/>
      <c r="AB607" s="3"/>
      <c r="AC607" s="3"/>
    </row>
    <row r="608" ht="15.75" customHeight="1">
      <c r="A608" s="8"/>
      <c r="B608" s="8"/>
      <c r="C608" s="8"/>
      <c r="D608" s="8"/>
      <c r="E608" s="2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  <c r="AA608" s="3"/>
      <c r="AB608" s="3"/>
      <c r="AC608" s="3"/>
    </row>
    <row r="609" ht="15.75" customHeight="1">
      <c r="A609" s="8"/>
      <c r="B609" s="8"/>
      <c r="C609" s="8"/>
      <c r="D609" s="8"/>
      <c r="E609" s="2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  <c r="AA609" s="3"/>
      <c r="AB609" s="3"/>
      <c r="AC609" s="3"/>
    </row>
    <row r="610" ht="15.75" customHeight="1">
      <c r="A610" s="8"/>
      <c r="B610" s="8"/>
      <c r="C610" s="8"/>
      <c r="D610" s="8"/>
      <c r="E610" s="2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  <c r="AA610" s="3"/>
      <c r="AB610" s="3"/>
      <c r="AC610" s="3"/>
    </row>
    <row r="611" ht="15.75" customHeight="1">
      <c r="A611" s="8"/>
      <c r="B611" s="8"/>
      <c r="C611" s="8"/>
      <c r="D611" s="8"/>
      <c r="E611" s="2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  <c r="AA611" s="3"/>
      <c r="AB611" s="3"/>
      <c r="AC611" s="3"/>
    </row>
    <row r="612" ht="15.75" customHeight="1">
      <c r="A612" s="8"/>
      <c r="B612" s="8"/>
      <c r="C612" s="8"/>
      <c r="D612" s="8"/>
      <c r="E612" s="2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  <c r="AA612" s="3"/>
      <c r="AB612" s="3"/>
      <c r="AC612" s="3"/>
    </row>
    <row r="613" ht="15.75" customHeight="1">
      <c r="A613" s="8"/>
      <c r="B613" s="8"/>
      <c r="C613" s="8"/>
      <c r="D613" s="8"/>
      <c r="E613" s="2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  <c r="AA613" s="3"/>
      <c r="AB613" s="3"/>
      <c r="AC613" s="3"/>
    </row>
    <row r="614" ht="15.75" customHeight="1">
      <c r="A614" s="8"/>
      <c r="B614" s="8"/>
      <c r="C614" s="8"/>
      <c r="D614" s="8"/>
      <c r="E614" s="2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  <c r="AA614" s="3"/>
      <c r="AB614" s="3"/>
      <c r="AC614" s="3"/>
    </row>
    <row r="615" ht="15.75" customHeight="1">
      <c r="A615" s="8"/>
      <c r="B615" s="8"/>
      <c r="C615" s="8"/>
      <c r="D615" s="8"/>
      <c r="E615" s="2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  <c r="AA615" s="3"/>
      <c r="AB615" s="3"/>
      <c r="AC615" s="3"/>
    </row>
    <row r="616" ht="15.75" customHeight="1">
      <c r="A616" s="8"/>
      <c r="B616" s="8"/>
      <c r="C616" s="8"/>
      <c r="D616" s="8"/>
      <c r="E616" s="2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  <c r="AA616" s="3"/>
      <c r="AB616" s="3"/>
      <c r="AC616" s="3"/>
    </row>
    <row r="617" ht="15.75" customHeight="1">
      <c r="A617" s="8"/>
      <c r="B617" s="8"/>
      <c r="C617" s="8"/>
      <c r="D617" s="8"/>
      <c r="E617" s="2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  <c r="AA617" s="3"/>
      <c r="AB617" s="3"/>
      <c r="AC617" s="3"/>
    </row>
    <row r="618" ht="15.75" customHeight="1">
      <c r="A618" s="8"/>
      <c r="B618" s="8"/>
      <c r="C618" s="8"/>
      <c r="D618" s="8"/>
      <c r="E618" s="2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  <c r="AA618" s="3"/>
      <c r="AB618" s="3"/>
      <c r="AC618" s="3"/>
    </row>
    <row r="619" ht="15.75" customHeight="1">
      <c r="A619" s="8"/>
      <c r="B619" s="8"/>
      <c r="C619" s="8"/>
      <c r="D619" s="8"/>
      <c r="E619" s="2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  <c r="AA619" s="3"/>
      <c r="AB619" s="3"/>
      <c r="AC619" s="3"/>
    </row>
    <row r="620" ht="15.75" customHeight="1">
      <c r="A620" s="8"/>
      <c r="B620" s="8"/>
      <c r="C620" s="8"/>
      <c r="D620" s="8"/>
      <c r="E620" s="2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  <c r="AA620" s="3"/>
      <c r="AB620" s="3"/>
      <c r="AC620" s="3"/>
    </row>
    <row r="621" ht="15.75" customHeight="1">
      <c r="A621" s="8"/>
      <c r="B621" s="8"/>
      <c r="C621" s="8"/>
      <c r="D621" s="8"/>
      <c r="E621" s="2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  <c r="AA621" s="3"/>
      <c r="AB621" s="3"/>
      <c r="AC621" s="3"/>
    </row>
    <row r="622" ht="15.75" customHeight="1">
      <c r="A622" s="8"/>
      <c r="B622" s="8"/>
      <c r="C622" s="8"/>
      <c r="D622" s="8"/>
      <c r="E622" s="2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  <c r="AA622" s="3"/>
      <c r="AB622" s="3"/>
      <c r="AC622" s="3"/>
    </row>
    <row r="623" ht="15.75" customHeight="1">
      <c r="A623" s="8"/>
      <c r="B623" s="8"/>
      <c r="C623" s="8"/>
      <c r="D623" s="8"/>
      <c r="E623" s="2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  <c r="AA623" s="3"/>
      <c r="AB623" s="3"/>
      <c r="AC623" s="3"/>
    </row>
    <row r="624" ht="15.75" customHeight="1">
      <c r="A624" s="8"/>
      <c r="B624" s="8"/>
      <c r="C624" s="8"/>
      <c r="D624" s="8"/>
      <c r="E624" s="2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  <c r="AA624" s="3"/>
      <c r="AB624" s="3"/>
      <c r="AC624" s="3"/>
    </row>
    <row r="625" ht="15.75" customHeight="1">
      <c r="A625" s="8"/>
      <c r="B625" s="8"/>
      <c r="C625" s="8"/>
      <c r="D625" s="8"/>
      <c r="E625" s="2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  <c r="AA625" s="3"/>
      <c r="AB625" s="3"/>
      <c r="AC625" s="3"/>
    </row>
    <row r="626" ht="15.75" customHeight="1">
      <c r="A626" s="8"/>
      <c r="B626" s="8"/>
      <c r="C626" s="8"/>
      <c r="D626" s="8"/>
      <c r="E626" s="2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  <c r="AA626" s="3"/>
      <c r="AB626" s="3"/>
      <c r="AC626" s="3"/>
    </row>
    <row r="627" ht="15.75" customHeight="1">
      <c r="A627" s="8"/>
      <c r="B627" s="8"/>
      <c r="C627" s="8"/>
      <c r="D627" s="8"/>
      <c r="E627" s="2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  <c r="AA627" s="3"/>
      <c r="AB627" s="3"/>
      <c r="AC627" s="3"/>
    </row>
    <row r="628" ht="15.75" customHeight="1">
      <c r="A628" s="8"/>
      <c r="B628" s="8"/>
      <c r="C628" s="8"/>
      <c r="D628" s="8"/>
      <c r="E628" s="2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  <c r="AA628" s="3"/>
      <c r="AB628" s="3"/>
      <c r="AC628" s="3"/>
    </row>
    <row r="629" ht="15.75" customHeight="1">
      <c r="A629" s="8"/>
      <c r="B629" s="8"/>
      <c r="C629" s="8"/>
      <c r="D629" s="8"/>
      <c r="E629" s="2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  <c r="AA629" s="3"/>
      <c r="AB629" s="3"/>
      <c r="AC629" s="3"/>
    </row>
    <row r="630" ht="15.75" customHeight="1">
      <c r="A630" s="8"/>
      <c r="B630" s="8"/>
      <c r="C630" s="8"/>
      <c r="D630" s="8"/>
      <c r="E630" s="2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  <c r="AA630" s="3"/>
      <c r="AB630" s="3"/>
      <c r="AC630" s="3"/>
    </row>
    <row r="631" ht="15.75" customHeight="1">
      <c r="A631" s="8"/>
      <c r="B631" s="8"/>
      <c r="C631" s="8"/>
      <c r="D631" s="8"/>
      <c r="E631" s="2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  <c r="AA631" s="3"/>
      <c r="AB631" s="3"/>
      <c r="AC631" s="3"/>
    </row>
    <row r="632" ht="15.75" customHeight="1">
      <c r="A632" s="8"/>
      <c r="B632" s="8"/>
      <c r="C632" s="8"/>
      <c r="D632" s="8"/>
      <c r="E632" s="2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  <c r="AA632" s="3"/>
      <c r="AB632" s="3"/>
      <c r="AC632" s="3"/>
    </row>
    <row r="633" ht="15.75" customHeight="1">
      <c r="A633" s="8"/>
      <c r="B633" s="8"/>
      <c r="C633" s="8"/>
      <c r="D633" s="8"/>
      <c r="E633" s="2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  <c r="AA633" s="3"/>
      <c r="AB633" s="3"/>
      <c r="AC633" s="3"/>
    </row>
    <row r="634" ht="15.75" customHeight="1">
      <c r="A634" s="8"/>
      <c r="B634" s="8"/>
      <c r="C634" s="8"/>
      <c r="D634" s="8"/>
      <c r="E634" s="2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  <c r="AA634" s="3"/>
      <c r="AB634" s="3"/>
      <c r="AC634" s="3"/>
    </row>
    <row r="635" ht="15.75" customHeight="1">
      <c r="A635" s="8"/>
      <c r="B635" s="8"/>
      <c r="C635" s="8"/>
      <c r="D635" s="8"/>
      <c r="E635" s="2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  <c r="AA635" s="3"/>
      <c r="AB635" s="3"/>
      <c r="AC635" s="3"/>
    </row>
    <row r="636" ht="15.75" customHeight="1">
      <c r="A636" s="8"/>
      <c r="B636" s="8"/>
      <c r="C636" s="8"/>
      <c r="D636" s="8"/>
      <c r="E636" s="2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  <c r="AA636" s="3"/>
      <c r="AB636" s="3"/>
      <c r="AC636" s="3"/>
    </row>
    <row r="637" ht="15.75" customHeight="1">
      <c r="A637" s="8"/>
      <c r="B637" s="8"/>
      <c r="C637" s="8"/>
      <c r="D637" s="8"/>
      <c r="E637" s="2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  <c r="AA637" s="3"/>
      <c r="AB637" s="3"/>
      <c r="AC637" s="3"/>
    </row>
    <row r="638" ht="15.75" customHeight="1">
      <c r="A638" s="8"/>
      <c r="B638" s="8"/>
      <c r="C638" s="8"/>
      <c r="D638" s="8"/>
      <c r="E638" s="2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  <c r="AA638" s="3"/>
      <c r="AB638" s="3"/>
      <c r="AC638" s="3"/>
    </row>
    <row r="639" ht="15.75" customHeight="1">
      <c r="A639" s="8"/>
      <c r="B639" s="8"/>
      <c r="C639" s="8"/>
      <c r="D639" s="8"/>
      <c r="E639" s="2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  <c r="AA639" s="3"/>
      <c r="AB639" s="3"/>
      <c r="AC639" s="3"/>
    </row>
    <row r="640" ht="15.75" customHeight="1">
      <c r="A640" s="8"/>
      <c r="B640" s="8"/>
      <c r="C640" s="8"/>
      <c r="D640" s="8"/>
      <c r="E640" s="2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  <c r="AA640" s="3"/>
      <c r="AB640" s="3"/>
      <c r="AC640" s="3"/>
    </row>
    <row r="641" ht="15.75" customHeight="1">
      <c r="A641" s="8"/>
      <c r="B641" s="8"/>
      <c r="C641" s="8"/>
      <c r="D641" s="8"/>
      <c r="E641" s="2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  <c r="AA641" s="3"/>
      <c r="AB641" s="3"/>
      <c r="AC641" s="3"/>
    </row>
    <row r="642" ht="15.75" customHeight="1">
      <c r="A642" s="8"/>
      <c r="B642" s="8"/>
      <c r="C642" s="8"/>
      <c r="D642" s="8"/>
      <c r="E642" s="2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  <c r="AA642" s="3"/>
      <c r="AB642" s="3"/>
      <c r="AC642" s="3"/>
    </row>
    <row r="643" ht="15.75" customHeight="1">
      <c r="A643" s="8"/>
      <c r="B643" s="8"/>
      <c r="C643" s="8"/>
      <c r="D643" s="8"/>
      <c r="E643" s="2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  <c r="AA643" s="3"/>
      <c r="AB643" s="3"/>
      <c r="AC643" s="3"/>
    </row>
    <row r="644" ht="15.75" customHeight="1">
      <c r="A644" s="8"/>
      <c r="B644" s="8"/>
      <c r="C644" s="8"/>
      <c r="D644" s="8"/>
      <c r="E644" s="2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  <c r="AA644" s="3"/>
      <c r="AB644" s="3"/>
      <c r="AC644" s="3"/>
    </row>
    <row r="645" ht="15.75" customHeight="1">
      <c r="A645" s="8"/>
      <c r="B645" s="8"/>
      <c r="C645" s="8"/>
      <c r="D645" s="8"/>
      <c r="E645" s="2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  <c r="AA645" s="3"/>
      <c r="AB645" s="3"/>
      <c r="AC645" s="3"/>
    </row>
    <row r="646" ht="15.75" customHeight="1">
      <c r="A646" s="8"/>
      <c r="B646" s="8"/>
      <c r="C646" s="8"/>
      <c r="D646" s="8"/>
      <c r="E646" s="2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  <c r="AA646" s="3"/>
      <c r="AB646" s="3"/>
      <c r="AC646" s="3"/>
    </row>
    <row r="647" ht="15.75" customHeight="1">
      <c r="A647" s="8"/>
      <c r="B647" s="8"/>
      <c r="C647" s="8"/>
      <c r="D647" s="8"/>
      <c r="E647" s="2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  <c r="AA647" s="3"/>
      <c r="AB647" s="3"/>
      <c r="AC647" s="3"/>
    </row>
    <row r="648" ht="15.75" customHeight="1">
      <c r="A648" s="8"/>
      <c r="B648" s="8"/>
      <c r="C648" s="8"/>
      <c r="D648" s="8"/>
      <c r="E648" s="2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  <c r="AA648" s="3"/>
      <c r="AB648" s="3"/>
      <c r="AC648" s="3"/>
    </row>
    <row r="649" ht="15.75" customHeight="1">
      <c r="A649" s="8"/>
      <c r="B649" s="8"/>
      <c r="C649" s="8"/>
      <c r="D649" s="8"/>
      <c r="E649" s="2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  <c r="AA649" s="3"/>
      <c r="AB649" s="3"/>
      <c r="AC649" s="3"/>
    </row>
    <row r="650" ht="15.75" customHeight="1">
      <c r="A650" s="8"/>
      <c r="B650" s="8"/>
      <c r="C650" s="8"/>
      <c r="D650" s="8"/>
      <c r="E650" s="2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  <c r="AA650" s="3"/>
      <c r="AB650" s="3"/>
      <c r="AC650" s="3"/>
    </row>
    <row r="651" ht="15.75" customHeight="1">
      <c r="A651" s="8"/>
      <c r="B651" s="8"/>
      <c r="C651" s="8"/>
      <c r="D651" s="8"/>
      <c r="E651" s="2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  <c r="AA651" s="3"/>
      <c r="AB651" s="3"/>
      <c r="AC651" s="3"/>
    </row>
    <row r="652" ht="15.75" customHeight="1">
      <c r="A652" s="8"/>
      <c r="B652" s="8"/>
      <c r="C652" s="8"/>
      <c r="D652" s="8"/>
      <c r="E652" s="2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  <c r="AA652" s="3"/>
      <c r="AB652" s="3"/>
      <c r="AC652" s="3"/>
    </row>
    <row r="653" ht="15.75" customHeight="1">
      <c r="A653" s="8"/>
      <c r="B653" s="8"/>
      <c r="C653" s="8"/>
      <c r="D653" s="8"/>
      <c r="E653" s="2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  <c r="AA653" s="3"/>
      <c r="AB653" s="3"/>
      <c r="AC653" s="3"/>
    </row>
    <row r="654" ht="15.75" customHeight="1">
      <c r="A654" s="8"/>
      <c r="B654" s="8"/>
      <c r="C654" s="8"/>
      <c r="D654" s="8"/>
      <c r="E654" s="2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  <c r="AA654" s="3"/>
      <c r="AB654" s="3"/>
      <c r="AC654" s="3"/>
    </row>
    <row r="655" ht="15.75" customHeight="1">
      <c r="A655" s="8"/>
      <c r="B655" s="8"/>
      <c r="C655" s="8"/>
      <c r="D655" s="8"/>
      <c r="E655" s="2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  <c r="AA655" s="3"/>
      <c r="AB655" s="3"/>
      <c r="AC655" s="3"/>
    </row>
    <row r="656" ht="15.75" customHeight="1">
      <c r="A656" s="8"/>
      <c r="B656" s="8"/>
      <c r="C656" s="8"/>
      <c r="D656" s="8"/>
      <c r="E656" s="2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  <c r="AA656" s="3"/>
      <c r="AB656" s="3"/>
      <c r="AC656" s="3"/>
    </row>
    <row r="657" ht="15.75" customHeight="1">
      <c r="A657" s="8"/>
      <c r="B657" s="8"/>
      <c r="C657" s="8"/>
      <c r="D657" s="8"/>
      <c r="E657" s="2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  <c r="AA657" s="3"/>
      <c r="AB657" s="3"/>
      <c r="AC657" s="3"/>
    </row>
    <row r="658" ht="15.75" customHeight="1">
      <c r="A658" s="8"/>
      <c r="B658" s="8"/>
      <c r="C658" s="8"/>
      <c r="D658" s="8"/>
      <c r="E658" s="2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  <c r="AA658" s="3"/>
      <c r="AB658" s="3"/>
      <c r="AC658" s="3"/>
    </row>
    <row r="659" ht="15.75" customHeight="1">
      <c r="A659" s="8"/>
      <c r="B659" s="8"/>
      <c r="C659" s="8"/>
      <c r="D659" s="8"/>
      <c r="E659" s="2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  <c r="AA659" s="3"/>
      <c r="AB659" s="3"/>
      <c r="AC659" s="3"/>
    </row>
    <row r="660" ht="15.75" customHeight="1">
      <c r="A660" s="8"/>
      <c r="B660" s="8"/>
      <c r="C660" s="8"/>
      <c r="D660" s="8"/>
      <c r="E660" s="2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  <c r="AA660" s="3"/>
      <c r="AB660" s="3"/>
      <c r="AC660" s="3"/>
    </row>
    <row r="661" ht="15.75" customHeight="1">
      <c r="A661" s="8"/>
      <c r="B661" s="8"/>
      <c r="C661" s="8"/>
      <c r="D661" s="8"/>
      <c r="E661" s="2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  <c r="AA661" s="3"/>
      <c r="AB661" s="3"/>
      <c r="AC661" s="3"/>
    </row>
    <row r="662" ht="15.75" customHeight="1">
      <c r="A662" s="8"/>
      <c r="B662" s="8"/>
      <c r="C662" s="8"/>
      <c r="D662" s="8"/>
      <c r="E662" s="2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  <c r="AA662" s="3"/>
      <c r="AB662" s="3"/>
      <c r="AC662" s="3"/>
    </row>
    <row r="663" ht="15.75" customHeight="1">
      <c r="A663" s="8"/>
      <c r="B663" s="8"/>
      <c r="C663" s="8"/>
      <c r="D663" s="8"/>
      <c r="E663" s="2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  <c r="AA663" s="3"/>
      <c r="AB663" s="3"/>
      <c r="AC663" s="3"/>
    </row>
    <row r="664" ht="15.75" customHeight="1">
      <c r="A664" s="8"/>
      <c r="B664" s="8"/>
      <c r="C664" s="8"/>
      <c r="D664" s="8"/>
      <c r="E664" s="2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  <c r="AA664" s="3"/>
      <c r="AB664" s="3"/>
      <c r="AC664" s="3"/>
    </row>
    <row r="665" ht="15.75" customHeight="1">
      <c r="A665" s="8"/>
      <c r="B665" s="8"/>
      <c r="C665" s="8"/>
      <c r="D665" s="8"/>
      <c r="E665" s="2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  <c r="AA665" s="3"/>
      <c r="AB665" s="3"/>
      <c r="AC665" s="3"/>
    </row>
    <row r="666" ht="15.75" customHeight="1">
      <c r="A666" s="8"/>
      <c r="B666" s="8"/>
      <c r="C666" s="8"/>
      <c r="D666" s="8"/>
      <c r="E666" s="2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  <c r="AA666" s="3"/>
      <c r="AB666" s="3"/>
      <c r="AC666" s="3"/>
    </row>
    <row r="667" ht="15.75" customHeight="1">
      <c r="A667" s="8"/>
      <c r="B667" s="8"/>
      <c r="C667" s="8"/>
      <c r="D667" s="8"/>
      <c r="E667" s="2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  <c r="AA667" s="3"/>
      <c r="AB667" s="3"/>
      <c r="AC667" s="3"/>
    </row>
    <row r="668" ht="15.75" customHeight="1">
      <c r="A668" s="8"/>
      <c r="B668" s="8"/>
      <c r="C668" s="8"/>
      <c r="D668" s="8"/>
      <c r="E668" s="2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  <c r="AA668" s="3"/>
      <c r="AB668" s="3"/>
      <c r="AC668" s="3"/>
    </row>
    <row r="669" ht="15.75" customHeight="1">
      <c r="A669" s="8"/>
      <c r="B669" s="8"/>
      <c r="C669" s="8"/>
      <c r="D669" s="8"/>
      <c r="E669" s="2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  <c r="AA669" s="3"/>
      <c r="AB669" s="3"/>
      <c r="AC669" s="3"/>
    </row>
    <row r="670" ht="15.75" customHeight="1">
      <c r="A670" s="8"/>
      <c r="B670" s="8"/>
      <c r="C670" s="8"/>
      <c r="D670" s="8"/>
      <c r="E670" s="2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  <c r="AA670" s="3"/>
      <c r="AB670" s="3"/>
      <c r="AC670" s="3"/>
    </row>
    <row r="671" ht="15.75" customHeight="1">
      <c r="A671" s="8"/>
      <c r="B671" s="8"/>
      <c r="C671" s="8"/>
      <c r="D671" s="8"/>
      <c r="E671" s="2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  <c r="AA671" s="3"/>
      <c r="AB671" s="3"/>
      <c r="AC671" s="3"/>
    </row>
    <row r="672" ht="15.75" customHeight="1">
      <c r="A672" s="8"/>
      <c r="B672" s="8"/>
      <c r="C672" s="8"/>
      <c r="D672" s="8"/>
      <c r="E672" s="2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  <c r="AA672" s="3"/>
      <c r="AB672" s="3"/>
      <c r="AC672" s="3"/>
    </row>
    <row r="673" ht="15.75" customHeight="1">
      <c r="A673" s="8"/>
      <c r="B673" s="8"/>
      <c r="C673" s="8"/>
      <c r="D673" s="8"/>
      <c r="E673" s="2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  <c r="AA673" s="3"/>
      <c r="AB673" s="3"/>
      <c r="AC673" s="3"/>
    </row>
    <row r="674" ht="15.75" customHeight="1">
      <c r="A674" s="8"/>
      <c r="B674" s="8"/>
      <c r="C674" s="8"/>
      <c r="D674" s="8"/>
      <c r="E674" s="2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  <c r="AA674" s="3"/>
      <c r="AB674" s="3"/>
      <c r="AC674" s="3"/>
    </row>
    <row r="675" ht="15.75" customHeight="1">
      <c r="A675" s="8"/>
      <c r="B675" s="8"/>
      <c r="C675" s="8"/>
      <c r="D675" s="8"/>
      <c r="E675" s="2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  <c r="AA675" s="3"/>
      <c r="AB675" s="3"/>
      <c r="AC675" s="3"/>
    </row>
    <row r="676" ht="15.75" customHeight="1">
      <c r="A676" s="8"/>
      <c r="B676" s="8"/>
      <c r="C676" s="8"/>
      <c r="D676" s="8"/>
      <c r="E676" s="2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  <c r="AA676" s="3"/>
      <c r="AB676" s="3"/>
      <c r="AC676" s="3"/>
    </row>
    <row r="677" ht="15.75" customHeight="1">
      <c r="A677" s="8"/>
      <c r="B677" s="8"/>
      <c r="C677" s="8"/>
      <c r="D677" s="8"/>
      <c r="E677" s="2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  <c r="AA677" s="3"/>
      <c r="AB677" s="3"/>
      <c r="AC677" s="3"/>
    </row>
    <row r="678" ht="15.75" customHeight="1">
      <c r="A678" s="8"/>
      <c r="B678" s="8"/>
      <c r="C678" s="8"/>
      <c r="D678" s="8"/>
      <c r="E678" s="2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  <c r="AA678" s="3"/>
      <c r="AB678" s="3"/>
      <c r="AC678" s="3"/>
    </row>
    <row r="679" ht="15.75" customHeight="1">
      <c r="A679" s="8"/>
      <c r="B679" s="8"/>
      <c r="C679" s="8"/>
      <c r="D679" s="8"/>
      <c r="E679" s="2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  <c r="AA679" s="3"/>
      <c r="AB679" s="3"/>
      <c r="AC679" s="3"/>
    </row>
    <row r="680" ht="15.75" customHeight="1">
      <c r="A680" s="8"/>
      <c r="B680" s="8"/>
      <c r="C680" s="8"/>
      <c r="D680" s="8"/>
      <c r="E680" s="2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  <c r="AA680" s="3"/>
      <c r="AB680" s="3"/>
      <c r="AC680" s="3"/>
    </row>
    <row r="681" ht="15.75" customHeight="1">
      <c r="A681" s="8"/>
      <c r="B681" s="8"/>
      <c r="C681" s="8"/>
      <c r="D681" s="8"/>
      <c r="E681" s="2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  <c r="AA681" s="3"/>
      <c r="AB681" s="3"/>
      <c r="AC681" s="3"/>
    </row>
    <row r="682" ht="15.75" customHeight="1">
      <c r="A682" s="8"/>
      <c r="B682" s="8"/>
      <c r="C682" s="8"/>
      <c r="D682" s="8"/>
      <c r="E682" s="2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  <c r="AA682" s="3"/>
      <c r="AB682" s="3"/>
      <c r="AC682" s="3"/>
    </row>
    <row r="683" ht="15.75" customHeight="1">
      <c r="A683" s="8"/>
      <c r="B683" s="8"/>
      <c r="C683" s="8"/>
      <c r="D683" s="8"/>
      <c r="E683" s="2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  <c r="AA683" s="3"/>
      <c r="AB683" s="3"/>
      <c r="AC683" s="3"/>
    </row>
    <row r="684" ht="15.75" customHeight="1">
      <c r="A684" s="8"/>
      <c r="B684" s="8"/>
      <c r="C684" s="8"/>
      <c r="D684" s="8"/>
      <c r="E684" s="2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  <c r="AA684" s="3"/>
      <c r="AB684" s="3"/>
      <c r="AC684" s="3"/>
    </row>
    <row r="685" ht="15.75" customHeight="1">
      <c r="A685" s="8"/>
      <c r="B685" s="8"/>
      <c r="C685" s="8"/>
      <c r="D685" s="8"/>
      <c r="E685" s="2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  <c r="AA685" s="3"/>
      <c r="AB685" s="3"/>
      <c r="AC685" s="3"/>
    </row>
    <row r="686" ht="15.75" customHeight="1">
      <c r="A686" s="8"/>
      <c r="B686" s="8"/>
      <c r="C686" s="8"/>
      <c r="D686" s="8"/>
      <c r="E686" s="2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  <c r="AA686" s="3"/>
      <c r="AB686" s="3"/>
      <c r="AC686" s="3"/>
    </row>
    <row r="687" ht="15.75" customHeight="1">
      <c r="A687" s="8"/>
      <c r="B687" s="8"/>
      <c r="C687" s="8"/>
      <c r="D687" s="8"/>
      <c r="E687" s="2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  <c r="AA687" s="3"/>
      <c r="AB687" s="3"/>
      <c r="AC687" s="3"/>
    </row>
    <row r="688" ht="15.75" customHeight="1">
      <c r="A688" s="8"/>
      <c r="B688" s="8"/>
      <c r="C688" s="8"/>
      <c r="D688" s="8"/>
      <c r="E688" s="2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  <c r="AA688" s="3"/>
      <c r="AB688" s="3"/>
      <c r="AC688" s="3"/>
    </row>
    <row r="689" ht="15.75" customHeight="1">
      <c r="A689" s="8"/>
      <c r="B689" s="8"/>
      <c r="C689" s="8"/>
      <c r="D689" s="8"/>
      <c r="E689" s="2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  <c r="AA689" s="3"/>
      <c r="AB689" s="3"/>
      <c r="AC689" s="3"/>
    </row>
    <row r="690" ht="15.75" customHeight="1">
      <c r="A690" s="8"/>
      <c r="B690" s="8"/>
      <c r="C690" s="8"/>
      <c r="D690" s="8"/>
      <c r="E690" s="2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  <c r="AA690" s="3"/>
      <c r="AB690" s="3"/>
      <c r="AC690" s="3"/>
    </row>
    <row r="691" ht="15.75" customHeight="1">
      <c r="A691" s="8"/>
      <c r="B691" s="8"/>
      <c r="C691" s="8"/>
      <c r="D691" s="8"/>
      <c r="E691" s="2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  <c r="AA691" s="3"/>
      <c r="AB691" s="3"/>
      <c r="AC691" s="3"/>
    </row>
    <row r="692" ht="15.75" customHeight="1">
      <c r="A692" s="8"/>
      <c r="B692" s="8"/>
      <c r="C692" s="8"/>
      <c r="D692" s="8"/>
      <c r="E692" s="2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  <c r="AA692" s="3"/>
      <c r="AB692" s="3"/>
      <c r="AC692" s="3"/>
    </row>
    <row r="693" ht="15.75" customHeight="1">
      <c r="A693" s="8"/>
      <c r="B693" s="8"/>
      <c r="C693" s="8"/>
      <c r="D693" s="8"/>
      <c r="E693" s="2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  <c r="AA693" s="3"/>
      <c r="AB693" s="3"/>
      <c r="AC693" s="3"/>
    </row>
    <row r="694" ht="15.75" customHeight="1">
      <c r="A694" s="8"/>
      <c r="B694" s="8"/>
      <c r="C694" s="8"/>
      <c r="D694" s="8"/>
      <c r="E694" s="2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  <c r="AA694" s="3"/>
      <c r="AB694" s="3"/>
      <c r="AC694" s="3"/>
    </row>
    <row r="695" ht="15.75" customHeight="1">
      <c r="A695" s="8"/>
      <c r="B695" s="8"/>
      <c r="C695" s="8"/>
      <c r="D695" s="8"/>
      <c r="E695" s="2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  <c r="AA695" s="3"/>
      <c r="AB695" s="3"/>
      <c r="AC695" s="3"/>
    </row>
    <row r="696" ht="15.75" customHeight="1">
      <c r="A696" s="8"/>
      <c r="B696" s="8"/>
      <c r="C696" s="8"/>
      <c r="D696" s="8"/>
      <c r="E696" s="2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  <c r="AA696" s="3"/>
      <c r="AB696" s="3"/>
      <c r="AC696" s="3"/>
    </row>
    <row r="697" ht="15.75" customHeight="1">
      <c r="A697" s="8"/>
      <c r="B697" s="8"/>
      <c r="C697" s="8"/>
      <c r="D697" s="8"/>
      <c r="E697" s="2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  <c r="AA697" s="3"/>
      <c r="AB697" s="3"/>
      <c r="AC697" s="3"/>
    </row>
    <row r="698" ht="15.75" customHeight="1">
      <c r="A698" s="8"/>
      <c r="B698" s="8"/>
      <c r="C698" s="8"/>
      <c r="D698" s="8"/>
      <c r="E698" s="2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  <c r="AA698" s="3"/>
      <c r="AB698" s="3"/>
      <c r="AC698" s="3"/>
    </row>
    <row r="699" ht="15.75" customHeight="1">
      <c r="A699" s="8"/>
      <c r="B699" s="8"/>
      <c r="C699" s="8"/>
      <c r="D699" s="8"/>
      <c r="E699" s="2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  <c r="AA699" s="3"/>
      <c r="AB699" s="3"/>
      <c r="AC699" s="3"/>
    </row>
    <row r="700" ht="15.75" customHeight="1">
      <c r="A700" s="8"/>
      <c r="B700" s="8"/>
      <c r="C700" s="8"/>
      <c r="D700" s="8"/>
      <c r="E700" s="2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  <c r="AA700" s="3"/>
      <c r="AB700" s="3"/>
      <c r="AC700" s="3"/>
    </row>
    <row r="701" ht="15.75" customHeight="1">
      <c r="A701" s="8"/>
      <c r="B701" s="8"/>
      <c r="C701" s="8"/>
      <c r="D701" s="8"/>
      <c r="E701" s="2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  <c r="AA701" s="3"/>
      <c r="AB701" s="3"/>
      <c r="AC701" s="3"/>
    </row>
    <row r="702" ht="15.75" customHeight="1">
      <c r="A702" s="8"/>
      <c r="B702" s="8"/>
      <c r="C702" s="8"/>
      <c r="D702" s="8"/>
      <c r="E702" s="2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  <c r="AA702" s="3"/>
      <c r="AB702" s="3"/>
      <c r="AC702" s="3"/>
    </row>
    <row r="703" ht="15.75" customHeight="1">
      <c r="A703" s="8"/>
      <c r="B703" s="8"/>
      <c r="C703" s="8"/>
      <c r="D703" s="8"/>
      <c r="E703" s="2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  <c r="AA703" s="3"/>
      <c r="AB703" s="3"/>
      <c r="AC703" s="3"/>
    </row>
    <row r="704" ht="15.75" customHeight="1">
      <c r="A704" s="8"/>
      <c r="B704" s="8"/>
      <c r="C704" s="8"/>
      <c r="D704" s="8"/>
      <c r="E704" s="2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  <c r="AA704" s="3"/>
      <c r="AB704" s="3"/>
      <c r="AC704" s="3"/>
    </row>
    <row r="705" ht="15.75" customHeight="1">
      <c r="A705" s="8"/>
      <c r="B705" s="8"/>
      <c r="C705" s="8"/>
      <c r="D705" s="8"/>
      <c r="E705" s="2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  <c r="AA705" s="3"/>
      <c r="AB705" s="3"/>
      <c r="AC705" s="3"/>
    </row>
    <row r="706" ht="15.75" customHeight="1">
      <c r="A706" s="8"/>
      <c r="B706" s="8"/>
      <c r="C706" s="8"/>
      <c r="D706" s="8"/>
      <c r="E706" s="2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  <c r="AA706" s="3"/>
      <c r="AB706" s="3"/>
      <c r="AC706" s="3"/>
    </row>
    <row r="707" ht="15.75" customHeight="1">
      <c r="A707" s="8"/>
      <c r="B707" s="8"/>
      <c r="C707" s="8"/>
      <c r="D707" s="8"/>
      <c r="E707" s="2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  <c r="AA707" s="3"/>
      <c r="AB707" s="3"/>
      <c r="AC707" s="3"/>
    </row>
    <row r="708" ht="15.75" customHeight="1">
      <c r="A708" s="8"/>
      <c r="B708" s="8"/>
      <c r="C708" s="8"/>
      <c r="D708" s="8"/>
      <c r="E708" s="2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  <c r="AA708" s="3"/>
      <c r="AB708" s="3"/>
      <c r="AC708" s="3"/>
    </row>
    <row r="709" ht="15.75" customHeight="1">
      <c r="A709" s="8" t="s">
        <v>19</v>
      </c>
      <c r="B709" s="8" t="s">
        <v>42</v>
      </c>
      <c r="C709" s="8"/>
      <c r="D709" s="8"/>
      <c r="E709" s="2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  <c r="AA709" s="3"/>
      <c r="AB709" s="3"/>
      <c r="AC709" s="3"/>
    </row>
    <row r="710" ht="15.75" customHeight="1">
      <c r="A710" s="8" t="s">
        <v>36</v>
      </c>
      <c r="B710" s="8" t="s">
        <v>228</v>
      </c>
      <c r="C710" s="8"/>
      <c r="D710" s="8"/>
      <c r="E710" s="2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  <c r="AA710" s="3"/>
      <c r="AB710" s="3"/>
      <c r="AC710" s="3"/>
    </row>
    <row r="711" ht="15.75" customHeight="1">
      <c r="A711" s="8"/>
      <c r="B711" s="8"/>
      <c r="C711" s="8"/>
      <c r="D711" s="8"/>
      <c r="E711" s="2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  <c r="AA711" s="3"/>
      <c r="AB711" s="3"/>
      <c r="AC711" s="3"/>
    </row>
    <row r="712" ht="15.75" customHeight="1">
      <c r="A712" s="8"/>
      <c r="B712" s="8"/>
      <c r="C712" s="8"/>
      <c r="D712" s="8"/>
      <c r="E712" s="2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  <c r="AA712" s="3"/>
      <c r="AB712" s="3"/>
      <c r="AC712" s="3"/>
    </row>
    <row r="713" ht="15.75" customHeight="1">
      <c r="A713" s="8"/>
      <c r="B713" s="8"/>
      <c r="C713" s="8"/>
      <c r="D713" s="8"/>
      <c r="E713" s="2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  <c r="AA713" s="3"/>
      <c r="AB713" s="3"/>
      <c r="AC713" s="3"/>
    </row>
    <row r="714" ht="15.75" customHeight="1">
      <c r="A714" s="8"/>
      <c r="B714" s="8"/>
      <c r="C714" s="8"/>
      <c r="D714" s="8"/>
      <c r="E714" s="2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  <c r="AA714" s="3"/>
      <c r="AB714" s="3"/>
      <c r="AC714" s="3"/>
    </row>
    <row r="715" ht="15.75" customHeight="1">
      <c r="A715" s="8"/>
      <c r="B715" s="8"/>
      <c r="C715" s="8"/>
      <c r="D715" s="8"/>
      <c r="E715" s="2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  <c r="AA715" s="3"/>
      <c r="AB715" s="3"/>
      <c r="AC715" s="3"/>
    </row>
    <row r="716" ht="15.75" customHeight="1">
      <c r="A716" s="8"/>
      <c r="B716" s="8"/>
      <c r="C716" s="8"/>
      <c r="D716" s="8"/>
      <c r="E716" s="2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  <c r="AA716" s="3"/>
      <c r="AB716" s="3"/>
      <c r="AC716" s="3"/>
    </row>
    <row r="717" ht="15.75" customHeight="1">
      <c r="A717" s="8"/>
      <c r="B717" s="8"/>
      <c r="C717" s="8"/>
      <c r="D717" s="8"/>
      <c r="E717" s="2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  <c r="AA717" s="3"/>
      <c r="AB717" s="3"/>
      <c r="AC717" s="3"/>
    </row>
    <row r="718" ht="15.75" customHeight="1">
      <c r="A718" s="8"/>
      <c r="B718" s="8"/>
      <c r="C718" s="8"/>
      <c r="D718" s="8"/>
      <c r="E718" s="2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  <c r="AA718" s="3"/>
      <c r="AB718" s="3"/>
      <c r="AC718" s="3"/>
    </row>
    <row r="719" ht="15.75" customHeight="1">
      <c r="A719" s="8"/>
      <c r="B719" s="8"/>
      <c r="C719" s="8"/>
      <c r="D719" s="8"/>
      <c r="E719" s="2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  <c r="AA719" s="3"/>
      <c r="AB719" s="3"/>
      <c r="AC719" s="3"/>
    </row>
    <row r="720" ht="15.75" customHeight="1">
      <c r="A720" s="8"/>
      <c r="B720" s="8"/>
      <c r="C720" s="8"/>
      <c r="D720" s="8"/>
      <c r="E720" s="2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  <c r="AA720" s="3"/>
      <c r="AB720" s="3"/>
      <c r="AC720" s="3"/>
    </row>
    <row r="721" ht="15.75" customHeight="1">
      <c r="A721" s="8"/>
      <c r="B721" s="8"/>
      <c r="C721" s="8"/>
      <c r="D721" s="8"/>
      <c r="E721" s="2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  <c r="AA721" s="3"/>
      <c r="AB721" s="3"/>
      <c r="AC721" s="3"/>
    </row>
    <row r="722" ht="15.75" customHeight="1">
      <c r="A722" s="8"/>
      <c r="B722" s="8"/>
      <c r="C722" s="8"/>
      <c r="D722" s="8"/>
      <c r="E722" s="2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  <c r="AA722" s="3"/>
      <c r="AB722" s="3"/>
      <c r="AC722" s="3"/>
    </row>
    <row r="723" ht="15.75" customHeight="1">
      <c r="A723" s="8"/>
      <c r="B723" s="8"/>
      <c r="C723" s="8"/>
      <c r="D723" s="8"/>
      <c r="E723" s="2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  <c r="AA723" s="3"/>
      <c r="AB723" s="3"/>
      <c r="AC723" s="3"/>
    </row>
    <row r="724" ht="15.75" customHeight="1">
      <c r="A724" s="8"/>
      <c r="B724" s="8"/>
      <c r="C724" s="8"/>
      <c r="D724" s="8"/>
      <c r="E724" s="2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  <c r="AA724" s="3"/>
      <c r="AB724" s="3"/>
      <c r="AC724" s="3"/>
    </row>
    <row r="725" ht="15.75" customHeight="1">
      <c r="A725" s="8"/>
      <c r="B725" s="8"/>
      <c r="C725" s="8"/>
      <c r="D725" s="8"/>
      <c r="E725" s="2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  <c r="AA725" s="3"/>
      <c r="AB725" s="3"/>
      <c r="AC725" s="3"/>
    </row>
    <row r="726" ht="15.75" customHeight="1">
      <c r="A726" s="8"/>
      <c r="B726" s="8"/>
      <c r="C726" s="8"/>
      <c r="D726" s="8"/>
      <c r="E726" s="2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  <c r="AA726" s="3"/>
      <c r="AB726" s="3"/>
      <c r="AC726" s="3"/>
    </row>
    <row r="727" ht="15.75" customHeight="1">
      <c r="A727" s="8"/>
      <c r="B727" s="8"/>
      <c r="C727" s="8"/>
      <c r="D727" s="8"/>
      <c r="E727" s="2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  <c r="AA727" s="3"/>
      <c r="AB727" s="3"/>
      <c r="AC727" s="3"/>
    </row>
    <row r="728" ht="15.75" customHeight="1">
      <c r="A728" s="8"/>
      <c r="B728" s="8"/>
      <c r="C728" s="8"/>
      <c r="D728" s="8"/>
      <c r="E728" s="2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  <c r="AA728" s="3"/>
      <c r="AB728" s="3"/>
      <c r="AC728" s="3"/>
    </row>
    <row r="729" ht="15.75" customHeight="1">
      <c r="A729" s="8"/>
      <c r="B729" s="8"/>
      <c r="C729" s="8"/>
      <c r="D729" s="8"/>
      <c r="E729" s="2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  <c r="AA729" s="3"/>
      <c r="AB729" s="3"/>
      <c r="AC729" s="3"/>
    </row>
    <row r="730" ht="15.75" customHeight="1">
      <c r="A730" s="8"/>
      <c r="B730" s="8"/>
      <c r="C730" s="8"/>
      <c r="D730" s="8"/>
      <c r="E730" s="2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  <c r="AA730" s="3"/>
      <c r="AB730" s="3"/>
      <c r="AC730" s="3"/>
    </row>
    <row r="731" ht="15.75" customHeight="1">
      <c r="A731" s="8"/>
      <c r="B731" s="8"/>
      <c r="C731" s="8"/>
      <c r="D731" s="8"/>
      <c r="E731" s="2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  <c r="AA731" s="3"/>
      <c r="AB731" s="3"/>
      <c r="AC731" s="3"/>
    </row>
    <row r="732" ht="15.75" customHeight="1">
      <c r="A732" s="8"/>
      <c r="B732" s="8"/>
      <c r="C732" s="8"/>
      <c r="D732" s="8"/>
      <c r="E732" s="2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  <c r="AA732" s="3"/>
      <c r="AB732" s="3"/>
      <c r="AC732" s="3"/>
    </row>
    <row r="733" ht="15.75" customHeight="1">
      <c r="A733" s="8"/>
      <c r="B733" s="8"/>
      <c r="C733" s="8"/>
      <c r="D733" s="8"/>
      <c r="E733" s="2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  <c r="AA733" s="3"/>
      <c r="AB733" s="3"/>
      <c r="AC733" s="3"/>
    </row>
    <row r="734" ht="15.75" customHeight="1">
      <c r="A734" s="8"/>
      <c r="B734" s="8"/>
      <c r="C734" s="8"/>
      <c r="D734" s="8"/>
      <c r="E734" s="2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  <c r="AA734" s="3"/>
      <c r="AB734" s="3"/>
      <c r="AC734" s="3"/>
    </row>
    <row r="735" ht="15.75" customHeight="1">
      <c r="A735" s="8"/>
      <c r="B735" s="8"/>
      <c r="C735" s="8"/>
      <c r="D735" s="8"/>
      <c r="E735" s="2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  <c r="AA735" s="3"/>
      <c r="AB735" s="3"/>
      <c r="AC735" s="3"/>
    </row>
    <row r="736" ht="15.75" customHeight="1">
      <c r="A736" s="8"/>
      <c r="B736" s="8"/>
      <c r="C736" s="8"/>
      <c r="D736" s="8"/>
      <c r="E736" s="2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  <c r="AA736" s="3"/>
      <c r="AB736" s="3"/>
      <c r="AC736" s="3"/>
    </row>
    <row r="737" ht="15.75" customHeight="1">
      <c r="A737" s="8"/>
      <c r="B737" s="8"/>
      <c r="C737" s="8"/>
      <c r="D737" s="8"/>
      <c r="E737" s="2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  <c r="AA737" s="3"/>
      <c r="AB737" s="3"/>
      <c r="AC737" s="3"/>
    </row>
    <row r="738" ht="15.75" customHeight="1">
      <c r="A738" s="8"/>
      <c r="B738" s="8"/>
      <c r="C738" s="8"/>
      <c r="D738" s="8"/>
      <c r="E738" s="2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  <c r="AA738" s="3"/>
      <c r="AB738" s="3"/>
      <c r="AC738" s="3"/>
    </row>
    <row r="739" ht="15.75" customHeight="1">
      <c r="A739" s="8"/>
      <c r="B739" s="8"/>
      <c r="C739" s="8"/>
      <c r="D739" s="8"/>
      <c r="E739" s="2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  <c r="AA739" s="3"/>
      <c r="AB739" s="3"/>
      <c r="AC739" s="3"/>
    </row>
    <row r="740" ht="15.75" customHeight="1">
      <c r="A740" s="8"/>
      <c r="B740" s="8"/>
      <c r="C740" s="8"/>
      <c r="D740" s="8"/>
      <c r="E740" s="2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  <c r="AA740" s="3"/>
      <c r="AB740" s="3"/>
      <c r="AC740" s="3"/>
    </row>
    <row r="741" ht="15.75" customHeight="1">
      <c r="A741" s="8"/>
      <c r="B741" s="8"/>
      <c r="C741" s="8"/>
      <c r="D741" s="8"/>
      <c r="E741" s="2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  <c r="AA741" s="3"/>
      <c r="AB741" s="3"/>
      <c r="AC741" s="3"/>
    </row>
    <row r="742" ht="15.75" customHeight="1">
      <c r="A742" s="8"/>
      <c r="B742" s="8"/>
      <c r="C742" s="8"/>
      <c r="D742" s="8"/>
      <c r="E742" s="2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  <c r="AA742" s="3"/>
      <c r="AB742" s="3"/>
      <c r="AC742" s="3"/>
    </row>
    <row r="743" ht="15.75" customHeight="1">
      <c r="A743" s="8"/>
      <c r="B743" s="8"/>
      <c r="C743" s="8"/>
      <c r="D743" s="8"/>
      <c r="E743" s="2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  <c r="AA743" s="3"/>
      <c r="AB743" s="3"/>
      <c r="AC743" s="3"/>
    </row>
    <row r="744" ht="15.75" customHeight="1">
      <c r="A744" s="8"/>
      <c r="B744" s="8"/>
      <c r="C744" s="8"/>
      <c r="D744" s="8"/>
      <c r="E744" s="2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  <c r="AA744" s="3"/>
      <c r="AB744" s="3"/>
      <c r="AC744" s="3"/>
    </row>
    <row r="745" ht="15.75" customHeight="1">
      <c r="A745" s="8"/>
      <c r="B745" s="8"/>
      <c r="C745" s="8"/>
      <c r="D745" s="8"/>
      <c r="E745" s="2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  <c r="AA745" s="3"/>
      <c r="AB745" s="3"/>
      <c r="AC745" s="3"/>
    </row>
    <row r="746" ht="15.75" customHeight="1">
      <c r="A746" s="8"/>
      <c r="B746" s="8"/>
      <c r="C746" s="8"/>
      <c r="D746" s="8"/>
      <c r="E746" s="2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  <c r="AA746" s="3"/>
      <c r="AB746" s="3"/>
      <c r="AC746" s="3"/>
    </row>
    <row r="747" ht="15.75" customHeight="1">
      <c r="A747" s="8"/>
      <c r="B747" s="8"/>
      <c r="C747" s="8"/>
      <c r="D747" s="8"/>
      <c r="E747" s="2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  <c r="AA747" s="3"/>
      <c r="AB747" s="3"/>
      <c r="AC747" s="3"/>
    </row>
    <row r="748" ht="15.75" customHeight="1">
      <c r="A748" s="8"/>
      <c r="B748" s="8"/>
      <c r="C748" s="8"/>
      <c r="D748" s="8"/>
      <c r="E748" s="2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  <c r="AA748" s="3"/>
      <c r="AB748" s="3"/>
      <c r="AC748" s="3"/>
    </row>
    <row r="749" ht="15.75" customHeight="1">
      <c r="A749" s="8"/>
      <c r="B749" s="8"/>
      <c r="C749" s="8"/>
      <c r="D749" s="8"/>
      <c r="E749" s="2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  <c r="AA749" s="3"/>
      <c r="AB749" s="3"/>
      <c r="AC749" s="3"/>
    </row>
    <row r="750" ht="15.75" customHeight="1">
      <c r="A750" s="8"/>
      <c r="B750" s="8"/>
      <c r="C750" s="8"/>
      <c r="D750" s="8"/>
      <c r="E750" s="2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  <c r="AA750" s="3"/>
      <c r="AB750" s="3"/>
      <c r="AC750" s="3"/>
    </row>
    <row r="751" ht="15.75" customHeight="1">
      <c r="A751" s="8"/>
      <c r="B751" s="8"/>
      <c r="C751" s="8"/>
      <c r="D751" s="8"/>
      <c r="E751" s="2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  <c r="AA751" s="3"/>
      <c r="AB751" s="3"/>
      <c r="AC751" s="3"/>
    </row>
    <row r="752" ht="15.75" customHeight="1">
      <c r="A752" s="8"/>
      <c r="B752" s="8"/>
      <c r="C752" s="8"/>
      <c r="D752" s="8"/>
      <c r="E752" s="2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  <c r="AA752" s="3"/>
      <c r="AB752" s="3"/>
      <c r="AC752" s="3"/>
    </row>
    <row r="753" ht="15.75" customHeight="1">
      <c r="A753" s="8"/>
      <c r="B753" s="8"/>
      <c r="C753" s="8"/>
      <c r="D753" s="8"/>
      <c r="E753" s="2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  <c r="AA753" s="3"/>
      <c r="AB753" s="3"/>
      <c r="AC753" s="3"/>
    </row>
    <row r="754" ht="15.75" customHeight="1">
      <c r="A754" s="8"/>
      <c r="B754" s="8"/>
      <c r="C754" s="8"/>
      <c r="D754" s="8"/>
      <c r="E754" s="2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  <c r="AA754" s="3"/>
      <c r="AB754" s="3"/>
      <c r="AC754" s="3"/>
    </row>
    <row r="755" ht="15.75" customHeight="1">
      <c r="A755" s="8"/>
      <c r="B755" s="8"/>
      <c r="C755" s="8"/>
      <c r="D755" s="8"/>
      <c r="E755" s="2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  <c r="AA755" s="3"/>
      <c r="AB755" s="3"/>
      <c r="AC755" s="3"/>
    </row>
    <row r="756" ht="15.75" customHeight="1">
      <c r="A756" s="8"/>
      <c r="B756" s="8"/>
      <c r="C756" s="8"/>
      <c r="D756" s="8"/>
      <c r="E756" s="2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  <c r="AA756" s="3"/>
      <c r="AB756" s="3"/>
      <c r="AC756" s="3"/>
    </row>
    <row r="757" ht="15.75" customHeight="1">
      <c r="A757" s="8"/>
      <c r="B757" s="8"/>
      <c r="C757" s="8"/>
      <c r="D757" s="8"/>
      <c r="E757" s="2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  <c r="AA757" s="3"/>
      <c r="AB757" s="3"/>
      <c r="AC757" s="3"/>
    </row>
    <row r="758" ht="15.75" customHeight="1">
      <c r="A758" s="8"/>
      <c r="B758" s="8"/>
      <c r="C758" s="8"/>
      <c r="D758" s="8"/>
      <c r="E758" s="2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  <c r="AA758" s="3"/>
      <c r="AB758" s="3"/>
      <c r="AC758" s="3"/>
    </row>
    <row r="759" ht="15.75" customHeight="1">
      <c r="A759" s="8"/>
      <c r="B759" s="8"/>
      <c r="C759" s="8"/>
      <c r="D759" s="8"/>
      <c r="E759" s="2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  <c r="AA759" s="3"/>
      <c r="AB759" s="3"/>
      <c r="AC759" s="3"/>
    </row>
    <row r="760" ht="15.75" customHeight="1">
      <c r="A760" s="8"/>
      <c r="B760" s="8"/>
      <c r="C760" s="8"/>
      <c r="D760" s="8"/>
      <c r="E760" s="2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  <c r="AA760" s="3"/>
      <c r="AB760" s="3"/>
      <c r="AC760" s="3"/>
    </row>
    <row r="761" ht="15.75" customHeight="1">
      <c r="A761" s="8"/>
      <c r="B761" s="8"/>
      <c r="C761" s="8"/>
      <c r="D761" s="8"/>
      <c r="E761" s="2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  <c r="AA761" s="3"/>
      <c r="AB761" s="3"/>
      <c r="AC761" s="3"/>
    </row>
    <row r="762" ht="15.75" customHeight="1">
      <c r="A762" s="8"/>
      <c r="B762" s="8"/>
      <c r="C762" s="8"/>
      <c r="D762" s="8"/>
      <c r="E762" s="2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  <c r="AA762" s="3"/>
      <c r="AB762" s="3"/>
      <c r="AC762" s="3"/>
    </row>
    <row r="763" ht="15.75" customHeight="1">
      <c r="A763" s="8"/>
      <c r="B763" s="8"/>
      <c r="C763" s="8"/>
      <c r="D763" s="8"/>
      <c r="E763" s="2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  <c r="AA763" s="3"/>
      <c r="AB763" s="3"/>
      <c r="AC763" s="3"/>
    </row>
    <row r="764" ht="15.75" customHeight="1">
      <c r="A764" s="8"/>
      <c r="B764" s="8"/>
      <c r="C764" s="8"/>
      <c r="D764" s="8"/>
      <c r="E764" s="2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  <c r="AA764" s="3"/>
      <c r="AB764" s="3"/>
      <c r="AC764" s="3"/>
    </row>
    <row r="765" ht="15.75" customHeight="1">
      <c r="A765" s="8"/>
      <c r="B765" s="8"/>
      <c r="C765" s="8"/>
      <c r="D765" s="8"/>
      <c r="E765" s="2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  <c r="AA765" s="3"/>
      <c r="AB765" s="3"/>
      <c r="AC765" s="3"/>
    </row>
    <row r="766" ht="15.75" customHeight="1">
      <c r="A766" s="8"/>
      <c r="B766" s="8"/>
      <c r="C766" s="8"/>
      <c r="D766" s="8"/>
      <c r="E766" s="2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  <c r="AA766" s="3"/>
      <c r="AB766" s="3"/>
      <c r="AC766" s="3"/>
    </row>
    <row r="767" ht="15.75" customHeight="1">
      <c r="A767" s="8"/>
      <c r="B767" s="8"/>
      <c r="C767" s="8"/>
      <c r="D767" s="8"/>
      <c r="E767" s="2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  <c r="AA767" s="3"/>
      <c r="AB767" s="3"/>
      <c r="AC767" s="3"/>
    </row>
    <row r="768" ht="15.75" customHeight="1">
      <c r="A768" s="8"/>
      <c r="B768" s="8"/>
      <c r="C768" s="8"/>
      <c r="D768" s="8"/>
      <c r="E768" s="2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  <c r="AA768" s="3"/>
      <c r="AB768" s="3"/>
      <c r="AC768" s="3"/>
    </row>
    <row r="769" ht="15.75" customHeight="1">
      <c r="A769" s="8"/>
      <c r="B769" s="8"/>
      <c r="C769" s="8"/>
      <c r="D769" s="8"/>
      <c r="E769" s="2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  <c r="AA769" s="3"/>
      <c r="AB769" s="3"/>
      <c r="AC769" s="3"/>
    </row>
    <row r="770" ht="15.75" customHeight="1">
      <c r="A770" s="8"/>
      <c r="B770" s="8"/>
      <c r="C770" s="8"/>
      <c r="D770" s="8"/>
      <c r="E770" s="2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  <c r="AA770" s="3"/>
      <c r="AB770" s="3"/>
      <c r="AC770" s="3"/>
    </row>
    <row r="771" ht="15.75" customHeight="1">
      <c r="A771" s="8"/>
      <c r="B771" s="8"/>
      <c r="C771" s="8"/>
      <c r="D771" s="8"/>
      <c r="E771" s="2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  <c r="AA771" s="3"/>
      <c r="AB771" s="3"/>
      <c r="AC771" s="3"/>
    </row>
    <row r="772" ht="15.75" customHeight="1">
      <c r="A772" s="8"/>
      <c r="B772" s="8"/>
      <c r="C772" s="8"/>
      <c r="D772" s="8"/>
      <c r="E772" s="2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  <c r="AA772" s="3"/>
      <c r="AB772" s="3"/>
      <c r="AC772" s="3"/>
    </row>
    <row r="773" ht="15.75" customHeight="1">
      <c r="A773" s="8"/>
      <c r="B773" s="8"/>
      <c r="C773" s="8"/>
      <c r="D773" s="8"/>
      <c r="E773" s="2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  <c r="AA773" s="3"/>
      <c r="AB773" s="3"/>
      <c r="AC773" s="3"/>
    </row>
    <row r="774" ht="15.75" customHeight="1">
      <c r="A774" s="8"/>
      <c r="B774" s="8"/>
      <c r="C774" s="8"/>
      <c r="D774" s="8"/>
      <c r="E774" s="2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  <c r="AA774" s="3"/>
      <c r="AB774" s="3"/>
      <c r="AC774" s="3"/>
    </row>
    <row r="775" ht="15.75" customHeight="1">
      <c r="A775" s="8"/>
      <c r="B775" s="8"/>
      <c r="C775" s="8"/>
      <c r="D775" s="8"/>
      <c r="E775" s="2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  <c r="AA775" s="3"/>
      <c r="AB775" s="3"/>
      <c r="AC775" s="3"/>
    </row>
    <row r="776" ht="15.75" customHeight="1">
      <c r="A776" s="8"/>
      <c r="B776" s="8"/>
      <c r="C776" s="8"/>
      <c r="D776" s="8"/>
      <c r="E776" s="2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  <c r="AA776" s="3"/>
      <c r="AB776" s="3"/>
      <c r="AC776" s="3"/>
    </row>
    <row r="777" ht="15.75" customHeight="1">
      <c r="A777" s="8"/>
      <c r="B777" s="8"/>
      <c r="C777" s="8"/>
      <c r="D777" s="8"/>
      <c r="E777" s="2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  <c r="AA777" s="3"/>
      <c r="AB777" s="3"/>
      <c r="AC777" s="3"/>
    </row>
    <row r="778" ht="15.75" customHeight="1">
      <c r="A778" s="8"/>
      <c r="B778" s="8"/>
      <c r="C778" s="8"/>
      <c r="D778" s="8"/>
      <c r="E778" s="2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  <c r="AA778" s="3"/>
      <c r="AB778" s="3"/>
      <c r="AC778" s="3"/>
    </row>
    <row r="779" ht="15.75" customHeight="1">
      <c r="A779" s="8"/>
      <c r="B779" s="8"/>
      <c r="C779" s="8"/>
      <c r="D779" s="8"/>
      <c r="E779" s="2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  <c r="AA779" s="3"/>
      <c r="AB779" s="3"/>
      <c r="AC779" s="3"/>
    </row>
    <row r="780" ht="15.75" customHeight="1">
      <c r="A780" s="8"/>
      <c r="B780" s="8"/>
      <c r="C780" s="8"/>
      <c r="D780" s="8"/>
      <c r="E780" s="2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  <c r="AA780" s="3"/>
      <c r="AB780" s="3"/>
      <c r="AC780" s="3"/>
    </row>
    <row r="781" ht="15.75" customHeight="1">
      <c r="A781" s="8"/>
      <c r="B781" s="8"/>
      <c r="C781" s="8"/>
      <c r="D781" s="8"/>
      <c r="E781" s="2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  <c r="AA781" s="3"/>
      <c r="AB781" s="3"/>
      <c r="AC781" s="3"/>
    </row>
    <row r="782" ht="15.75" customHeight="1">
      <c r="A782" s="8"/>
      <c r="B782" s="8"/>
      <c r="C782" s="8"/>
      <c r="D782" s="8"/>
      <c r="E782" s="2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  <c r="AA782" s="3"/>
      <c r="AB782" s="3"/>
      <c r="AC782" s="3"/>
    </row>
    <row r="783" ht="15.75" customHeight="1">
      <c r="A783" s="8"/>
      <c r="B783" s="8"/>
      <c r="C783" s="8"/>
      <c r="D783" s="8"/>
      <c r="E783" s="2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  <c r="AA783" s="3"/>
      <c r="AB783" s="3"/>
      <c r="AC783" s="3"/>
    </row>
    <row r="784" ht="15.75" customHeight="1">
      <c r="A784" s="8"/>
      <c r="B784" s="8"/>
      <c r="C784" s="8"/>
      <c r="D784" s="8"/>
      <c r="E784" s="2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  <c r="AA784" s="3"/>
      <c r="AB784" s="3"/>
      <c r="AC784" s="3"/>
    </row>
    <row r="785" ht="15.75" customHeight="1">
      <c r="A785" s="8"/>
      <c r="B785" s="8"/>
      <c r="C785" s="8"/>
      <c r="D785" s="8"/>
      <c r="E785" s="2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  <c r="AA785" s="3"/>
      <c r="AB785" s="3"/>
      <c r="AC785" s="3"/>
    </row>
    <row r="786" ht="15.75" customHeight="1">
      <c r="A786" s="8"/>
      <c r="B786" s="8"/>
      <c r="C786" s="8"/>
      <c r="D786" s="8"/>
      <c r="E786" s="2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  <c r="AA786" s="3"/>
      <c r="AB786" s="3"/>
      <c r="AC786" s="3"/>
    </row>
    <row r="787" ht="15.75" customHeight="1">
      <c r="A787" s="8"/>
      <c r="B787" s="8"/>
      <c r="C787" s="8"/>
      <c r="D787" s="8"/>
      <c r="E787" s="2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  <c r="AA787" s="3"/>
      <c r="AB787" s="3"/>
      <c r="AC787" s="3"/>
    </row>
    <row r="788" ht="15.75" customHeight="1">
      <c r="A788" s="8"/>
      <c r="B788" s="8"/>
      <c r="C788" s="8"/>
      <c r="D788" s="8"/>
      <c r="E788" s="2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  <c r="AA788" s="3"/>
      <c r="AB788" s="3"/>
      <c r="AC788" s="3"/>
    </row>
    <row r="789" ht="15.75" customHeight="1">
      <c r="A789" s="8"/>
      <c r="B789" s="8"/>
      <c r="C789" s="8"/>
      <c r="D789" s="8"/>
      <c r="E789" s="2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  <c r="AA789" s="3"/>
      <c r="AB789" s="3"/>
      <c r="AC789" s="3"/>
    </row>
    <row r="790" ht="15.75" customHeight="1">
      <c r="A790" s="8"/>
      <c r="B790" s="8"/>
      <c r="C790" s="8"/>
      <c r="D790" s="8"/>
      <c r="E790" s="2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  <c r="AA790" s="3"/>
      <c r="AB790" s="3"/>
      <c r="AC790" s="3"/>
    </row>
    <row r="791" ht="15.75" customHeight="1">
      <c r="A791" s="8"/>
      <c r="B791" s="8"/>
      <c r="C791" s="8"/>
      <c r="D791" s="8"/>
      <c r="E791" s="2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  <c r="AA791" s="3"/>
      <c r="AB791" s="3"/>
      <c r="AC791" s="3"/>
    </row>
    <row r="792" ht="15.75" customHeight="1">
      <c r="A792" s="8"/>
      <c r="B792" s="8"/>
      <c r="C792" s="8"/>
      <c r="D792" s="8"/>
      <c r="E792" s="2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  <c r="AA792" s="3"/>
      <c r="AB792" s="3"/>
      <c r="AC792" s="3"/>
    </row>
    <row r="793" ht="15.75" customHeight="1">
      <c r="A793" s="8"/>
      <c r="B793" s="8"/>
      <c r="C793" s="8"/>
      <c r="D793" s="8"/>
      <c r="E793" s="2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  <c r="AA793" s="3"/>
      <c r="AB793" s="3"/>
      <c r="AC793" s="3"/>
    </row>
    <row r="794" ht="15.75" customHeight="1">
      <c r="A794" s="8"/>
      <c r="B794" s="8"/>
      <c r="C794" s="8"/>
      <c r="D794" s="8"/>
      <c r="E794" s="2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  <c r="AA794" s="3"/>
      <c r="AB794" s="3"/>
      <c r="AC794" s="3"/>
    </row>
    <row r="795" ht="15.75" customHeight="1">
      <c r="A795" s="8"/>
      <c r="B795" s="8"/>
      <c r="C795" s="8"/>
      <c r="D795" s="8"/>
      <c r="E795" s="2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  <c r="AA795" s="3"/>
      <c r="AB795" s="3"/>
      <c r="AC795" s="3"/>
    </row>
    <row r="796" ht="15.75" customHeight="1">
      <c r="A796" s="8"/>
      <c r="B796" s="8"/>
      <c r="C796" s="8"/>
      <c r="D796" s="8"/>
      <c r="E796" s="2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  <c r="AA796" s="3"/>
      <c r="AB796" s="3"/>
      <c r="AC796" s="3"/>
    </row>
    <row r="797" ht="15.75" customHeight="1">
      <c r="A797" s="8"/>
      <c r="B797" s="8"/>
      <c r="C797" s="8"/>
      <c r="D797" s="8"/>
      <c r="E797" s="2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  <c r="AA797" s="3"/>
      <c r="AB797" s="3"/>
      <c r="AC797" s="3"/>
    </row>
    <row r="798" ht="15.75" customHeight="1">
      <c r="A798" s="8"/>
      <c r="B798" s="8"/>
      <c r="C798" s="8"/>
      <c r="D798" s="8"/>
      <c r="E798" s="2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  <c r="AA798" s="3"/>
      <c r="AB798" s="3"/>
      <c r="AC798" s="3"/>
    </row>
    <row r="799" ht="15.75" customHeight="1">
      <c r="A799" s="8"/>
      <c r="B799" s="8"/>
      <c r="C799" s="8"/>
      <c r="D799" s="8"/>
      <c r="E799" s="2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  <c r="AA799" s="3"/>
      <c r="AB799" s="3"/>
      <c r="AC799" s="3"/>
    </row>
    <row r="800" ht="15.75" customHeight="1">
      <c r="A800" s="8"/>
      <c r="B800" s="8"/>
      <c r="C800" s="8"/>
      <c r="D800" s="8"/>
      <c r="E800" s="2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  <c r="AA800" s="3"/>
      <c r="AB800" s="3"/>
      <c r="AC800" s="3"/>
    </row>
    <row r="801" ht="15.75" customHeight="1">
      <c r="A801" s="8"/>
      <c r="B801" s="8"/>
      <c r="C801" s="8"/>
      <c r="D801" s="8"/>
      <c r="E801" s="2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  <c r="AA801" s="3"/>
      <c r="AB801" s="3"/>
      <c r="AC801" s="3"/>
    </row>
    <row r="802" ht="15.75" customHeight="1">
      <c r="A802" s="8"/>
      <c r="B802" s="8"/>
      <c r="C802" s="8"/>
      <c r="D802" s="8"/>
      <c r="E802" s="2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  <c r="AA802" s="3"/>
      <c r="AB802" s="3"/>
      <c r="AC802" s="3"/>
    </row>
    <row r="803" ht="15.75" customHeight="1">
      <c r="A803" s="8"/>
      <c r="B803" s="8"/>
      <c r="C803" s="8"/>
      <c r="D803" s="8"/>
      <c r="E803" s="2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  <c r="AA803" s="3"/>
      <c r="AB803" s="3"/>
      <c r="AC803" s="3"/>
    </row>
    <row r="804" ht="15.75" customHeight="1">
      <c r="A804" s="8"/>
      <c r="B804" s="8"/>
      <c r="C804" s="8"/>
      <c r="D804" s="8"/>
      <c r="E804" s="2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  <c r="AA804" s="3"/>
      <c r="AB804" s="3"/>
      <c r="AC804" s="3"/>
    </row>
    <row r="805" ht="15.75" customHeight="1">
      <c r="A805" s="8"/>
      <c r="B805" s="8"/>
      <c r="C805" s="8"/>
      <c r="D805" s="8"/>
      <c r="E805" s="2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  <c r="AA805" s="3"/>
      <c r="AB805" s="3"/>
      <c r="AC805" s="3"/>
    </row>
    <row r="806" ht="15.75" customHeight="1">
      <c r="A806" s="8"/>
      <c r="B806" s="8"/>
      <c r="C806" s="8"/>
      <c r="D806" s="8"/>
      <c r="E806" s="2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  <c r="AA806" s="3"/>
      <c r="AB806" s="3"/>
      <c r="AC806" s="3"/>
    </row>
    <row r="807" ht="15.75" customHeight="1">
      <c r="A807" s="8"/>
      <c r="B807" s="8"/>
      <c r="C807" s="8"/>
      <c r="D807" s="8"/>
      <c r="E807" s="2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  <c r="AA807" s="3"/>
      <c r="AB807" s="3"/>
      <c r="AC807" s="3"/>
    </row>
    <row r="808" ht="15.75" customHeight="1">
      <c r="A808" s="8"/>
      <c r="B808" s="8"/>
      <c r="C808" s="8"/>
      <c r="D808" s="8"/>
      <c r="E808" s="2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  <c r="AA808" s="3"/>
      <c r="AB808" s="3"/>
      <c r="AC808" s="3"/>
    </row>
    <row r="809" ht="15.75" customHeight="1">
      <c r="A809" s="8"/>
      <c r="B809" s="8"/>
      <c r="C809" s="8"/>
      <c r="D809" s="8"/>
      <c r="E809" s="2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  <c r="AA809" s="3"/>
      <c r="AB809" s="3"/>
      <c r="AC809" s="3"/>
    </row>
    <row r="810" ht="15.75" customHeight="1">
      <c r="A810" s="8"/>
      <c r="B810" s="8"/>
      <c r="C810" s="8"/>
      <c r="D810" s="8"/>
      <c r="E810" s="2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  <c r="AA810" s="3"/>
      <c r="AB810" s="3"/>
      <c r="AC810" s="3"/>
    </row>
    <row r="811" ht="15.75" customHeight="1">
      <c r="A811" s="8"/>
      <c r="B811" s="8"/>
      <c r="C811" s="8"/>
      <c r="D811" s="8"/>
      <c r="E811" s="2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  <c r="AA811" s="3"/>
      <c r="AB811" s="3"/>
      <c r="AC811" s="3"/>
    </row>
    <row r="812" ht="15.75" customHeight="1">
      <c r="A812" s="8"/>
      <c r="B812" s="8"/>
      <c r="C812" s="8"/>
      <c r="D812" s="8"/>
      <c r="E812" s="2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  <c r="AA812" s="3"/>
      <c r="AB812" s="3"/>
      <c r="AC812" s="3"/>
    </row>
    <row r="813" ht="15.75" customHeight="1">
      <c r="A813" s="8"/>
      <c r="B813" s="8"/>
      <c r="C813" s="8"/>
      <c r="D813" s="8"/>
      <c r="E813" s="2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  <c r="AA813" s="3"/>
      <c r="AB813" s="3"/>
      <c r="AC813" s="3"/>
    </row>
    <row r="814" ht="15.75" customHeight="1">
      <c r="A814" s="8"/>
      <c r="B814" s="8"/>
      <c r="C814" s="8"/>
      <c r="D814" s="8"/>
      <c r="E814" s="2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  <c r="AA814" s="3"/>
      <c r="AB814" s="3"/>
      <c r="AC814" s="3"/>
    </row>
    <row r="815" ht="15.75" customHeight="1">
      <c r="A815" s="8"/>
      <c r="B815" s="8"/>
      <c r="C815" s="8"/>
      <c r="D815" s="8"/>
      <c r="E815" s="2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  <c r="AA815" s="3"/>
      <c r="AB815" s="3"/>
      <c r="AC815" s="3"/>
    </row>
    <row r="816" ht="15.75" customHeight="1">
      <c r="A816" s="8"/>
      <c r="B816" s="8"/>
      <c r="C816" s="8"/>
      <c r="D816" s="8"/>
      <c r="E816" s="2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  <c r="AA816" s="3"/>
      <c r="AB816" s="3"/>
      <c r="AC816" s="3"/>
    </row>
    <row r="817" ht="15.75" customHeight="1">
      <c r="A817" s="8"/>
      <c r="B817" s="8"/>
      <c r="C817" s="8"/>
      <c r="D817" s="8"/>
      <c r="E817" s="2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  <c r="AA817" s="3"/>
      <c r="AB817" s="3"/>
      <c r="AC817" s="3"/>
    </row>
    <row r="818" ht="15.75" customHeight="1">
      <c r="A818" s="8"/>
      <c r="B818" s="8"/>
      <c r="C818" s="8"/>
      <c r="D818" s="8"/>
      <c r="E818" s="2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  <c r="AA818" s="3"/>
      <c r="AB818" s="3"/>
      <c r="AC818" s="3"/>
    </row>
    <row r="819" ht="15.75" customHeight="1">
      <c r="A819" s="8"/>
      <c r="B819" s="8"/>
      <c r="C819" s="8"/>
      <c r="D819" s="8"/>
      <c r="E819" s="2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  <c r="AA819" s="3"/>
      <c r="AB819" s="3"/>
      <c r="AC819" s="3"/>
    </row>
    <row r="820" ht="15.75" customHeight="1">
      <c r="A820" s="8"/>
      <c r="B820" s="8"/>
      <c r="C820" s="8"/>
      <c r="D820" s="8"/>
      <c r="E820" s="2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  <c r="AA820" s="3"/>
      <c r="AB820" s="3"/>
      <c r="AC820" s="3"/>
    </row>
    <row r="821" ht="15.75" customHeight="1">
      <c r="A821" s="8"/>
      <c r="B821" s="8"/>
      <c r="C821" s="8"/>
      <c r="D821" s="8"/>
      <c r="E821" s="2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  <c r="AA821" s="3"/>
      <c r="AB821" s="3"/>
      <c r="AC821" s="3"/>
    </row>
    <row r="822" ht="15.75" customHeight="1">
      <c r="A822" s="8"/>
      <c r="B822" s="8"/>
      <c r="C822" s="8"/>
      <c r="D822" s="8"/>
      <c r="E822" s="2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  <c r="AA822" s="3"/>
      <c r="AB822" s="3"/>
      <c r="AC822" s="3"/>
    </row>
    <row r="823" ht="15.75" customHeight="1">
      <c r="A823" s="8"/>
      <c r="B823" s="8"/>
      <c r="C823" s="8"/>
      <c r="D823" s="8"/>
      <c r="E823" s="2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  <c r="AA823" s="3"/>
      <c r="AB823" s="3"/>
      <c r="AC823" s="3"/>
    </row>
    <row r="824" ht="15.75" customHeight="1">
      <c r="A824" s="8"/>
      <c r="B824" s="8"/>
      <c r="C824" s="8"/>
      <c r="D824" s="8"/>
      <c r="E824" s="2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  <c r="AA824" s="3"/>
      <c r="AB824" s="3"/>
      <c r="AC824" s="3"/>
    </row>
    <row r="825" ht="15.75" customHeight="1">
      <c r="A825" s="8"/>
      <c r="B825" s="8"/>
      <c r="C825" s="8"/>
      <c r="D825" s="8"/>
      <c r="E825" s="2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  <c r="AA825" s="3"/>
      <c r="AB825" s="3"/>
      <c r="AC825" s="3"/>
    </row>
    <row r="826" ht="15.75" customHeight="1">
      <c r="A826" s="8"/>
      <c r="B826" s="8"/>
      <c r="C826" s="8"/>
      <c r="D826" s="8"/>
      <c r="E826" s="2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  <c r="AA826" s="3"/>
      <c r="AB826" s="3"/>
      <c r="AC826" s="3"/>
    </row>
    <row r="827" ht="15.75" customHeight="1">
      <c r="A827" s="8"/>
      <c r="B827" s="8"/>
      <c r="C827" s="8"/>
      <c r="D827" s="8"/>
      <c r="E827" s="2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  <c r="AA827" s="3"/>
      <c r="AB827" s="3"/>
      <c r="AC827" s="3"/>
    </row>
    <row r="828" ht="15.75" customHeight="1">
      <c r="A828" s="8"/>
      <c r="B828" s="8"/>
      <c r="C828" s="8"/>
      <c r="D828" s="8"/>
      <c r="E828" s="2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  <c r="AA828" s="3"/>
      <c r="AB828" s="3"/>
      <c r="AC828" s="3"/>
    </row>
    <row r="829" ht="15.75" customHeight="1">
      <c r="A829" s="8"/>
      <c r="B829" s="8"/>
      <c r="C829" s="8"/>
      <c r="D829" s="8"/>
      <c r="E829" s="2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  <c r="AA829" s="3"/>
      <c r="AB829" s="3"/>
      <c r="AC829" s="3"/>
    </row>
    <row r="830" ht="15.75" customHeight="1">
      <c r="A830" s="8"/>
      <c r="B830" s="8"/>
      <c r="C830" s="8"/>
      <c r="D830" s="8"/>
      <c r="E830" s="2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  <c r="AA830" s="3"/>
      <c r="AB830" s="3"/>
      <c r="AC830" s="3"/>
    </row>
    <row r="831" ht="15.75" customHeight="1">
      <c r="A831" s="8"/>
      <c r="B831" s="8"/>
      <c r="C831" s="8"/>
      <c r="D831" s="8"/>
      <c r="E831" s="2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  <c r="AA831" s="3"/>
      <c r="AB831" s="3"/>
      <c r="AC831" s="3"/>
    </row>
    <row r="832" ht="15.75" customHeight="1">
      <c r="A832" s="8"/>
      <c r="B832" s="8"/>
      <c r="C832" s="8"/>
      <c r="D832" s="8"/>
      <c r="E832" s="2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  <c r="AA832" s="3"/>
      <c r="AB832" s="3"/>
      <c r="AC832" s="3"/>
    </row>
    <row r="833" ht="15.75" customHeight="1">
      <c r="A833" s="8"/>
      <c r="B833" s="8"/>
      <c r="C833" s="8"/>
      <c r="D833" s="8"/>
      <c r="E833" s="2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  <c r="AA833" s="3"/>
      <c r="AB833" s="3"/>
      <c r="AC833" s="3"/>
    </row>
    <row r="834" ht="15.75" customHeight="1">
      <c r="A834" s="8"/>
      <c r="B834" s="8"/>
      <c r="C834" s="8"/>
      <c r="D834" s="8"/>
      <c r="E834" s="2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  <c r="AA834" s="3"/>
      <c r="AB834" s="3"/>
      <c r="AC834" s="3"/>
    </row>
    <row r="835" ht="15.75" customHeight="1">
      <c r="A835" s="8"/>
      <c r="B835" s="8"/>
      <c r="C835" s="8"/>
      <c r="D835" s="8"/>
      <c r="E835" s="2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  <c r="AA835" s="3"/>
      <c r="AB835" s="3"/>
      <c r="AC835" s="3"/>
    </row>
    <row r="836" ht="15.75" customHeight="1">
      <c r="A836" s="8"/>
      <c r="B836" s="8"/>
      <c r="C836" s="8"/>
      <c r="D836" s="8"/>
      <c r="E836" s="2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  <c r="AA836" s="3"/>
      <c r="AB836" s="3"/>
      <c r="AC836" s="3"/>
    </row>
    <row r="837" ht="15.75" customHeight="1">
      <c r="A837" s="8"/>
      <c r="B837" s="8"/>
      <c r="C837" s="8"/>
      <c r="D837" s="8"/>
      <c r="E837" s="2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  <c r="AA837" s="3"/>
      <c r="AB837" s="3"/>
      <c r="AC837" s="3"/>
    </row>
    <row r="838" ht="15.75" customHeight="1">
      <c r="A838" s="8"/>
      <c r="B838" s="8"/>
      <c r="C838" s="8"/>
      <c r="D838" s="8"/>
      <c r="E838" s="2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  <c r="AA838" s="3"/>
      <c r="AB838" s="3"/>
      <c r="AC838" s="3"/>
    </row>
    <row r="839" ht="15.75" customHeight="1">
      <c r="A839" s="8"/>
      <c r="B839" s="8"/>
      <c r="C839" s="8"/>
      <c r="D839" s="8"/>
      <c r="E839" s="2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  <c r="AA839" s="3"/>
      <c r="AB839" s="3"/>
      <c r="AC839" s="3"/>
    </row>
    <row r="840" ht="15.75" customHeight="1">
      <c r="A840" s="8"/>
      <c r="B840" s="8"/>
      <c r="C840" s="8"/>
      <c r="D840" s="8"/>
      <c r="E840" s="2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  <c r="AA840" s="3"/>
      <c r="AB840" s="3"/>
      <c r="AC840" s="3"/>
    </row>
    <row r="841" ht="15.75" customHeight="1">
      <c r="A841" s="8"/>
      <c r="B841" s="8"/>
      <c r="C841" s="8"/>
      <c r="D841" s="8"/>
      <c r="E841" s="2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  <c r="AA841" s="3"/>
      <c r="AB841" s="3"/>
      <c r="AC841" s="3"/>
    </row>
    <row r="842" ht="15.75" customHeight="1">
      <c r="A842" s="8"/>
      <c r="B842" s="8"/>
      <c r="C842" s="8"/>
      <c r="D842" s="8"/>
      <c r="E842" s="2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  <c r="AA842" s="3"/>
      <c r="AB842" s="3"/>
      <c r="AC842" s="3"/>
    </row>
    <row r="843" ht="15.75" customHeight="1">
      <c r="A843" s="8"/>
      <c r="B843" s="8"/>
      <c r="C843" s="8"/>
      <c r="D843" s="8"/>
      <c r="E843" s="2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  <c r="AA843" s="3"/>
      <c r="AB843" s="3"/>
      <c r="AC843" s="3"/>
    </row>
    <row r="844" ht="15.75" customHeight="1">
      <c r="A844" s="8"/>
      <c r="B844" s="8"/>
      <c r="C844" s="8"/>
      <c r="D844" s="8"/>
      <c r="E844" s="2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  <c r="AA844" s="3"/>
      <c r="AB844" s="3"/>
      <c r="AC844" s="3"/>
    </row>
    <row r="845" ht="15.75" customHeight="1">
      <c r="A845" s="8"/>
      <c r="B845" s="8"/>
      <c r="C845" s="8"/>
      <c r="D845" s="8"/>
      <c r="E845" s="2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  <c r="AA845" s="3"/>
      <c r="AB845" s="3"/>
      <c r="AC845" s="3"/>
    </row>
    <row r="846" ht="15.75" customHeight="1">
      <c r="A846" s="8"/>
      <c r="B846" s="8"/>
      <c r="C846" s="8"/>
      <c r="D846" s="8"/>
      <c r="E846" s="2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  <c r="AA846" s="3"/>
      <c r="AB846" s="3"/>
      <c r="AC846" s="3"/>
    </row>
    <row r="847" ht="15.75" customHeight="1">
      <c r="A847" s="8"/>
      <c r="B847" s="8"/>
      <c r="C847" s="8"/>
      <c r="D847" s="8"/>
      <c r="E847" s="2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  <c r="AA847" s="3"/>
      <c r="AB847" s="3"/>
      <c r="AC847" s="3"/>
    </row>
    <row r="848" ht="15.75" customHeight="1">
      <c r="A848" s="8"/>
      <c r="B848" s="8"/>
      <c r="C848" s="8"/>
      <c r="D848" s="8"/>
      <c r="E848" s="2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  <c r="AA848" s="3"/>
      <c r="AB848" s="3"/>
      <c r="AC848" s="3"/>
    </row>
    <row r="849" ht="15.75" customHeight="1">
      <c r="A849" s="8"/>
      <c r="B849" s="8"/>
      <c r="C849" s="8"/>
      <c r="D849" s="8"/>
      <c r="E849" s="2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  <c r="AA849" s="3"/>
      <c r="AB849" s="3"/>
      <c r="AC849" s="3"/>
    </row>
    <row r="850" ht="15.75" customHeight="1">
      <c r="A850" s="8"/>
      <c r="B850" s="8"/>
      <c r="C850" s="8"/>
      <c r="D850" s="8"/>
      <c r="E850" s="2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  <c r="AA850" s="3"/>
      <c r="AB850" s="3"/>
      <c r="AC850" s="3"/>
    </row>
    <row r="851" ht="15.75" customHeight="1">
      <c r="A851" s="8"/>
      <c r="B851" s="8"/>
      <c r="C851" s="8"/>
      <c r="D851" s="8"/>
      <c r="E851" s="2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  <c r="AA851" s="3"/>
      <c r="AB851" s="3"/>
      <c r="AC851" s="3"/>
    </row>
    <row r="852" ht="15.75" customHeight="1">
      <c r="A852" s="8"/>
      <c r="B852" s="8"/>
      <c r="C852" s="8"/>
      <c r="D852" s="8"/>
      <c r="E852" s="2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  <c r="AA852" s="3"/>
      <c r="AB852" s="3"/>
      <c r="AC852" s="3"/>
    </row>
    <row r="853" ht="15.75" customHeight="1">
      <c r="A853" s="8"/>
      <c r="B853" s="8"/>
      <c r="C853" s="8"/>
      <c r="D853" s="8"/>
      <c r="E853" s="2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  <c r="AA853" s="3"/>
      <c r="AB853" s="3"/>
      <c r="AC853" s="3"/>
    </row>
    <row r="854" ht="15.75" customHeight="1">
      <c r="A854" s="8"/>
      <c r="B854" s="8"/>
      <c r="C854" s="8"/>
      <c r="D854" s="8"/>
      <c r="E854" s="2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  <c r="AA854" s="3"/>
      <c r="AB854" s="3"/>
      <c r="AC854" s="3"/>
    </row>
    <row r="855" ht="15.75" customHeight="1">
      <c r="A855" s="8"/>
      <c r="B855" s="8"/>
      <c r="C855" s="8"/>
      <c r="D855" s="8"/>
      <c r="E855" s="2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  <c r="AA855" s="3"/>
      <c r="AB855" s="3"/>
      <c r="AC855" s="3"/>
    </row>
    <row r="856" ht="15.75" customHeight="1">
      <c r="A856" s="8"/>
      <c r="B856" s="8"/>
      <c r="C856" s="8"/>
      <c r="D856" s="8"/>
      <c r="E856" s="2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  <c r="AA856" s="3"/>
      <c r="AB856" s="3"/>
      <c r="AC856" s="3"/>
    </row>
    <row r="857" ht="15.75" customHeight="1">
      <c r="A857" s="8"/>
      <c r="B857" s="8"/>
      <c r="C857" s="8"/>
      <c r="D857" s="8"/>
      <c r="E857" s="2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  <c r="AA857" s="3"/>
      <c r="AB857" s="3"/>
      <c r="AC857" s="3"/>
    </row>
    <row r="858" ht="15.75" customHeight="1">
      <c r="A858" s="8"/>
      <c r="B858" s="8"/>
      <c r="C858" s="8"/>
      <c r="D858" s="8"/>
      <c r="E858" s="2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  <c r="AA858" s="3"/>
      <c r="AB858" s="3"/>
      <c r="AC858" s="3"/>
    </row>
    <row r="859" ht="15.75" customHeight="1">
      <c r="A859" s="8"/>
      <c r="B859" s="8"/>
      <c r="C859" s="8"/>
      <c r="D859" s="8"/>
      <c r="E859" s="2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  <c r="AA859" s="3"/>
      <c r="AB859" s="3"/>
      <c r="AC859" s="3"/>
    </row>
    <row r="860" ht="15.75" customHeight="1">
      <c r="A860" s="8"/>
      <c r="B860" s="8"/>
      <c r="C860" s="8"/>
      <c r="D860" s="8"/>
      <c r="E860" s="2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  <c r="AA860" s="3"/>
      <c r="AB860" s="3"/>
      <c r="AC860" s="3"/>
    </row>
    <row r="861" ht="15.75" customHeight="1">
      <c r="A861" s="8"/>
      <c r="B861" s="8"/>
      <c r="C861" s="8"/>
      <c r="D861" s="8"/>
      <c r="E861" s="2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  <c r="AA861" s="3"/>
      <c r="AB861" s="3"/>
      <c r="AC861" s="3"/>
    </row>
    <row r="862" ht="15.75" customHeight="1">
      <c r="A862" s="8"/>
      <c r="B862" s="8"/>
      <c r="C862" s="8"/>
      <c r="D862" s="8"/>
      <c r="E862" s="2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  <c r="AA862" s="3"/>
      <c r="AB862" s="3"/>
      <c r="AC862" s="3"/>
    </row>
    <row r="863" ht="15.75" customHeight="1">
      <c r="A863" s="8"/>
      <c r="B863" s="8"/>
      <c r="C863" s="8"/>
      <c r="D863" s="8"/>
      <c r="E863" s="2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  <c r="AA863" s="3"/>
      <c r="AB863" s="3"/>
      <c r="AC863" s="3"/>
    </row>
    <row r="864" ht="15.75" customHeight="1">
      <c r="A864" s="8"/>
      <c r="B864" s="8"/>
      <c r="C864" s="8"/>
      <c r="D864" s="8"/>
      <c r="E864" s="2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  <c r="AA864" s="3"/>
      <c r="AB864" s="3"/>
      <c r="AC864" s="3"/>
    </row>
    <row r="865" ht="15.75" customHeight="1">
      <c r="A865" s="8"/>
      <c r="B865" s="8"/>
      <c r="C865" s="8"/>
      <c r="D865" s="8"/>
      <c r="E865" s="2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  <c r="AA865" s="3"/>
      <c r="AB865" s="3"/>
      <c r="AC865" s="3"/>
    </row>
    <row r="866" ht="15.75" customHeight="1">
      <c r="A866" s="8"/>
      <c r="B866" s="8"/>
      <c r="C866" s="8"/>
      <c r="D866" s="8"/>
      <c r="E866" s="2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  <c r="AA866" s="3"/>
      <c r="AB866" s="3"/>
      <c r="AC866" s="3"/>
    </row>
    <row r="867" ht="15.75" customHeight="1">
      <c r="A867" s="8"/>
      <c r="B867" s="8"/>
      <c r="C867" s="8"/>
      <c r="D867" s="8"/>
      <c r="E867" s="2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  <c r="AA867" s="3"/>
      <c r="AB867" s="3"/>
      <c r="AC867" s="3"/>
    </row>
    <row r="868" ht="15.75" customHeight="1">
      <c r="A868" s="8"/>
      <c r="B868" s="8"/>
      <c r="C868" s="8"/>
      <c r="D868" s="8"/>
      <c r="E868" s="2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  <c r="AA868" s="3"/>
      <c r="AB868" s="3"/>
      <c r="AC868" s="3"/>
    </row>
    <row r="869" ht="15.75" customHeight="1">
      <c r="A869" s="8"/>
      <c r="B869" s="8"/>
      <c r="C869" s="8"/>
      <c r="D869" s="8"/>
      <c r="E869" s="2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  <c r="AA869" s="3"/>
      <c r="AB869" s="3"/>
      <c r="AC869" s="3"/>
    </row>
    <row r="870" ht="15.75" customHeight="1">
      <c r="A870" s="8"/>
      <c r="B870" s="8"/>
      <c r="C870" s="8"/>
      <c r="D870" s="8"/>
      <c r="E870" s="2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  <c r="AA870" s="3"/>
      <c r="AB870" s="3"/>
      <c r="AC870" s="3"/>
    </row>
    <row r="871" ht="15.75" customHeight="1">
      <c r="A871" s="8"/>
      <c r="B871" s="8"/>
      <c r="C871" s="8"/>
      <c r="D871" s="8"/>
      <c r="E871" s="2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  <c r="AA871" s="3"/>
      <c r="AB871" s="3"/>
      <c r="AC871" s="3"/>
    </row>
    <row r="872" ht="15.75" customHeight="1">
      <c r="A872" s="8"/>
      <c r="B872" s="8"/>
      <c r="C872" s="8"/>
      <c r="D872" s="8"/>
      <c r="E872" s="2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  <c r="AA872" s="3"/>
      <c r="AB872" s="3"/>
      <c r="AC872" s="3"/>
    </row>
    <row r="873" ht="15.75" customHeight="1">
      <c r="A873" s="8"/>
      <c r="B873" s="8"/>
      <c r="C873" s="8"/>
      <c r="D873" s="8"/>
      <c r="E873" s="2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  <c r="AA873" s="3"/>
      <c r="AB873" s="3"/>
      <c r="AC873" s="3"/>
    </row>
    <row r="874" ht="15.75" customHeight="1">
      <c r="A874" s="8"/>
      <c r="B874" s="8"/>
      <c r="C874" s="8"/>
      <c r="D874" s="8"/>
      <c r="E874" s="2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  <c r="AA874" s="3"/>
      <c r="AB874" s="3"/>
      <c r="AC874" s="3"/>
    </row>
    <row r="875" ht="15.75" customHeight="1">
      <c r="A875" s="8"/>
      <c r="B875" s="8"/>
      <c r="C875" s="8"/>
      <c r="D875" s="8"/>
      <c r="E875" s="2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  <c r="AA875" s="3"/>
      <c r="AB875" s="3"/>
      <c r="AC875" s="3"/>
    </row>
    <row r="876" ht="15.75" customHeight="1">
      <c r="A876" s="8"/>
      <c r="B876" s="8"/>
      <c r="C876" s="8"/>
      <c r="D876" s="8"/>
      <c r="E876" s="2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  <c r="AA876" s="3"/>
      <c r="AB876" s="3"/>
      <c r="AC876" s="3"/>
    </row>
    <row r="877" ht="15.75" customHeight="1">
      <c r="A877" s="8"/>
      <c r="B877" s="8"/>
      <c r="C877" s="8"/>
      <c r="D877" s="8"/>
      <c r="E877" s="2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  <c r="AA877" s="3"/>
      <c r="AB877" s="3"/>
      <c r="AC877" s="3"/>
    </row>
    <row r="878" ht="15.75" customHeight="1">
      <c r="A878" s="8"/>
      <c r="B878" s="8"/>
      <c r="C878" s="8"/>
      <c r="D878" s="8"/>
      <c r="E878" s="2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  <c r="AA878" s="3"/>
      <c r="AB878" s="3"/>
      <c r="AC878" s="3"/>
    </row>
    <row r="879" ht="15.75" customHeight="1">
      <c r="A879" s="8"/>
      <c r="B879" s="8"/>
      <c r="C879" s="8"/>
      <c r="D879" s="8"/>
      <c r="E879" s="2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  <c r="AA879" s="3"/>
      <c r="AB879" s="3"/>
      <c r="AC879" s="3"/>
    </row>
    <row r="880" ht="15.75" customHeight="1">
      <c r="A880" s="8"/>
      <c r="B880" s="8"/>
      <c r="C880" s="8"/>
      <c r="D880" s="8"/>
      <c r="E880" s="2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  <c r="AA880" s="3"/>
      <c r="AB880" s="3"/>
      <c r="AC880" s="3"/>
    </row>
    <row r="881" ht="15.75" customHeight="1">
      <c r="A881" s="8"/>
      <c r="B881" s="8"/>
      <c r="C881" s="8"/>
      <c r="D881" s="8"/>
      <c r="E881" s="2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  <c r="AA881" s="3"/>
      <c r="AB881" s="3"/>
      <c r="AC881" s="3"/>
    </row>
    <row r="882" ht="15.75" customHeight="1">
      <c r="A882" s="8"/>
      <c r="B882" s="8"/>
      <c r="C882" s="8"/>
      <c r="D882" s="8"/>
      <c r="E882" s="2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  <c r="AA882" s="3"/>
      <c r="AB882" s="3"/>
      <c r="AC882" s="3"/>
    </row>
    <row r="883" ht="15.75" customHeight="1">
      <c r="A883" s="8"/>
      <c r="B883" s="8"/>
      <c r="C883" s="8"/>
      <c r="D883" s="8"/>
      <c r="E883" s="2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  <c r="AA883" s="3"/>
      <c r="AB883" s="3"/>
      <c r="AC883" s="3"/>
    </row>
    <row r="884" ht="15.75" customHeight="1">
      <c r="A884" s="8"/>
      <c r="B884" s="8"/>
      <c r="C884" s="8"/>
      <c r="D884" s="8"/>
      <c r="E884" s="2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  <c r="AA884" s="3"/>
      <c r="AB884" s="3"/>
      <c r="AC884" s="3"/>
    </row>
    <row r="885" ht="15.75" customHeight="1">
      <c r="A885" s="8"/>
      <c r="B885" s="8"/>
      <c r="C885" s="8"/>
      <c r="D885" s="8"/>
      <c r="E885" s="2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  <c r="AA885" s="3"/>
      <c r="AB885" s="3"/>
      <c r="AC885" s="3"/>
    </row>
    <row r="886" ht="15.75" customHeight="1">
      <c r="A886" s="8"/>
      <c r="B886" s="8"/>
      <c r="C886" s="8"/>
      <c r="D886" s="8"/>
      <c r="E886" s="2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  <c r="AA886" s="3"/>
      <c r="AB886" s="3"/>
      <c r="AC886" s="3"/>
    </row>
    <row r="887" ht="15.75" customHeight="1">
      <c r="A887" s="8"/>
      <c r="B887" s="8"/>
      <c r="C887" s="8"/>
      <c r="D887" s="8"/>
      <c r="E887" s="2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  <c r="AA887" s="3"/>
      <c r="AB887" s="3"/>
      <c r="AC887" s="3"/>
    </row>
    <row r="888" ht="15.75" customHeight="1">
      <c r="A888" s="8"/>
      <c r="B888" s="8"/>
      <c r="C888" s="8"/>
      <c r="D888" s="8"/>
      <c r="E888" s="2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  <c r="AA888" s="3"/>
      <c r="AB888" s="3"/>
      <c r="AC888" s="3"/>
    </row>
    <row r="889" ht="15.75" customHeight="1">
      <c r="A889" s="8"/>
      <c r="B889" s="8"/>
      <c r="C889" s="8"/>
      <c r="D889" s="8"/>
      <c r="E889" s="2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  <c r="AA889" s="3"/>
      <c r="AB889" s="3"/>
      <c r="AC889" s="3"/>
    </row>
    <row r="890" ht="15.75" customHeight="1">
      <c r="A890" s="8"/>
      <c r="B890" s="8"/>
      <c r="C890" s="8"/>
      <c r="D890" s="8"/>
      <c r="E890" s="2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  <c r="AA890" s="3"/>
      <c r="AB890" s="3"/>
      <c r="AC890" s="3"/>
    </row>
    <row r="891" ht="15.75" customHeight="1">
      <c r="A891" s="8"/>
      <c r="B891" s="8"/>
      <c r="C891" s="8"/>
      <c r="D891" s="8"/>
      <c r="E891" s="2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  <c r="AA891" s="3"/>
      <c r="AB891" s="3"/>
      <c r="AC891" s="3"/>
    </row>
    <row r="892" ht="15.75" customHeight="1">
      <c r="A892" s="8"/>
      <c r="B892" s="8"/>
      <c r="C892" s="8"/>
      <c r="D892" s="8"/>
      <c r="E892" s="2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  <c r="AA892" s="3"/>
      <c r="AB892" s="3"/>
      <c r="AC892" s="3"/>
    </row>
    <row r="893" ht="15.75" customHeight="1">
      <c r="A893" s="8"/>
      <c r="B893" s="8"/>
      <c r="C893" s="8"/>
      <c r="D893" s="8"/>
      <c r="E893" s="2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  <c r="AA893" s="3"/>
      <c r="AB893" s="3"/>
      <c r="AC893" s="3"/>
    </row>
    <row r="894" ht="15.75" customHeight="1">
      <c r="A894" s="8"/>
      <c r="B894" s="8"/>
      <c r="C894" s="8"/>
      <c r="D894" s="8"/>
      <c r="E894" s="2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  <c r="AA894" s="3"/>
      <c r="AB894" s="3"/>
      <c r="AC894" s="3"/>
    </row>
    <row r="895" ht="15.75" customHeight="1">
      <c r="A895" s="8"/>
      <c r="B895" s="8"/>
      <c r="C895" s="8"/>
      <c r="D895" s="8"/>
      <c r="E895" s="2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  <c r="AA895" s="3"/>
      <c r="AB895" s="3"/>
      <c r="AC895" s="3"/>
    </row>
    <row r="896" ht="15.75" customHeight="1">
      <c r="A896" s="8"/>
      <c r="B896" s="8"/>
      <c r="C896" s="8"/>
      <c r="D896" s="8"/>
      <c r="E896" s="2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  <c r="AA896" s="3"/>
      <c r="AB896" s="3"/>
      <c r="AC896" s="3"/>
    </row>
    <row r="897" ht="15.75" customHeight="1">
      <c r="A897" s="8"/>
      <c r="B897" s="8"/>
      <c r="C897" s="8"/>
      <c r="D897" s="8"/>
      <c r="E897" s="2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  <c r="AA897" s="3"/>
      <c r="AB897" s="3"/>
      <c r="AC897" s="3"/>
    </row>
    <row r="898" ht="15.75" customHeight="1">
      <c r="A898" s="8"/>
      <c r="B898" s="8"/>
      <c r="C898" s="8"/>
      <c r="D898" s="8"/>
      <c r="E898" s="2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  <c r="AA898" s="3"/>
      <c r="AB898" s="3"/>
      <c r="AC898" s="3"/>
    </row>
    <row r="899" ht="15.75" customHeight="1">
      <c r="A899" s="8"/>
      <c r="B899" s="8"/>
      <c r="C899" s="8"/>
      <c r="D899" s="8"/>
      <c r="E899" s="2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  <c r="AA899" s="3"/>
      <c r="AB899" s="3"/>
      <c r="AC899" s="3"/>
    </row>
    <row r="900" ht="15.75" customHeight="1">
      <c r="A900" s="8"/>
      <c r="B900" s="8"/>
      <c r="C900" s="8"/>
      <c r="D900" s="8"/>
      <c r="E900" s="2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  <c r="AA900" s="3"/>
      <c r="AB900" s="3"/>
      <c r="AC900" s="3"/>
    </row>
    <row r="901" ht="15.75" customHeight="1">
      <c r="A901" s="8"/>
      <c r="B901" s="8"/>
      <c r="C901" s="8"/>
      <c r="D901" s="8"/>
      <c r="E901" s="2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  <c r="AA901" s="3"/>
      <c r="AB901" s="3"/>
      <c r="AC901" s="3"/>
    </row>
    <row r="902" ht="15.75" customHeight="1">
      <c r="A902" s="8"/>
      <c r="B902" s="8"/>
      <c r="C902" s="8"/>
      <c r="D902" s="8"/>
      <c r="E902" s="2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  <c r="AA902" s="3"/>
      <c r="AB902" s="3"/>
      <c r="AC902" s="3"/>
    </row>
    <row r="903" ht="15.75" customHeight="1">
      <c r="A903" s="8"/>
      <c r="B903" s="8"/>
      <c r="C903" s="8"/>
      <c r="D903" s="8"/>
      <c r="E903" s="2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  <c r="AA903" s="3"/>
      <c r="AB903" s="3"/>
      <c r="AC903" s="3"/>
    </row>
    <row r="904" ht="15.75" customHeight="1">
      <c r="A904" s="8"/>
      <c r="B904" s="8"/>
      <c r="C904" s="8"/>
      <c r="D904" s="8"/>
      <c r="E904" s="2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  <c r="AA904" s="3"/>
      <c r="AB904" s="3"/>
      <c r="AC904" s="3"/>
    </row>
    <row r="905" ht="15.75" customHeight="1">
      <c r="A905" s="8"/>
      <c r="B905" s="8"/>
      <c r="C905" s="8"/>
      <c r="D905" s="8"/>
      <c r="E905" s="2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  <c r="AA905" s="3"/>
      <c r="AB905" s="3"/>
      <c r="AC905" s="3"/>
    </row>
    <row r="906" ht="15.75" customHeight="1">
      <c r="A906" s="8"/>
      <c r="B906" s="8"/>
      <c r="C906" s="8"/>
      <c r="D906" s="8"/>
      <c r="E906" s="2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  <c r="AA906" s="3"/>
      <c r="AB906" s="3"/>
      <c r="AC906" s="3"/>
    </row>
    <row r="907" ht="15.75" customHeight="1">
      <c r="A907" s="8"/>
      <c r="B907" s="8"/>
      <c r="C907" s="8"/>
      <c r="D907" s="8"/>
      <c r="E907" s="2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  <c r="AA907" s="3"/>
      <c r="AB907" s="3"/>
      <c r="AC907" s="3"/>
    </row>
    <row r="908" ht="15.75" customHeight="1">
      <c r="A908" s="8"/>
      <c r="B908" s="8"/>
      <c r="C908" s="8"/>
      <c r="D908" s="8"/>
      <c r="E908" s="2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  <c r="AA908" s="3"/>
      <c r="AB908" s="3"/>
      <c r="AC908" s="3"/>
    </row>
    <row r="909" ht="15.75" customHeight="1">
      <c r="A909" s="8"/>
      <c r="B909" s="8"/>
      <c r="C909" s="8"/>
      <c r="D909" s="8"/>
      <c r="E909" s="2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  <c r="AA909" s="3"/>
      <c r="AB909" s="3"/>
      <c r="AC909" s="3"/>
    </row>
    <row r="910" ht="15.75" customHeight="1">
      <c r="A910" s="8"/>
      <c r="B910" s="8"/>
      <c r="C910" s="8"/>
      <c r="D910" s="8"/>
      <c r="E910" s="2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  <c r="AA910" s="3"/>
      <c r="AB910" s="3"/>
      <c r="AC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9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9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9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9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9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9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9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9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9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9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9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9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9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9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9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9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9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9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9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9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9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9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9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9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9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9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9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9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9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9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9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9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9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9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9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9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9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9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9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9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9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9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9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9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9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9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9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9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9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9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9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9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9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9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9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9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9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9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9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9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9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9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9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9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9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9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9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9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9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9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9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9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9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9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9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9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9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9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9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9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9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9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9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9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9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9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9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9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9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9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9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9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9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9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9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9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9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9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9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9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9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9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9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9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9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9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9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9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9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9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9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9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9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9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9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9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9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9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9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9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9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9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9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9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I1035" s="9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9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I1037" s="9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I1038" s="9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9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I1040" s="9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I1041" s="9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9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I1043" s="9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I1044" s="9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9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I1046" s="9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I1047" s="9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9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I1049" s="9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I1050" s="9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9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I1052" s="9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I1053" s="9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9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  <c r="I1055" s="9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  <c r="I1056" s="9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9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9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9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9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9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9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9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9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9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9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9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9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9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9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9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9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9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9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9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9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9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9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9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9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9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9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9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9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9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9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9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9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9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9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9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9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9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9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9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9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9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9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9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9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9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9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9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9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9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9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9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9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</sheetData>
  <mergeCells count="4">
    <mergeCell ref="A5:I5"/>
    <mergeCell ref="A138:E138"/>
    <mergeCell ref="B141:C141"/>
    <mergeCell ref="B142:C142"/>
  </mergeCells>
  <conditionalFormatting sqref="A7:B136">
    <cfRule type="containsText" dxfId="0" priority="1" operator="containsText" text="PENDIENTE">
      <formula>NOT(ISERROR(SEARCH(("PENDIENTE"),(A7))))</formula>
    </cfRule>
  </conditionalFormatting>
  <conditionalFormatting sqref="A7:B136">
    <cfRule type="containsText" dxfId="1" priority="2" operator="containsText" text="PAGADO">
      <formula>NOT(ISERROR(SEARCH(("PAGADO"),(A7))))</formula>
    </cfRule>
  </conditionalFormatting>
  <hyperlinks>
    <hyperlink r:id="rId2" ref="C7"/>
    <hyperlink r:id="rId3" ref="I7"/>
    <hyperlink r:id="rId4" ref="I8"/>
    <hyperlink r:id="rId5" ref="I9"/>
    <hyperlink r:id="rId6" ref="I10"/>
    <hyperlink r:id="rId7" ref="I11"/>
    <hyperlink r:id="rId8" ref="C12"/>
    <hyperlink r:id="rId9" ref="I12"/>
    <hyperlink r:id="rId10" ref="C13"/>
    <hyperlink r:id="rId11" ref="I13"/>
    <hyperlink r:id="rId12" ref="C14"/>
    <hyperlink r:id="rId13" ref="I14"/>
    <hyperlink r:id="rId14" ref="I15"/>
    <hyperlink r:id="rId15" ref="I16"/>
    <hyperlink r:id="rId16" ref="C17"/>
    <hyperlink r:id="rId17" ref="I17"/>
    <hyperlink r:id="rId18" ref="C18"/>
    <hyperlink r:id="rId19" ref="I18"/>
    <hyperlink r:id="rId20" ref="C19"/>
    <hyperlink r:id="rId21" ref="I19"/>
    <hyperlink r:id="rId22" ref="C20"/>
    <hyperlink r:id="rId23" ref="I20"/>
    <hyperlink r:id="rId24" ref="C21"/>
    <hyperlink r:id="rId25" ref="I21"/>
    <hyperlink r:id="rId26" ref="C22"/>
    <hyperlink r:id="rId27" ref="I23"/>
    <hyperlink r:id="rId28" ref="I24"/>
    <hyperlink r:id="rId29" ref="I25"/>
    <hyperlink r:id="rId30" ref="I26"/>
    <hyperlink r:id="rId31" ref="C27"/>
    <hyperlink r:id="rId32" ref="I27"/>
    <hyperlink r:id="rId33" ref="C28"/>
    <hyperlink r:id="rId34" ref="I28"/>
    <hyperlink r:id="rId35" ref="C29"/>
    <hyperlink r:id="rId36" ref="I29"/>
    <hyperlink r:id="rId37" ref="C30"/>
    <hyperlink r:id="rId38" ref="I30"/>
    <hyperlink r:id="rId39" ref="C31"/>
    <hyperlink r:id="rId40" ref="I31"/>
    <hyperlink r:id="rId41" ref="I32"/>
    <hyperlink r:id="rId42" ref="I33"/>
    <hyperlink r:id="rId43" ref="C34"/>
    <hyperlink r:id="rId44" ref="I34"/>
    <hyperlink r:id="rId45" ref="C35"/>
    <hyperlink r:id="rId46" ref="I35"/>
    <hyperlink r:id="rId47" ref="C36"/>
    <hyperlink r:id="rId48" ref="I36"/>
    <hyperlink r:id="rId49" ref="C37"/>
    <hyperlink r:id="rId50" ref="I37"/>
    <hyperlink r:id="rId51" ref="C38"/>
    <hyperlink r:id="rId52" ref="I38"/>
    <hyperlink r:id="rId53" ref="C39"/>
    <hyperlink r:id="rId54" ref="I39"/>
    <hyperlink r:id="rId55" ref="C40"/>
    <hyperlink r:id="rId56" ref="I40"/>
    <hyperlink r:id="rId57" ref="C41"/>
    <hyperlink r:id="rId58" ref="I41"/>
    <hyperlink r:id="rId59" ref="C42"/>
    <hyperlink r:id="rId60" ref="I42"/>
    <hyperlink r:id="rId61" ref="C43"/>
    <hyperlink r:id="rId62" ref="I43"/>
    <hyperlink r:id="rId63" ref="C44"/>
    <hyperlink r:id="rId64" ref="I44"/>
    <hyperlink r:id="rId65" ref="I45"/>
    <hyperlink r:id="rId66" ref="I46"/>
    <hyperlink r:id="rId67" ref="I47"/>
    <hyperlink r:id="rId68" ref="I48"/>
    <hyperlink r:id="rId69" ref="C49"/>
    <hyperlink r:id="rId70" ref="I49"/>
    <hyperlink r:id="rId71" ref="C50"/>
    <hyperlink r:id="rId72" ref="I50"/>
    <hyperlink r:id="rId73" ref="C51"/>
    <hyperlink r:id="rId74" ref="I51"/>
    <hyperlink r:id="rId75" ref="C52"/>
    <hyperlink r:id="rId76" ref="C53"/>
    <hyperlink r:id="rId77" ref="C54"/>
    <hyperlink r:id="rId78" ref="I54"/>
    <hyperlink r:id="rId79" ref="C55"/>
    <hyperlink r:id="rId80" ref="I55"/>
    <hyperlink r:id="rId81" ref="C56"/>
    <hyperlink r:id="rId82" ref="I56"/>
    <hyperlink r:id="rId83" ref="C57"/>
    <hyperlink r:id="rId84" ref="I57"/>
    <hyperlink r:id="rId85" ref="C58"/>
    <hyperlink r:id="rId86" ref="I58"/>
    <hyperlink r:id="rId87" ref="C59"/>
    <hyperlink r:id="rId88" ref="I59"/>
    <hyperlink r:id="rId89" ref="C60"/>
    <hyperlink r:id="rId90" ref="I60"/>
    <hyperlink r:id="rId91" ref="C61"/>
    <hyperlink r:id="rId92" ref="I61"/>
    <hyperlink r:id="rId93" ref="I62"/>
    <hyperlink r:id="rId94" ref="I63"/>
    <hyperlink r:id="rId95" ref="I64"/>
    <hyperlink r:id="rId96" ref="I65"/>
    <hyperlink r:id="rId97" ref="I66"/>
    <hyperlink r:id="rId98" ref="I67"/>
    <hyperlink r:id="rId99" ref="I68"/>
    <hyperlink r:id="rId100" ref="C69"/>
    <hyperlink r:id="rId101" ref="I69"/>
    <hyperlink r:id="rId102" ref="C70"/>
    <hyperlink r:id="rId103" ref="I70"/>
    <hyperlink r:id="rId104" ref="C71"/>
    <hyperlink r:id="rId105" ref="I71"/>
    <hyperlink r:id="rId106" ref="C72"/>
    <hyperlink r:id="rId107" ref="C73"/>
    <hyperlink r:id="rId108" ref="C74"/>
    <hyperlink r:id="rId109" ref="C75"/>
    <hyperlink r:id="rId110" ref="C76"/>
    <hyperlink r:id="rId111" ref="C77"/>
    <hyperlink r:id="rId112" ref="I78"/>
    <hyperlink r:id="rId113" ref="I79"/>
    <hyperlink r:id="rId114" ref="I80"/>
    <hyperlink r:id="rId115" ref="C81"/>
    <hyperlink r:id="rId116" ref="C82"/>
    <hyperlink r:id="rId117" ref="I82"/>
    <hyperlink r:id="rId118" ref="I83"/>
    <hyperlink r:id="rId119" ref="I84"/>
    <hyperlink r:id="rId120" ref="C85"/>
    <hyperlink r:id="rId121" ref="I85"/>
    <hyperlink r:id="rId122" ref="C86"/>
    <hyperlink r:id="rId123" ref="I86"/>
    <hyperlink r:id="rId124" ref="C87"/>
    <hyperlink r:id="rId125" ref="I87"/>
    <hyperlink r:id="rId126" ref="C88"/>
    <hyperlink r:id="rId127" ref="I88"/>
    <hyperlink r:id="rId128" ref="C89"/>
    <hyperlink r:id="rId129" ref="I89"/>
    <hyperlink r:id="rId130" ref="C90"/>
    <hyperlink r:id="rId131" ref="I90"/>
    <hyperlink r:id="rId132" ref="C91"/>
    <hyperlink r:id="rId133" ref="I91"/>
    <hyperlink r:id="rId134" ref="I92"/>
    <hyperlink r:id="rId135" ref="I93"/>
    <hyperlink r:id="rId136" ref="C94"/>
    <hyperlink r:id="rId137" ref="I94"/>
    <hyperlink r:id="rId138" ref="C95"/>
    <hyperlink r:id="rId139" ref="I95"/>
    <hyperlink r:id="rId140" ref="C96"/>
    <hyperlink r:id="rId141" ref="I96"/>
    <hyperlink r:id="rId142" ref="C97"/>
    <hyperlink r:id="rId143" ref="I97"/>
    <hyperlink r:id="rId144" ref="C98"/>
    <hyperlink r:id="rId145" ref="I98"/>
    <hyperlink r:id="rId146" ref="C99"/>
    <hyperlink r:id="rId147" ref="I99"/>
    <hyperlink r:id="rId148" ref="I100"/>
    <hyperlink r:id="rId149" ref="C101"/>
    <hyperlink r:id="rId150" ref="I101"/>
    <hyperlink r:id="rId151" ref="C102"/>
    <hyperlink r:id="rId152" ref="I102"/>
    <hyperlink r:id="rId153" ref="C103"/>
    <hyperlink r:id="rId154" ref="I103"/>
    <hyperlink r:id="rId155" ref="C104"/>
    <hyperlink r:id="rId156" ref="I104"/>
    <hyperlink r:id="rId157" ref="C105"/>
    <hyperlink r:id="rId158" ref="I105"/>
    <hyperlink r:id="rId159" ref="C106"/>
    <hyperlink r:id="rId160" ref="I106"/>
    <hyperlink r:id="rId161" ref="C107"/>
    <hyperlink r:id="rId162" ref="I107"/>
    <hyperlink r:id="rId163" ref="C108"/>
    <hyperlink r:id="rId164" ref="I108"/>
    <hyperlink r:id="rId165" ref="C109"/>
    <hyperlink r:id="rId166" ref="I109"/>
    <hyperlink r:id="rId167" ref="I110"/>
    <hyperlink r:id="rId168" ref="C111"/>
    <hyperlink r:id="rId169" ref="I111"/>
    <hyperlink r:id="rId170" ref="C112"/>
    <hyperlink r:id="rId171" ref="I112"/>
    <hyperlink r:id="rId172" ref="C113"/>
    <hyperlink r:id="rId173" ref="I113"/>
    <hyperlink r:id="rId174" ref="C114"/>
    <hyperlink r:id="rId175" ref="I114"/>
    <hyperlink r:id="rId176" ref="C115"/>
    <hyperlink r:id="rId177" ref="I115"/>
    <hyperlink r:id="rId178" ref="C116"/>
    <hyperlink r:id="rId179" ref="I116"/>
    <hyperlink r:id="rId180" ref="C117"/>
    <hyperlink r:id="rId181" ref="I117"/>
    <hyperlink r:id="rId182" ref="C118"/>
    <hyperlink r:id="rId183" ref="I118"/>
    <hyperlink r:id="rId184" ref="I120"/>
    <hyperlink r:id="rId185" ref="C121"/>
    <hyperlink r:id="rId186" ref="I121"/>
  </hyperlinks>
  <printOptions horizontalCentered="1"/>
  <pageMargins bottom="0.75" footer="0.0" header="0.0" left="0.7" right="0.7" top="0.75"/>
  <pageSetup fitToHeight="0" orientation="landscape"/>
  <headerFooter>
    <oddFooter>&amp;RCTS - Estado de Resultados Grupos y Convenciones Pág. &amp;P de</oddFooter>
  </headerFooter>
  <drawing r:id="rId187"/>
  <legacyDrawing r:id="rId1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F1C8"/>
    <pageSetUpPr fitToPage="1"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2" width="26.71"/>
    <col customWidth="1" min="3" max="3" width="25.57"/>
    <col customWidth="1" min="4" max="4" width="46.57"/>
    <col customWidth="1" min="5" max="5" width="72.57"/>
    <col customWidth="1" min="6" max="6" width="23.0"/>
    <col customWidth="1" min="7" max="7" width="20.71"/>
    <col customWidth="1" min="8" max="8" width="24.0"/>
    <col customWidth="1" min="9" max="9" width="24.57"/>
    <col customWidth="1" min="10" max="10" width="41.86"/>
    <col customWidth="1" min="11" max="11" width="13.43"/>
    <col customWidth="1" min="12" max="13" width="11.43"/>
    <col customWidth="1" min="14" max="14" width="12.57"/>
    <col customWidth="1" min="15" max="25" width="11.43"/>
  </cols>
  <sheetData>
    <row r="1" ht="35.25" customHeight="1">
      <c r="A1" s="7"/>
      <c r="B1" s="7"/>
      <c r="C1" s="9"/>
      <c r="D1" s="9"/>
      <c r="E1" s="9"/>
      <c r="F1" s="9"/>
      <c r="G1" s="9"/>
      <c r="H1" s="104"/>
      <c r="I1" s="10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</row>
    <row r="2" ht="15.0" customHeight="1">
      <c r="A2" s="4"/>
      <c r="B2" s="4"/>
      <c r="C2" s="4"/>
      <c r="D2" s="4"/>
      <c r="E2" s="3"/>
      <c r="F2" s="7"/>
      <c r="G2" s="3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</row>
    <row r="3">
      <c r="A3" s="8"/>
      <c r="B3" s="8"/>
      <c r="C3" s="9"/>
      <c r="D3" s="9"/>
      <c r="E3" s="3"/>
      <c r="F3" s="8"/>
      <c r="G3" s="3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</row>
    <row r="4">
      <c r="A4" s="8"/>
      <c r="B4" s="8"/>
      <c r="C4" s="8"/>
      <c r="D4" s="8"/>
      <c r="E4" s="3"/>
      <c r="F4" s="104"/>
      <c r="G4" s="3"/>
      <c r="H4" s="104"/>
      <c r="I4" s="10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3"/>
      <c r="AC4" s="3"/>
    </row>
    <row r="5">
      <c r="A5" s="314" t="s">
        <v>229</v>
      </c>
      <c r="B5" s="315"/>
      <c r="C5" s="315"/>
      <c r="D5" s="315"/>
      <c r="E5" s="315"/>
      <c r="F5" s="315"/>
      <c r="G5" s="315"/>
      <c r="H5" s="315"/>
      <c r="I5" s="316"/>
      <c r="J5" s="102"/>
      <c r="K5" s="102"/>
      <c r="L5" s="102"/>
      <c r="M5" s="102"/>
      <c r="N5" s="102"/>
      <c r="O5" s="10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  <c r="AC5" s="3"/>
    </row>
    <row r="6">
      <c r="A6" s="20" t="s">
        <v>11</v>
      </c>
      <c r="B6" s="107" t="s">
        <v>38</v>
      </c>
      <c r="C6" s="21" t="s">
        <v>12</v>
      </c>
      <c r="D6" s="21" t="s">
        <v>13</v>
      </c>
      <c r="E6" s="21" t="s">
        <v>14</v>
      </c>
      <c r="F6" s="21" t="s">
        <v>16</v>
      </c>
      <c r="G6" s="21" t="s">
        <v>17</v>
      </c>
      <c r="H6" s="22" t="s">
        <v>18</v>
      </c>
      <c r="I6" s="22" t="s">
        <v>39</v>
      </c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53"/>
      <c r="AA6" s="53"/>
      <c r="AB6" s="53"/>
      <c r="AC6" s="53"/>
    </row>
    <row r="7">
      <c r="A7" s="317" t="s">
        <v>19</v>
      </c>
      <c r="B7" s="318" t="s">
        <v>230</v>
      </c>
      <c r="C7" s="319" t="s">
        <v>231</v>
      </c>
      <c r="D7" s="26" t="s">
        <v>232</v>
      </c>
      <c r="E7" s="320" t="s">
        <v>233</v>
      </c>
      <c r="F7" s="321">
        <v>1500.22</v>
      </c>
      <c r="G7" s="322">
        <v>234.98</v>
      </c>
      <c r="H7" s="323">
        <f t="shared" ref="H7:H30" si="1">SUM(F7:G7)</f>
        <v>1735.2</v>
      </c>
      <c r="I7" s="324">
        <v>45950.0</v>
      </c>
      <c r="J7" s="325"/>
      <c r="K7" s="326"/>
      <c r="L7" s="326"/>
      <c r="M7" s="326"/>
      <c r="N7" s="32"/>
      <c r="O7" s="32"/>
      <c r="P7" s="33"/>
      <c r="Q7" s="33"/>
      <c r="R7" s="33"/>
      <c r="S7" s="33"/>
      <c r="T7" s="33"/>
      <c r="U7" s="33"/>
      <c r="V7" s="33"/>
      <c r="W7" s="33"/>
      <c r="X7" s="33"/>
      <c r="Y7" s="33"/>
      <c r="Z7" s="34"/>
      <c r="AA7" s="34"/>
      <c r="AB7" s="34"/>
      <c r="AC7" s="34"/>
    </row>
    <row r="8">
      <c r="A8" s="317" t="s">
        <v>19</v>
      </c>
      <c r="B8" s="318" t="s">
        <v>234</v>
      </c>
      <c r="C8" s="327" t="s">
        <v>235</v>
      </c>
      <c r="D8" s="328" t="s">
        <v>232</v>
      </c>
      <c r="E8" s="320" t="s">
        <v>233</v>
      </c>
      <c r="F8" s="329">
        <v>5360.98</v>
      </c>
      <c r="G8" s="330">
        <v>839.71</v>
      </c>
      <c r="H8" s="331">
        <f t="shared" si="1"/>
        <v>6200.69</v>
      </c>
      <c r="I8" s="332">
        <v>45950.0</v>
      </c>
      <c r="J8" s="325"/>
      <c r="K8" s="326"/>
      <c r="L8" s="326"/>
      <c r="M8" s="326"/>
      <c r="N8" s="32"/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4"/>
      <c r="AA8" s="34"/>
      <c r="AB8" s="34"/>
      <c r="AC8" s="34"/>
    </row>
    <row r="9">
      <c r="A9" s="317" t="s">
        <v>19</v>
      </c>
      <c r="B9" s="318" t="s">
        <v>234</v>
      </c>
      <c r="C9" s="327" t="s">
        <v>236</v>
      </c>
      <c r="D9" s="328" t="s">
        <v>232</v>
      </c>
      <c r="E9" s="320" t="s">
        <v>233</v>
      </c>
      <c r="F9" s="329">
        <v>864.58</v>
      </c>
      <c r="G9" s="330">
        <v>135.42</v>
      </c>
      <c r="H9" s="331">
        <f t="shared" si="1"/>
        <v>1000</v>
      </c>
      <c r="I9" s="332">
        <v>45951.0</v>
      </c>
      <c r="J9" s="325"/>
      <c r="K9" s="326"/>
      <c r="L9" s="326"/>
      <c r="M9" s="326"/>
      <c r="N9" s="32"/>
      <c r="O9" s="32"/>
      <c r="P9" s="33"/>
      <c r="Q9" s="33"/>
      <c r="R9" s="33"/>
      <c r="S9" s="33"/>
      <c r="T9" s="33"/>
      <c r="U9" s="33"/>
      <c r="V9" s="33"/>
      <c r="W9" s="33"/>
      <c r="X9" s="33"/>
      <c r="Y9" s="33"/>
      <c r="Z9" s="34"/>
      <c r="AA9" s="34"/>
      <c r="AB9" s="34"/>
      <c r="AC9" s="34"/>
    </row>
    <row r="10">
      <c r="A10" s="317" t="s">
        <v>19</v>
      </c>
      <c r="B10" s="318" t="s">
        <v>234</v>
      </c>
      <c r="C10" s="327" t="s">
        <v>237</v>
      </c>
      <c r="D10" s="328" t="s">
        <v>232</v>
      </c>
      <c r="E10" s="320" t="s">
        <v>233</v>
      </c>
      <c r="F10" s="329">
        <v>491.38</v>
      </c>
      <c r="G10" s="330">
        <v>78.62</v>
      </c>
      <c r="H10" s="331">
        <f t="shared" si="1"/>
        <v>570</v>
      </c>
      <c r="I10" s="332">
        <v>45951.0</v>
      </c>
      <c r="J10" s="32"/>
      <c r="K10" s="32"/>
      <c r="L10" s="32"/>
      <c r="M10" s="32"/>
      <c r="N10" s="32"/>
      <c r="O10" s="32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4"/>
      <c r="AA10" s="34"/>
      <c r="AB10" s="34"/>
      <c r="AC10" s="34"/>
    </row>
    <row r="11">
      <c r="A11" s="317" t="s">
        <v>19</v>
      </c>
      <c r="B11" s="318" t="s">
        <v>238</v>
      </c>
      <c r="C11" s="327" t="s">
        <v>239</v>
      </c>
      <c r="D11" s="328" t="s">
        <v>240</v>
      </c>
      <c r="E11" s="320" t="s">
        <v>233</v>
      </c>
      <c r="F11" s="329">
        <v>865.47</v>
      </c>
      <c r="G11" s="330">
        <v>134.53</v>
      </c>
      <c r="H11" s="331">
        <f t="shared" si="1"/>
        <v>1000</v>
      </c>
      <c r="I11" s="332">
        <v>45953.0</v>
      </c>
      <c r="J11" s="32"/>
      <c r="K11" s="32"/>
      <c r="L11" s="32"/>
      <c r="M11" s="32"/>
      <c r="N11" s="32"/>
      <c r="O11" s="32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4"/>
      <c r="AA11" s="34"/>
      <c r="AB11" s="34"/>
      <c r="AC11" s="34"/>
    </row>
    <row r="12">
      <c r="A12" s="317" t="s">
        <v>19</v>
      </c>
      <c r="B12" s="318" t="s">
        <v>238</v>
      </c>
      <c r="C12" s="327" t="s">
        <v>241</v>
      </c>
      <c r="D12" s="328" t="s">
        <v>232</v>
      </c>
      <c r="E12" s="320" t="s">
        <v>233</v>
      </c>
      <c r="F12" s="329">
        <v>692.28</v>
      </c>
      <c r="G12" s="330">
        <v>107.72</v>
      </c>
      <c r="H12" s="331">
        <f t="shared" si="1"/>
        <v>800</v>
      </c>
      <c r="I12" s="332">
        <v>45951.0</v>
      </c>
      <c r="J12" s="32"/>
      <c r="K12" s="32"/>
      <c r="L12" s="32"/>
      <c r="M12" s="32"/>
      <c r="N12" s="32"/>
      <c r="O12" s="32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4"/>
      <c r="AA12" s="34"/>
      <c r="AB12" s="34"/>
      <c r="AC12" s="34"/>
    </row>
    <row r="13">
      <c r="A13" s="317" t="s">
        <v>19</v>
      </c>
      <c r="B13" s="318" t="s">
        <v>242</v>
      </c>
      <c r="C13" s="333" t="s">
        <v>243</v>
      </c>
      <c r="D13" s="328" t="s">
        <v>244</v>
      </c>
      <c r="E13" s="320" t="s">
        <v>245</v>
      </c>
      <c r="F13" s="329">
        <v>1729.06</v>
      </c>
      <c r="G13" s="330">
        <v>270.94</v>
      </c>
      <c r="H13" s="331">
        <f t="shared" si="1"/>
        <v>2000</v>
      </c>
      <c r="I13" s="332">
        <v>45956.0</v>
      </c>
      <c r="J13" s="32"/>
      <c r="K13" s="32"/>
      <c r="L13" s="32"/>
      <c r="M13" s="32"/>
      <c r="N13" s="32"/>
      <c r="O13" s="32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4"/>
      <c r="AA13" s="34"/>
      <c r="AB13" s="34"/>
      <c r="AC13" s="34"/>
    </row>
    <row r="14">
      <c r="A14" s="334" t="s">
        <v>19</v>
      </c>
      <c r="B14" s="335" t="s">
        <v>246</v>
      </c>
      <c r="C14" s="336" t="s">
        <v>247</v>
      </c>
      <c r="D14" s="335" t="s">
        <v>248</v>
      </c>
      <c r="E14" s="337" t="s">
        <v>249</v>
      </c>
      <c r="F14" s="338">
        <v>95.69</v>
      </c>
      <c r="G14" s="339">
        <f t="shared" ref="G14:G16" si="2">F14*16%</f>
        <v>15.3104</v>
      </c>
      <c r="H14" s="340">
        <f t="shared" si="1"/>
        <v>111.0004</v>
      </c>
      <c r="I14" s="341">
        <v>45943.0</v>
      </c>
      <c r="J14" s="342"/>
      <c r="K14" s="342"/>
      <c r="L14" s="342"/>
      <c r="M14" s="342"/>
      <c r="N14" s="342"/>
      <c r="O14" s="342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>
      <c r="A15" s="334" t="s">
        <v>19</v>
      </c>
      <c r="B15" s="335" t="s">
        <v>246</v>
      </c>
      <c r="C15" s="336" t="s">
        <v>247</v>
      </c>
      <c r="D15" s="335" t="s">
        <v>248</v>
      </c>
      <c r="E15" s="337" t="s">
        <v>249</v>
      </c>
      <c r="F15" s="338">
        <v>371.55</v>
      </c>
      <c r="G15" s="339">
        <f t="shared" si="2"/>
        <v>59.448</v>
      </c>
      <c r="H15" s="340">
        <f t="shared" si="1"/>
        <v>430.998</v>
      </c>
      <c r="I15" s="341">
        <v>45943.0</v>
      </c>
      <c r="J15" s="343" t="s">
        <v>250</v>
      </c>
      <c r="K15" s="342"/>
      <c r="L15" s="342"/>
      <c r="M15" s="342"/>
      <c r="N15" s="342"/>
      <c r="O15" s="342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</row>
    <row r="16">
      <c r="A16" s="334" t="s">
        <v>19</v>
      </c>
      <c r="B16" s="335" t="s">
        <v>246</v>
      </c>
      <c r="C16" s="344" t="s">
        <v>251</v>
      </c>
      <c r="D16" s="335" t="s">
        <v>248</v>
      </c>
      <c r="E16" s="337" t="s">
        <v>252</v>
      </c>
      <c r="F16" s="338">
        <v>5232.76</v>
      </c>
      <c r="G16" s="339">
        <f t="shared" si="2"/>
        <v>837.2416</v>
      </c>
      <c r="H16" s="340">
        <f t="shared" si="1"/>
        <v>6070.0016</v>
      </c>
      <c r="I16" s="341">
        <v>45965.0</v>
      </c>
      <c r="J16" s="345"/>
      <c r="K16" s="342"/>
      <c r="L16" s="342"/>
      <c r="M16" s="342"/>
      <c r="N16" s="342"/>
      <c r="O16" s="342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>
      <c r="A17" s="317" t="s">
        <v>19</v>
      </c>
      <c r="B17" s="318" t="s">
        <v>253</v>
      </c>
      <c r="C17" s="327" t="s">
        <v>254</v>
      </c>
      <c r="D17" s="328" t="s">
        <v>232</v>
      </c>
      <c r="E17" s="320" t="s">
        <v>255</v>
      </c>
      <c r="F17" s="329">
        <v>1216.55</v>
      </c>
      <c r="G17" s="330">
        <v>189.31</v>
      </c>
      <c r="H17" s="331">
        <f t="shared" si="1"/>
        <v>1405.86</v>
      </c>
      <c r="I17" s="332">
        <v>45955.0</v>
      </c>
      <c r="J17" s="32"/>
      <c r="K17" s="32"/>
      <c r="L17" s="32"/>
      <c r="M17" s="32"/>
      <c r="N17" s="32"/>
      <c r="O17" s="32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4"/>
      <c r="AA17" s="34"/>
      <c r="AB17" s="34"/>
      <c r="AC17" s="34"/>
    </row>
    <row r="18">
      <c r="A18" s="317" t="s">
        <v>19</v>
      </c>
      <c r="B18" s="318" t="s">
        <v>253</v>
      </c>
      <c r="C18" s="327" t="s">
        <v>256</v>
      </c>
      <c r="D18" s="328" t="s">
        <v>232</v>
      </c>
      <c r="E18" s="320" t="s">
        <v>257</v>
      </c>
      <c r="F18" s="329">
        <v>213.22</v>
      </c>
      <c r="G18" s="330">
        <v>33.18</v>
      </c>
      <c r="H18" s="331">
        <f t="shared" si="1"/>
        <v>246.4</v>
      </c>
      <c r="I18" s="332">
        <v>45951.0</v>
      </c>
      <c r="J18" s="346" t="s">
        <v>258</v>
      </c>
      <c r="K18" s="326"/>
      <c r="L18" s="326"/>
      <c r="M18" s="326"/>
      <c r="N18" s="32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4"/>
      <c r="AA18" s="34"/>
      <c r="AB18" s="34"/>
      <c r="AC18" s="34"/>
    </row>
    <row r="19">
      <c r="A19" s="317" t="s">
        <v>19</v>
      </c>
      <c r="B19" s="318" t="s">
        <v>253</v>
      </c>
      <c r="C19" s="327" t="s">
        <v>259</v>
      </c>
      <c r="D19" s="328" t="s">
        <v>232</v>
      </c>
      <c r="E19" s="320" t="s">
        <v>260</v>
      </c>
      <c r="F19" s="329">
        <v>346.14</v>
      </c>
      <c r="G19" s="330">
        <v>53.86</v>
      </c>
      <c r="H19" s="331">
        <f t="shared" si="1"/>
        <v>400</v>
      </c>
      <c r="I19" s="332">
        <v>45952.0</v>
      </c>
      <c r="J19" s="346" t="s">
        <v>261</v>
      </c>
      <c r="K19" s="326"/>
      <c r="L19" s="326"/>
      <c r="M19" s="326"/>
      <c r="N19" s="32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4"/>
      <c r="AA19" s="34"/>
      <c r="AB19" s="34"/>
      <c r="AC19" s="34"/>
    </row>
    <row r="20">
      <c r="A20" s="317" t="s">
        <v>19</v>
      </c>
      <c r="B20" s="318" t="s">
        <v>253</v>
      </c>
      <c r="C20" s="327" t="s">
        <v>262</v>
      </c>
      <c r="D20" s="328" t="s">
        <v>263</v>
      </c>
      <c r="E20" s="320" t="s">
        <v>264</v>
      </c>
      <c r="F20" s="329">
        <v>865.44</v>
      </c>
      <c r="G20" s="330">
        <v>134.56</v>
      </c>
      <c r="H20" s="331">
        <f t="shared" si="1"/>
        <v>1000</v>
      </c>
      <c r="I20" s="332">
        <v>45953.0</v>
      </c>
      <c r="J20" s="325"/>
      <c r="K20" s="326"/>
      <c r="L20" s="326"/>
      <c r="M20" s="326"/>
      <c r="N20" s="32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4"/>
      <c r="AA20" s="34"/>
      <c r="AB20" s="34"/>
      <c r="AC20" s="34"/>
    </row>
    <row r="21">
      <c r="A21" s="317" t="s">
        <v>19</v>
      </c>
      <c r="B21" s="318" t="s">
        <v>253</v>
      </c>
      <c r="C21" s="327" t="s">
        <v>265</v>
      </c>
      <c r="D21" s="328" t="s">
        <v>266</v>
      </c>
      <c r="E21" s="320" t="s">
        <v>245</v>
      </c>
      <c r="F21" s="329">
        <v>1394.27</v>
      </c>
      <c r="G21" s="330">
        <v>216.7</v>
      </c>
      <c r="H21" s="331">
        <f t="shared" si="1"/>
        <v>1610.97</v>
      </c>
      <c r="I21" s="332">
        <v>45955.0</v>
      </c>
      <c r="J21" s="325"/>
      <c r="K21" s="326"/>
      <c r="L21" s="326"/>
      <c r="M21" s="326"/>
      <c r="N21" s="32"/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4"/>
      <c r="AA21" s="34"/>
      <c r="AB21" s="34"/>
      <c r="AC21" s="34"/>
    </row>
    <row r="22">
      <c r="A22" s="317" t="s">
        <v>19</v>
      </c>
      <c r="B22" s="318" t="s">
        <v>253</v>
      </c>
      <c r="C22" s="327" t="s">
        <v>267</v>
      </c>
      <c r="D22" s="328" t="s">
        <v>268</v>
      </c>
      <c r="E22" s="320" t="s">
        <v>245</v>
      </c>
      <c r="F22" s="329">
        <v>692.4</v>
      </c>
      <c r="G22" s="330">
        <v>107.6</v>
      </c>
      <c r="H22" s="331">
        <f t="shared" si="1"/>
        <v>800</v>
      </c>
      <c r="I22" s="332">
        <v>45951.0</v>
      </c>
      <c r="J22" s="325"/>
      <c r="K22" s="326"/>
      <c r="L22" s="326"/>
      <c r="M22" s="326"/>
      <c r="N22" s="32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4"/>
      <c r="AA22" s="34"/>
      <c r="AB22" s="34"/>
      <c r="AC22" s="34"/>
    </row>
    <row r="23">
      <c r="A23" s="317" t="s">
        <v>19</v>
      </c>
      <c r="B23" s="318" t="s">
        <v>253</v>
      </c>
      <c r="C23" s="327" t="s">
        <v>269</v>
      </c>
      <c r="D23" s="328" t="s">
        <v>232</v>
      </c>
      <c r="E23" s="320" t="s">
        <v>245</v>
      </c>
      <c r="F23" s="329">
        <v>504.63</v>
      </c>
      <c r="G23" s="330">
        <v>78.52</v>
      </c>
      <c r="H23" s="331">
        <f t="shared" si="1"/>
        <v>583.15</v>
      </c>
      <c r="I23" s="332">
        <v>45955.0</v>
      </c>
      <c r="J23" s="32"/>
      <c r="K23" s="32"/>
      <c r="L23" s="32"/>
      <c r="M23" s="32"/>
      <c r="N23" s="32"/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4"/>
      <c r="AA23" s="34"/>
      <c r="AB23" s="34"/>
      <c r="AC23" s="34"/>
    </row>
    <row r="24">
      <c r="A24" s="317" t="s">
        <v>19</v>
      </c>
      <c r="B24" s="318" t="s">
        <v>253</v>
      </c>
      <c r="C24" s="347" t="s">
        <v>270</v>
      </c>
      <c r="D24" s="328" t="s">
        <v>232</v>
      </c>
      <c r="E24" s="320" t="s">
        <v>245</v>
      </c>
      <c r="F24" s="329">
        <v>692.28</v>
      </c>
      <c r="G24" s="330">
        <v>107.72</v>
      </c>
      <c r="H24" s="331">
        <f t="shared" si="1"/>
        <v>800</v>
      </c>
      <c r="I24" s="332">
        <v>45950.0</v>
      </c>
      <c r="J24" s="32"/>
      <c r="K24" s="32"/>
      <c r="L24" s="32"/>
      <c r="M24" s="32"/>
      <c r="N24" s="32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  <c r="AA24" s="34"/>
      <c r="AB24" s="34"/>
      <c r="AC24" s="34"/>
    </row>
    <row r="25">
      <c r="A25" s="317" t="s">
        <v>19</v>
      </c>
      <c r="B25" s="318" t="s">
        <v>271</v>
      </c>
      <c r="C25" s="348" t="s">
        <v>47</v>
      </c>
      <c r="D25" s="328" t="s">
        <v>272</v>
      </c>
      <c r="E25" s="320" t="s">
        <v>233</v>
      </c>
      <c r="F25" s="329">
        <v>1499.81</v>
      </c>
      <c r="G25" s="330">
        <v>0.0</v>
      </c>
      <c r="H25" s="331">
        <f t="shared" si="1"/>
        <v>1499.81</v>
      </c>
      <c r="I25" s="332">
        <v>45951.0</v>
      </c>
      <c r="J25" s="32"/>
      <c r="K25" s="32"/>
      <c r="L25" s="32"/>
      <c r="M25" s="32"/>
      <c r="N25" s="32"/>
      <c r="O25" s="32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4"/>
      <c r="AA25" s="34"/>
      <c r="AB25" s="34"/>
      <c r="AC25" s="34"/>
    </row>
    <row r="26">
      <c r="A26" s="334" t="s">
        <v>19</v>
      </c>
      <c r="B26" s="335" t="s">
        <v>246</v>
      </c>
      <c r="C26" s="344" t="s">
        <v>251</v>
      </c>
      <c r="D26" s="335" t="s">
        <v>248</v>
      </c>
      <c r="E26" s="337" t="s">
        <v>252</v>
      </c>
      <c r="F26" s="339">
        <f>183/2</f>
        <v>91.5</v>
      </c>
      <c r="G26" s="339">
        <f t="shared" ref="G26:G30" si="3">F26*16%</f>
        <v>14.64</v>
      </c>
      <c r="H26" s="340">
        <f t="shared" si="1"/>
        <v>106.14</v>
      </c>
      <c r="I26" s="341">
        <v>45965.0</v>
      </c>
      <c r="J26" s="345" t="s">
        <v>273</v>
      </c>
      <c r="K26" s="342"/>
      <c r="L26" s="342"/>
      <c r="M26" s="342"/>
      <c r="N26" s="342"/>
      <c r="O26" s="342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</row>
    <row r="27">
      <c r="A27" s="334" t="s">
        <v>19</v>
      </c>
      <c r="B27" s="335" t="s">
        <v>246</v>
      </c>
      <c r="C27" s="344" t="s">
        <v>251</v>
      </c>
      <c r="D27" s="335" t="s">
        <v>248</v>
      </c>
      <c r="E27" s="337" t="s">
        <v>252</v>
      </c>
      <c r="F27" s="339">
        <f>294/2</f>
        <v>147</v>
      </c>
      <c r="G27" s="339">
        <f t="shared" si="3"/>
        <v>23.52</v>
      </c>
      <c r="H27" s="340">
        <f t="shared" si="1"/>
        <v>170.52</v>
      </c>
      <c r="I27" s="341">
        <v>45965.0</v>
      </c>
      <c r="J27" s="345" t="s">
        <v>273</v>
      </c>
      <c r="K27" s="342"/>
      <c r="L27" s="342"/>
      <c r="M27" s="342"/>
      <c r="N27" s="342"/>
      <c r="O27" s="342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</row>
    <row r="28">
      <c r="A28" s="334" t="s">
        <v>19</v>
      </c>
      <c r="B28" s="335" t="s">
        <v>246</v>
      </c>
      <c r="C28" s="344" t="s">
        <v>274</v>
      </c>
      <c r="D28" s="335" t="s">
        <v>248</v>
      </c>
      <c r="E28" s="337" t="s">
        <v>275</v>
      </c>
      <c r="F28" s="338">
        <v>191.38</v>
      </c>
      <c r="G28" s="339">
        <f t="shared" si="3"/>
        <v>30.6208</v>
      </c>
      <c r="H28" s="340">
        <f t="shared" si="1"/>
        <v>222.0008</v>
      </c>
      <c r="I28" s="341">
        <v>45953.0</v>
      </c>
      <c r="J28" s="342"/>
      <c r="K28" s="342"/>
      <c r="L28" s="342"/>
      <c r="M28" s="342"/>
      <c r="N28" s="342"/>
      <c r="O28" s="342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</row>
    <row r="29">
      <c r="A29" s="334" t="s">
        <v>19</v>
      </c>
      <c r="B29" s="335" t="s">
        <v>246</v>
      </c>
      <c r="C29" s="344" t="s">
        <v>274</v>
      </c>
      <c r="D29" s="335" t="s">
        <v>248</v>
      </c>
      <c r="E29" s="337" t="s">
        <v>275</v>
      </c>
      <c r="F29" s="338">
        <v>1196.59</v>
      </c>
      <c r="G29" s="339">
        <f t="shared" si="3"/>
        <v>191.4544</v>
      </c>
      <c r="H29" s="340">
        <f t="shared" si="1"/>
        <v>1388.0444</v>
      </c>
      <c r="I29" s="341">
        <v>45953.0</v>
      </c>
      <c r="J29" s="343" t="s">
        <v>250</v>
      </c>
      <c r="K29" s="342"/>
      <c r="L29" s="342"/>
      <c r="M29" s="342"/>
      <c r="N29" s="342"/>
      <c r="O29" s="342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</row>
    <row r="30">
      <c r="A30" s="334" t="s">
        <v>19</v>
      </c>
      <c r="B30" s="335" t="s">
        <v>246</v>
      </c>
      <c r="C30" s="349" t="s">
        <v>276</v>
      </c>
      <c r="D30" s="335" t="s">
        <v>248</v>
      </c>
      <c r="E30" s="337" t="s">
        <v>277</v>
      </c>
      <c r="F30" s="338">
        <v>172.41</v>
      </c>
      <c r="G30" s="339">
        <f t="shared" si="3"/>
        <v>27.5856</v>
      </c>
      <c r="H30" s="340">
        <f t="shared" si="1"/>
        <v>199.9956</v>
      </c>
      <c r="I30" s="350">
        <v>45985.0</v>
      </c>
      <c r="J30" s="342" t="s">
        <v>278</v>
      </c>
      <c r="K30" s="342"/>
      <c r="L30" s="342"/>
      <c r="M30" s="342"/>
      <c r="N30" s="342"/>
      <c r="O30" s="342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</row>
    <row r="31">
      <c r="A31" s="351"/>
      <c r="B31" s="351"/>
      <c r="C31" s="351"/>
      <c r="D31" s="352"/>
      <c r="E31" s="353"/>
      <c r="F31" s="354"/>
      <c r="G31" s="355"/>
      <c r="H31" s="356"/>
      <c r="I31" s="357"/>
      <c r="J31" s="326"/>
      <c r="K31" s="326"/>
      <c r="L31" s="326"/>
      <c r="M31" s="326"/>
      <c r="N31" s="32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4"/>
      <c r="AA31" s="34"/>
      <c r="AB31" s="34"/>
      <c r="AC31" s="34"/>
    </row>
    <row r="32">
      <c r="A32" s="351"/>
      <c r="B32" s="351"/>
      <c r="C32" s="351"/>
      <c r="D32" s="352"/>
      <c r="E32" s="353"/>
      <c r="F32" s="354"/>
      <c r="G32" s="355"/>
      <c r="H32" s="356"/>
      <c r="I32" s="357"/>
      <c r="J32" s="326"/>
      <c r="K32" s="326"/>
      <c r="L32" s="326"/>
      <c r="M32" s="326"/>
      <c r="N32" s="32"/>
      <c r="O32" s="32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4"/>
      <c r="AA32" s="34"/>
      <c r="AB32" s="34"/>
      <c r="AC32" s="34"/>
    </row>
    <row r="33">
      <c r="A33" s="351"/>
      <c r="B33" s="351"/>
      <c r="C33" s="351"/>
      <c r="D33" s="352"/>
      <c r="E33" s="353"/>
      <c r="F33" s="354"/>
      <c r="G33" s="355"/>
      <c r="H33" s="356"/>
      <c r="I33" s="357"/>
      <c r="J33" s="326"/>
      <c r="K33" s="326"/>
      <c r="L33" s="326"/>
      <c r="M33" s="326"/>
      <c r="N33" s="32"/>
      <c r="O33" s="32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4"/>
      <c r="AA33" s="34"/>
      <c r="AB33" s="34"/>
      <c r="AC33" s="34"/>
    </row>
    <row r="34">
      <c r="A34" s="358"/>
      <c r="B34" s="359"/>
      <c r="C34" s="360"/>
      <c r="D34" s="360"/>
      <c r="E34" s="361"/>
      <c r="F34" s="362">
        <v>0.0</v>
      </c>
      <c r="G34" s="363">
        <f>F34*16%</f>
        <v>0</v>
      </c>
      <c r="H34" s="364">
        <f>SUM(F34:G34)</f>
        <v>0</v>
      </c>
      <c r="I34" s="365"/>
      <c r="J34" s="325"/>
      <c r="K34" s="326"/>
      <c r="L34" s="326"/>
      <c r="M34" s="326"/>
      <c r="N34" s="32"/>
      <c r="O34" s="32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4"/>
      <c r="AA34" s="34"/>
      <c r="AB34" s="34"/>
      <c r="AC34" s="34"/>
    </row>
    <row r="35" ht="9.75" customHeight="1">
      <c r="A35" s="51"/>
      <c r="B35" s="51"/>
      <c r="C35" s="51"/>
      <c r="D35" s="51"/>
      <c r="E35" s="51"/>
      <c r="F35" s="51"/>
      <c r="G35" s="51"/>
      <c r="H35" s="52"/>
      <c r="I35" s="52"/>
      <c r="J35" s="52"/>
      <c r="K35" s="52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</row>
    <row r="36" ht="26.25" customHeight="1">
      <c r="A36" s="366" t="s">
        <v>279</v>
      </c>
      <c r="B36" s="55"/>
      <c r="C36" s="55"/>
      <c r="D36" s="55"/>
      <c r="E36" s="56"/>
      <c r="F36" s="309">
        <f>SUM($F$7:$F$35)</f>
        <v>26427.59</v>
      </c>
      <c r="G36" s="309">
        <f>SUM($G$7:$G$35)</f>
        <v>3923.1908</v>
      </c>
      <c r="H36" s="310">
        <f>SUM($H$7:$H$35)</f>
        <v>30350.7808</v>
      </c>
      <c r="I36" s="310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</row>
    <row r="37" ht="15.75" customHeight="1">
      <c r="A37" s="8"/>
      <c r="B37" s="8"/>
      <c r="C37" s="8"/>
      <c r="D37" s="8"/>
      <c r="E37" s="2"/>
      <c r="F37" s="101"/>
      <c r="G37" s="101"/>
      <c r="H37" s="101"/>
      <c r="I37" s="10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3"/>
      <c r="AB37" s="3"/>
      <c r="AC37" s="3"/>
    </row>
    <row r="38" ht="15.75" customHeight="1">
      <c r="A38" s="2"/>
      <c r="B38" s="2"/>
      <c r="C38" s="8"/>
      <c r="D38" s="8"/>
      <c r="E38" s="2"/>
      <c r="F38" s="101"/>
      <c r="G38" s="101"/>
      <c r="H38" s="101"/>
      <c r="I38" s="10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3"/>
      <c r="AB38" s="3"/>
      <c r="AC38" s="3"/>
    </row>
    <row r="39">
      <c r="A39" s="2"/>
      <c r="B39" s="311" t="s">
        <v>19</v>
      </c>
      <c r="C39" s="106"/>
      <c r="D39" s="312">
        <f>SUMIFS($H7:H$34,$A7:A$34,"PAGADO")</f>
        <v>30350.7808</v>
      </c>
      <c r="E39" s="2"/>
      <c r="F39" s="101"/>
      <c r="G39" s="101"/>
      <c r="H39" s="101"/>
      <c r="I39" s="10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3"/>
      <c r="AB39" s="3"/>
      <c r="AC39" s="3"/>
    </row>
    <row r="40">
      <c r="A40" s="8"/>
      <c r="B40" s="311" t="s">
        <v>227</v>
      </c>
      <c r="C40" s="106"/>
      <c r="D40" s="313">
        <f>SUMIFS($H7:H$34,$A7:A$34,"PENDIENTE")</f>
        <v>0</v>
      </c>
      <c r="E40" s="2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3"/>
      <c r="AB40" s="3"/>
      <c r="AC40" s="3"/>
    </row>
    <row r="41" ht="15.75" customHeight="1">
      <c r="A41" s="8"/>
      <c r="B41" s="8"/>
      <c r="C41" s="8"/>
      <c r="D41" s="8"/>
      <c r="E41" s="2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3"/>
      <c r="AB41" s="3"/>
      <c r="AC41" s="3"/>
    </row>
    <row r="42" ht="15.75" customHeight="1">
      <c r="A42" s="8"/>
      <c r="B42" s="8"/>
      <c r="C42" s="8"/>
      <c r="D42" s="8"/>
      <c r="E42" s="2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3"/>
      <c r="AB42" s="3"/>
      <c r="AC42" s="3"/>
    </row>
    <row r="43" ht="15.75" customHeight="1">
      <c r="A43" s="8"/>
      <c r="B43" s="8"/>
      <c r="C43" s="8"/>
      <c r="D43" s="8"/>
      <c r="E43" s="2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3"/>
      <c r="AB43" s="3"/>
      <c r="AC43" s="3"/>
    </row>
    <row r="44" ht="15.75" customHeight="1">
      <c r="A44" s="8"/>
      <c r="B44" s="8"/>
      <c r="C44" s="8"/>
      <c r="D44" s="8"/>
      <c r="E44" s="2"/>
      <c r="F44" s="8"/>
      <c r="G44" s="8"/>
      <c r="H44" s="8"/>
      <c r="I44" s="8"/>
      <c r="J44" s="2"/>
      <c r="K44" s="2"/>
      <c r="L44" s="3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  <c r="AB44" s="3"/>
      <c r="AC44" s="3"/>
    </row>
    <row r="45" ht="15.75" customHeight="1">
      <c r="A45" s="8"/>
      <c r="B45" s="8"/>
      <c r="C45" s="8"/>
      <c r="D45" s="8"/>
      <c r="E45" s="2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3"/>
      <c r="AB45" s="3"/>
      <c r="AC45" s="3"/>
    </row>
    <row r="46" ht="15.75" customHeight="1">
      <c r="A46" s="8"/>
      <c r="B46" s="8"/>
      <c r="C46" s="8"/>
      <c r="D46" s="8"/>
      <c r="E46" s="2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3"/>
      <c r="AB46" s="3"/>
      <c r="AC46" s="3"/>
    </row>
    <row r="47" ht="15.75" customHeight="1">
      <c r="A47" s="8"/>
      <c r="B47" s="8"/>
      <c r="C47" s="8"/>
      <c r="D47" s="8"/>
      <c r="E47" s="2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3"/>
      <c r="AB47" s="3"/>
      <c r="AC47" s="3"/>
    </row>
    <row r="48" ht="15.75" customHeight="1">
      <c r="A48" s="8"/>
      <c r="B48" s="8"/>
      <c r="C48" s="8"/>
      <c r="D48" s="8"/>
      <c r="E48" s="2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  <c r="AB48" s="3"/>
      <c r="AC48" s="3"/>
    </row>
    <row r="49" ht="15.75" customHeight="1">
      <c r="A49" s="8"/>
      <c r="B49" s="8"/>
      <c r="C49" s="8"/>
      <c r="D49" s="8"/>
      <c r="E49" s="2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3"/>
      <c r="AB49" s="3"/>
      <c r="AC49" s="3"/>
    </row>
    <row r="50" ht="15.75" customHeight="1">
      <c r="A50" s="8"/>
      <c r="B50" s="8"/>
      <c r="C50" s="8"/>
      <c r="D50" s="8"/>
      <c r="E50" s="2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3"/>
      <c r="AB50" s="3"/>
      <c r="AC50" s="3"/>
    </row>
    <row r="51" ht="15.75" customHeight="1">
      <c r="A51" s="8"/>
      <c r="B51" s="8"/>
      <c r="C51" s="8"/>
      <c r="D51" s="8"/>
      <c r="E51" s="2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3"/>
      <c r="AB51" s="3"/>
      <c r="AC51" s="3"/>
    </row>
    <row r="52" ht="15.75" customHeight="1">
      <c r="A52" s="8"/>
      <c r="B52" s="8"/>
      <c r="C52" s="8"/>
      <c r="D52" s="8"/>
      <c r="E52" s="2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3"/>
      <c r="AB52" s="3"/>
      <c r="AC52" s="3"/>
    </row>
    <row r="53" ht="15.75" customHeight="1">
      <c r="A53" s="8"/>
      <c r="B53" s="8"/>
      <c r="C53" s="8"/>
      <c r="D53" s="8"/>
      <c r="E53" s="2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3"/>
      <c r="AB53" s="3"/>
      <c r="AC53" s="3"/>
    </row>
    <row r="54" ht="15.75" customHeight="1">
      <c r="A54" s="8"/>
      <c r="B54" s="8"/>
      <c r="C54" s="8"/>
      <c r="D54" s="8"/>
      <c r="E54" s="2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3"/>
      <c r="AB54" s="3"/>
      <c r="AC54" s="3"/>
    </row>
    <row r="55" ht="15.75" customHeight="1">
      <c r="A55" s="8"/>
      <c r="B55" s="8"/>
      <c r="C55" s="8"/>
      <c r="D55" s="8"/>
      <c r="E55" s="2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3"/>
      <c r="AB55" s="3"/>
      <c r="AC55" s="3"/>
    </row>
    <row r="56" ht="15.75" customHeight="1">
      <c r="A56" s="8"/>
      <c r="B56" s="8"/>
      <c r="C56" s="8"/>
      <c r="D56" s="8"/>
      <c r="E56" s="2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3"/>
      <c r="AB56" s="3"/>
      <c r="AC56" s="3"/>
    </row>
    <row r="57" ht="15.75" customHeight="1">
      <c r="A57" s="8"/>
      <c r="B57" s="8"/>
      <c r="C57" s="8"/>
      <c r="D57" s="8"/>
      <c r="E57" s="2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3"/>
      <c r="AB57" s="3"/>
      <c r="AC57" s="3"/>
    </row>
    <row r="58" ht="15.75" customHeight="1">
      <c r="A58" s="8"/>
      <c r="B58" s="8"/>
      <c r="C58" s="8"/>
      <c r="D58" s="8"/>
      <c r="E58" s="2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3"/>
      <c r="AB58" s="3"/>
      <c r="AC58" s="3"/>
    </row>
    <row r="59" ht="15.75" customHeight="1">
      <c r="A59" s="8"/>
      <c r="B59" s="8"/>
      <c r="C59" s="8"/>
      <c r="D59" s="8"/>
      <c r="E59" s="2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3"/>
      <c r="AB59" s="3"/>
      <c r="AC59" s="3"/>
    </row>
    <row r="60" ht="15.75" customHeight="1">
      <c r="A60" s="8"/>
      <c r="B60" s="8"/>
      <c r="C60" s="8"/>
      <c r="D60" s="8"/>
      <c r="E60" s="2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3"/>
      <c r="AB60" s="3"/>
      <c r="AC60" s="3"/>
    </row>
    <row r="61" ht="15.75" customHeight="1">
      <c r="A61" s="8"/>
      <c r="B61" s="8"/>
      <c r="C61" s="8"/>
      <c r="D61" s="8"/>
      <c r="E61" s="2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  <c r="AA61" s="3"/>
      <c r="AB61" s="3"/>
      <c r="AC61" s="3"/>
    </row>
    <row r="62" ht="15.75" customHeight="1">
      <c r="A62" s="8"/>
      <c r="B62" s="8"/>
      <c r="C62" s="8"/>
      <c r="D62" s="8"/>
      <c r="E62" s="2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  <c r="AA62" s="3"/>
      <c r="AB62" s="3"/>
      <c r="AC62" s="3"/>
    </row>
    <row r="63" ht="15.75" customHeight="1">
      <c r="A63" s="8"/>
      <c r="B63" s="8"/>
      <c r="C63" s="8"/>
      <c r="D63" s="8"/>
      <c r="E63" s="2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  <c r="AA63" s="3"/>
      <c r="AB63" s="3"/>
      <c r="AC63" s="3"/>
    </row>
    <row r="64" ht="15.75" customHeight="1">
      <c r="A64" s="8"/>
      <c r="B64" s="8"/>
      <c r="C64" s="8"/>
      <c r="D64" s="8"/>
      <c r="E64" s="2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  <c r="AA64" s="3"/>
      <c r="AB64" s="3"/>
      <c r="AC64" s="3"/>
    </row>
    <row r="65" ht="15.75" customHeight="1">
      <c r="A65" s="8"/>
      <c r="B65" s="8"/>
      <c r="C65" s="8"/>
      <c r="D65" s="8"/>
      <c r="E65" s="2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  <c r="AA65" s="3"/>
      <c r="AB65" s="3"/>
      <c r="AC65" s="3"/>
    </row>
    <row r="66" ht="15.75" customHeight="1">
      <c r="A66" s="8"/>
      <c r="B66" s="8"/>
      <c r="C66" s="8"/>
      <c r="D66" s="8"/>
      <c r="E66" s="2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  <c r="AA66" s="3"/>
      <c r="AB66" s="3"/>
      <c r="AC66" s="3"/>
    </row>
    <row r="67" ht="15.75" customHeight="1">
      <c r="A67" s="8"/>
      <c r="B67" s="8"/>
      <c r="C67" s="8"/>
      <c r="D67" s="8"/>
      <c r="E67" s="2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  <c r="AA67" s="3"/>
      <c r="AB67" s="3"/>
      <c r="AC67" s="3"/>
    </row>
    <row r="68" ht="15.75" customHeight="1">
      <c r="A68" s="8"/>
      <c r="B68" s="8"/>
      <c r="C68" s="8"/>
      <c r="D68" s="8"/>
      <c r="E68" s="2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  <c r="AA68" s="3"/>
      <c r="AB68" s="3"/>
      <c r="AC68" s="3"/>
    </row>
    <row r="69" ht="15.75" customHeight="1">
      <c r="A69" s="8"/>
      <c r="B69" s="8"/>
      <c r="C69" s="8"/>
      <c r="D69" s="8"/>
      <c r="E69" s="2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  <c r="AA69" s="3"/>
      <c r="AB69" s="3"/>
      <c r="AC69" s="3"/>
    </row>
    <row r="70" ht="15.75" customHeight="1">
      <c r="A70" s="8"/>
      <c r="B70" s="8"/>
      <c r="C70" s="8"/>
      <c r="D70" s="8"/>
      <c r="E70" s="2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  <c r="AA70" s="3"/>
      <c r="AB70" s="3"/>
      <c r="AC70" s="3"/>
    </row>
    <row r="71" ht="15.75" customHeight="1">
      <c r="A71" s="8"/>
      <c r="B71" s="8"/>
      <c r="C71" s="8"/>
      <c r="D71" s="8"/>
      <c r="E71" s="2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  <c r="AA71" s="3"/>
      <c r="AB71" s="3"/>
      <c r="AC71" s="3"/>
    </row>
    <row r="72" ht="15.75" customHeight="1">
      <c r="A72" s="8"/>
      <c r="B72" s="8"/>
      <c r="C72" s="8"/>
      <c r="D72" s="8"/>
      <c r="E72" s="2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  <c r="AA72" s="3"/>
      <c r="AB72" s="3"/>
      <c r="AC72" s="3"/>
    </row>
    <row r="73" ht="15.75" customHeight="1">
      <c r="A73" s="8"/>
      <c r="B73" s="8"/>
      <c r="C73" s="8"/>
      <c r="D73" s="8"/>
      <c r="E73" s="2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  <c r="AA73" s="3"/>
      <c r="AB73" s="3"/>
      <c r="AC73" s="3"/>
    </row>
    <row r="74" ht="15.75" customHeight="1">
      <c r="A74" s="8"/>
      <c r="B74" s="8"/>
      <c r="C74" s="8"/>
      <c r="D74" s="8"/>
      <c r="E74" s="2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  <c r="AA74" s="3"/>
      <c r="AB74" s="3"/>
      <c r="AC74" s="3"/>
    </row>
    <row r="75" ht="15.75" customHeight="1">
      <c r="A75" s="8"/>
      <c r="B75" s="8"/>
      <c r="C75" s="8"/>
      <c r="D75" s="8"/>
      <c r="E75" s="2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  <c r="AA75" s="3"/>
      <c r="AB75" s="3"/>
      <c r="AC75" s="3"/>
    </row>
    <row r="76" ht="15.75" customHeight="1">
      <c r="A76" s="8"/>
      <c r="B76" s="8"/>
      <c r="C76" s="8"/>
      <c r="D76" s="8"/>
      <c r="E76" s="2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  <c r="AA76" s="3"/>
      <c r="AB76" s="3"/>
      <c r="AC76" s="3"/>
    </row>
    <row r="77" ht="15.75" customHeight="1">
      <c r="A77" s="8"/>
      <c r="B77" s="8"/>
      <c r="C77" s="8"/>
      <c r="D77" s="8"/>
      <c r="E77" s="2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  <c r="AA77" s="3"/>
      <c r="AB77" s="3"/>
      <c r="AC77" s="3"/>
    </row>
    <row r="78" ht="15.75" customHeight="1">
      <c r="A78" s="8"/>
      <c r="B78" s="8"/>
      <c r="C78" s="8"/>
      <c r="D78" s="8"/>
      <c r="E78" s="2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  <c r="AA78" s="3"/>
      <c r="AB78" s="3"/>
      <c r="AC78" s="3"/>
    </row>
    <row r="79" ht="15.75" customHeight="1">
      <c r="A79" s="8"/>
      <c r="B79" s="8"/>
      <c r="C79" s="8"/>
      <c r="D79" s="8"/>
      <c r="E79" s="2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  <c r="AA79" s="3"/>
      <c r="AB79" s="3"/>
      <c r="AC79" s="3"/>
    </row>
    <row r="80" ht="15.75" customHeight="1">
      <c r="A80" s="8"/>
      <c r="B80" s="8"/>
      <c r="C80" s="8"/>
      <c r="D80" s="8"/>
      <c r="E80" s="2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  <c r="AA80" s="3"/>
      <c r="AB80" s="3"/>
      <c r="AC80" s="3"/>
    </row>
    <row r="81" ht="15.75" customHeight="1">
      <c r="A81" s="8"/>
      <c r="B81" s="8"/>
      <c r="C81" s="8"/>
      <c r="D81" s="8"/>
      <c r="E81" s="2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  <c r="AA81" s="3"/>
      <c r="AB81" s="3"/>
      <c r="AC81" s="3"/>
    </row>
    <row r="82" ht="15.75" customHeight="1">
      <c r="A82" s="8"/>
      <c r="B82" s="8"/>
      <c r="C82" s="8"/>
      <c r="D82" s="8"/>
      <c r="E82" s="2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  <c r="AA82" s="3"/>
      <c r="AB82" s="3"/>
      <c r="AC82" s="3"/>
    </row>
    <row r="83" ht="15.75" customHeight="1">
      <c r="A83" s="8"/>
      <c r="B83" s="8"/>
      <c r="C83" s="8"/>
      <c r="D83" s="8"/>
      <c r="E83" s="2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  <c r="AA83" s="3"/>
      <c r="AB83" s="3"/>
      <c r="AC83" s="3"/>
    </row>
    <row r="84" ht="15.75" customHeight="1">
      <c r="A84" s="8"/>
      <c r="B84" s="8"/>
      <c r="C84" s="8"/>
      <c r="D84" s="8"/>
      <c r="E84" s="2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  <c r="AA84" s="3"/>
      <c r="AB84" s="3"/>
      <c r="AC84" s="3"/>
    </row>
    <row r="85" ht="15.75" customHeight="1">
      <c r="A85" s="8"/>
      <c r="B85" s="8"/>
      <c r="C85" s="8"/>
      <c r="D85" s="8"/>
      <c r="E85" s="2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  <c r="AA85" s="3"/>
      <c r="AB85" s="3"/>
      <c r="AC85" s="3"/>
    </row>
    <row r="86" ht="15.75" customHeight="1">
      <c r="A86" s="8"/>
      <c r="B86" s="8"/>
      <c r="C86" s="8"/>
      <c r="D86" s="8"/>
      <c r="E86" s="2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  <c r="AA86" s="3"/>
      <c r="AB86" s="3"/>
      <c r="AC86" s="3"/>
    </row>
    <row r="87" ht="15.75" customHeight="1">
      <c r="A87" s="8"/>
      <c r="B87" s="8"/>
      <c r="C87" s="8"/>
      <c r="D87" s="8"/>
      <c r="E87" s="2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  <c r="AA87" s="3"/>
      <c r="AB87" s="3"/>
      <c r="AC87" s="3"/>
    </row>
    <row r="88" ht="15.75" customHeight="1">
      <c r="A88" s="8"/>
      <c r="B88" s="8"/>
      <c r="C88" s="8"/>
      <c r="D88" s="8"/>
      <c r="E88" s="2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  <c r="AA88" s="3"/>
      <c r="AB88" s="3"/>
      <c r="AC88" s="3"/>
    </row>
    <row r="89" ht="15.75" customHeight="1">
      <c r="A89" s="8"/>
      <c r="B89" s="8"/>
      <c r="C89" s="8"/>
      <c r="D89" s="8"/>
      <c r="E89" s="2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  <c r="AA89" s="3"/>
      <c r="AB89" s="3"/>
      <c r="AC89" s="3"/>
    </row>
    <row r="90" ht="15.75" customHeight="1">
      <c r="A90" s="8"/>
      <c r="B90" s="8"/>
      <c r="C90" s="8"/>
      <c r="D90" s="8"/>
      <c r="E90" s="2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  <c r="AA90" s="3"/>
      <c r="AB90" s="3"/>
      <c r="AC90" s="3"/>
    </row>
    <row r="91" ht="15.75" customHeight="1">
      <c r="A91" s="8"/>
      <c r="B91" s="8"/>
      <c r="C91" s="8"/>
      <c r="D91" s="8"/>
      <c r="E91" s="2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  <c r="AA91" s="3"/>
      <c r="AB91" s="3"/>
      <c r="AC91" s="3"/>
    </row>
    <row r="92" ht="15.75" customHeight="1">
      <c r="A92" s="8"/>
      <c r="B92" s="8"/>
      <c r="C92" s="8"/>
      <c r="D92" s="8"/>
      <c r="E92" s="2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  <c r="AA92" s="3"/>
      <c r="AB92" s="3"/>
      <c r="AC92" s="3"/>
    </row>
    <row r="93" ht="15.75" customHeight="1">
      <c r="A93" s="8"/>
      <c r="B93" s="8"/>
      <c r="C93" s="8"/>
      <c r="D93" s="8"/>
      <c r="E93" s="2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  <c r="AA93" s="3"/>
      <c r="AB93" s="3"/>
      <c r="AC93" s="3"/>
    </row>
    <row r="94" ht="15.75" customHeight="1">
      <c r="A94" s="8"/>
      <c r="B94" s="8"/>
      <c r="C94" s="8"/>
      <c r="D94" s="8"/>
      <c r="E94" s="2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  <c r="AA94" s="3"/>
      <c r="AB94" s="3"/>
      <c r="AC94" s="3"/>
    </row>
    <row r="95" ht="15.75" customHeight="1">
      <c r="A95" s="8"/>
      <c r="B95" s="8"/>
      <c r="C95" s="8"/>
      <c r="D95" s="8"/>
      <c r="E95" s="2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  <c r="AA95" s="3"/>
      <c r="AB95" s="3"/>
      <c r="AC95" s="3"/>
    </row>
    <row r="96" ht="15.75" customHeight="1">
      <c r="A96" s="8"/>
      <c r="B96" s="8"/>
      <c r="C96" s="8"/>
      <c r="D96" s="8"/>
      <c r="E96" s="2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  <c r="AA96" s="3"/>
      <c r="AB96" s="3"/>
      <c r="AC96" s="3"/>
    </row>
    <row r="97" ht="15.75" customHeight="1">
      <c r="A97" s="8"/>
      <c r="B97" s="8"/>
      <c r="C97" s="8"/>
      <c r="D97" s="8"/>
      <c r="E97" s="2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  <c r="AA97" s="3"/>
      <c r="AB97" s="3"/>
      <c r="AC97" s="3"/>
    </row>
    <row r="98" ht="15.75" customHeight="1">
      <c r="A98" s="8"/>
      <c r="B98" s="8"/>
      <c r="C98" s="8"/>
      <c r="D98" s="8"/>
      <c r="E98" s="2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  <c r="AA98" s="3"/>
      <c r="AB98" s="3"/>
      <c r="AC98" s="3"/>
    </row>
    <row r="99" ht="15.75" customHeight="1">
      <c r="A99" s="8"/>
      <c r="B99" s="8"/>
      <c r="C99" s="8"/>
      <c r="D99" s="8"/>
      <c r="E99" s="2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  <c r="AA99" s="3"/>
      <c r="AB99" s="3"/>
      <c r="AC99" s="3"/>
    </row>
    <row r="100" ht="15.75" customHeight="1">
      <c r="A100" s="8"/>
      <c r="B100" s="8"/>
      <c r="C100" s="8"/>
      <c r="D100" s="8"/>
      <c r="E100" s="2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  <c r="AA100" s="3"/>
      <c r="AB100" s="3"/>
      <c r="AC100" s="3"/>
    </row>
    <row r="101" ht="15.75" customHeight="1">
      <c r="A101" s="8"/>
      <c r="B101" s="8"/>
      <c r="C101" s="8"/>
      <c r="D101" s="8"/>
      <c r="E101" s="2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  <c r="AA101" s="3"/>
      <c r="AB101" s="3"/>
      <c r="AC101" s="3"/>
    </row>
    <row r="102" ht="15.75" customHeight="1">
      <c r="A102" s="8"/>
      <c r="B102" s="8"/>
      <c r="C102" s="8"/>
      <c r="D102" s="8"/>
      <c r="E102" s="2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  <c r="AA102" s="3"/>
      <c r="AB102" s="3"/>
      <c r="AC102" s="3"/>
    </row>
    <row r="103" ht="15.75" customHeight="1">
      <c r="A103" s="8"/>
      <c r="B103" s="8"/>
      <c r="C103" s="8"/>
      <c r="D103" s="8"/>
      <c r="E103" s="2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  <c r="AA103" s="3"/>
      <c r="AB103" s="3"/>
      <c r="AC103" s="3"/>
    </row>
    <row r="104" ht="15.75" customHeight="1">
      <c r="A104" s="8"/>
      <c r="B104" s="8"/>
      <c r="C104" s="8"/>
      <c r="D104" s="8"/>
      <c r="E104" s="2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  <c r="AA104" s="3"/>
      <c r="AB104" s="3"/>
      <c r="AC104" s="3"/>
    </row>
    <row r="105" ht="15.75" customHeight="1">
      <c r="A105" s="8"/>
      <c r="B105" s="8"/>
      <c r="C105" s="8"/>
      <c r="D105" s="8"/>
      <c r="E105" s="2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  <c r="AA105" s="3"/>
      <c r="AB105" s="3"/>
      <c r="AC105" s="3"/>
    </row>
    <row r="106" ht="15.75" customHeight="1">
      <c r="A106" s="8"/>
      <c r="B106" s="8"/>
      <c r="C106" s="8"/>
      <c r="D106" s="8"/>
      <c r="E106" s="2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  <c r="AA106" s="3"/>
      <c r="AB106" s="3"/>
      <c r="AC106" s="3"/>
    </row>
    <row r="107" ht="15.75" customHeight="1">
      <c r="A107" s="8"/>
      <c r="B107" s="8"/>
      <c r="C107" s="8"/>
      <c r="D107" s="8"/>
      <c r="E107" s="2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  <c r="AA107" s="3"/>
      <c r="AB107" s="3"/>
      <c r="AC107" s="3"/>
    </row>
    <row r="108" ht="15.75" customHeight="1">
      <c r="A108" s="8"/>
      <c r="B108" s="8"/>
      <c r="C108" s="8"/>
      <c r="D108" s="8"/>
      <c r="E108" s="2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  <c r="AA108" s="3"/>
      <c r="AB108" s="3"/>
      <c r="AC108" s="3"/>
    </row>
    <row r="109" ht="15.75" customHeight="1">
      <c r="A109" s="8"/>
      <c r="B109" s="8"/>
      <c r="C109" s="8"/>
      <c r="D109" s="8"/>
      <c r="E109" s="2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  <c r="AA109" s="3"/>
      <c r="AB109" s="3"/>
      <c r="AC109" s="3"/>
    </row>
    <row r="110" ht="15.75" customHeight="1">
      <c r="A110" s="8"/>
      <c r="B110" s="8"/>
      <c r="C110" s="8"/>
      <c r="D110" s="8"/>
      <c r="E110" s="2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  <c r="AA110" s="3"/>
      <c r="AB110" s="3"/>
      <c r="AC110" s="3"/>
    </row>
    <row r="111" ht="15.75" customHeight="1">
      <c r="A111" s="8"/>
      <c r="B111" s="8"/>
      <c r="C111" s="8"/>
      <c r="D111" s="8"/>
      <c r="E111" s="2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  <c r="AA111" s="3"/>
      <c r="AB111" s="3"/>
      <c r="AC111" s="3"/>
    </row>
    <row r="112" ht="15.75" customHeight="1">
      <c r="A112" s="8"/>
      <c r="B112" s="8"/>
      <c r="C112" s="8"/>
      <c r="D112" s="8"/>
      <c r="E112" s="2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  <c r="AA112" s="3"/>
      <c r="AB112" s="3"/>
      <c r="AC112" s="3"/>
    </row>
    <row r="113" ht="15.75" customHeight="1">
      <c r="A113" s="8"/>
      <c r="B113" s="8"/>
      <c r="C113" s="8"/>
      <c r="D113" s="8"/>
      <c r="E113" s="2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  <c r="AA113" s="3"/>
      <c r="AB113" s="3"/>
      <c r="AC113" s="3"/>
    </row>
    <row r="114" ht="15.75" customHeight="1">
      <c r="A114" s="8"/>
      <c r="B114" s="8"/>
      <c r="C114" s="8"/>
      <c r="D114" s="8"/>
      <c r="E114" s="2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  <c r="AA114" s="3"/>
      <c r="AB114" s="3"/>
      <c r="AC114" s="3"/>
    </row>
    <row r="115" ht="15.75" customHeight="1">
      <c r="A115" s="8"/>
      <c r="B115" s="8"/>
      <c r="C115" s="8"/>
      <c r="D115" s="8"/>
      <c r="E115" s="2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  <c r="AA115" s="3"/>
      <c r="AB115" s="3"/>
      <c r="AC115" s="3"/>
    </row>
    <row r="116" ht="15.75" customHeight="1">
      <c r="A116" s="8"/>
      <c r="B116" s="8"/>
      <c r="C116" s="8"/>
      <c r="D116" s="8"/>
      <c r="E116" s="2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  <c r="AA116" s="3"/>
      <c r="AB116" s="3"/>
      <c r="AC116" s="3"/>
    </row>
    <row r="117" ht="15.75" customHeight="1">
      <c r="A117" s="8"/>
      <c r="B117" s="8"/>
      <c r="C117" s="8"/>
      <c r="D117" s="8"/>
      <c r="E117" s="2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  <c r="AA117" s="3"/>
      <c r="AB117" s="3"/>
      <c r="AC117" s="3"/>
    </row>
    <row r="118" ht="15.75" customHeight="1">
      <c r="A118" s="8"/>
      <c r="B118" s="8"/>
      <c r="C118" s="8"/>
      <c r="D118" s="8"/>
      <c r="E118" s="2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  <c r="AA118" s="3"/>
      <c r="AB118" s="3"/>
      <c r="AC118" s="3"/>
    </row>
    <row r="119" ht="15.75" customHeight="1">
      <c r="A119" s="8"/>
      <c r="B119" s="8"/>
      <c r="C119" s="8"/>
      <c r="D119" s="8"/>
      <c r="E119" s="2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  <c r="AA119" s="3"/>
      <c r="AB119" s="3"/>
      <c r="AC119" s="3"/>
    </row>
    <row r="120" ht="15.75" customHeight="1">
      <c r="A120" s="8"/>
      <c r="B120" s="8"/>
      <c r="C120" s="8"/>
      <c r="D120" s="8"/>
      <c r="E120" s="2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  <c r="AA120" s="3"/>
      <c r="AB120" s="3"/>
      <c r="AC120" s="3"/>
    </row>
    <row r="121" ht="15.75" customHeight="1">
      <c r="A121" s="8"/>
      <c r="B121" s="8"/>
      <c r="C121" s="8"/>
      <c r="D121" s="8"/>
      <c r="E121" s="2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  <c r="AA121" s="3"/>
      <c r="AB121" s="3"/>
      <c r="AC121" s="3"/>
    </row>
    <row r="122" ht="15.75" customHeight="1">
      <c r="A122" s="8"/>
      <c r="B122" s="8"/>
      <c r="C122" s="8"/>
      <c r="D122" s="8"/>
      <c r="E122" s="2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  <c r="AA122" s="3"/>
      <c r="AB122" s="3"/>
      <c r="AC122" s="3"/>
    </row>
    <row r="123" ht="15.75" customHeight="1">
      <c r="A123" s="8"/>
      <c r="B123" s="8"/>
      <c r="C123" s="8"/>
      <c r="D123" s="8"/>
      <c r="E123" s="2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  <c r="AA123" s="3"/>
      <c r="AB123" s="3"/>
      <c r="AC123" s="3"/>
    </row>
    <row r="124" ht="15.75" customHeight="1">
      <c r="A124" s="8"/>
      <c r="B124" s="8"/>
      <c r="C124" s="8"/>
      <c r="D124" s="8"/>
      <c r="E124" s="2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  <c r="AA124" s="3"/>
      <c r="AB124" s="3"/>
      <c r="AC124" s="3"/>
    </row>
    <row r="125" ht="15.75" customHeight="1">
      <c r="A125" s="8"/>
      <c r="B125" s="8"/>
      <c r="C125" s="8"/>
      <c r="D125" s="8"/>
      <c r="E125" s="2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  <c r="AA125" s="3"/>
      <c r="AB125" s="3"/>
      <c r="AC125" s="3"/>
    </row>
    <row r="126" ht="15.75" customHeight="1">
      <c r="A126" s="8"/>
      <c r="B126" s="8"/>
      <c r="C126" s="8"/>
      <c r="D126" s="8"/>
      <c r="E126" s="2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  <c r="AA126" s="3"/>
      <c r="AB126" s="3"/>
      <c r="AC126" s="3"/>
    </row>
    <row r="127" ht="15.75" customHeight="1">
      <c r="A127" s="8"/>
      <c r="B127" s="8"/>
      <c r="C127" s="8"/>
      <c r="D127" s="8"/>
      <c r="E127" s="2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  <c r="AA127" s="3"/>
      <c r="AB127" s="3"/>
      <c r="AC127" s="3"/>
    </row>
    <row r="128" ht="15.75" customHeight="1">
      <c r="A128" s="8"/>
      <c r="B128" s="8"/>
      <c r="C128" s="8"/>
      <c r="D128" s="8"/>
      <c r="E128" s="2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  <c r="AA128" s="3"/>
      <c r="AB128" s="3"/>
      <c r="AC128" s="3"/>
    </row>
    <row r="129" ht="15.75" customHeight="1">
      <c r="A129" s="8"/>
      <c r="B129" s="8"/>
      <c r="C129" s="8"/>
      <c r="D129" s="8"/>
      <c r="E129" s="2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  <c r="AA129" s="3"/>
      <c r="AB129" s="3"/>
      <c r="AC129" s="3"/>
    </row>
    <row r="130" ht="15.75" customHeight="1">
      <c r="A130" s="8"/>
      <c r="B130" s="8"/>
      <c r="C130" s="8"/>
      <c r="D130" s="8"/>
      <c r="E130" s="2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  <c r="AA130" s="3"/>
      <c r="AB130" s="3"/>
      <c r="AC130" s="3"/>
    </row>
    <row r="131" ht="15.75" customHeight="1">
      <c r="A131" s="8"/>
      <c r="B131" s="8"/>
      <c r="C131" s="8"/>
      <c r="D131" s="8"/>
      <c r="E131" s="2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  <c r="AA131" s="3"/>
      <c r="AB131" s="3"/>
      <c r="AC131" s="3"/>
    </row>
    <row r="132" ht="15.75" customHeight="1">
      <c r="A132" s="8"/>
      <c r="B132" s="8"/>
      <c r="C132" s="8"/>
      <c r="D132" s="8"/>
      <c r="E132" s="2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  <c r="AA132" s="3"/>
      <c r="AB132" s="3"/>
      <c r="AC132" s="3"/>
    </row>
    <row r="133" ht="15.75" customHeight="1">
      <c r="A133" s="8"/>
      <c r="B133" s="8"/>
      <c r="C133" s="8"/>
      <c r="D133" s="8"/>
      <c r="E133" s="2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  <c r="AA133" s="3"/>
      <c r="AB133" s="3"/>
      <c r="AC133" s="3"/>
    </row>
    <row r="134" ht="15.75" customHeight="1">
      <c r="A134" s="8"/>
      <c r="B134" s="8"/>
      <c r="C134" s="8"/>
      <c r="D134" s="8"/>
      <c r="E134" s="2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  <c r="AA134" s="3"/>
      <c r="AB134" s="3"/>
      <c r="AC134" s="3"/>
    </row>
    <row r="135" ht="15.75" customHeight="1">
      <c r="A135" s="8"/>
      <c r="B135" s="8"/>
      <c r="C135" s="8"/>
      <c r="D135" s="8"/>
      <c r="E135" s="2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  <c r="AA135" s="3"/>
      <c r="AB135" s="3"/>
      <c r="AC135" s="3"/>
    </row>
    <row r="136" ht="15.75" customHeight="1">
      <c r="A136" s="8"/>
      <c r="B136" s="8"/>
      <c r="C136" s="8"/>
      <c r="D136" s="8"/>
      <c r="E136" s="2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  <c r="AA136" s="3"/>
      <c r="AB136" s="3"/>
      <c r="AC136" s="3"/>
    </row>
    <row r="137" ht="15.75" customHeight="1">
      <c r="A137" s="8"/>
      <c r="B137" s="8"/>
      <c r="C137" s="8"/>
      <c r="D137" s="8"/>
      <c r="E137" s="2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  <c r="AA137" s="3"/>
      <c r="AB137" s="3"/>
      <c r="AC137" s="3"/>
    </row>
    <row r="138" ht="15.75" customHeight="1">
      <c r="A138" s="8"/>
      <c r="B138" s="8"/>
      <c r="C138" s="8"/>
      <c r="D138" s="8"/>
      <c r="E138" s="2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  <c r="AA138" s="3"/>
      <c r="AB138" s="3"/>
      <c r="AC138" s="3"/>
    </row>
    <row r="139" ht="15.75" customHeight="1">
      <c r="A139" s="8"/>
      <c r="B139" s="8"/>
      <c r="C139" s="8"/>
      <c r="D139" s="8"/>
      <c r="E139" s="2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  <c r="AA139" s="3"/>
      <c r="AB139" s="3"/>
      <c r="AC139" s="3"/>
    </row>
    <row r="140" ht="15.75" customHeight="1">
      <c r="A140" s="8"/>
      <c r="B140" s="8"/>
      <c r="C140" s="8"/>
      <c r="D140" s="8"/>
      <c r="E140" s="2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  <c r="AA140" s="3"/>
      <c r="AB140" s="3"/>
      <c r="AC140" s="3"/>
    </row>
    <row r="141" ht="15.75" customHeight="1">
      <c r="A141" s="8"/>
      <c r="B141" s="8"/>
      <c r="C141" s="8"/>
      <c r="D141" s="8"/>
      <c r="E141" s="2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  <c r="AA141" s="3"/>
      <c r="AB141" s="3"/>
      <c r="AC141" s="3"/>
    </row>
    <row r="142" ht="15.75" customHeight="1">
      <c r="A142" s="8"/>
      <c r="B142" s="8"/>
      <c r="C142" s="8"/>
      <c r="D142" s="8"/>
      <c r="E142" s="2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  <c r="AA142" s="3"/>
      <c r="AB142" s="3"/>
      <c r="AC142" s="3"/>
    </row>
    <row r="143" ht="15.75" customHeight="1">
      <c r="A143" s="8"/>
      <c r="B143" s="8"/>
      <c r="C143" s="8"/>
      <c r="D143" s="8"/>
      <c r="E143" s="2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  <c r="AA143" s="3"/>
      <c r="AB143" s="3"/>
      <c r="AC143" s="3"/>
    </row>
    <row r="144" ht="15.75" customHeight="1">
      <c r="A144" s="8"/>
      <c r="B144" s="8"/>
      <c r="C144" s="8"/>
      <c r="D144" s="8"/>
      <c r="E144" s="2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  <c r="AA144" s="3"/>
      <c r="AB144" s="3"/>
      <c r="AC144" s="3"/>
    </row>
    <row r="145" ht="15.75" customHeight="1">
      <c r="A145" s="8"/>
      <c r="B145" s="8"/>
      <c r="C145" s="8"/>
      <c r="D145" s="8"/>
      <c r="E145" s="2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  <c r="AA145" s="3"/>
      <c r="AB145" s="3"/>
      <c r="AC145" s="3"/>
    </row>
    <row r="146" ht="15.75" customHeight="1">
      <c r="A146" s="8"/>
      <c r="B146" s="8"/>
      <c r="C146" s="8"/>
      <c r="D146" s="8"/>
      <c r="E146" s="2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  <c r="AA146" s="3"/>
      <c r="AB146" s="3"/>
      <c r="AC146" s="3"/>
    </row>
    <row r="147" ht="15.75" customHeight="1">
      <c r="A147" s="8"/>
      <c r="B147" s="8"/>
      <c r="C147" s="8"/>
      <c r="D147" s="8"/>
      <c r="E147" s="2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  <c r="AA147" s="3"/>
      <c r="AB147" s="3"/>
      <c r="AC147" s="3"/>
    </row>
    <row r="148" ht="15.75" customHeight="1">
      <c r="A148" s="8"/>
      <c r="B148" s="8"/>
      <c r="C148" s="8"/>
      <c r="D148" s="8"/>
      <c r="E148" s="2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  <c r="AA148" s="3"/>
      <c r="AB148" s="3"/>
      <c r="AC148" s="3"/>
    </row>
    <row r="149" ht="15.75" customHeight="1">
      <c r="A149" s="8"/>
      <c r="B149" s="8"/>
      <c r="C149" s="8"/>
      <c r="D149" s="8"/>
      <c r="E149" s="2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  <c r="AA149" s="3"/>
      <c r="AB149" s="3"/>
      <c r="AC149" s="3"/>
    </row>
    <row r="150" ht="15.75" customHeight="1">
      <c r="A150" s="8"/>
      <c r="B150" s="8"/>
      <c r="C150" s="8"/>
      <c r="D150" s="8"/>
      <c r="E150" s="2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  <c r="AA150" s="3"/>
      <c r="AB150" s="3"/>
      <c r="AC150" s="3"/>
    </row>
    <row r="151" ht="15.75" customHeight="1">
      <c r="A151" s="8"/>
      <c r="B151" s="8"/>
      <c r="C151" s="8"/>
      <c r="D151" s="8"/>
      <c r="E151" s="2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  <c r="AA151" s="3"/>
      <c r="AB151" s="3"/>
      <c r="AC151" s="3"/>
    </row>
    <row r="152" ht="15.75" customHeight="1">
      <c r="A152" s="8"/>
      <c r="B152" s="8"/>
      <c r="C152" s="8"/>
      <c r="D152" s="8"/>
      <c r="E152" s="2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  <c r="AA152" s="3"/>
      <c r="AB152" s="3"/>
      <c r="AC152" s="3"/>
    </row>
    <row r="153" ht="15.75" customHeight="1">
      <c r="A153" s="8"/>
      <c r="B153" s="8"/>
      <c r="C153" s="8"/>
      <c r="D153" s="8"/>
      <c r="E153" s="2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  <c r="AA153" s="3"/>
      <c r="AB153" s="3"/>
      <c r="AC153" s="3"/>
    </row>
    <row r="154" ht="15.75" customHeight="1">
      <c r="A154" s="8"/>
      <c r="B154" s="8"/>
      <c r="C154" s="8"/>
      <c r="D154" s="8"/>
      <c r="E154" s="2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  <c r="AA154" s="3"/>
      <c r="AB154" s="3"/>
      <c r="AC154" s="3"/>
    </row>
    <row r="155" ht="15.75" customHeight="1">
      <c r="A155" s="8"/>
      <c r="B155" s="8"/>
      <c r="C155" s="8"/>
      <c r="D155" s="8"/>
      <c r="E155" s="2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  <c r="AA155" s="3"/>
      <c r="AB155" s="3"/>
      <c r="AC155" s="3"/>
    </row>
    <row r="156" ht="15.75" customHeight="1">
      <c r="A156" s="8"/>
      <c r="B156" s="8"/>
      <c r="C156" s="8"/>
      <c r="D156" s="8"/>
      <c r="E156" s="2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  <c r="AA156" s="3"/>
      <c r="AB156" s="3"/>
      <c r="AC156" s="3"/>
    </row>
    <row r="157" ht="15.75" customHeight="1">
      <c r="A157" s="8"/>
      <c r="B157" s="8"/>
      <c r="C157" s="8"/>
      <c r="D157" s="8"/>
      <c r="E157" s="2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  <c r="AA157" s="3"/>
      <c r="AB157" s="3"/>
      <c r="AC157" s="3"/>
    </row>
    <row r="158" ht="15.75" customHeight="1">
      <c r="A158" s="8"/>
      <c r="B158" s="8"/>
      <c r="C158" s="8"/>
      <c r="D158" s="8"/>
      <c r="E158" s="2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  <c r="AA158" s="3"/>
      <c r="AB158" s="3"/>
      <c r="AC158" s="3"/>
    </row>
    <row r="159" ht="15.75" customHeight="1">
      <c r="A159" s="8"/>
      <c r="B159" s="8"/>
      <c r="C159" s="8"/>
      <c r="D159" s="8"/>
      <c r="E159" s="2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  <c r="AA159" s="3"/>
      <c r="AB159" s="3"/>
      <c r="AC159" s="3"/>
    </row>
    <row r="160" ht="15.75" customHeight="1">
      <c r="A160" s="8"/>
      <c r="B160" s="8"/>
      <c r="C160" s="8"/>
      <c r="D160" s="8"/>
      <c r="E160" s="2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  <c r="AA160" s="3"/>
      <c r="AB160" s="3"/>
      <c r="AC160" s="3"/>
    </row>
    <row r="161" ht="15.75" customHeight="1">
      <c r="A161" s="8"/>
      <c r="B161" s="8"/>
      <c r="C161" s="8"/>
      <c r="D161" s="8"/>
      <c r="E161" s="2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  <c r="AA161" s="3"/>
      <c r="AB161" s="3"/>
      <c r="AC161" s="3"/>
    </row>
    <row r="162" ht="15.75" customHeight="1">
      <c r="A162" s="8"/>
      <c r="B162" s="8"/>
      <c r="C162" s="8"/>
      <c r="D162" s="8"/>
      <c r="E162" s="2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  <c r="AA162" s="3"/>
      <c r="AB162" s="3"/>
      <c r="AC162" s="3"/>
    </row>
    <row r="163" ht="15.75" customHeight="1">
      <c r="A163" s="8"/>
      <c r="B163" s="8"/>
      <c r="C163" s="8"/>
      <c r="D163" s="8"/>
      <c r="E163" s="2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  <c r="AA163" s="3"/>
      <c r="AB163" s="3"/>
      <c r="AC163" s="3"/>
    </row>
    <row r="164" ht="15.75" customHeight="1">
      <c r="A164" s="8"/>
      <c r="B164" s="8"/>
      <c r="C164" s="8"/>
      <c r="D164" s="8"/>
      <c r="E164" s="2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  <c r="AA164" s="3"/>
      <c r="AB164" s="3"/>
      <c r="AC164" s="3"/>
    </row>
    <row r="165" ht="15.75" customHeight="1">
      <c r="A165" s="8"/>
      <c r="B165" s="8"/>
      <c r="C165" s="8"/>
      <c r="D165" s="8"/>
      <c r="E165" s="2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  <c r="AA165" s="3"/>
      <c r="AB165" s="3"/>
      <c r="AC165" s="3"/>
    </row>
    <row r="166" ht="15.75" customHeight="1">
      <c r="A166" s="8"/>
      <c r="B166" s="8"/>
      <c r="C166" s="8"/>
      <c r="D166" s="8"/>
      <c r="E166" s="2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  <c r="AA166" s="3"/>
      <c r="AB166" s="3"/>
      <c r="AC166" s="3"/>
    </row>
    <row r="167" ht="15.75" customHeight="1">
      <c r="A167" s="8"/>
      <c r="B167" s="8"/>
      <c r="C167" s="8"/>
      <c r="D167" s="8"/>
      <c r="E167" s="2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  <c r="AA167" s="3"/>
      <c r="AB167" s="3"/>
      <c r="AC167" s="3"/>
    </row>
    <row r="168" ht="15.75" customHeight="1">
      <c r="A168" s="8"/>
      <c r="B168" s="8"/>
      <c r="C168" s="8"/>
      <c r="D168" s="8"/>
      <c r="E168" s="2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  <c r="AA168" s="3"/>
      <c r="AB168" s="3"/>
      <c r="AC168" s="3"/>
    </row>
    <row r="169" ht="15.75" customHeight="1">
      <c r="A169" s="8"/>
      <c r="B169" s="8"/>
      <c r="C169" s="8"/>
      <c r="D169" s="8"/>
      <c r="E169" s="2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  <c r="AA169" s="3"/>
      <c r="AB169" s="3"/>
      <c r="AC169" s="3"/>
    </row>
    <row r="170" ht="15.75" customHeight="1">
      <c r="A170" s="8"/>
      <c r="B170" s="8"/>
      <c r="C170" s="8"/>
      <c r="D170" s="8"/>
      <c r="E170" s="2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  <c r="AA170" s="3"/>
      <c r="AB170" s="3"/>
      <c r="AC170" s="3"/>
    </row>
    <row r="171" ht="15.75" customHeight="1">
      <c r="A171" s="8"/>
      <c r="B171" s="8"/>
      <c r="C171" s="8"/>
      <c r="D171" s="8"/>
      <c r="E171" s="2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  <c r="AA171" s="3"/>
      <c r="AB171" s="3"/>
      <c r="AC171" s="3"/>
    </row>
    <row r="172" ht="15.75" customHeight="1">
      <c r="A172" s="8"/>
      <c r="B172" s="8"/>
      <c r="C172" s="8"/>
      <c r="D172" s="8"/>
      <c r="E172" s="2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  <c r="AA172" s="3"/>
      <c r="AB172" s="3"/>
      <c r="AC172" s="3"/>
    </row>
    <row r="173" ht="15.75" customHeight="1">
      <c r="A173" s="8"/>
      <c r="B173" s="8"/>
      <c r="C173" s="8"/>
      <c r="D173" s="8"/>
      <c r="E173" s="2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  <c r="AA173" s="3"/>
      <c r="AB173" s="3"/>
      <c r="AC173" s="3"/>
    </row>
    <row r="174" ht="15.75" customHeight="1">
      <c r="A174" s="8"/>
      <c r="B174" s="8"/>
      <c r="C174" s="8"/>
      <c r="D174" s="8"/>
      <c r="E174" s="2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  <c r="AA174" s="3"/>
      <c r="AB174" s="3"/>
      <c r="AC174" s="3"/>
    </row>
    <row r="175" ht="15.75" customHeight="1">
      <c r="A175" s="8"/>
      <c r="B175" s="8"/>
      <c r="C175" s="8"/>
      <c r="D175" s="8"/>
      <c r="E175" s="2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  <c r="AA175" s="3"/>
      <c r="AB175" s="3"/>
      <c r="AC175" s="3"/>
    </row>
    <row r="176" ht="15.75" customHeight="1">
      <c r="A176" s="8"/>
      <c r="B176" s="8"/>
      <c r="C176" s="8"/>
      <c r="D176" s="8"/>
      <c r="E176" s="2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  <c r="AA176" s="3"/>
      <c r="AB176" s="3"/>
      <c r="AC176" s="3"/>
    </row>
    <row r="177" ht="15.75" customHeight="1">
      <c r="A177" s="8"/>
      <c r="B177" s="8"/>
      <c r="C177" s="8"/>
      <c r="D177" s="8"/>
      <c r="E177" s="2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  <c r="AA177" s="3"/>
      <c r="AB177" s="3"/>
      <c r="AC177" s="3"/>
    </row>
    <row r="178" ht="15.75" customHeight="1">
      <c r="A178" s="8"/>
      <c r="B178" s="8"/>
      <c r="C178" s="8"/>
      <c r="D178" s="8"/>
      <c r="E178" s="2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  <c r="AA178" s="3"/>
      <c r="AB178" s="3"/>
      <c r="AC178" s="3"/>
    </row>
    <row r="179" ht="15.75" customHeight="1">
      <c r="A179" s="8"/>
      <c r="B179" s="8"/>
      <c r="C179" s="8"/>
      <c r="D179" s="8"/>
      <c r="E179" s="2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  <c r="AA179" s="3"/>
      <c r="AB179" s="3"/>
      <c r="AC179" s="3"/>
    </row>
    <row r="180" ht="15.75" customHeight="1">
      <c r="A180" s="8"/>
      <c r="B180" s="8"/>
      <c r="C180" s="8"/>
      <c r="D180" s="8"/>
      <c r="E180" s="2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  <c r="AA180" s="3"/>
      <c r="AB180" s="3"/>
      <c r="AC180" s="3"/>
    </row>
    <row r="181" ht="15.75" customHeight="1">
      <c r="A181" s="8"/>
      <c r="B181" s="8"/>
      <c r="C181" s="8"/>
      <c r="D181" s="8"/>
      <c r="E181" s="2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  <c r="AA181" s="3"/>
      <c r="AB181" s="3"/>
      <c r="AC181" s="3"/>
    </row>
    <row r="182" ht="15.75" customHeight="1">
      <c r="A182" s="8"/>
      <c r="B182" s="8"/>
      <c r="C182" s="8"/>
      <c r="D182" s="8"/>
      <c r="E182" s="2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  <c r="AA182" s="3"/>
      <c r="AB182" s="3"/>
      <c r="AC182" s="3"/>
    </row>
    <row r="183" ht="15.75" customHeight="1">
      <c r="A183" s="8"/>
      <c r="B183" s="8"/>
      <c r="C183" s="8"/>
      <c r="D183" s="8"/>
      <c r="E183" s="2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  <c r="AA183" s="3"/>
      <c r="AB183" s="3"/>
      <c r="AC183" s="3"/>
    </row>
    <row r="184" ht="15.75" customHeight="1">
      <c r="A184" s="8"/>
      <c r="B184" s="8"/>
      <c r="C184" s="8"/>
      <c r="D184" s="8"/>
      <c r="E184" s="2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  <c r="AA184" s="3"/>
      <c r="AB184" s="3"/>
      <c r="AC184" s="3"/>
    </row>
    <row r="185" ht="15.75" customHeight="1">
      <c r="A185" s="8"/>
      <c r="B185" s="8"/>
      <c r="C185" s="8"/>
      <c r="D185" s="8"/>
      <c r="E185" s="2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  <c r="AA185" s="3"/>
      <c r="AB185" s="3"/>
      <c r="AC185" s="3"/>
    </row>
    <row r="186" ht="15.75" customHeight="1">
      <c r="A186" s="8"/>
      <c r="B186" s="8"/>
      <c r="C186" s="8"/>
      <c r="D186" s="8"/>
      <c r="E186" s="2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  <c r="AA186" s="3"/>
      <c r="AB186" s="3"/>
      <c r="AC186" s="3"/>
    </row>
    <row r="187" ht="15.75" customHeight="1">
      <c r="A187" s="8"/>
      <c r="B187" s="8"/>
      <c r="C187" s="8"/>
      <c r="D187" s="8"/>
      <c r="E187" s="2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  <c r="AA187" s="3"/>
      <c r="AB187" s="3"/>
      <c r="AC187" s="3"/>
    </row>
    <row r="188" ht="15.75" customHeight="1">
      <c r="A188" s="8"/>
      <c r="B188" s="8"/>
      <c r="C188" s="8"/>
      <c r="D188" s="8"/>
      <c r="E188" s="2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  <c r="AA188" s="3"/>
      <c r="AB188" s="3"/>
      <c r="AC188" s="3"/>
    </row>
    <row r="189" ht="15.75" customHeight="1">
      <c r="A189" s="8"/>
      <c r="B189" s="8"/>
      <c r="C189" s="8"/>
      <c r="D189" s="8"/>
      <c r="E189" s="2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  <c r="AA189" s="3"/>
      <c r="AB189" s="3"/>
      <c r="AC189" s="3"/>
    </row>
    <row r="190" ht="15.75" customHeight="1">
      <c r="A190" s="8"/>
      <c r="B190" s="8"/>
      <c r="C190" s="8"/>
      <c r="D190" s="8"/>
      <c r="E190" s="2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  <c r="AA190" s="3"/>
      <c r="AB190" s="3"/>
      <c r="AC190" s="3"/>
    </row>
    <row r="191" ht="15.75" customHeight="1">
      <c r="A191" s="8"/>
      <c r="B191" s="8"/>
      <c r="C191" s="8"/>
      <c r="D191" s="8"/>
      <c r="E191" s="2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  <c r="AA191" s="3"/>
      <c r="AB191" s="3"/>
      <c r="AC191" s="3"/>
    </row>
    <row r="192" ht="15.75" customHeight="1">
      <c r="A192" s="8"/>
      <c r="B192" s="8"/>
      <c r="C192" s="8"/>
      <c r="D192" s="8"/>
      <c r="E192" s="2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  <c r="AA192" s="3"/>
      <c r="AB192" s="3"/>
      <c r="AC192" s="3"/>
    </row>
    <row r="193" ht="15.75" customHeight="1">
      <c r="A193" s="8"/>
      <c r="B193" s="8"/>
      <c r="C193" s="8"/>
      <c r="D193" s="8"/>
      <c r="E193" s="2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  <c r="AA193" s="3"/>
      <c r="AB193" s="3"/>
      <c r="AC193" s="3"/>
    </row>
    <row r="194" ht="15.75" customHeight="1">
      <c r="A194" s="8"/>
      <c r="B194" s="8"/>
      <c r="C194" s="8"/>
      <c r="D194" s="8"/>
      <c r="E194" s="2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  <c r="AA194" s="3"/>
      <c r="AB194" s="3"/>
      <c r="AC194" s="3"/>
    </row>
    <row r="195" ht="15.75" customHeight="1">
      <c r="A195" s="8"/>
      <c r="B195" s="8"/>
      <c r="C195" s="8"/>
      <c r="D195" s="8"/>
      <c r="E195" s="2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  <c r="AA195" s="3"/>
      <c r="AB195" s="3"/>
      <c r="AC195" s="3"/>
    </row>
    <row r="196" ht="15.75" customHeight="1">
      <c r="A196" s="8"/>
      <c r="B196" s="8"/>
      <c r="C196" s="8"/>
      <c r="D196" s="8"/>
      <c r="E196" s="2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  <c r="AA196" s="3"/>
      <c r="AB196" s="3"/>
      <c r="AC196" s="3"/>
    </row>
    <row r="197" ht="15.75" customHeight="1">
      <c r="A197" s="8"/>
      <c r="B197" s="8"/>
      <c r="C197" s="8"/>
      <c r="D197" s="8"/>
      <c r="E197" s="2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  <c r="AA197" s="3"/>
      <c r="AB197" s="3"/>
      <c r="AC197" s="3"/>
    </row>
    <row r="198" ht="15.75" customHeight="1">
      <c r="A198" s="8"/>
      <c r="B198" s="8"/>
      <c r="C198" s="8"/>
      <c r="D198" s="8"/>
      <c r="E198" s="2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  <c r="AA198" s="3"/>
      <c r="AB198" s="3"/>
      <c r="AC198" s="3"/>
    </row>
    <row r="199" ht="15.75" customHeight="1">
      <c r="A199" s="8"/>
      <c r="B199" s="8"/>
      <c r="C199" s="8"/>
      <c r="D199" s="8"/>
      <c r="E199" s="2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  <c r="AA199" s="3"/>
      <c r="AB199" s="3"/>
      <c r="AC199" s="3"/>
    </row>
    <row r="200" ht="15.75" customHeight="1">
      <c r="A200" s="8"/>
      <c r="B200" s="8"/>
      <c r="C200" s="8"/>
      <c r="D200" s="8"/>
      <c r="E200" s="2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  <c r="AA200" s="3"/>
      <c r="AB200" s="3"/>
      <c r="AC200" s="3"/>
    </row>
    <row r="201" ht="15.75" customHeight="1">
      <c r="A201" s="8"/>
      <c r="B201" s="8"/>
      <c r="C201" s="8"/>
      <c r="D201" s="8"/>
      <c r="E201" s="2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  <c r="AA201" s="3"/>
      <c r="AB201" s="3"/>
      <c r="AC201" s="3"/>
    </row>
    <row r="202" ht="15.75" customHeight="1">
      <c r="A202" s="8"/>
      <c r="B202" s="8"/>
      <c r="C202" s="8"/>
      <c r="D202" s="8"/>
      <c r="E202" s="2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  <c r="AA202" s="3"/>
      <c r="AB202" s="3"/>
      <c r="AC202" s="3"/>
    </row>
    <row r="203" ht="15.75" customHeight="1">
      <c r="A203" s="8"/>
      <c r="B203" s="8"/>
      <c r="C203" s="8"/>
      <c r="D203" s="8"/>
      <c r="E203" s="2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  <c r="AA203" s="3"/>
      <c r="AB203" s="3"/>
      <c r="AC203" s="3"/>
    </row>
    <row r="204" ht="15.75" customHeight="1">
      <c r="A204" s="8"/>
      <c r="B204" s="8"/>
      <c r="C204" s="8"/>
      <c r="D204" s="8"/>
      <c r="E204" s="2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  <c r="AA204" s="3"/>
      <c r="AB204" s="3"/>
      <c r="AC204" s="3"/>
    </row>
    <row r="205" ht="15.75" customHeight="1">
      <c r="A205" s="8"/>
      <c r="B205" s="8"/>
      <c r="C205" s="8"/>
      <c r="D205" s="8"/>
      <c r="E205" s="2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  <c r="AA205" s="3"/>
      <c r="AB205" s="3"/>
      <c r="AC205" s="3"/>
    </row>
    <row r="206" ht="15.75" customHeight="1">
      <c r="A206" s="8"/>
      <c r="B206" s="8"/>
      <c r="C206" s="8"/>
      <c r="D206" s="8"/>
      <c r="E206" s="2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  <c r="AA206" s="3"/>
      <c r="AB206" s="3"/>
      <c r="AC206" s="3"/>
    </row>
    <row r="207" ht="15.75" customHeight="1">
      <c r="A207" s="8"/>
      <c r="B207" s="8"/>
      <c r="C207" s="8"/>
      <c r="D207" s="8"/>
      <c r="E207" s="2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  <c r="AA207" s="3"/>
      <c r="AB207" s="3"/>
      <c r="AC207" s="3"/>
    </row>
    <row r="208" ht="15.75" customHeight="1">
      <c r="A208" s="8"/>
      <c r="B208" s="8"/>
      <c r="C208" s="8"/>
      <c r="D208" s="8"/>
      <c r="E208" s="2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  <c r="AA208" s="3"/>
      <c r="AB208" s="3"/>
      <c r="AC208" s="3"/>
    </row>
    <row r="209" ht="15.75" customHeight="1">
      <c r="A209" s="8"/>
      <c r="B209" s="8"/>
      <c r="C209" s="8"/>
      <c r="D209" s="8"/>
      <c r="E209" s="2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  <c r="AA209" s="3"/>
      <c r="AB209" s="3"/>
      <c r="AC209" s="3"/>
    </row>
    <row r="210" ht="15.75" customHeight="1">
      <c r="A210" s="8"/>
      <c r="B210" s="8"/>
      <c r="C210" s="8"/>
      <c r="D210" s="8"/>
      <c r="E210" s="2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  <c r="AA210" s="3"/>
      <c r="AB210" s="3"/>
      <c r="AC210" s="3"/>
    </row>
    <row r="211" ht="15.75" customHeight="1">
      <c r="A211" s="8"/>
      <c r="B211" s="8"/>
      <c r="C211" s="8"/>
      <c r="D211" s="8"/>
      <c r="E211" s="2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  <c r="AA211" s="3"/>
      <c r="AB211" s="3"/>
      <c r="AC211" s="3"/>
    </row>
    <row r="212" ht="15.75" customHeight="1">
      <c r="A212" s="8"/>
      <c r="B212" s="8"/>
      <c r="C212" s="8"/>
      <c r="D212" s="8"/>
      <c r="E212" s="2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  <c r="AA212" s="3"/>
      <c r="AB212" s="3"/>
      <c r="AC212" s="3"/>
    </row>
    <row r="213" ht="15.75" customHeight="1">
      <c r="A213" s="8"/>
      <c r="B213" s="8"/>
      <c r="C213" s="8"/>
      <c r="D213" s="8"/>
      <c r="E213" s="2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3"/>
      <c r="AB213" s="3"/>
      <c r="AC213" s="3"/>
    </row>
    <row r="214" ht="15.75" customHeight="1">
      <c r="A214" s="8"/>
      <c r="B214" s="8"/>
      <c r="C214" s="8"/>
      <c r="D214" s="8"/>
      <c r="E214" s="2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  <c r="AA214" s="3"/>
      <c r="AB214" s="3"/>
      <c r="AC214" s="3"/>
    </row>
    <row r="215" ht="15.75" customHeight="1">
      <c r="A215" s="8"/>
      <c r="B215" s="8"/>
      <c r="C215" s="8"/>
      <c r="D215" s="8"/>
      <c r="E215" s="2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  <c r="AA215" s="3"/>
      <c r="AB215" s="3"/>
      <c r="AC215" s="3"/>
    </row>
    <row r="216" ht="15.75" customHeight="1">
      <c r="A216" s="8"/>
      <c r="B216" s="8"/>
      <c r="C216" s="8"/>
      <c r="D216" s="8"/>
      <c r="E216" s="2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  <c r="AA216" s="3"/>
      <c r="AB216" s="3"/>
      <c r="AC216" s="3"/>
    </row>
    <row r="217" ht="15.75" customHeight="1">
      <c r="A217" s="8"/>
      <c r="B217" s="8"/>
      <c r="C217" s="8"/>
      <c r="D217" s="8"/>
      <c r="E217" s="2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  <c r="AA217" s="3"/>
      <c r="AB217" s="3"/>
      <c r="AC217" s="3"/>
    </row>
    <row r="218" ht="15.75" customHeight="1">
      <c r="A218" s="8"/>
      <c r="B218" s="8"/>
      <c r="C218" s="8"/>
      <c r="D218" s="8"/>
      <c r="E218" s="2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  <c r="AA218" s="3"/>
      <c r="AB218" s="3"/>
      <c r="AC218" s="3"/>
    </row>
    <row r="219" ht="15.75" customHeight="1">
      <c r="A219" s="8"/>
      <c r="B219" s="8"/>
      <c r="C219" s="8"/>
      <c r="D219" s="8"/>
      <c r="E219" s="2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  <c r="AA219" s="3"/>
      <c r="AB219" s="3"/>
      <c r="AC219" s="3"/>
    </row>
    <row r="220" ht="15.75" customHeight="1">
      <c r="A220" s="8"/>
      <c r="B220" s="8"/>
      <c r="C220" s="8"/>
      <c r="D220" s="8"/>
      <c r="E220" s="2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  <c r="AA220" s="3"/>
      <c r="AB220" s="3"/>
      <c r="AC220" s="3"/>
    </row>
    <row r="221" ht="15.75" customHeight="1">
      <c r="A221" s="8"/>
      <c r="B221" s="8"/>
      <c r="C221" s="8"/>
      <c r="D221" s="8"/>
      <c r="E221" s="2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  <c r="AA221" s="3"/>
      <c r="AB221" s="3"/>
      <c r="AC221" s="3"/>
    </row>
    <row r="222" ht="15.75" customHeight="1">
      <c r="A222" s="8"/>
      <c r="B222" s="8"/>
      <c r="C222" s="8"/>
      <c r="D222" s="8"/>
      <c r="E222" s="2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  <c r="AA222" s="3"/>
      <c r="AB222" s="3"/>
      <c r="AC222" s="3"/>
    </row>
    <row r="223" ht="15.75" customHeight="1">
      <c r="A223" s="8"/>
      <c r="B223" s="8"/>
      <c r="C223" s="8"/>
      <c r="D223" s="8"/>
      <c r="E223" s="2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  <c r="AA223" s="3"/>
      <c r="AB223" s="3"/>
      <c r="AC223" s="3"/>
    </row>
    <row r="224" ht="15.75" customHeight="1">
      <c r="A224" s="8"/>
      <c r="B224" s="8"/>
      <c r="C224" s="8"/>
      <c r="D224" s="8"/>
      <c r="E224" s="2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  <c r="AA224" s="3"/>
      <c r="AB224" s="3"/>
      <c r="AC224" s="3"/>
    </row>
    <row r="225" ht="15.75" customHeight="1">
      <c r="A225" s="8"/>
      <c r="B225" s="8"/>
      <c r="C225" s="8"/>
      <c r="D225" s="8"/>
      <c r="E225" s="2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  <c r="AA225" s="3"/>
      <c r="AB225" s="3"/>
      <c r="AC225" s="3"/>
    </row>
    <row r="226" ht="15.75" customHeight="1">
      <c r="A226" s="8"/>
      <c r="B226" s="8"/>
      <c r="C226" s="8"/>
      <c r="D226" s="8"/>
      <c r="E226" s="2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  <c r="AA226" s="3"/>
      <c r="AB226" s="3"/>
      <c r="AC226" s="3"/>
    </row>
    <row r="227" ht="15.75" customHeight="1">
      <c r="A227" s="8"/>
      <c r="B227" s="8"/>
      <c r="C227" s="8"/>
      <c r="D227" s="8"/>
      <c r="E227" s="2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  <c r="AA227" s="3"/>
      <c r="AB227" s="3"/>
      <c r="AC227" s="3"/>
    </row>
    <row r="228" ht="15.75" customHeight="1">
      <c r="A228" s="8"/>
      <c r="B228" s="8"/>
      <c r="C228" s="8"/>
      <c r="D228" s="8"/>
      <c r="E228" s="2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  <c r="AA228" s="3"/>
      <c r="AB228" s="3"/>
      <c r="AC228" s="3"/>
    </row>
    <row r="229" ht="15.75" customHeight="1">
      <c r="A229" s="8"/>
      <c r="B229" s="8"/>
      <c r="C229" s="8"/>
      <c r="D229" s="8"/>
      <c r="E229" s="2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  <c r="AA229" s="3"/>
      <c r="AB229" s="3"/>
      <c r="AC229" s="3"/>
    </row>
    <row r="230" ht="15.75" customHeight="1">
      <c r="A230" s="8"/>
      <c r="B230" s="8"/>
      <c r="C230" s="8"/>
      <c r="D230" s="8"/>
      <c r="E230" s="2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  <c r="AA230" s="3"/>
      <c r="AB230" s="3"/>
      <c r="AC230" s="3"/>
    </row>
    <row r="231" ht="15.75" customHeight="1">
      <c r="A231" s="8"/>
      <c r="B231" s="8"/>
      <c r="C231" s="8"/>
      <c r="D231" s="8"/>
      <c r="E231" s="2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  <c r="AA231" s="3"/>
      <c r="AB231" s="3"/>
      <c r="AC231" s="3"/>
    </row>
    <row r="232" ht="15.75" customHeight="1">
      <c r="A232" s="8"/>
      <c r="B232" s="8"/>
      <c r="C232" s="8"/>
      <c r="D232" s="8"/>
      <c r="E232" s="2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  <c r="AA232" s="3"/>
      <c r="AB232" s="3"/>
      <c r="AC232" s="3"/>
    </row>
    <row r="233" ht="15.75" customHeight="1">
      <c r="A233" s="8"/>
      <c r="B233" s="8"/>
      <c r="C233" s="8"/>
      <c r="D233" s="8"/>
      <c r="E233" s="2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  <c r="AA233" s="3"/>
      <c r="AB233" s="3"/>
      <c r="AC233" s="3"/>
    </row>
    <row r="234" ht="15.75" customHeight="1">
      <c r="A234" s="8"/>
      <c r="B234" s="8"/>
      <c r="C234" s="8"/>
      <c r="D234" s="8"/>
      <c r="E234" s="2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  <c r="AA234" s="3"/>
      <c r="AB234" s="3"/>
      <c r="AC234" s="3"/>
    </row>
    <row r="235" ht="15.75" customHeight="1">
      <c r="A235" s="8"/>
      <c r="B235" s="8"/>
      <c r="C235" s="8"/>
      <c r="D235" s="8"/>
      <c r="E235" s="2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  <c r="AA235" s="3"/>
      <c r="AB235" s="3"/>
      <c r="AC235" s="3"/>
    </row>
    <row r="236" ht="15.75" customHeight="1">
      <c r="A236" s="8"/>
      <c r="B236" s="8"/>
      <c r="C236" s="8"/>
      <c r="D236" s="8"/>
      <c r="E236" s="2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  <c r="AA236" s="3"/>
      <c r="AB236" s="3"/>
      <c r="AC236" s="3"/>
    </row>
    <row r="237" ht="15.75" customHeight="1">
      <c r="A237" s="8"/>
      <c r="B237" s="8"/>
      <c r="C237" s="8"/>
      <c r="D237" s="8"/>
      <c r="E237" s="2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  <c r="AA237" s="3"/>
      <c r="AB237" s="3"/>
      <c r="AC237" s="3"/>
    </row>
    <row r="238" ht="15.75" customHeight="1">
      <c r="A238" s="8"/>
      <c r="B238" s="8"/>
      <c r="C238" s="8"/>
      <c r="D238" s="8"/>
      <c r="E238" s="2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  <c r="AA238" s="3"/>
      <c r="AB238" s="3"/>
      <c r="AC238" s="3"/>
    </row>
    <row r="239" ht="15.75" customHeight="1">
      <c r="A239" s="8"/>
      <c r="B239" s="8"/>
      <c r="C239" s="8"/>
      <c r="D239" s="8"/>
      <c r="E239" s="2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  <c r="AA239" s="3"/>
      <c r="AB239" s="3"/>
      <c r="AC239" s="3"/>
    </row>
    <row r="240" ht="15.75" customHeight="1">
      <c r="A240" s="8"/>
      <c r="B240" s="8"/>
      <c r="C240" s="8"/>
      <c r="D240" s="8"/>
      <c r="E240" s="2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  <c r="AA240" s="3"/>
      <c r="AB240" s="3"/>
      <c r="AC240" s="3"/>
    </row>
    <row r="241" ht="15.75" customHeight="1">
      <c r="A241" s="8"/>
      <c r="B241" s="8"/>
      <c r="C241" s="8"/>
      <c r="D241" s="8"/>
      <c r="E241" s="2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  <c r="AA241" s="3"/>
      <c r="AB241" s="3"/>
      <c r="AC241" s="3"/>
    </row>
    <row r="242" ht="15.75" customHeight="1">
      <c r="A242" s="8"/>
      <c r="B242" s="8"/>
      <c r="C242" s="8"/>
      <c r="D242" s="8"/>
      <c r="E242" s="2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  <c r="AA242" s="3"/>
      <c r="AB242" s="3"/>
      <c r="AC242" s="3"/>
    </row>
    <row r="243" ht="15.75" customHeight="1">
      <c r="A243" s="8"/>
      <c r="B243" s="8"/>
      <c r="C243" s="8"/>
      <c r="D243" s="8"/>
      <c r="E243" s="2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  <c r="AA243" s="3"/>
      <c r="AB243" s="3"/>
      <c r="AC243" s="3"/>
    </row>
    <row r="244" ht="15.75" customHeight="1">
      <c r="A244" s="8"/>
      <c r="B244" s="8"/>
      <c r="C244" s="8"/>
      <c r="D244" s="8"/>
      <c r="E244" s="2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  <c r="AA244" s="3"/>
      <c r="AB244" s="3"/>
      <c r="AC244" s="3"/>
    </row>
    <row r="245" ht="15.75" customHeight="1">
      <c r="A245" s="8"/>
      <c r="B245" s="8"/>
      <c r="C245" s="8"/>
      <c r="D245" s="8"/>
      <c r="E245" s="2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  <c r="AA245" s="3"/>
      <c r="AB245" s="3"/>
      <c r="AC245" s="3"/>
    </row>
    <row r="246" ht="15.75" customHeight="1">
      <c r="A246" s="8"/>
      <c r="B246" s="8"/>
      <c r="C246" s="8"/>
      <c r="D246" s="8"/>
      <c r="E246" s="2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  <c r="AA246" s="3"/>
      <c r="AB246" s="3"/>
      <c r="AC246" s="3"/>
    </row>
    <row r="247" ht="15.75" customHeight="1">
      <c r="A247" s="8"/>
      <c r="B247" s="8"/>
      <c r="C247" s="8"/>
      <c r="D247" s="8"/>
      <c r="E247" s="2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  <c r="AA247" s="3"/>
      <c r="AB247" s="3"/>
      <c r="AC247" s="3"/>
    </row>
    <row r="248" ht="15.75" customHeight="1">
      <c r="A248" s="8"/>
      <c r="B248" s="8"/>
      <c r="C248" s="8"/>
      <c r="D248" s="8"/>
      <c r="E248" s="2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  <c r="AA248" s="3"/>
      <c r="AB248" s="3"/>
      <c r="AC248" s="3"/>
    </row>
    <row r="249" ht="15.75" customHeight="1">
      <c r="A249" s="8"/>
      <c r="B249" s="8"/>
      <c r="C249" s="8"/>
      <c r="D249" s="8"/>
      <c r="E249" s="2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  <c r="AA249" s="3"/>
      <c r="AB249" s="3"/>
      <c r="AC249" s="3"/>
    </row>
    <row r="250" ht="15.75" customHeight="1">
      <c r="A250" s="8"/>
      <c r="B250" s="8"/>
      <c r="C250" s="8"/>
      <c r="D250" s="8"/>
      <c r="E250" s="2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  <c r="AA250" s="3"/>
      <c r="AB250" s="3"/>
      <c r="AC250" s="3"/>
    </row>
    <row r="251" ht="15.75" customHeight="1">
      <c r="A251" s="8"/>
      <c r="B251" s="8"/>
      <c r="C251" s="8"/>
      <c r="D251" s="8"/>
      <c r="E251" s="2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  <c r="AA251" s="3"/>
      <c r="AB251" s="3"/>
      <c r="AC251" s="3"/>
    </row>
    <row r="252" ht="15.75" customHeight="1">
      <c r="A252" s="8"/>
      <c r="B252" s="8"/>
      <c r="C252" s="8"/>
      <c r="D252" s="8"/>
      <c r="E252" s="2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  <c r="AA252" s="3"/>
      <c r="AB252" s="3"/>
      <c r="AC252" s="3"/>
    </row>
    <row r="253" ht="15.75" customHeight="1">
      <c r="A253" s="8"/>
      <c r="B253" s="8"/>
      <c r="C253" s="8"/>
      <c r="D253" s="8"/>
      <c r="E253" s="2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  <c r="AA253" s="3"/>
      <c r="AB253" s="3"/>
      <c r="AC253" s="3"/>
    </row>
    <row r="254" ht="15.75" customHeight="1">
      <c r="A254" s="8"/>
      <c r="B254" s="8"/>
      <c r="C254" s="8"/>
      <c r="D254" s="8"/>
      <c r="E254" s="2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  <c r="AA254" s="3"/>
      <c r="AB254" s="3"/>
      <c r="AC254" s="3"/>
    </row>
    <row r="255" ht="15.75" customHeight="1">
      <c r="A255" s="8"/>
      <c r="B255" s="8"/>
      <c r="C255" s="8"/>
      <c r="D255" s="8"/>
      <c r="E255" s="2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  <c r="AA255" s="3"/>
      <c r="AB255" s="3"/>
      <c r="AC255" s="3"/>
    </row>
    <row r="256" ht="15.75" customHeight="1">
      <c r="A256" s="8"/>
      <c r="B256" s="8"/>
      <c r="C256" s="8"/>
      <c r="D256" s="8"/>
      <c r="E256" s="2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  <c r="AA256" s="3"/>
      <c r="AB256" s="3"/>
      <c r="AC256" s="3"/>
    </row>
    <row r="257" ht="15.75" customHeight="1">
      <c r="A257" s="8"/>
      <c r="B257" s="8"/>
      <c r="C257" s="8"/>
      <c r="D257" s="8"/>
      <c r="E257" s="2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  <c r="AA257" s="3"/>
      <c r="AB257" s="3"/>
      <c r="AC257" s="3"/>
    </row>
    <row r="258" ht="15.75" customHeight="1">
      <c r="A258" s="8"/>
      <c r="B258" s="8"/>
      <c r="C258" s="8"/>
      <c r="D258" s="8"/>
      <c r="E258" s="2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  <c r="AA258" s="3"/>
      <c r="AB258" s="3"/>
      <c r="AC258" s="3"/>
    </row>
    <row r="259" ht="15.75" customHeight="1">
      <c r="A259" s="8"/>
      <c r="B259" s="8"/>
      <c r="C259" s="8"/>
      <c r="D259" s="8"/>
      <c r="E259" s="2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  <c r="AA259" s="3"/>
      <c r="AB259" s="3"/>
      <c r="AC259" s="3"/>
    </row>
    <row r="260" ht="15.75" customHeight="1">
      <c r="A260" s="8"/>
      <c r="B260" s="8"/>
      <c r="C260" s="8"/>
      <c r="D260" s="8"/>
      <c r="E260" s="2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  <c r="AA260" s="3"/>
      <c r="AB260" s="3"/>
      <c r="AC260" s="3"/>
    </row>
    <row r="261" ht="15.75" customHeight="1">
      <c r="A261" s="8"/>
      <c r="B261" s="8"/>
      <c r="C261" s="8"/>
      <c r="D261" s="8"/>
      <c r="E261" s="2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  <c r="AA261" s="3"/>
      <c r="AB261" s="3"/>
      <c r="AC261" s="3"/>
    </row>
    <row r="262" ht="15.75" customHeight="1">
      <c r="A262" s="8"/>
      <c r="B262" s="8"/>
      <c r="C262" s="8"/>
      <c r="D262" s="8"/>
      <c r="E262" s="2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  <c r="AA262" s="3"/>
      <c r="AB262" s="3"/>
      <c r="AC262" s="3"/>
    </row>
    <row r="263" ht="15.75" customHeight="1">
      <c r="A263" s="8"/>
      <c r="B263" s="8"/>
      <c r="C263" s="8"/>
      <c r="D263" s="8"/>
      <c r="E263" s="2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  <c r="AA263" s="3"/>
      <c r="AB263" s="3"/>
      <c r="AC263" s="3"/>
    </row>
    <row r="264" ht="15.75" customHeight="1">
      <c r="A264" s="8"/>
      <c r="B264" s="8"/>
      <c r="C264" s="8"/>
      <c r="D264" s="8"/>
      <c r="E264" s="2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  <c r="AA264" s="3"/>
      <c r="AB264" s="3"/>
      <c r="AC264" s="3"/>
    </row>
    <row r="265" ht="15.75" customHeight="1">
      <c r="A265" s="8"/>
      <c r="B265" s="8"/>
      <c r="C265" s="8"/>
      <c r="D265" s="8"/>
      <c r="E265" s="2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  <c r="AA265" s="3"/>
      <c r="AB265" s="3"/>
      <c r="AC265" s="3"/>
    </row>
    <row r="266" ht="15.75" customHeight="1">
      <c r="A266" s="8"/>
      <c r="B266" s="8"/>
      <c r="C266" s="8"/>
      <c r="D266" s="8"/>
      <c r="E266" s="2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  <c r="AA266" s="3"/>
      <c r="AB266" s="3"/>
      <c r="AC266" s="3"/>
    </row>
    <row r="267" ht="15.75" customHeight="1">
      <c r="A267" s="8"/>
      <c r="B267" s="8"/>
      <c r="C267" s="8"/>
      <c r="D267" s="8"/>
      <c r="E267" s="2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  <c r="AA267" s="3"/>
      <c r="AB267" s="3"/>
      <c r="AC267" s="3"/>
    </row>
    <row r="268" ht="15.75" customHeight="1">
      <c r="A268" s="8"/>
      <c r="B268" s="8"/>
      <c r="C268" s="8"/>
      <c r="D268" s="8"/>
      <c r="E268" s="2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  <c r="AA268" s="3"/>
      <c r="AB268" s="3"/>
      <c r="AC268" s="3"/>
    </row>
    <row r="269" ht="15.75" customHeight="1">
      <c r="A269" s="8"/>
      <c r="B269" s="8"/>
      <c r="C269" s="8"/>
      <c r="D269" s="8"/>
      <c r="E269" s="2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  <c r="AA269" s="3"/>
      <c r="AB269" s="3"/>
      <c r="AC269" s="3"/>
    </row>
    <row r="270" ht="15.75" customHeight="1">
      <c r="A270" s="8"/>
      <c r="B270" s="8"/>
      <c r="C270" s="8"/>
      <c r="D270" s="8"/>
      <c r="E270" s="2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  <c r="AA270" s="3"/>
      <c r="AB270" s="3"/>
      <c r="AC270" s="3"/>
    </row>
    <row r="271" ht="15.75" customHeight="1">
      <c r="A271" s="8"/>
      <c r="B271" s="8"/>
      <c r="C271" s="8"/>
      <c r="D271" s="8"/>
      <c r="E271" s="2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  <c r="AA271" s="3"/>
      <c r="AB271" s="3"/>
      <c r="AC271" s="3"/>
    </row>
    <row r="272" ht="15.75" customHeight="1">
      <c r="A272" s="8"/>
      <c r="B272" s="8"/>
      <c r="C272" s="8"/>
      <c r="D272" s="8"/>
      <c r="E272" s="2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  <c r="AA272" s="3"/>
      <c r="AB272" s="3"/>
      <c r="AC272" s="3"/>
    </row>
    <row r="273" ht="15.75" customHeight="1">
      <c r="A273" s="8"/>
      <c r="B273" s="8"/>
      <c r="C273" s="8"/>
      <c r="D273" s="8"/>
      <c r="E273" s="2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  <c r="AA273" s="3"/>
      <c r="AB273" s="3"/>
      <c r="AC273" s="3"/>
    </row>
    <row r="274" ht="15.75" customHeight="1">
      <c r="A274" s="8"/>
      <c r="B274" s="8"/>
      <c r="C274" s="8"/>
      <c r="D274" s="8"/>
      <c r="E274" s="2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  <c r="AA274" s="3"/>
      <c r="AB274" s="3"/>
      <c r="AC274" s="3"/>
    </row>
    <row r="275" ht="15.75" customHeight="1">
      <c r="A275" s="8"/>
      <c r="B275" s="8"/>
      <c r="C275" s="8"/>
      <c r="D275" s="8"/>
      <c r="E275" s="2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  <c r="AA275" s="3"/>
      <c r="AB275" s="3"/>
      <c r="AC275" s="3"/>
    </row>
    <row r="276" ht="15.75" customHeight="1">
      <c r="A276" s="8"/>
      <c r="B276" s="8"/>
      <c r="C276" s="8"/>
      <c r="D276" s="8"/>
      <c r="E276" s="2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  <c r="AA276" s="3"/>
      <c r="AB276" s="3"/>
      <c r="AC276" s="3"/>
    </row>
    <row r="277" ht="15.75" customHeight="1">
      <c r="A277" s="8"/>
      <c r="B277" s="8"/>
      <c r="C277" s="8"/>
      <c r="D277" s="8"/>
      <c r="E277" s="2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  <c r="AA277" s="3"/>
      <c r="AB277" s="3"/>
      <c r="AC277" s="3"/>
    </row>
    <row r="278" ht="15.75" customHeight="1">
      <c r="A278" s="8"/>
      <c r="B278" s="8"/>
      <c r="C278" s="8"/>
      <c r="D278" s="8"/>
      <c r="E278" s="2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  <c r="AA278" s="3"/>
      <c r="AB278" s="3"/>
      <c r="AC278" s="3"/>
    </row>
    <row r="279" ht="15.75" customHeight="1">
      <c r="A279" s="8"/>
      <c r="B279" s="8"/>
      <c r="C279" s="8"/>
      <c r="D279" s="8"/>
      <c r="E279" s="2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  <c r="AA279" s="3"/>
      <c r="AB279" s="3"/>
      <c r="AC279" s="3"/>
    </row>
    <row r="280" ht="15.75" customHeight="1">
      <c r="A280" s="8"/>
      <c r="B280" s="8"/>
      <c r="C280" s="8"/>
      <c r="D280" s="8"/>
      <c r="E280" s="2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  <c r="AA280" s="3"/>
      <c r="AB280" s="3"/>
      <c r="AC280" s="3"/>
    </row>
    <row r="281" ht="15.75" customHeight="1">
      <c r="A281" s="8"/>
      <c r="B281" s="8"/>
      <c r="C281" s="8"/>
      <c r="D281" s="8"/>
      <c r="E281" s="2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  <c r="AA281" s="3"/>
      <c r="AB281" s="3"/>
      <c r="AC281" s="3"/>
    </row>
    <row r="282" ht="15.75" customHeight="1">
      <c r="A282" s="8"/>
      <c r="B282" s="8"/>
      <c r="C282" s="8"/>
      <c r="D282" s="8"/>
      <c r="E282" s="2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  <c r="AA282" s="3"/>
      <c r="AB282" s="3"/>
      <c r="AC282" s="3"/>
    </row>
    <row r="283" ht="15.75" customHeight="1">
      <c r="A283" s="8"/>
      <c r="B283" s="8"/>
      <c r="C283" s="8"/>
      <c r="D283" s="8"/>
      <c r="E283" s="2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  <c r="AA283" s="3"/>
      <c r="AB283" s="3"/>
      <c r="AC283" s="3"/>
    </row>
    <row r="284" ht="15.75" customHeight="1">
      <c r="A284" s="8"/>
      <c r="B284" s="8"/>
      <c r="C284" s="8"/>
      <c r="D284" s="8"/>
      <c r="E284" s="2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  <c r="AA284" s="3"/>
      <c r="AB284" s="3"/>
      <c r="AC284" s="3"/>
    </row>
    <row r="285" ht="15.75" customHeight="1">
      <c r="A285" s="8"/>
      <c r="B285" s="8"/>
      <c r="C285" s="8"/>
      <c r="D285" s="8"/>
      <c r="E285" s="2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  <c r="AA285" s="3"/>
      <c r="AB285" s="3"/>
      <c r="AC285" s="3"/>
    </row>
    <row r="286" ht="15.75" customHeight="1">
      <c r="A286" s="8"/>
      <c r="B286" s="8"/>
      <c r="C286" s="8"/>
      <c r="D286" s="8"/>
      <c r="E286" s="2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  <c r="AA286" s="3"/>
      <c r="AB286" s="3"/>
      <c r="AC286" s="3"/>
    </row>
    <row r="287" ht="15.75" customHeight="1">
      <c r="A287" s="8"/>
      <c r="B287" s="8"/>
      <c r="C287" s="8"/>
      <c r="D287" s="8"/>
      <c r="E287" s="2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  <c r="AA287" s="3"/>
      <c r="AB287" s="3"/>
      <c r="AC287" s="3"/>
    </row>
    <row r="288" ht="15.75" customHeight="1">
      <c r="A288" s="8"/>
      <c r="B288" s="8"/>
      <c r="C288" s="8"/>
      <c r="D288" s="8"/>
      <c r="E288" s="2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  <c r="AA288" s="3"/>
      <c r="AB288" s="3"/>
      <c r="AC288" s="3"/>
    </row>
    <row r="289" ht="15.75" customHeight="1">
      <c r="A289" s="8"/>
      <c r="B289" s="8"/>
      <c r="C289" s="8"/>
      <c r="D289" s="8"/>
      <c r="E289" s="2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  <c r="AA289" s="3"/>
      <c r="AB289" s="3"/>
      <c r="AC289" s="3"/>
    </row>
    <row r="290" ht="15.75" customHeight="1">
      <c r="A290" s="8"/>
      <c r="B290" s="8"/>
      <c r="C290" s="8"/>
      <c r="D290" s="8"/>
      <c r="E290" s="2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  <c r="AA290" s="3"/>
      <c r="AB290" s="3"/>
      <c r="AC290" s="3"/>
    </row>
    <row r="291" ht="15.75" customHeight="1">
      <c r="A291" s="8"/>
      <c r="B291" s="8"/>
      <c r="C291" s="8"/>
      <c r="D291" s="8"/>
      <c r="E291" s="2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  <c r="AA291" s="3"/>
      <c r="AB291" s="3"/>
      <c r="AC291" s="3"/>
    </row>
    <row r="292" ht="15.75" customHeight="1">
      <c r="A292" s="8"/>
      <c r="B292" s="8"/>
      <c r="C292" s="8"/>
      <c r="D292" s="8"/>
      <c r="E292" s="2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  <c r="AA292" s="3"/>
      <c r="AB292" s="3"/>
      <c r="AC292" s="3"/>
    </row>
    <row r="293" ht="15.75" customHeight="1">
      <c r="A293" s="8"/>
      <c r="B293" s="8"/>
      <c r="C293" s="8"/>
      <c r="D293" s="8"/>
      <c r="E293" s="2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  <c r="AA293" s="3"/>
      <c r="AB293" s="3"/>
      <c r="AC293" s="3"/>
    </row>
    <row r="294" ht="15.75" customHeight="1">
      <c r="A294" s="8"/>
      <c r="B294" s="8"/>
      <c r="C294" s="8"/>
      <c r="D294" s="8"/>
      <c r="E294" s="2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  <c r="AA294" s="3"/>
      <c r="AB294" s="3"/>
      <c r="AC294" s="3"/>
    </row>
    <row r="295" ht="15.75" customHeight="1">
      <c r="A295" s="8"/>
      <c r="B295" s="8"/>
      <c r="C295" s="8"/>
      <c r="D295" s="8"/>
      <c r="E295" s="2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  <c r="AA295" s="3"/>
      <c r="AB295" s="3"/>
      <c r="AC295" s="3"/>
    </row>
    <row r="296" ht="15.75" customHeight="1">
      <c r="A296" s="8"/>
      <c r="B296" s="8"/>
      <c r="C296" s="8"/>
      <c r="D296" s="8"/>
      <c r="E296" s="2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  <c r="AA296" s="3"/>
      <c r="AB296" s="3"/>
      <c r="AC296" s="3"/>
    </row>
    <row r="297" ht="15.75" customHeight="1">
      <c r="A297" s="8"/>
      <c r="B297" s="8"/>
      <c r="C297" s="8"/>
      <c r="D297" s="8"/>
      <c r="E297" s="2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  <c r="AA297" s="3"/>
      <c r="AB297" s="3"/>
      <c r="AC297" s="3"/>
    </row>
    <row r="298" ht="15.75" customHeight="1">
      <c r="A298" s="8"/>
      <c r="B298" s="8"/>
      <c r="C298" s="8"/>
      <c r="D298" s="8"/>
      <c r="E298" s="2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  <c r="AA298" s="3"/>
      <c r="AB298" s="3"/>
      <c r="AC298" s="3"/>
    </row>
    <row r="299" ht="15.75" customHeight="1">
      <c r="A299" s="8"/>
      <c r="B299" s="8"/>
      <c r="C299" s="8"/>
      <c r="D299" s="8"/>
      <c r="E299" s="2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  <c r="AA299" s="3"/>
      <c r="AB299" s="3"/>
      <c r="AC299" s="3"/>
    </row>
    <row r="300" ht="15.75" customHeight="1">
      <c r="A300" s="8"/>
      <c r="B300" s="8"/>
      <c r="C300" s="8"/>
      <c r="D300" s="8"/>
      <c r="E300" s="2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  <c r="AA300" s="3"/>
      <c r="AB300" s="3"/>
      <c r="AC300" s="3"/>
    </row>
    <row r="301" ht="15.75" customHeight="1">
      <c r="A301" s="8"/>
      <c r="B301" s="8"/>
      <c r="C301" s="8"/>
      <c r="D301" s="8"/>
      <c r="E301" s="2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  <c r="AA301" s="3"/>
      <c r="AB301" s="3"/>
      <c r="AC301" s="3"/>
    </row>
    <row r="302" ht="15.75" customHeight="1">
      <c r="A302" s="8"/>
      <c r="B302" s="8"/>
      <c r="C302" s="8"/>
      <c r="D302" s="8"/>
      <c r="E302" s="2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  <c r="AA302" s="3"/>
      <c r="AB302" s="3"/>
      <c r="AC302" s="3"/>
    </row>
    <row r="303" ht="15.75" customHeight="1">
      <c r="A303" s="8"/>
      <c r="B303" s="8"/>
      <c r="C303" s="8"/>
      <c r="D303" s="8"/>
      <c r="E303" s="2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  <c r="AA303" s="3"/>
      <c r="AB303" s="3"/>
      <c r="AC303" s="3"/>
    </row>
    <row r="304" ht="15.75" customHeight="1">
      <c r="A304" s="8"/>
      <c r="B304" s="8"/>
      <c r="C304" s="8"/>
      <c r="D304" s="8"/>
      <c r="E304" s="2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  <c r="AA304" s="3"/>
      <c r="AB304" s="3"/>
      <c r="AC304" s="3"/>
    </row>
    <row r="305" ht="15.75" customHeight="1">
      <c r="A305" s="8"/>
      <c r="B305" s="8"/>
      <c r="C305" s="8"/>
      <c r="D305" s="8"/>
      <c r="E305" s="2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  <c r="AA305" s="3"/>
      <c r="AB305" s="3"/>
      <c r="AC305" s="3"/>
    </row>
    <row r="306" ht="15.75" customHeight="1">
      <c r="A306" s="8"/>
      <c r="B306" s="8"/>
      <c r="C306" s="8"/>
      <c r="D306" s="8"/>
      <c r="E306" s="2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  <c r="AA306" s="3"/>
      <c r="AB306" s="3"/>
      <c r="AC306" s="3"/>
    </row>
    <row r="307" ht="15.75" customHeight="1">
      <c r="A307" s="8"/>
      <c r="B307" s="8"/>
      <c r="C307" s="8"/>
      <c r="D307" s="8"/>
      <c r="E307" s="2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  <c r="AA307" s="3"/>
      <c r="AB307" s="3"/>
      <c r="AC307" s="3"/>
    </row>
    <row r="308" ht="15.75" customHeight="1">
      <c r="A308" s="8"/>
      <c r="B308" s="8"/>
      <c r="C308" s="8"/>
      <c r="D308" s="8"/>
      <c r="E308" s="2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  <c r="AA308" s="3"/>
      <c r="AB308" s="3"/>
      <c r="AC308" s="3"/>
    </row>
    <row r="309" ht="15.75" customHeight="1">
      <c r="A309" s="8"/>
      <c r="B309" s="8"/>
      <c r="C309" s="8"/>
      <c r="D309" s="8"/>
      <c r="E309" s="2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  <c r="AA309" s="3"/>
      <c r="AB309" s="3"/>
      <c r="AC309" s="3"/>
    </row>
    <row r="310" ht="15.75" customHeight="1">
      <c r="A310" s="8"/>
      <c r="B310" s="8"/>
      <c r="C310" s="8"/>
      <c r="D310" s="8"/>
      <c r="E310" s="2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  <c r="AA310" s="3"/>
      <c r="AB310" s="3"/>
      <c r="AC310" s="3"/>
    </row>
    <row r="311" ht="15.75" customHeight="1">
      <c r="A311" s="8"/>
      <c r="B311" s="8"/>
      <c r="C311" s="8"/>
      <c r="D311" s="8"/>
      <c r="E311" s="2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  <c r="AA311" s="3"/>
      <c r="AB311" s="3"/>
      <c r="AC311" s="3"/>
    </row>
    <row r="312" ht="15.75" customHeight="1">
      <c r="A312" s="8"/>
      <c r="B312" s="8"/>
      <c r="C312" s="8"/>
      <c r="D312" s="8"/>
      <c r="E312" s="2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  <c r="AA312" s="3"/>
      <c r="AB312" s="3"/>
      <c r="AC312" s="3"/>
    </row>
    <row r="313" ht="15.75" customHeight="1">
      <c r="A313" s="8"/>
      <c r="B313" s="8"/>
      <c r="C313" s="8"/>
      <c r="D313" s="8"/>
      <c r="E313" s="2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  <c r="AA313" s="3"/>
      <c r="AB313" s="3"/>
      <c r="AC313" s="3"/>
    </row>
    <row r="314" ht="15.75" customHeight="1">
      <c r="A314" s="8"/>
      <c r="B314" s="8"/>
      <c r="C314" s="8"/>
      <c r="D314" s="8"/>
      <c r="E314" s="2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  <c r="AA314" s="3"/>
      <c r="AB314" s="3"/>
      <c r="AC314" s="3"/>
    </row>
    <row r="315" ht="15.75" customHeight="1">
      <c r="A315" s="8"/>
      <c r="B315" s="8"/>
      <c r="C315" s="8"/>
      <c r="D315" s="8"/>
      <c r="E315" s="2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  <c r="AA315" s="3"/>
      <c r="AB315" s="3"/>
      <c r="AC315" s="3"/>
    </row>
    <row r="316" ht="15.75" customHeight="1">
      <c r="A316" s="8"/>
      <c r="B316" s="8"/>
      <c r="C316" s="8"/>
      <c r="D316" s="8"/>
      <c r="E316" s="2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  <c r="AA316" s="3"/>
      <c r="AB316" s="3"/>
      <c r="AC316" s="3"/>
    </row>
    <row r="317" ht="15.75" customHeight="1">
      <c r="A317" s="8"/>
      <c r="B317" s="8"/>
      <c r="C317" s="8"/>
      <c r="D317" s="8"/>
      <c r="E317" s="2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  <c r="AA317" s="3"/>
      <c r="AB317" s="3"/>
      <c r="AC317" s="3"/>
    </row>
    <row r="318" ht="15.75" customHeight="1">
      <c r="A318" s="8"/>
      <c r="B318" s="8"/>
      <c r="C318" s="8"/>
      <c r="D318" s="8"/>
      <c r="E318" s="2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  <c r="AA318" s="3"/>
      <c r="AB318" s="3"/>
      <c r="AC318" s="3"/>
    </row>
    <row r="319" ht="15.75" customHeight="1">
      <c r="A319" s="8"/>
      <c r="B319" s="8"/>
      <c r="C319" s="8"/>
      <c r="D319" s="8"/>
      <c r="E319" s="2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  <c r="AA319" s="3"/>
      <c r="AB319" s="3"/>
      <c r="AC319" s="3"/>
    </row>
    <row r="320" ht="15.75" customHeight="1">
      <c r="A320" s="8"/>
      <c r="B320" s="8"/>
      <c r="C320" s="8"/>
      <c r="D320" s="8"/>
      <c r="E320" s="2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  <c r="AA320" s="3"/>
      <c r="AB320" s="3"/>
      <c r="AC320" s="3"/>
    </row>
    <row r="321" ht="15.75" customHeight="1">
      <c r="A321" s="8"/>
      <c r="B321" s="8"/>
      <c r="C321" s="8"/>
      <c r="D321" s="8"/>
      <c r="E321" s="2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  <c r="AA321" s="3"/>
      <c r="AB321" s="3"/>
      <c r="AC321" s="3"/>
    </row>
    <row r="322" ht="15.75" customHeight="1">
      <c r="A322" s="8"/>
      <c r="B322" s="8"/>
      <c r="C322" s="8"/>
      <c r="D322" s="8"/>
      <c r="E322" s="2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  <c r="AA322" s="3"/>
      <c r="AB322" s="3"/>
      <c r="AC322" s="3"/>
    </row>
    <row r="323" ht="15.75" customHeight="1">
      <c r="A323" s="8"/>
      <c r="B323" s="8"/>
      <c r="C323" s="8"/>
      <c r="D323" s="8"/>
      <c r="E323" s="2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  <c r="AA323" s="3"/>
      <c r="AB323" s="3"/>
      <c r="AC323" s="3"/>
    </row>
    <row r="324" ht="15.75" customHeight="1">
      <c r="A324" s="8"/>
      <c r="B324" s="8"/>
      <c r="C324" s="8"/>
      <c r="D324" s="8"/>
      <c r="E324" s="2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  <c r="AA324" s="3"/>
      <c r="AB324" s="3"/>
      <c r="AC324" s="3"/>
    </row>
    <row r="325" ht="15.75" customHeight="1">
      <c r="A325" s="8"/>
      <c r="B325" s="8"/>
      <c r="C325" s="8"/>
      <c r="D325" s="8"/>
      <c r="E325" s="2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  <c r="AA325" s="3"/>
      <c r="AB325" s="3"/>
      <c r="AC325" s="3"/>
    </row>
    <row r="326" ht="15.75" customHeight="1">
      <c r="A326" s="8"/>
      <c r="B326" s="8"/>
      <c r="C326" s="8"/>
      <c r="D326" s="8"/>
      <c r="E326" s="2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  <c r="AA326" s="3"/>
      <c r="AB326" s="3"/>
      <c r="AC326" s="3"/>
    </row>
    <row r="327" ht="15.75" customHeight="1">
      <c r="A327" s="8"/>
      <c r="B327" s="8"/>
      <c r="C327" s="8"/>
      <c r="D327" s="8"/>
      <c r="E327" s="2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  <c r="AA327" s="3"/>
      <c r="AB327" s="3"/>
      <c r="AC327" s="3"/>
    </row>
    <row r="328" ht="15.75" customHeight="1">
      <c r="A328" s="8"/>
      <c r="B328" s="8"/>
      <c r="C328" s="8"/>
      <c r="D328" s="8"/>
      <c r="E328" s="2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  <c r="AA328" s="3"/>
      <c r="AB328" s="3"/>
      <c r="AC328" s="3"/>
    </row>
    <row r="329" ht="15.75" customHeight="1">
      <c r="A329" s="8"/>
      <c r="B329" s="8"/>
      <c r="C329" s="8"/>
      <c r="D329" s="8"/>
      <c r="E329" s="2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  <c r="AA329" s="3"/>
      <c r="AB329" s="3"/>
      <c r="AC329" s="3"/>
    </row>
    <row r="330" ht="15.75" customHeight="1">
      <c r="A330" s="8"/>
      <c r="B330" s="8"/>
      <c r="C330" s="8"/>
      <c r="D330" s="8"/>
      <c r="E330" s="2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  <c r="AA330" s="3"/>
      <c r="AB330" s="3"/>
      <c r="AC330" s="3"/>
    </row>
    <row r="331" ht="15.75" customHeight="1">
      <c r="A331" s="8"/>
      <c r="B331" s="8"/>
      <c r="C331" s="8"/>
      <c r="D331" s="8"/>
      <c r="E331" s="2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  <c r="AA331" s="3"/>
      <c r="AB331" s="3"/>
      <c r="AC331" s="3"/>
    </row>
    <row r="332" ht="15.75" customHeight="1">
      <c r="A332" s="8"/>
      <c r="B332" s="8"/>
      <c r="C332" s="8"/>
      <c r="D332" s="8"/>
      <c r="E332" s="2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  <c r="AA332" s="3"/>
      <c r="AB332" s="3"/>
      <c r="AC332" s="3"/>
    </row>
    <row r="333" ht="15.75" customHeight="1">
      <c r="A333" s="8"/>
      <c r="B333" s="8"/>
      <c r="C333" s="8"/>
      <c r="D333" s="8"/>
      <c r="E333" s="2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  <c r="AA333" s="3"/>
      <c r="AB333" s="3"/>
      <c r="AC333" s="3"/>
    </row>
    <row r="334" ht="15.75" customHeight="1">
      <c r="A334" s="8"/>
      <c r="B334" s="8"/>
      <c r="C334" s="8"/>
      <c r="D334" s="8"/>
      <c r="E334" s="2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  <c r="AA334" s="3"/>
      <c r="AB334" s="3"/>
      <c r="AC334" s="3"/>
    </row>
    <row r="335" ht="15.75" customHeight="1">
      <c r="A335" s="8"/>
      <c r="B335" s="8"/>
      <c r="C335" s="8"/>
      <c r="D335" s="8"/>
      <c r="E335" s="2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  <c r="AA335" s="3"/>
      <c r="AB335" s="3"/>
      <c r="AC335" s="3"/>
    </row>
    <row r="336" ht="15.75" customHeight="1">
      <c r="A336" s="8"/>
      <c r="B336" s="8"/>
      <c r="C336" s="8"/>
      <c r="D336" s="8"/>
      <c r="E336" s="2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  <c r="AA336" s="3"/>
      <c r="AB336" s="3"/>
      <c r="AC336" s="3"/>
    </row>
    <row r="337" ht="15.75" customHeight="1">
      <c r="A337" s="8"/>
      <c r="B337" s="8"/>
      <c r="C337" s="8"/>
      <c r="D337" s="8"/>
      <c r="E337" s="2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  <c r="AA337" s="3"/>
      <c r="AB337" s="3"/>
      <c r="AC337" s="3"/>
    </row>
    <row r="338" ht="15.75" customHeight="1">
      <c r="A338" s="8"/>
      <c r="B338" s="8"/>
      <c r="C338" s="8"/>
      <c r="D338" s="8"/>
      <c r="E338" s="2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  <c r="AA338" s="3"/>
      <c r="AB338" s="3"/>
      <c r="AC338" s="3"/>
    </row>
    <row r="339" ht="15.75" customHeight="1">
      <c r="A339" s="8"/>
      <c r="B339" s="8"/>
      <c r="C339" s="8"/>
      <c r="D339" s="8"/>
      <c r="E339" s="2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  <c r="AA339" s="3"/>
      <c r="AB339" s="3"/>
      <c r="AC339" s="3"/>
    </row>
    <row r="340" ht="15.75" customHeight="1">
      <c r="A340" s="8"/>
      <c r="B340" s="8"/>
      <c r="C340" s="8"/>
      <c r="D340" s="8"/>
      <c r="E340" s="2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  <c r="AA340" s="3"/>
      <c r="AB340" s="3"/>
      <c r="AC340" s="3"/>
    </row>
    <row r="341" ht="15.75" customHeight="1">
      <c r="A341" s="8"/>
      <c r="B341" s="8"/>
      <c r="C341" s="8"/>
      <c r="D341" s="8"/>
      <c r="E341" s="2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  <c r="AA341" s="3"/>
      <c r="AB341" s="3"/>
      <c r="AC341" s="3"/>
    </row>
    <row r="342" ht="15.75" customHeight="1">
      <c r="A342" s="8"/>
      <c r="B342" s="8"/>
      <c r="C342" s="8"/>
      <c r="D342" s="8"/>
      <c r="E342" s="2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  <c r="AA342" s="3"/>
      <c r="AB342" s="3"/>
      <c r="AC342" s="3"/>
    </row>
    <row r="343" ht="15.75" customHeight="1">
      <c r="A343" s="8"/>
      <c r="B343" s="8"/>
      <c r="C343" s="8"/>
      <c r="D343" s="8"/>
      <c r="E343" s="2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  <c r="AA343" s="3"/>
      <c r="AB343" s="3"/>
      <c r="AC343" s="3"/>
    </row>
    <row r="344" ht="15.75" customHeight="1">
      <c r="A344" s="8"/>
      <c r="B344" s="8"/>
      <c r="C344" s="8"/>
      <c r="D344" s="8"/>
      <c r="E344" s="2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  <c r="AA344" s="3"/>
      <c r="AB344" s="3"/>
      <c r="AC344" s="3"/>
    </row>
    <row r="345" ht="15.75" customHeight="1">
      <c r="A345" s="8"/>
      <c r="B345" s="8"/>
      <c r="C345" s="8"/>
      <c r="D345" s="8"/>
      <c r="E345" s="2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  <c r="AA345" s="3"/>
      <c r="AB345" s="3"/>
      <c r="AC345" s="3"/>
    </row>
    <row r="346" ht="15.75" customHeight="1">
      <c r="A346" s="8"/>
      <c r="B346" s="8"/>
      <c r="C346" s="8"/>
      <c r="D346" s="8"/>
      <c r="E346" s="2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  <c r="AA346" s="3"/>
      <c r="AB346" s="3"/>
      <c r="AC346" s="3"/>
    </row>
    <row r="347" ht="15.75" customHeight="1">
      <c r="A347" s="8"/>
      <c r="B347" s="8"/>
      <c r="C347" s="8"/>
      <c r="D347" s="8"/>
      <c r="E347" s="2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  <c r="AA347" s="3"/>
      <c r="AB347" s="3"/>
      <c r="AC347" s="3"/>
    </row>
    <row r="348" ht="15.75" customHeight="1">
      <c r="A348" s="8"/>
      <c r="B348" s="8"/>
      <c r="C348" s="8"/>
      <c r="D348" s="8"/>
      <c r="E348" s="2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  <c r="AA348" s="3"/>
      <c r="AB348" s="3"/>
      <c r="AC348" s="3"/>
    </row>
    <row r="349" ht="15.75" customHeight="1">
      <c r="A349" s="8"/>
      <c r="B349" s="8"/>
      <c r="C349" s="8"/>
      <c r="D349" s="8"/>
      <c r="E349" s="2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  <c r="AA349" s="3"/>
      <c r="AB349" s="3"/>
      <c r="AC349" s="3"/>
    </row>
    <row r="350" ht="15.75" customHeight="1">
      <c r="A350" s="8"/>
      <c r="B350" s="8"/>
      <c r="C350" s="8"/>
      <c r="D350" s="8"/>
      <c r="E350" s="2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  <c r="AA350" s="3"/>
      <c r="AB350" s="3"/>
      <c r="AC350" s="3"/>
    </row>
    <row r="351" ht="15.75" customHeight="1">
      <c r="A351" s="8"/>
      <c r="B351" s="8"/>
      <c r="C351" s="8"/>
      <c r="D351" s="8"/>
      <c r="E351" s="2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  <c r="AA351" s="3"/>
      <c r="AB351" s="3"/>
      <c r="AC351" s="3"/>
    </row>
    <row r="352" ht="15.75" customHeight="1">
      <c r="A352" s="8"/>
      <c r="B352" s="8"/>
      <c r="C352" s="8"/>
      <c r="D352" s="8"/>
      <c r="E352" s="2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  <c r="AA352" s="3"/>
      <c r="AB352" s="3"/>
      <c r="AC352" s="3"/>
    </row>
    <row r="353" ht="15.75" customHeight="1">
      <c r="A353" s="8"/>
      <c r="B353" s="8"/>
      <c r="C353" s="8"/>
      <c r="D353" s="8"/>
      <c r="E353" s="2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  <c r="AA353" s="3"/>
      <c r="AB353" s="3"/>
      <c r="AC353" s="3"/>
    </row>
    <row r="354" ht="15.75" customHeight="1">
      <c r="A354" s="8"/>
      <c r="B354" s="8"/>
      <c r="C354" s="8"/>
      <c r="D354" s="8"/>
      <c r="E354" s="2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  <c r="AA354" s="3"/>
      <c r="AB354" s="3"/>
      <c r="AC354" s="3"/>
    </row>
    <row r="355" ht="15.75" customHeight="1">
      <c r="A355" s="8"/>
      <c r="B355" s="8"/>
      <c r="C355" s="8"/>
      <c r="D355" s="8"/>
      <c r="E355" s="2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  <c r="AA355" s="3"/>
      <c r="AB355" s="3"/>
      <c r="AC355" s="3"/>
    </row>
    <row r="356" ht="15.75" customHeight="1">
      <c r="A356" s="8"/>
      <c r="B356" s="8"/>
      <c r="C356" s="8"/>
      <c r="D356" s="8"/>
      <c r="E356" s="2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  <c r="AA356" s="3"/>
      <c r="AB356" s="3"/>
      <c r="AC356" s="3"/>
    </row>
    <row r="357" ht="15.75" customHeight="1">
      <c r="A357" s="8"/>
      <c r="B357" s="8"/>
      <c r="C357" s="8"/>
      <c r="D357" s="8"/>
      <c r="E357" s="2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  <c r="AA357" s="3"/>
      <c r="AB357" s="3"/>
      <c r="AC357" s="3"/>
    </row>
    <row r="358" ht="15.75" customHeight="1">
      <c r="A358" s="8"/>
      <c r="B358" s="8"/>
      <c r="C358" s="8"/>
      <c r="D358" s="8"/>
      <c r="E358" s="2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  <c r="AA358" s="3"/>
      <c r="AB358" s="3"/>
      <c r="AC358" s="3"/>
    </row>
    <row r="359" ht="15.75" customHeight="1">
      <c r="A359" s="8"/>
      <c r="B359" s="8"/>
      <c r="C359" s="8"/>
      <c r="D359" s="8"/>
      <c r="E359" s="2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  <c r="AA359" s="3"/>
      <c r="AB359" s="3"/>
      <c r="AC359" s="3"/>
    </row>
    <row r="360" ht="15.75" customHeight="1">
      <c r="A360" s="8"/>
      <c r="B360" s="8"/>
      <c r="C360" s="8"/>
      <c r="D360" s="8"/>
      <c r="E360" s="2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  <c r="AA360" s="3"/>
      <c r="AB360" s="3"/>
      <c r="AC360" s="3"/>
    </row>
    <row r="361" ht="15.75" customHeight="1">
      <c r="A361" s="8"/>
      <c r="B361" s="8"/>
      <c r="C361" s="8"/>
      <c r="D361" s="8"/>
      <c r="E361" s="2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  <c r="AA361" s="3"/>
      <c r="AB361" s="3"/>
      <c r="AC361" s="3"/>
    </row>
    <row r="362" ht="15.75" customHeight="1">
      <c r="A362" s="8"/>
      <c r="B362" s="8"/>
      <c r="C362" s="8"/>
      <c r="D362" s="8"/>
      <c r="E362" s="2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  <c r="AA362" s="3"/>
      <c r="AB362" s="3"/>
      <c r="AC362" s="3"/>
    </row>
    <row r="363" ht="15.75" customHeight="1">
      <c r="A363" s="8"/>
      <c r="B363" s="8"/>
      <c r="C363" s="8"/>
      <c r="D363" s="8"/>
      <c r="E363" s="2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  <c r="AA363" s="3"/>
      <c r="AB363" s="3"/>
      <c r="AC363" s="3"/>
    </row>
    <row r="364" ht="15.75" customHeight="1">
      <c r="A364" s="8"/>
      <c r="B364" s="8"/>
      <c r="C364" s="8"/>
      <c r="D364" s="8"/>
      <c r="E364" s="2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  <c r="AA364" s="3"/>
      <c r="AB364" s="3"/>
      <c r="AC364" s="3"/>
    </row>
    <row r="365" ht="15.75" customHeight="1">
      <c r="A365" s="8"/>
      <c r="B365" s="8"/>
      <c r="C365" s="8"/>
      <c r="D365" s="8"/>
      <c r="E365" s="2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  <c r="AA365" s="3"/>
      <c r="AB365" s="3"/>
      <c r="AC365" s="3"/>
    </row>
    <row r="366" ht="15.75" customHeight="1">
      <c r="A366" s="8"/>
      <c r="B366" s="8"/>
      <c r="C366" s="8"/>
      <c r="D366" s="8"/>
      <c r="E366" s="2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  <c r="AA366" s="3"/>
      <c r="AB366" s="3"/>
      <c r="AC366" s="3"/>
    </row>
    <row r="367" ht="15.75" customHeight="1">
      <c r="A367" s="8"/>
      <c r="B367" s="8"/>
      <c r="C367" s="8"/>
      <c r="D367" s="8"/>
      <c r="E367" s="2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  <c r="AA367" s="3"/>
      <c r="AB367" s="3"/>
      <c r="AC367" s="3"/>
    </row>
    <row r="368" ht="15.75" customHeight="1">
      <c r="A368" s="8"/>
      <c r="B368" s="8"/>
      <c r="C368" s="8"/>
      <c r="D368" s="8"/>
      <c r="E368" s="2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  <c r="AA368" s="3"/>
      <c r="AB368" s="3"/>
      <c r="AC368" s="3"/>
    </row>
    <row r="369" ht="15.75" customHeight="1">
      <c r="A369" s="8"/>
      <c r="B369" s="8"/>
      <c r="C369" s="8"/>
      <c r="D369" s="8"/>
      <c r="E369" s="2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  <c r="AA369" s="3"/>
      <c r="AB369" s="3"/>
      <c r="AC369" s="3"/>
    </row>
    <row r="370" ht="15.75" customHeight="1">
      <c r="A370" s="8"/>
      <c r="B370" s="8"/>
      <c r="C370" s="8"/>
      <c r="D370" s="8"/>
      <c r="E370" s="2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  <c r="AA370" s="3"/>
      <c r="AB370" s="3"/>
      <c r="AC370" s="3"/>
    </row>
    <row r="371" ht="15.75" customHeight="1">
      <c r="A371" s="8"/>
      <c r="B371" s="8"/>
      <c r="C371" s="8"/>
      <c r="D371" s="8"/>
      <c r="E371" s="2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  <c r="AA371" s="3"/>
      <c r="AB371" s="3"/>
      <c r="AC371" s="3"/>
    </row>
    <row r="372" ht="15.75" customHeight="1">
      <c r="A372" s="8"/>
      <c r="B372" s="8"/>
      <c r="C372" s="8"/>
      <c r="D372" s="8"/>
      <c r="E372" s="2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  <c r="AA372" s="3"/>
      <c r="AB372" s="3"/>
      <c r="AC372" s="3"/>
    </row>
    <row r="373" ht="15.75" customHeight="1">
      <c r="A373" s="8"/>
      <c r="B373" s="8"/>
      <c r="C373" s="8"/>
      <c r="D373" s="8"/>
      <c r="E373" s="2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  <c r="AA373" s="3"/>
      <c r="AB373" s="3"/>
      <c r="AC373" s="3"/>
    </row>
    <row r="374" ht="15.75" customHeight="1">
      <c r="A374" s="8"/>
      <c r="B374" s="8"/>
      <c r="C374" s="8"/>
      <c r="D374" s="8"/>
      <c r="E374" s="2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  <c r="AA374" s="3"/>
      <c r="AB374" s="3"/>
      <c r="AC374" s="3"/>
    </row>
    <row r="375" ht="15.75" customHeight="1">
      <c r="A375" s="8"/>
      <c r="B375" s="8"/>
      <c r="C375" s="8"/>
      <c r="D375" s="8"/>
      <c r="E375" s="2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  <c r="AA375" s="3"/>
      <c r="AB375" s="3"/>
      <c r="AC375" s="3"/>
    </row>
    <row r="376" ht="15.75" customHeight="1">
      <c r="A376" s="8"/>
      <c r="B376" s="8"/>
      <c r="C376" s="8"/>
      <c r="D376" s="8"/>
      <c r="E376" s="2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  <c r="AA376" s="3"/>
      <c r="AB376" s="3"/>
      <c r="AC376" s="3"/>
    </row>
    <row r="377" ht="15.75" customHeight="1">
      <c r="A377" s="8"/>
      <c r="B377" s="8"/>
      <c r="C377" s="8"/>
      <c r="D377" s="8"/>
      <c r="E377" s="2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  <c r="AA377" s="3"/>
      <c r="AB377" s="3"/>
      <c r="AC377" s="3"/>
    </row>
    <row r="378" ht="15.75" customHeight="1">
      <c r="A378" s="8"/>
      <c r="B378" s="8"/>
      <c r="C378" s="8"/>
      <c r="D378" s="8"/>
      <c r="E378" s="2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  <c r="AA378" s="3"/>
      <c r="AB378" s="3"/>
      <c r="AC378" s="3"/>
    </row>
    <row r="379" ht="15.75" customHeight="1">
      <c r="A379" s="8"/>
      <c r="B379" s="8"/>
      <c r="C379" s="8"/>
      <c r="D379" s="8"/>
      <c r="E379" s="2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  <c r="AA379" s="3"/>
      <c r="AB379" s="3"/>
      <c r="AC379" s="3"/>
    </row>
    <row r="380" ht="15.75" customHeight="1">
      <c r="A380" s="8"/>
      <c r="B380" s="8"/>
      <c r="C380" s="8"/>
      <c r="D380" s="8"/>
      <c r="E380" s="2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  <c r="AA380" s="3"/>
      <c r="AB380" s="3"/>
      <c r="AC380" s="3"/>
    </row>
    <row r="381" ht="15.75" customHeight="1">
      <c r="A381" s="8"/>
      <c r="B381" s="8"/>
      <c r="C381" s="8"/>
      <c r="D381" s="8"/>
      <c r="E381" s="2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  <c r="AA381" s="3"/>
      <c r="AB381" s="3"/>
      <c r="AC381" s="3"/>
    </row>
    <row r="382" ht="15.75" customHeight="1">
      <c r="A382" s="8"/>
      <c r="B382" s="8"/>
      <c r="C382" s="8"/>
      <c r="D382" s="8"/>
      <c r="E382" s="2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  <c r="AA382" s="3"/>
      <c r="AB382" s="3"/>
      <c r="AC382" s="3"/>
    </row>
    <row r="383" ht="15.75" customHeight="1">
      <c r="A383" s="8"/>
      <c r="B383" s="8"/>
      <c r="C383" s="8"/>
      <c r="D383" s="8"/>
      <c r="E383" s="2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  <c r="AA383" s="3"/>
      <c r="AB383" s="3"/>
      <c r="AC383" s="3"/>
    </row>
    <row r="384" ht="15.75" customHeight="1">
      <c r="A384" s="8"/>
      <c r="B384" s="8"/>
      <c r="C384" s="8"/>
      <c r="D384" s="8"/>
      <c r="E384" s="2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  <c r="AA384" s="3"/>
      <c r="AB384" s="3"/>
      <c r="AC384" s="3"/>
    </row>
    <row r="385" ht="15.75" customHeight="1">
      <c r="A385" s="8"/>
      <c r="B385" s="8"/>
      <c r="C385" s="8"/>
      <c r="D385" s="8"/>
      <c r="E385" s="2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  <c r="AA385" s="3"/>
      <c r="AB385" s="3"/>
      <c r="AC385" s="3"/>
    </row>
    <row r="386" ht="15.75" customHeight="1">
      <c r="A386" s="8"/>
      <c r="B386" s="8"/>
      <c r="C386" s="8"/>
      <c r="D386" s="8"/>
      <c r="E386" s="2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  <c r="AA386" s="3"/>
      <c r="AB386" s="3"/>
      <c r="AC386" s="3"/>
    </row>
    <row r="387" ht="15.75" customHeight="1">
      <c r="A387" s="8"/>
      <c r="B387" s="8"/>
      <c r="C387" s="8"/>
      <c r="D387" s="8"/>
      <c r="E387" s="2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  <c r="AA387" s="3"/>
      <c r="AB387" s="3"/>
      <c r="AC387" s="3"/>
    </row>
    <row r="388" ht="15.75" customHeight="1">
      <c r="A388" s="8"/>
      <c r="B388" s="8"/>
      <c r="C388" s="8"/>
      <c r="D388" s="8"/>
      <c r="E388" s="2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  <c r="AA388" s="3"/>
      <c r="AB388" s="3"/>
      <c r="AC388" s="3"/>
    </row>
    <row r="389" ht="15.75" customHeight="1">
      <c r="A389" s="8"/>
      <c r="B389" s="8"/>
      <c r="C389" s="8"/>
      <c r="D389" s="8"/>
      <c r="E389" s="2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  <c r="AA389" s="3"/>
      <c r="AB389" s="3"/>
      <c r="AC389" s="3"/>
    </row>
    <row r="390" ht="15.75" customHeight="1">
      <c r="A390" s="8"/>
      <c r="B390" s="8"/>
      <c r="C390" s="8"/>
      <c r="D390" s="8"/>
      <c r="E390" s="2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  <c r="AA390" s="3"/>
      <c r="AB390" s="3"/>
      <c r="AC390" s="3"/>
    </row>
    <row r="391" ht="15.75" customHeight="1">
      <c r="A391" s="8"/>
      <c r="B391" s="8"/>
      <c r="C391" s="8"/>
      <c r="D391" s="8"/>
      <c r="E391" s="2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  <c r="AA391" s="3"/>
      <c r="AB391" s="3"/>
      <c r="AC391" s="3"/>
    </row>
    <row r="392" ht="15.75" customHeight="1">
      <c r="A392" s="8"/>
      <c r="B392" s="8"/>
      <c r="C392" s="8"/>
      <c r="D392" s="8"/>
      <c r="E392" s="2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  <c r="AA392" s="3"/>
      <c r="AB392" s="3"/>
      <c r="AC392" s="3"/>
    </row>
    <row r="393" ht="15.75" customHeight="1">
      <c r="A393" s="8"/>
      <c r="B393" s="8"/>
      <c r="C393" s="8"/>
      <c r="D393" s="8"/>
      <c r="E393" s="2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  <c r="AA393" s="3"/>
      <c r="AB393" s="3"/>
      <c r="AC393" s="3"/>
    </row>
    <row r="394" ht="15.75" customHeight="1">
      <c r="A394" s="8"/>
      <c r="B394" s="8"/>
      <c r="C394" s="8"/>
      <c r="D394" s="8"/>
      <c r="E394" s="2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  <c r="AA394" s="3"/>
      <c r="AB394" s="3"/>
      <c r="AC394" s="3"/>
    </row>
    <row r="395" ht="15.75" customHeight="1">
      <c r="A395" s="8"/>
      <c r="B395" s="8"/>
      <c r="C395" s="8"/>
      <c r="D395" s="8"/>
      <c r="E395" s="2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  <c r="AA395" s="3"/>
      <c r="AB395" s="3"/>
      <c r="AC395" s="3"/>
    </row>
    <row r="396" ht="15.75" customHeight="1">
      <c r="A396" s="8"/>
      <c r="B396" s="8"/>
      <c r="C396" s="8"/>
      <c r="D396" s="8"/>
      <c r="E396" s="2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  <c r="AA396" s="3"/>
      <c r="AB396" s="3"/>
      <c r="AC396" s="3"/>
    </row>
    <row r="397" ht="15.75" customHeight="1">
      <c r="A397" s="8"/>
      <c r="B397" s="8"/>
      <c r="C397" s="8"/>
      <c r="D397" s="8"/>
      <c r="E397" s="2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  <c r="AA397" s="3"/>
      <c r="AB397" s="3"/>
      <c r="AC397" s="3"/>
    </row>
    <row r="398" ht="15.75" customHeight="1">
      <c r="A398" s="8"/>
      <c r="B398" s="8"/>
      <c r="C398" s="8"/>
      <c r="D398" s="8"/>
      <c r="E398" s="2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  <c r="AA398" s="3"/>
      <c r="AB398" s="3"/>
      <c r="AC398" s="3"/>
    </row>
    <row r="399" ht="15.75" customHeight="1">
      <c r="A399" s="8"/>
      <c r="B399" s="8"/>
      <c r="C399" s="8"/>
      <c r="D399" s="8"/>
      <c r="E399" s="2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  <c r="AA399" s="3"/>
      <c r="AB399" s="3"/>
      <c r="AC399" s="3"/>
    </row>
    <row r="400" ht="15.75" customHeight="1">
      <c r="A400" s="8"/>
      <c r="B400" s="8"/>
      <c r="C400" s="8"/>
      <c r="D400" s="8"/>
      <c r="E400" s="2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  <c r="AA400" s="3"/>
      <c r="AB400" s="3"/>
      <c r="AC400" s="3"/>
    </row>
    <row r="401" ht="15.75" customHeight="1">
      <c r="A401" s="8"/>
      <c r="B401" s="8"/>
      <c r="C401" s="8"/>
      <c r="D401" s="8"/>
      <c r="E401" s="2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  <c r="AA401" s="3"/>
      <c r="AB401" s="3"/>
      <c r="AC401" s="3"/>
    </row>
    <row r="402" ht="15.75" customHeight="1">
      <c r="A402" s="8"/>
      <c r="B402" s="8"/>
      <c r="C402" s="8"/>
      <c r="D402" s="8"/>
      <c r="E402" s="2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  <c r="AA402" s="3"/>
      <c r="AB402" s="3"/>
      <c r="AC402" s="3"/>
    </row>
    <row r="403" ht="15.75" customHeight="1">
      <c r="A403" s="8"/>
      <c r="B403" s="8"/>
      <c r="C403" s="8"/>
      <c r="D403" s="8"/>
      <c r="E403" s="2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  <c r="AA403" s="3"/>
      <c r="AB403" s="3"/>
      <c r="AC403" s="3"/>
    </row>
    <row r="404" ht="15.75" customHeight="1">
      <c r="A404" s="8"/>
      <c r="B404" s="8"/>
      <c r="C404" s="8"/>
      <c r="D404" s="8"/>
      <c r="E404" s="2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  <c r="AA404" s="3"/>
      <c r="AB404" s="3"/>
      <c r="AC404" s="3"/>
    </row>
    <row r="405" ht="15.75" customHeight="1">
      <c r="A405" s="8"/>
      <c r="B405" s="8"/>
      <c r="C405" s="8"/>
      <c r="D405" s="8"/>
      <c r="E405" s="2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  <c r="AA405" s="3"/>
      <c r="AB405" s="3"/>
      <c r="AC405" s="3"/>
    </row>
    <row r="406" ht="15.75" customHeight="1">
      <c r="A406" s="8"/>
      <c r="B406" s="8"/>
      <c r="C406" s="8"/>
      <c r="D406" s="8"/>
      <c r="E406" s="2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  <c r="AA406" s="3"/>
      <c r="AB406" s="3"/>
      <c r="AC406" s="3"/>
    </row>
    <row r="407" ht="15.75" customHeight="1">
      <c r="A407" s="8"/>
      <c r="B407" s="8"/>
      <c r="C407" s="8"/>
      <c r="D407" s="8"/>
      <c r="E407" s="2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  <c r="AA407" s="3"/>
      <c r="AB407" s="3"/>
      <c r="AC407" s="3"/>
    </row>
    <row r="408" ht="15.75" customHeight="1">
      <c r="A408" s="8"/>
      <c r="B408" s="8"/>
      <c r="C408" s="8"/>
      <c r="D408" s="8"/>
      <c r="E408" s="2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  <c r="AA408" s="3"/>
      <c r="AB408" s="3"/>
      <c r="AC408" s="3"/>
    </row>
    <row r="409" ht="15.75" customHeight="1">
      <c r="A409" s="8"/>
      <c r="B409" s="8"/>
      <c r="C409" s="8"/>
      <c r="D409" s="8"/>
      <c r="E409" s="2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  <c r="AA409" s="3"/>
      <c r="AB409" s="3"/>
      <c r="AC409" s="3"/>
    </row>
    <row r="410" ht="15.75" customHeight="1">
      <c r="A410" s="8"/>
      <c r="B410" s="8"/>
      <c r="C410" s="8"/>
      <c r="D410" s="8"/>
      <c r="E410" s="2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  <c r="AA410" s="3"/>
      <c r="AB410" s="3"/>
      <c r="AC410" s="3"/>
    </row>
    <row r="411" ht="15.75" customHeight="1">
      <c r="A411" s="8"/>
      <c r="B411" s="8"/>
      <c r="C411" s="8"/>
      <c r="D411" s="8"/>
      <c r="E411" s="2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  <c r="AA411" s="3"/>
      <c r="AB411" s="3"/>
      <c r="AC411" s="3"/>
    </row>
    <row r="412" ht="15.75" customHeight="1">
      <c r="A412" s="8"/>
      <c r="B412" s="8"/>
      <c r="C412" s="8"/>
      <c r="D412" s="8"/>
      <c r="E412" s="2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  <c r="AA412" s="3"/>
      <c r="AB412" s="3"/>
      <c r="AC412" s="3"/>
    </row>
    <row r="413" ht="15.75" customHeight="1">
      <c r="A413" s="8"/>
      <c r="B413" s="8"/>
      <c r="C413" s="8"/>
      <c r="D413" s="8"/>
      <c r="E413" s="2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  <c r="AA413" s="3"/>
      <c r="AB413" s="3"/>
      <c r="AC413" s="3"/>
    </row>
    <row r="414" ht="15.75" customHeight="1">
      <c r="A414" s="8"/>
      <c r="B414" s="8"/>
      <c r="C414" s="8"/>
      <c r="D414" s="8"/>
      <c r="E414" s="2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  <c r="AA414" s="3"/>
      <c r="AB414" s="3"/>
      <c r="AC414" s="3"/>
    </row>
    <row r="415" ht="15.75" customHeight="1">
      <c r="A415" s="8"/>
      <c r="B415" s="8"/>
      <c r="C415" s="8"/>
      <c r="D415" s="8"/>
      <c r="E415" s="2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  <c r="AA415" s="3"/>
      <c r="AB415" s="3"/>
      <c r="AC415" s="3"/>
    </row>
    <row r="416" ht="15.75" customHeight="1">
      <c r="A416" s="8"/>
      <c r="B416" s="8"/>
      <c r="C416" s="8"/>
      <c r="D416" s="8"/>
      <c r="E416" s="2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  <c r="AA416" s="3"/>
      <c r="AB416" s="3"/>
      <c r="AC416" s="3"/>
    </row>
    <row r="417" ht="15.75" customHeight="1">
      <c r="A417" s="8"/>
      <c r="B417" s="8"/>
      <c r="C417" s="8"/>
      <c r="D417" s="8"/>
      <c r="E417" s="2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  <c r="AA417" s="3"/>
      <c r="AB417" s="3"/>
      <c r="AC417" s="3"/>
    </row>
    <row r="418" ht="15.75" customHeight="1">
      <c r="A418" s="8"/>
      <c r="B418" s="8"/>
      <c r="C418" s="8"/>
      <c r="D418" s="8"/>
      <c r="E418" s="2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  <c r="AA418" s="3"/>
      <c r="AB418" s="3"/>
      <c r="AC418" s="3"/>
    </row>
    <row r="419" ht="15.75" customHeight="1">
      <c r="A419" s="8"/>
      <c r="B419" s="8"/>
      <c r="C419" s="8"/>
      <c r="D419" s="8"/>
      <c r="E419" s="2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  <c r="AA419" s="3"/>
      <c r="AB419" s="3"/>
      <c r="AC419" s="3"/>
    </row>
    <row r="420" ht="15.75" customHeight="1">
      <c r="A420" s="8"/>
      <c r="B420" s="8"/>
      <c r="C420" s="8"/>
      <c r="D420" s="8"/>
      <c r="E420" s="2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  <c r="AA420" s="3"/>
      <c r="AB420" s="3"/>
      <c r="AC420" s="3"/>
    </row>
    <row r="421" ht="15.75" customHeight="1">
      <c r="A421" s="8"/>
      <c r="B421" s="8"/>
      <c r="C421" s="8"/>
      <c r="D421" s="8"/>
      <c r="E421" s="2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  <c r="AA421" s="3"/>
      <c r="AB421" s="3"/>
      <c r="AC421" s="3"/>
    </row>
    <row r="422" ht="15.75" customHeight="1">
      <c r="A422" s="8"/>
      <c r="B422" s="8"/>
      <c r="C422" s="8"/>
      <c r="D422" s="8"/>
      <c r="E422" s="2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  <c r="AA422" s="3"/>
      <c r="AB422" s="3"/>
      <c r="AC422" s="3"/>
    </row>
    <row r="423" ht="15.75" customHeight="1">
      <c r="A423" s="8"/>
      <c r="B423" s="8"/>
      <c r="C423" s="8"/>
      <c r="D423" s="8"/>
      <c r="E423" s="2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  <c r="AA423" s="3"/>
      <c r="AB423" s="3"/>
      <c r="AC423" s="3"/>
    </row>
    <row r="424" ht="15.75" customHeight="1">
      <c r="A424" s="8"/>
      <c r="B424" s="8"/>
      <c r="C424" s="8"/>
      <c r="D424" s="8"/>
      <c r="E424" s="2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  <c r="AA424" s="3"/>
      <c r="AB424" s="3"/>
      <c r="AC424" s="3"/>
    </row>
    <row r="425" ht="15.75" customHeight="1">
      <c r="A425" s="8"/>
      <c r="B425" s="8"/>
      <c r="C425" s="8"/>
      <c r="D425" s="8"/>
      <c r="E425" s="2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  <c r="AA425" s="3"/>
      <c r="AB425" s="3"/>
      <c r="AC425" s="3"/>
    </row>
    <row r="426" ht="15.75" customHeight="1">
      <c r="A426" s="8"/>
      <c r="B426" s="8"/>
      <c r="C426" s="8"/>
      <c r="D426" s="8"/>
      <c r="E426" s="2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  <c r="AA426" s="3"/>
      <c r="AB426" s="3"/>
      <c r="AC426" s="3"/>
    </row>
    <row r="427" ht="15.75" customHeight="1">
      <c r="A427" s="8"/>
      <c r="B427" s="8"/>
      <c r="C427" s="8"/>
      <c r="D427" s="8"/>
      <c r="E427" s="2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  <c r="AA427" s="3"/>
      <c r="AB427" s="3"/>
      <c r="AC427" s="3"/>
    </row>
    <row r="428" ht="15.75" customHeight="1">
      <c r="A428" s="8"/>
      <c r="B428" s="8"/>
      <c r="C428" s="8"/>
      <c r="D428" s="8"/>
      <c r="E428" s="2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  <c r="AA428" s="3"/>
      <c r="AB428" s="3"/>
      <c r="AC428" s="3"/>
    </row>
    <row r="429" ht="15.75" customHeight="1">
      <c r="A429" s="8"/>
      <c r="B429" s="8"/>
      <c r="C429" s="8"/>
      <c r="D429" s="8"/>
      <c r="E429" s="2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  <c r="AA429" s="3"/>
      <c r="AB429" s="3"/>
      <c r="AC429" s="3"/>
    </row>
    <row r="430" ht="15.75" customHeight="1">
      <c r="A430" s="8"/>
      <c r="B430" s="8"/>
      <c r="C430" s="8"/>
      <c r="D430" s="8"/>
      <c r="E430" s="2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  <c r="AA430" s="3"/>
      <c r="AB430" s="3"/>
      <c r="AC430" s="3"/>
    </row>
    <row r="431" ht="15.75" customHeight="1">
      <c r="A431" s="8"/>
      <c r="B431" s="8"/>
      <c r="C431" s="8"/>
      <c r="D431" s="8"/>
      <c r="E431" s="2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  <c r="AA431" s="3"/>
      <c r="AB431" s="3"/>
      <c r="AC431" s="3"/>
    </row>
    <row r="432" ht="15.75" customHeight="1">
      <c r="A432" s="8"/>
      <c r="B432" s="8"/>
      <c r="C432" s="8"/>
      <c r="D432" s="8"/>
      <c r="E432" s="2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  <c r="AA432" s="3"/>
      <c r="AB432" s="3"/>
      <c r="AC432" s="3"/>
    </row>
    <row r="433" ht="15.75" customHeight="1">
      <c r="A433" s="8"/>
      <c r="B433" s="8"/>
      <c r="C433" s="8"/>
      <c r="D433" s="8"/>
      <c r="E433" s="2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  <c r="AA433" s="3"/>
      <c r="AB433" s="3"/>
      <c r="AC433" s="3"/>
    </row>
    <row r="434" ht="15.75" customHeight="1">
      <c r="A434" s="8"/>
      <c r="B434" s="8"/>
      <c r="C434" s="8"/>
      <c r="D434" s="8"/>
      <c r="E434" s="2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  <c r="AA434" s="3"/>
      <c r="AB434" s="3"/>
      <c r="AC434" s="3"/>
    </row>
    <row r="435" ht="15.75" customHeight="1">
      <c r="A435" s="8"/>
      <c r="B435" s="8"/>
      <c r="C435" s="8"/>
      <c r="D435" s="8"/>
      <c r="E435" s="2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  <c r="AA435" s="3"/>
      <c r="AB435" s="3"/>
      <c r="AC435" s="3"/>
    </row>
    <row r="436" ht="15.75" customHeight="1">
      <c r="A436" s="8"/>
      <c r="B436" s="8"/>
      <c r="C436" s="8"/>
      <c r="D436" s="8"/>
      <c r="E436" s="2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  <c r="AA436" s="3"/>
      <c r="AB436" s="3"/>
      <c r="AC436" s="3"/>
    </row>
    <row r="437" ht="15.75" customHeight="1">
      <c r="A437" s="8"/>
      <c r="B437" s="8"/>
      <c r="C437" s="8"/>
      <c r="D437" s="8"/>
      <c r="E437" s="2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  <c r="AA437" s="3"/>
      <c r="AB437" s="3"/>
      <c r="AC437" s="3"/>
    </row>
    <row r="438" ht="15.75" customHeight="1">
      <c r="A438" s="8"/>
      <c r="B438" s="8"/>
      <c r="C438" s="8"/>
      <c r="D438" s="8"/>
      <c r="E438" s="2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  <c r="AA438" s="3"/>
      <c r="AB438" s="3"/>
      <c r="AC438" s="3"/>
    </row>
    <row r="439" ht="15.75" customHeight="1">
      <c r="A439" s="8"/>
      <c r="B439" s="8"/>
      <c r="C439" s="8"/>
      <c r="D439" s="8"/>
      <c r="E439" s="2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  <c r="AA439" s="3"/>
      <c r="AB439" s="3"/>
      <c r="AC439" s="3"/>
    </row>
    <row r="440" ht="15.75" customHeight="1">
      <c r="A440" s="8"/>
      <c r="B440" s="8"/>
      <c r="C440" s="8"/>
      <c r="D440" s="8"/>
      <c r="E440" s="2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  <c r="AA440" s="3"/>
      <c r="AB440" s="3"/>
      <c r="AC440" s="3"/>
    </row>
    <row r="441" ht="15.75" customHeight="1">
      <c r="A441" s="8"/>
      <c r="B441" s="8"/>
      <c r="C441" s="8"/>
      <c r="D441" s="8"/>
      <c r="E441" s="2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  <c r="AA441" s="3"/>
      <c r="AB441" s="3"/>
      <c r="AC441" s="3"/>
    </row>
    <row r="442" ht="15.75" customHeight="1">
      <c r="A442" s="8"/>
      <c r="B442" s="8"/>
      <c r="C442" s="8"/>
      <c r="D442" s="8"/>
      <c r="E442" s="2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  <c r="AA442" s="3"/>
      <c r="AB442" s="3"/>
      <c r="AC442" s="3"/>
    </row>
    <row r="443" ht="15.75" customHeight="1">
      <c r="A443" s="8"/>
      <c r="B443" s="8"/>
      <c r="C443" s="8"/>
      <c r="D443" s="8"/>
      <c r="E443" s="2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  <c r="AA443" s="3"/>
      <c r="AB443" s="3"/>
      <c r="AC443" s="3"/>
    </row>
    <row r="444" ht="15.75" customHeight="1">
      <c r="A444" s="8"/>
      <c r="B444" s="8"/>
      <c r="C444" s="8"/>
      <c r="D444" s="8"/>
      <c r="E444" s="2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  <c r="AA444" s="3"/>
      <c r="AB444" s="3"/>
      <c r="AC444" s="3"/>
    </row>
    <row r="445" ht="15.75" customHeight="1">
      <c r="A445" s="8"/>
      <c r="B445" s="8"/>
      <c r="C445" s="8"/>
      <c r="D445" s="8"/>
      <c r="E445" s="2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  <c r="AA445" s="3"/>
      <c r="AB445" s="3"/>
      <c r="AC445" s="3"/>
    </row>
    <row r="446" ht="15.75" customHeight="1">
      <c r="A446" s="8"/>
      <c r="B446" s="8"/>
      <c r="C446" s="8"/>
      <c r="D446" s="8"/>
      <c r="E446" s="2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  <c r="AA446" s="3"/>
      <c r="AB446" s="3"/>
      <c r="AC446" s="3"/>
    </row>
    <row r="447" ht="15.75" customHeight="1">
      <c r="A447" s="8"/>
      <c r="B447" s="8"/>
      <c r="C447" s="8"/>
      <c r="D447" s="8"/>
      <c r="E447" s="2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  <c r="AA447" s="3"/>
      <c r="AB447" s="3"/>
      <c r="AC447" s="3"/>
    </row>
    <row r="448" ht="15.75" customHeight="1">
      <c r="A448" s="8"/>
      <c r="B448" s="8"/>
      <c r="C448" s="8"/>
      <c r="D448" s="8"/>
      <c r="E448" s="2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  <c r="AA448" s="3"/>
      <c r="AB448" s="3"/>
      <c r="AC448" s="3"/>
    </row>
    <row r="449" ht="15.75" customHeight="1">
      <c r="A449" s="8"/>
      <c r="B449" s="8"/>
      <c r="C449" s="8"/>
      <c r="D449" s="8"/>
      <c r="E449" s="2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  <c r="AA449" s="3"/>
      <c r="AB449" s="3"/>
      <c r="AC449" s="3"/>
    </row>
    <row r="450" ht="15.75" customHeight="1">
      <c r="A450" s="8"/>
      <c r="B450" s="8"/>
      <c r="C450" s="8"/>
      <c r="D450" s="8"/>
      <c r="E450" s="2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  <c r="AA450" s="3"/>
      <c r="AB450" s="3"/>
      <c r="AC450" s="3"/>
    </row>
    <row r="451" ht="15.75" customHeight="1">
      <c r="A451" s="8"/>
      <c r="B451" s="8"/>
      <c r="C451" s="8"/>
      <c r="D451" s="8"/>
      <c r="E451" s="2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  <c r="AA451" s="3"/>
      <c r="AB451" s="3"/>
      <c r="AC451" s="3"/>
    </row>
    <row r="452" ht="15.75" customHeight="1">
      <c r="A452" s="8"/>
      <c r="B452" s="8"/>
      <c r="C452" s="8"/>
      <c r="D452" s="8"/>
      <c r="E452" s="2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  <c r="AA452" s="3"/>
      <c r="AB452" s="3"/>
      <c r="AC452" s="3"/>
    </row>
    <row r="453" ht="15.75" customHeight="1">
      <c r="A453" s="8"/>
      <c r="B453" s="8"/>
      <c r="C453" s="8"/>
      <c r="D453" s="8"/>
      <c r="E453" s="2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  <c r="AA453" s="3"/>
      <c r="AB453" s="3"/>
      <c r="AC453" s="3"/>
    </row>
    <row r="454" ht="15.75" customHeight="1">
      <c r="A454" s="8"/>
      <c r="B454" s="8"/>
      <c r="C454" s="8"/>
      <c r="D454" s="8"/>
      <c r="E454" s="2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  <c r="AA454" s="3"/>
      <c r="AB454" s="3"/>
      <c r="AC454" s="3"/>
    </row>
    <row r="455" ht="15.75" customHeight="1">
      <c r="A455" s="8"/>
      <c r="B455" s="8"/>
      <c r="C455" s="8"/>
      <c r="D455" s="8"/>
      <c r="E455" s="2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  <c r="AA455" s="3"/>
      <c r="AB455" s="3"/>
      <c r="AC455" s="3"/>
    </row>
    <row r="456" ht="15.75" customHeight="1">
      <c r="A456" s="8"/>
      <c r="B456" s="8"/>
      <c r="C456" s="8"/>
      <c r="D456" s="8"/>
      <c r="E456" s="2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  <c r="AA456" s="3"/>
      <c r="AB456" s="3"/>
      <c r="AC456" s="3"/>
    </row>
    <row r="457" ht="15.75" customHeight="1">
      <c r="A457" s="8"/>
      <c r="B457" s="8"/>
      <c r="C457" s="8"/>
      <c r="D457" s="8"/>
      <c r="E457" s="2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  <c r="AA457" s="3"/>
      <c r="AB457" s="3"/>
      <c r="AC457" s="3"/>
    </row>
    <row r="458" ht="15.75" customHeight="1">
      <c r="A458" s="8"/>
      <c r="B458" s="8"/>
      <c r="C458" s="8"/>
      <c r="D458" s="8"/>
      <c r="E458" s="2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  <c r="AA458" s="3"/>
      <c r="AB458" s="3"/>
      <c r="AC458" s="3"/>
    </row>
    <row r="459" ht="15.75" customHeight="1">
      <c r="A459" s="8"/>
      <c r="B459" s="8"/>
      <c r="C459" s="8"/>
      <c r="D459" s="8"/>
      <c r="E459" s="2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  <c r="AA459" s="3"/>
      <c r="AB459" s="3"/>
      <c r="AC459" s="3"/>
    </row>
    <row r="460" ht="15.75" customHeight="1">
      <c r="A460" s="8"/>
      <c r="B460" s="8"/>
      <c r="C460" s="8"/>
      <c r="D460" s="8"/>
      <c r="E460" s="2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  <c r="AA460" s="3"/>
      <c r="AB460" s="3"/>
      <c r="AC460" s="3"/>
    </row>
    <row r="461" ht="15.75" customHeight="1">
      <c r="A461" s="8"/>
      <c r="B461" s="8"/>
      <c r="C461" s="8"/>
      <c r="D461" s="8"/>
      <c r="E461" s="2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  <c r="AA461" s="3"/>
      <c r="AB461" s="3"/>
      <c r="AC461" s="3"/>
    </row>
    <row r="462" ht="15.75" customHeight="1">
      <c r="A462" s="8"/>
      <c r="B462" s="8"/>
      <c r="C462" s="8"/>
      <c r="D462" s="8"/>
      <c r="E462" s="2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  <c r="AA462" s="3"/>
      <c r="AB462" s="3"/>
      <c r="AC462" s="3"/>
    </row>
    <row r="463" ht="15.75" customHeight="1">
      <c r="A463" s="8"/>
      <c r="B463" s="8"/>
      <c r="C463" s="8"/>
      <c r="D463" s="8"/>
      <c r="E463" s="2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  <c r="AA463" s="3"/>
      <c r="AB463" s="3"/>
      <c r="AC463" s="3"/>
    </row>
    <row r="464" ht="15.75" customHeight="1">
      <c r="A464" s="8"/>
      <c r="B464" s="8"/>
      <c r="C464" s="8"/>
      <c r="D464" s="8"/>
      <c r="E464" s="2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  <c r="AA464" s="3"/>
      <c r="AB464" s="3"/>
      <c r="AC464" s="3"/>
    </row>
    <row r="465" ht="15.75" customHeight="1">
      <c r="A465" s="8"/>
      <c r="B465" s="8"/>
      <c r="C465" s="8"/>
      <c r="D465" s="8"/>
      <c r="E465" s="2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  <c r="AA465" s="3"/>
      <c r="AB465" s="3"/>
      <c r="AC465" s="3"/>
    </row>
    <row r="466" ht="15.75" customHeight="1">
      <c r="A466" s="8"/>
      <c r="B466" s="8"/>
      <c r="C466" s="8"/>
      <c r="D466" s="8"/>
      <c r="E466" s="2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  <c r="AA466" s="3"/>
      <c r="AB466" s="3"/>
      <c r="AC466" s="3"/>
    </row>
    <row r="467" ht="15.75" customHeight="1">
      <c r="A467" s="8"/>
      <c r="B467" s="8"/>
      <c r="C467" s="8"/>
      <c r="D467" s="8"/>
      <c r="E467" s="2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  <c r="AA467" s="3"/>
      <c r="AB467" s="3"/>
      <c r="AC467" s="3"/>
    </row>
    <row r="468" ht="15.75" customHeight="1">
      <c r="A468" s="8"/>
      <c r="B468" s="8"/>
      <c r="C468" s="8"/>
      <c r="D468" s="8"/>
      <c r="E468" s="2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  <c r="AA468" s="3"/>
      <c r="AB468" s="3"/>
      <c r="AC468" s="3"/>
    </row>
    <row r="469" ht="15.75" customHeight="1">
      <c r="A469" s="8"/>
      <c r="B469" s="8"/>
      <c r="C469" s="8"/>
      <c r="D469" s="8"/>
      <c r="E469" s="2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  <c r="AA469" s="3"/>
      <c r="AB469" s="3"/>
      <c r="AC469" s="3"/>
    </row>
    <row r="470" ht="15.75" customHeight="1">
      <c r="A470" s="8"/>
      <c r="B470" s="8"/>
      <c r="C470" s="8"/>
      <c r="D470" s="8"/>
      <c r="E470" s="2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  <c r="AA470" s="3"/>
      <c r="AB470" s="3"/>
      <c r="AC470" s="3"/>
    </row>
    <row r="471" ht="15.75" customHeight="1">
      <c r="A471" s="8"/>
      <c r="B471" s="8"/>
      <c r="C471" s="8"/>
      <c r="D471" s="8"/>
      <c r="E471" s="2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  <c r="AA471" s="3"/>
      <c r="AB471" s="3"/>
      <c r="AC471" s="3"/>
    </row>
    <row r="472" ht="15.75" customHeight="1">
      <c r="A472" s="8"/>
      <c r="B472" s="8"/>
      <c r="C472" s="8"/>
      <c r="D472" s="8"/>
      <c r="E472" s="2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  <c r="AA472" s="3"/>
      <c r="AB472" s="3"/>
      <c r="AC472" s="3"/>
    </row>
    <row r="473" ht="15.75" customHeight="1">
      <c r="A473" s="8"/>
      <c r="B473" s="8"/>
      <c r="C473" s="8"/>
      <c r="D473" s="8"/>
      <c r="E473" s="2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  <c r="AA473" s="3"/>
      <c r="AB473" s="3"/>
      <c r="AC473" s="3"/>
    </row>
    <row r="474" ht="15.75" customHeight="1">
      <c r="A474" s="8"/>
      <c r="B474" s="8"/>
      <c r="C474" s="8"/>
      <c r="D474" s="8"/>
      <c r="E474" s="2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  <c r="AA474" s="3"/>
      <c r="AB474" s="3"/>
      <c r="AC474" s="3"/>
    </row>
    <row r="475" ht="15.75" customHeight="1">
      <c r="A475" s="8"/>
      <c r="B475" s="8"/>
      <c r="C475" s="8"/>
      <c r="D475" s="8"/>
      <c r="E475" s="2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  <c r="AA475" s="3"/>
      <c r="AB475" s="3"/>
      <c r="AC475" s="3"/>
    </row>
    <row r="476" ht="15.75" customHeight="1">
      <c r="A476" s="8"/>
      <c r="B476" s="8"/>
      <c r="C476" s="8"/>
      <c r="D476" s="8"/>
      <c r="E476" s="2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  <c r="AA476" s="3"/>
      <c r="AB476" s="3"/>
      <c r="AC476" s="3"/>
    </row>
    <row r="477" ht="15.75" customHeight="1">
      <c r="A477" s="8"/>
      <c r="B477" s="8"/>
      <c r="C477" s="8"/>
      <c r="D477" s="8"/>
      <c r="E477" s="2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  <c r="AA477" s="3"/>
      <c r="AB477" s="3"/>
      <c r="AC477" s="3"/>
    </row>
    <row r="478" ht="15.75" customHeight="1">
      <c r="A478" s="8"/>
      <c r="B478" s="8"/>
      <c r="C478" s="8"/>
      <c r="D478" s="8"/>
      <c r="E478" s="2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  <c r="AA478" s="3"/>
      <c r="AB478" s="3"/>
      <c r="AC478" s="3"/>
    </row>
    <row r="479" ht="15.75" customHeight="1">
      <c r="A479" s="8"/>
      <c r="B479" s="8"/>
      <c r="C479" s="8"/>
      <c r="D479" s="8"/>
      <c r="E479" s="2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  <c r="AA479" s="3"/>
      <c r="AB479" s="3"/>
      <c r="AC479" s="3"/>
    </row>
    <row r="480" ht="15.75" customHeight="1">
      <c r="A480" s="8"/>
      <c r="B480" s="8"/>
      <c r="C480" s="8"/>
      <c r="D480" s="8"/>
      <c r="E480" s="2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  <c r="AA480" s="3"/>
      <c r="AB480" s="3"/>
      <c r="AC480" s="3"/>
    </row>
    <row r="481" ht="15.75" customHeight="1">
      <c r="A481" s="8"/>
      <c r="B481" s="8"/>
      <c r="C481" s="8"/>
      <c r="D481" s="8"/>
      <c r="E481" s="2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  <c r="AA481" s="3"/>
      <c r="AB481" s="3"/>
      <c r="AC481" s="3"/>
    </row>
    <row r="482" ht="15.75" customHeight="1">
      <c r="A482" s="8"/>
      <c r="B482" s="8"/>
      <c r="C482" s="8"/>
      <c r="D482" s="8"/>
      <c r="E482" s="2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  <c r="AA482" s="3"/>
      <c r="AB482" s="3"/>
      <c r="AC482" s="3"/>
    </row>
    <row r="483" ht="15.75" customHeight="1">
      <c r="A483" s="8"/>
      <c r="B483" s="8"/>
      <c r="C483" s="8"/>
      <c r="D483" s="8"/>
      <c r="E483" s="2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  <c r="AA483" s="3"/>
      <c r="AB483" s="3"/>
      <c r="AC483" s="3"/>
    </row>
    <row r="484" ht="15.75" customHeight="1">
      <c r="A484" s="8"/>
      <c r="B484" s="8"/>
      <c r="C484" s="8"/>
      <c r="D484" s="8"/>
      <c r="E484" s="2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  <c r="AA484" s="3"/>
      <c r="AB484" s="3"/>
      <c r="AC484" s="3"/>
    </row>
    <row r="485" ht="15.75" customHeight="1">
      <c r="A485" s="8"/>
      <c r="B485" s="8"/>
      <c r="C485" s="8"/>
      <c r="D485" s="8"/>
      <c r="E485" s="2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  <c r="AA485" s="3"/>
      <c r="AB485" s="3"/>
      <c r="AC485" s="3"/>
    </row>
    <row r="486" ht="15.75" customHeight="1">
      <c r="A486" s="8"/>
      <c r="B486" s="8"/>
      <c r="C486" s="8"/>
      <c r="D486" s="8"/>
      <c r="E486" s="2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  <c r="AA486" s="3"/>
      <c r="AB486" s="3"/>
      <c r="AC486" s="3"/>
    </row>
    <row r="487" ht="15.75" customHeight="1">
      <c r="A487" s="8"/>
      <c r="B487" s="8"/>
      <c r="C487" s="8"/>
      <c r="D487" s="8"/>
      <c r="E487" s="2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  <c r="AA487" s="3"/>
      <c r="AB487" s="3"/>
      <c r="AC487" s="3"/>
    </row>
    <row r="488" ht="15.75" customHeight="1">
      <c r="A488" s="8"/>
      <c r="B488" s="8"/>
      <c r="C488" s="8"/>
      <c r="D488" s="8"/>
      <c r="E488" s="2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  <c r="AA488" s="3"/>
      <c r="AB488" s="3"/>
      <c r="AC488" s="3"/>
    </row>
    <row r="489" ht="15.75" customHeight="1">
      <c r="A489" s="8"/>
      <c r="B489" s="8"/>
      <c r="C489" s="8"/>
      <c r="D489" s="8"/>
      <c r="E489" s="2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  <c r="AA489" s="3"/>
      <c r="AB489" s="3"/>
      <c r="AC489" s="3"/>
    </row>
    <row r="490" ht="15.75" customHeight="1">
      <c r="A490" s="8"/>
      <c r="B490" s="8"/>
      <c r="C490" s="8"/>
      <c r="D490" s="8"/>
      <c r="E490" s="2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  <c r="AA490" s="3"/>
      <c r="AB490" s="3"/>
      <c r="AC490" s="3"/>
    </row>
    <row r="491" ht="15.75" customHeight="1">
      <c r="A491" s="8"/>
      <c r="B491" s="8"/>
      <c r="C491" s="8"/>
      <c r="D491" s="8"/>
      <c r="E491" s="2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  <c r="AA491" s="3"/>
      <c r="AB491" s="3"/>
      <c r="AC491" s="3"/>
    </row>
    <row r="492" ht="15.75" customHeight="1">
      <c r="A492" s="8"/>
      <c r="B492" s="8"/>
      <c r="C492" s="8"/>
      <c r="D492" s="8"/>
      <c r="E492" s="2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  <c r="AA492" s="3"/>
      <c r="AB492" s="3"/>
      <c r="AC492" s="3"/>
    </row>
    <row r="493" ht="15.75" customHeight="1">
      <c r="A493" s="8"/>
      <c r="B493" s="8"/>
      <c r="C493" s="8"/>
      <c r="D493" s="8"/>
      <c r="E493" s="2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  <c r="AA493" s="3"/>
      <c r="AB493" s="3"/>
      <c r="AC493" s="3"/>
    </row>
    <row r="494" ht="15.75" customHeight="1">
      <c r="A494" s="8"/>
      <c r="B494" s="8"/>
      <c r="C494" s="8"/>
      <c r="D494" s="8"/>
      <c r="E494" s="2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  <c r="AA494" s="3"/>
      <c r="AB494" s="3"/>
      <c r="AC494" s="3"/>
    </row>
    <row r="495" ht="15.75" customHeight="1">
      <c r="A495" s="8"/>
      <c r="B495" s="8"/>
      <c r="C495" s="8"/>
      <c r="D495" s="8"/>
      <c r="E495" s="2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  <c r="AA495" s="3"/>
      <c r="AB495" s="3"/>
      <c r="AC495" s="3"/>
    </row>
    <row r="496" ht="15.75" customHeight="1">
      <c r="A496" s="8"/>
      <c r="B496" s="8"/>
      <c r="C496" s="8"/>
      <c r="D496" s="8"/>
      <c r="E496" s="2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  <c r="AA496" s="3"/>
      <c r="AB496" s="3"/>
      <c r="AC496" s="3"/>
    </row>
    <row r="497" ht="15.75" customHeight="1">
      <c r="A497" s="8"/>
      <c r="B497" s="8"/>
      <c r="C497" s="8"/>
      <c r="D497" s="8"/>
      <c r="E497" s="2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  <c r="AA497" s="3"/>
      <c r="AB497" s="3"/>
      <c r="AC497" s="3"/>
    </row>
    <row r="498" ht="15.75" customHeight="1">
      <c r="A498" s="8"/>
      <c r="B498" s="8"/>
      <c r="C498" s="8"/>
      <c r="D498" s="8"/>
      <c r="E498" s="2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  <c r="AA498" s="3"/>
      <c r="AB498" s="3"/>
      <c r="AC498" s="3"/>
    </row>
    <row r="499" ht="15.75" customHeight="1">
      <c r="A499" s="8"/>
      <c r="B499" s="8"/>
      <c r="C499" s="8"/>
      <c r="D499" s="8"/>
      <c r="E499" s="2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  <c r="AA499" s="3"/>
      <c r="AB499" s="3"/>
      <c r="AC499" s="3"/>
    </row>
    <row r="500" ht="15.75" customHeight="1">
      <c r="A500" s="8"/>
      <c r="B500" s="8"/>
      <c r="C500" s="8"/>
      <c r="D500" s="8"/>
      <c r="E500" s="2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  <c r="AA500" s="3"/>
      <c r="AB500" s="3"/>
      <c r="AC500" s="3"/>
    </row>
    <row r="501" ht="15.75" customHeight="1">
      <c r="A501" s="8"/>
      <c r="B501" s="8"/>
      <c r="C501" s="8"/>
      <c r="D501" s="8"/>
      <c r="E501" s="2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  <c r="AA501" s="3"/>
      <c r="AB501" s="3"/>
      <c r="AC501" s="3"/>
    </row>
    <row r="502" ht="15.75" customHeight="1">
      <c r="A502" s="8"/>
      <c r="B502" s="8"/>
      <c r="C502" s="8"/>
      <c r="D502" s="8"/>
      <c r="E502" s="2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  <c r="AA502" s="3"/>
      <c r="AB502" s="3"/>
      <c r="AC502" s="3"/>
    </row>
    <row r="503" ht="15.75" customHeight="1">
      <c r="A503" s="8"/>
      <c r="B503" s="8"/>
      <c r="C503" s="8"/>
      <c r="D503" s="8"/>
      <c r="E503" s="2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  <c r="AA503" s="3"/>
      <c r="AB503" s="3"/>
      <c r="AC503" s="3"/>
    </row>
    <row r="504" ht="15.75" customHeight="1">
      <c r="A504" s="8"/>
      <c r="B504" s="8"/>
      <c r="C504" s="8"/>
      <c r="D504" s="8"/>
      <c r="E504" s="2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  <c r="AA504" s="3"/>
      <c r="AB504" s="3"/>
      <c r="AC504" s="3"/>
    </row>
    <row r="505" ht="15.75" customHeight="1">
      <c r="A505" s="8"/>
      <c r="B505" s="8"/>
      <c r="C505" s="8"/>
      <c r="D505" s="8"/>
      <c r="E505" s="2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  <c r="AA505" s="3"/>
      <c r="AB505" s="3"/>
      <c r="AC505" s="3"/>
    </row>
    <row r="506" ht="15.75" customHeight="1">
      <c r="A506" s="8"/>
      <c r="B506" s="8"/>
      <c r="C506" s="8"/>
      <c r="D506" s="8"/>
      <c r="E506" s="2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  <c r="AA506" s="3"/>
      <c r="AB506" s="3"/>
      <c r="AC506" s="3"/>
    </row>
    <row r="507" ht="15.75" customHeight="1">
      <c r="A507" s="8"/>
      <c r="B507" s="8"/>
      <c r="C507" s="8"/>
      <c r="D507" s="8"/>
      <c r="E507" s="2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  <c r="AA507" s="3"/>
      <c r="AB507" s="3"/>
      <c r="AC507" s="3"/>
    </row>
    <row r="508" ht="15.75" customHeight="1">
      <c r="A508" s="8"/>
      <c r="B508" s="8"/>
      <c r="C508" s="8"/>
      <c r="D508" s="8"/>
      <c r="E508" s="2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  <c r="AA508" s="3"/>
      <c r="AB508" s="3"/>
      <c r="AC508" s="3"/>
    </row>
    <row r="509" ht="15.75" customHeight="1">
      <c r="A509" s="8"/>
      <c r="B509" s="8"/>
      <c r="C509" s="8"/>
      <c r="D509" s="8"/>
      <c r="E509" s="2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  <c r="AA509" s="3"/>
      <c r="AB509" s="3"/>
      <c r="AC509" s="3"/>
    </row>
    <row r="510" ht="15.75" customHeight="1">
      <c r="A510" s="8"/>
      <c r="B510" s="8"/>
      <c r="C510" s="8"/>
      <c r="D510" s="8"/>
      <c r="E510" s="2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  <c r="AA510" s="3"/>
      <c r="AB510" s="3"/>
      <c r="AC510" s="3"/>
    </row>
    <row r="511" ht="15.75" customHeight="1">
      <c r="A511" s="8"/>
      <c r="B511" s="8"/>
      <c r="C511" s="8"/>
      <c r="D511" s="8"/>
      <c r="E511" s="2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  <c r="AA511" s="3"/>
      <c r="AB511" s="3"/>
      <c r="AC511" s="3"/>
    </row>
    <row r="512" ht="15.75" customHeight="1">
      <c r="A512" s="8"/>
      <c r="B512" s="8"/>
      <c r="C512" s="8"/>
      <c r="D512" s="8"/>
      <c r="E512" s="2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  <c r="AA512" s="3"/>
      <c r="AB512" s="3"/>
      <c r="AC512" s="3"/>
    </row>
    <row r="513" ht="15.75" customHeight="1">
      <c r="A513" s="8"/>
      <c r="B513" s="8"/>
      <c r="C513" s="8"/>
      <c r="D513" s="8"/>
      <c r="E513" s="2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  <c r="AA513" s="3"/>
      <c r="AB513" s="3"/>
      <c r="AC513" s="3"/>
    </row>
    <row r="514" ht="15.75" customHeight="1">
      <c r="A514" s="8"/>
      <c r="B514" s="8"/>
      <c r="C514" s="8"/>
      <c r="D514" s="8"/>
      <c r="E514" s="2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  <c r="AA514" s="3"/>
      <c r="AB514" s="3"/>
      <c r="AC514" s="3"/>
    </row>
    <row r="515" ht="15.75" customHeight="1">
      <c r="A515" s="8"/>
      <c r="B515" s="8"/>
      <c r="C515" s="8"/>
      <c r="D515" s="8"/>
      <c r="E515" s="2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  <c r="AA515" s="3"/>
      <c r="AB515" s="3"/>
      <c r="AC515" s="3"/>
    </row>
    <row r="516" ht="15.75" customHeight="1">
      <c r="A516" s="8"/>
      <c r="B516" s="8"/>
      <c r="C516" s="8"/>
      <c r="D516" s="8"/>
      <c r="E516" s="2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  <c r="AA516" s="3"/>
      <c r="AB516" s="3"/>
      <c r="AC516" s="3"/>
    </row>
    <row r="517" ht="15.75" customHeight="1">
      <c r="A517" s="8"/>
      <c r="B517" s="8"/>
      <c r="C517" s="8"/>
      <c r="D517" s="8"/>
      <c r="E517" s="2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  <c r="AA517" s="3"/>
      <c r="AB517" s="3"/>
      <c r="AC517" s="3"/>
    </row>
    <row r="518" ht="15.75" customHeight="1">
      <c r="A518" s="8"/>
      <c r="B518" s="8"/>
      <c r="C518" s="8"/>
      <c r="D518" s="8"/>
      <c r="E518" s="2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  <c r="AA518" s="3"/>
      <c r="AB518" s="3"/>
      <c r="AC518" s="3"/>
    </row>
    <row r="519" ht="15.75" customHeight="1">
      <c r="A519" s="8"/>
      <c r="B519" s="8"/>
      <c r="C519" s="8"/>
      <c r="D519" s="8"/>
      <c r="E519" s="2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  <c r="AA519" s="3"/>
      <c r="AB519" s="3"/>
      <c r="AC519" s="3"/>
    </row>
    <row r="520" ht="15.75" customHeight="1">
      <c r="A520" s="8"/>
      <c r="B520" s="8"/>
      <c r="C520" s="8"/>
      <c r="D520" s="8"/>
      <c r="E520" s="2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  <c r="AA520" s="3"/>
      <c r="AB520" s="3"/>
      <c r="AC520" s="3"/>
    </row>
    <row r="521" ht="15.75" customHeight="1">
      <c r="A521" s="8"/>
      <c r="B521" s="8"/>
      <c r="C521" s="8"/>
      <c r="D521" s="8"/>
      <c r="E521" s="2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  <c r="AA521" s="3"/>
      <c r="AB521" s="3"/>
      <c r="AC521" s="3"/>
    </row>
    <row r="522" ht="15.75" customHeight="1">
      <c r="A522" s="8"/>
      <c r="B522" s="8"/>
      <c r="C522" s="8"/>
      <c r="D522" s="8"/>
      <c r="E522" s="2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  <c r="AA522" s="3"/>
      <c r="AB522" s="3"/>
      <c r="AC522" s="3"/>
    </row>
    <row r="523" ht="15.75" customHeight="1">
      <c r="A523" s="8"/>
      <c r="B523" s="8"/>
      <c r="C523" s="8"/>
      <c r="D523" s="8"/>
      <c r="E523" s="2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  <c r="AA523" s="3"/>
      <c r="AB523" s="3"/>
      <c r="AC523" s="3"/>
    </row>
    <row r="524" ht="15.75" customHeight="1">
      <c r="A524" s="8"/>
      <c r="B524" s="8"/>
      <c r="C524" s="8"/>
      <c r="D524" s="8"/>
      <c r="E524" s="2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  <c r="AA524" s="3"/>
      <c r="AB524" s="3"/>
      <c r="AC524" s="3"/>
    </row>
    <row r="525" ht="15.75" customHeight="1">
      <c r="A525" s="8"/>
      <c r="B525" s="8"/>
      <c r="C525" s="8"/>
      <c r="D525" s="8"/>
      <c r="E525" s="2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  <c r="AA525" s="3"/>
      <c r="AB525" s="3"/>
      <c r="AC525" s="3"/>
    </row>
    <row r="526" ht="15.75" customHeight="1">
      <c r="A526" s="8"/>
      <c r="B526" s="8"/>
      <c r="C526" s="8"/>
      <c r="D526" s="8"/>
      <c r="E526" s="2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  <c r="AA526" s="3"/>
      <c r="AB526" s="3"/>
      <c r="AC526" s="3"/>
    </row>
    <row r="527" ht="15.75" customHeight="1">
      <c r="A527" s="8"/>
      <c r="B527" s="8"/>
      <c r="C527" s="8"/>
      <c r="D527" s="8"/>
      <c r="E527" s="2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  <c r="AA527" s="3"/>
      <c r="AB527" s="3"/>
      <c r="AC527" s="3"/>
    </row>
    <row r="528" ht="15.75" customHeight="1">
      <c r="A528" s="8"/>
      <c r="B528" s="8"/>
      <c r="C528" s="8"/>
      <c r="D528" s="8"/>
      <c r="E528" s="2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  <c r="AA528" s="3"/>
      <c r="AB528" s="3"/>
      <c r="AC528" s="3"/>
    </row>
    <row r="529" ht="15.75" customHeight="1">
      <c r="A529" s="8"/>
      <c r="B529" s="8"/>
      <c r="C529" s="8"/>
      <c r="D529" s="8"/>
      <c r="E529" s="2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  <c r="AA529" s="3"/>
      <c r="AB529" s="3"/>
      <c r="AC529" s="3"/>
    </row>
    <row r="530" ht="15.75" customHeight="1">
      <c r="A530" s="8"/>
      <c r="B530" s="8"/>
      <c r="C530" s="8"/>
      <c r="D530" s="8"/>
      <c r="E530" s="2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  <c r="AA530" s="3"/>
      <c r="AB530" s="3"/>
      <c r="AC530" s="3"/>
    </row>
    <row r="531" ht="15.75" customHeight="1">
      <c r="A531" s="8"/>
      <c r="B531" s="8"/>
      <c r="C531" s="8"/>
      <c r="D531" s="8"/>
      <c r="E531" s="2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  <c r="AA531" s="3"/>
      <c r="AB531" s="3"/>
      <c r="AC531" s="3"/>
    </row>
    <row r="532" ht="15.75" customHeight="1">
      <c r="A532" s="8"/>
      <c r="B532" s="8"/>
      <c r="C532" s="8"/>
      <c r="D532" s="8"/>
      <c r="E532" s="2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  <c r="AA532" s="3"/>
      <c r="AB532" s="3"/>
      <c r="AC532" s="3"/>
    </row>
    <row r="533" ht="15.75" customHeight="1">
      <c r="A533" s="8"/>
      <c r="B533" s="8"/>
      <c r="C533" s="8"/>
      <c r="D533" s="8"/>
      <c r="E533" s="2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  <c r="AA533" s="3"/>
      <c r="AB533" s="3"/>
      <c r="AC533" s="3"/>
    </row>
    <row r="534" ht="15.75" customHeight="1">
      <c r="A534" s="8"/>
      <c r="B534" s="8"/>
      <c r="C534" s="8"/>
      <c r="D534" s="8"/>
      <c r="E534" s="2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  <c r="AA534" s="3"/>
      <c r="AB534" s="3"/>
      <c r="AC534" s="3"/>
    </row>
    <row r="535" ht="15.75" customHeight="1">
      <c r="A535" s="8"/>
      <c r="B535" s="8"/>
      <c r="C535" s="8"/>
      <c r="D535" s="8"/>
      <c r="E535" s="2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  <c r="AA535" s="3"/>
      <c r="AB535" s="3"/>
      <c r="AC535" s="3"/>
    </row>
    <row r="536" ht="15.75" customHeight="1">
      <c r="A536" s="8"/>
      <c r="B536" s="8"/>
      <c r="C536" s="8"/>
      <c r="D536" s="8"/>
      <c r="E536" s="2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  <c r="AA536" s="3"/>
      <c r="AB536" s="3"/>
      <c r="AC536" s="3"/>
    </row>
    <row r="537" ht="15.75" customHeight="1">
      <c r="A537" s="8"/>
      <c r="B537" s="8"/>
      <c r="C537" s="8"/>
      <c r="D537" s="8"/>
      <c r="E537" s="2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  <c r="AA537" s="3"/>
      <c r="AB537" s="3"/>
      <c r="AC537" s="3"/>
    </row>
    <row r="538" ht="15.75" customHeight="1">
      <c r="A538" s="8"/>
      <c r="B538" s="8"/>
      <c r="C538" s="8"/>
      <c r="D538" s="8"/>
      <c r="E538" s="2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  <c r="AA538" s="3"/>
      <c r="AB538" s="3"/>
      <c r="AC538" s="3"/>
    </row>
    <row r="539" ht="15.75" customHeight="1">
      <c r="A539" s="8"/>
      <c r="B539" s="8"/>
      <c r="C539" s="8"/>
      <c r="D539" s="8"/>
      <c r="E539" s="2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  <c r="AA539" s="3"/>
      <c r="AB539" s="3"/>
      <c r="AC539" s="3"/>
    </row>
    <row r="540" ht="15.75" customHeight="1">
      <c r="A540" s="8"/>
      <c r="B540" s="8"/>
      <c r="C540" s="8"/>
      <c r="D540" s="8"/>
      <c r="E540" s="2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  <c r="AA540" s="3"/>
      <c r="AB540" s="3"/>
      <c r="AC540" s="3"/>
    </row>
    <row r="541" ht="15.75" customHeight="1">
      <c r="A541" s="8"/>
      <c r="B541" s="8"/>
      <c r="C541" s="8"/>
      <c r="D541" s="8"/>
      <c r="E541" s="2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  <c r="AA541" s="3"/>
      <c r="AB541" s="3"/>
      <c r="AC541" s="3"/>
    </row>
    <row r="542" ht="15.75" customHeight="1">
      <c r="A542" s="8"/>
      <c r="B542" s="8"/>
      <c r="C542" s="8"/>
      <c r="D542" s="8"/>
      <c r="E542" s="2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  <c r="AA542" s="3"/>
      <c r="AB542" s="3"/>
      <c r="AC542" s="3"/>
    </row>
    <row r="543" ht="15.75" customHeight="1">
      <c r="A543" s="8"/>
      <c r="B543" s="8"/>
      <c r="C543" s="8"/>
      <c r="D543" s="8"/>
      <c r="E543" s="2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  <c r="AA543" s="3"/>
      <c r="AB543" s="3"/>
      <c r="AC543" s="3"/>
    </row>
    <row r="544" ht="15.75" customHeight="1">
      <c r="A544" s="8"/>
      <c r="B544" s="8"/>
      <c r="C544" s="8"/>
      <c r="D544" s="8"/>
      <c r="E544" s="2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  <c r="AA544" s="3"/>
      <c r="AB544" s="3"/>
      <c r="AC544" s="3"/>
    </row>
    <row r="545" ht="15.75" customHeight="1">
      <c r="A545" s="8"/>
      <c r="B545" s="8"/>
      <c r="C545" s="8"/>
      <c r="D545" s="8"/>
      <c r="E545" s="2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  <c r="AA545" s="3"/>
      <c r="AB545" s="3"/>
      <c r="AC545" s="3"/>
    </row>
    <row r="546" ht="15.75" customHeight="1">
      <c r="A546" s="8"/>
      <c r="B546" s="8"/>
      <c r="C546" s="8"/>
      <c r="D546" s="8"/>
      <c r="E546" s="2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  <c r="AA546" s="3"/>
      <c r="AB546" s="3"/>
      <c r="AC546" s="3"/>
    </row>
    <row r="547" ht="15.75" customHeight="1">
      <c r="A547" s="8"/>
      <c r="B547" s="8"/>
      <c r="C547" s="8"/>
      <c r="D547" s="8"/>
      <c r="E547" s="2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  <c r="AA547" s="3"/>
      <c r="AB547" s="3"/>
      <c r="AC547" s="3"/>
    </row>
    <row r="548" ht="15.75" customHeight="1">
      <c r="A548" s="8"/>
      <c r="B548" s="8"/>
      <c r="C548" s="8"/>
      <c r="D548" s="8"/>
      <c r="E548" s="2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  <c r="AA548" s="3"/>
      <c r="AB548" s="3"/>
      <c r="AC548" s="3"/>
    </row>
    <row r="549" ht="15.75" customHeight="1">
      <c r="A549" s="8"/>
      <c r="B549" s="8"/>
      <c r="C549" s="8"/>
      <c r="D549" s="8"/>
      <c r="E549" s="2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  <c r="AA549" s="3"/>
      <c r="AB549" s="3"/>
      <c r="AC549" s="3"/>
    </row>
    <row r="550" ht="15.75" customHeight="1">
      <c r="A550" s="8"/>
      <c r="B550" s="8"/>
      <c r="C550" s="8"/>
      <c r="D550" s="8"/>
      <c r="E550" s="2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  <c r="AA550" s="3"/>
      <c r="AB550" s="3"/>
      <c r="AC550" s="3"/>
    </row>
    <row r="551" ht="15.75" customHeight="1">
      <c r="A551" s="8"/>
      <c r="B551" s="8"/>
      <c r="C551" s="8"/>
      <c r="D551" s="8"/>
      <c r="E551" s="2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  <c r="AA551" s="3"/>
      <c r="AB551" s="3"/>
      <c r="AC551" s="3"/>
    </row>
    <row r="552" ht="15.75" customHeight="1">
      <c r="A552" s="8"/>
      <c r="B552" s="8"/>
      <c r="C552" s="8"/>
      <c r="D552" s="8"/>
      <c r="E552" s="2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  <c r="AA552" s="3"/>
      <c r="AB552" s="3"/>
      <c r="AC552" s="3"/>
    </row>
    <row r="553" ht="15.75" customHeight="1">
      <c r="A553" s="8"/>
      <c r="B553" s="8"/>
      <c r="C553" s="8"/>
      <c r="D553" s="8"/>
      <c r="E553" s="2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  <c r="AA553" s="3"/>
      <c r="AB553" s="3"/>
      <c r="AC553" s="3"/>
    </row>
    <row r="554" ht="15.75" customHeight="1">
      <c r="A554" s="8"/>
      <c r="B554" s="8"/>
      <c r="C554" s="8"/>
      <c r="D554" s="8"/>
      <c r="E554" s="2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  <c r="AA554" s="3"/>
      <c r="AB554" s="3"/>
      <c r="AC554" s="3"/>
    </row>
    <row r="555" ht="15.75" customHeight="1">
      <c r="A555" s="8"/>
      <c r="B555" s="8"/>
      <c r="C555" s="8"/>
      <c r="D555" s="8"/>
      <c r="E555" s="2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  <c r="AA555" s="3"/>
      <c r="AB555" s="3"/>
      <c r="AC555" s="3"/>
    </row>
    <row r="556" ht="15.75" customHeight="1">
      <c r="A556" s="8"/>
      <c r="B556" s="8"/>
      <c r="C556" s="8"/>
      <c r="D556" s="8"/>
      <c r="E556" s="2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  <c r="AA556" s="3"/>
      <c r="AB556" s="3"/>
      <c r="AC556" s="3"/>
    </row>
    <row r="557" ht="15.75" customHeight="1">
      <c r="A557" s="8"/>
      <c r="B557" s="8"/>
      <c r="C557" s="8"/>
      <c r="D557" s="8"/>
      <c r="E557" s="2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  <c r="AA557" s="3"/>
      <c r="AB557" s="3"/>
      <c r="AC557" s="3"/>
    </row>
    <row r="558" ht="15.75" customHeight="1">
      <c r="A558" s="8"/>
      <c r="B558" s="8"/>
      <c r="C558" s="8"/>
      <c r="D558" s="8"/>
      <c r="E558" s="2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  <c r="AA558" s="3"/>
      <c r="AB558" s="3"/>
      <c r="AC558" s="3"/>
    </row>
    <row r="559" ht="15.75" customHeight="1">
      <c r="A559" s="8"/>
      <c r="B559" s="8"/>
      <c r="C559" s="8"/>
      <c r="D559" s="8"/>
      <c r="E559" s="2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  <c r="AA559" s="3"/>
      <c r="AB559" s="3"/>
      <c r="AC559" s="3"/>
    </row>
    <row r="560" ht="15.75" customHeight="1">
      <c r="A560" s="8"/>
      <c r="B560" s="8"/>
      <c r="C560" s="8"/>
      <c r="D560" s="8"/>
      <c r="E560" s="2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  <c r="AA560" s="3"/>
      <c r="AB560" s="3"/>
      <c r="AC560" s="3"/>
    </row>
    <row r="561" ht="15.75" customHeight="1">
      <c r="A561" s="8"/>
      <c r="B561" s="8"/>
      <c r="C561" s="8"/>
      <c r="D561" s="8"/>
      <c r="E561" s="2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  <c r="AA561" s="3"/>
      <c r="AB561" s="3"/>
      <c r="AC561" s="3"/>
    </row>
    <row r="562" ht="15.75" customHeight="1">
      <c r="A562" s="8"/>
      <c r="B562" s="8"/>
      <c r="C562" s="8"/>
      <c r="D562" s="8"/>
      <c r="E562" s="2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  <c r="AA562" s="3"/>
      <c r="AB562" s="3"/>
      <c r="AC562" s="3"/>
    </row>
    <row r="563" ht="15.75" customHeight="1">
      <c r="A563" s="8"/>
      <c r="B563" s="8"/>
      <c r="C563" s="8"/>
      <c r="D563" s="8"/>
      <c r="E563" s="2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  <c r="AA563" s="3"/>
      <c r="AB563" s="3"/>
      <c r="AC563" s="3"/>
    </row>
    <row r="564" ht="15.75" customHeight="1">
      <c r="A564" s="8"/>
      <c r="B564" s="8"/>
      <c r="C564" s="8"/>
      <c r="D564" s="8"/>
      <c r="E564" s="2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  <c r="AA564" s="3"/>
      <c r="AB564" s="3"/>
      <c r="AC564" s="3"/>
    </row>
    <row r="565" ht="15.75" customHeight="1">
      <c r="A565" s="8"/>
      <c r="B565" s="8"/>
      <c r="C565" s="8"/>
      <c r="D565" s="8"/>
      <c r="E565" s="2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  <c r="AA565" s="3"/>
      <c r="AB565" s="3"/>
      <c r="AC565" s="3"/>
    </row>
    <row r="566" ht="15.75" customHeight="1">
      <c r="A566" s="8"/>
      <c r="B566" s="8"/>
      <c r="C566" s="8"/>
      <c r="D566" s="8"/>
      <c r="E566" s="2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  <c r="AA566" s="3"/>
      <c r="AB566" s="3"/>
      <c r="AC566" s="3"/>
    </row>
    <row r="567" ht="15.75" customHeight="1">
      <c r="A567" s="8"/>
      <c r="B567" s="8"/>
      <c r="C567" s="8"/>
      <c r="D567" s="8"/>
      <c r="E567" s="2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  <c r="AA567" s="3"/>
      <c r="AB567" s="3"/>
      <c r="AC567" s="3"/>
    </row>
    <row r="568" ht="15.75" customHeight="1">
      <c r="A568" s="8"/>
      <c r="B568" s="8"/>
      <c r="C568" s="8"/>
      <c r="D568" s="8"/>
      <c r="E568" s="2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  <c r="AA568" s="3"/>
      <c r="AB568" s="3"/>
      <c r="AC568" s="3"/>
    </row>
    <row r="569" ht="15.75" customHeight="1">
      <c r="A569" s="8"/>
      <c r="B569" s="8"/>
      <c r="C569" s="8"/>
      <c r="D569" s="8"/>
      <c r="E569" s="2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  <c r="AA569" s="3"/>
      <c r="AB569" s="3"/>
      <c r="AC569" s="3"/>
    </row>
    <row r="570" ht="15.75" customHeight="1">
      <c r="A570" s="8"/>
      <c r="B570" s="8"/>
      <c r="C570" s="8"/>
      <c r="D570" s="8"/>
      <c r="E570" s="2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  <c r="AA570" s="3"/>
      <c r="AB570" s="3"/>
      <c r="AC570" s="3"/>
    </row>
    <row r="571" ht="15.75" customHeight="1">
      <c r="A571" s="8"/>
      <c r="B571" s="8"/>
      <c r="C571" s="8"/>
      <c r="D571" s="8"/>
      <c r="E571" s="2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  <c r="AA571" s="3"/>
      <c r="AB571" s="3"/>
      <c r="AC571" s="3"/>
    </row>
    <row r="572" ht="15.75" customHeight="1">
      <c r="A572" s="8"/>
      <c r="B572" s="8"/>
      <c r="C572" s="8"/>
      <c r="D572" s="8"/>
      <c r="E572" s="2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  <c r="AA572" s="3"/>
      <c r="AB572" s="3"/>
      <c r="AC572" s="3"/>
    </row>
    <row r="573" ht="15.75" customHeight="1">
      <c r="A573" s="8"/>
      <c r="B573" s="8"/>
      <c r="C573" s="8"/>
      <c r="D573" s="8"/>
      <c r="E573" s="2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  <c r="AA573" s="3"/>
      <c r="AB573" s="3"/>
      <c r="AC573" s="3"/>
    </row>
    <row r="574" ht="15.75" customHeight="1">
      <c r="A574" s="8"/>
      <c r="B574" s="8"/>
      <c r="C574" s="8"/>
      <c r="D574" s="8"/>
      <c r="E574" s="2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  <c r="AA574" s="3"/>
      <c r="AB574" s="3"/>
      <c r="AC574" s="3"/>
    </row>
    <row r="575" ht="15.75" customHeight="1">
      <c r="A575" s="8"/>
      <c r="B575" s="8"/>
      <c r="C575" s="8"/>
      <c r="D575" s="8"/>
      <c r="E575" s="2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  <c r="AA575" s="3"/>
      <c r="AB575" s="3"/>
      <c r="AC575" s="3"/>
    </row>
    <row r="576" ht="15.75" customHeight="1">
      <c r="A576" s="8"/>
      <c r="B576" s="8"/>
      <c r="C576" s="8"/>
      <c r="D576" s="8"/>
      <c r="E576" s="2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  <c r="AA576" s="3"/>
      <c r="AB576" s="3"/>
      <c r="AC576" s="3"/>
    </row>
    <row r="577" ht="15.75" customHeight="1">
      <c r="A577" s="8"/>
      <c r="B577" s="8"/>
      <c r="C577" s="8"/>
      <c r="D577" s="8"/>
      <c r="E577" s="2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  <c r="AA577" s="3"/>
      <c r="AB577" s="3"/>
      <c r="AC577" s="3"/>
    </row>
    <row r="578" ht="15.75" customHeight="1">
      <c r="A578" s="8"/>
      <c r="B578" s="8"/>
      <c r="C578" s="8"/>
      <c r="D578" s="8"/>
      <c r="E578" s="2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  <c r="AA578" s="3"/>
      <c r="AB578" s="3"/>
      <c r="AC578" s="3"/>
    </row>
    <row r="579" ht="15.75" customHeight="1">
      <c r="A579" s="8"/>
      <c r="B579" s="8"/>
      <c r="C579" s="8"/>
      <c r="D579" s="8"/>
      <c r="E579" s="2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  <c r="AA579" s="3"/>
      <c r="AB579" s="3"/>
      <c r="AC579" s="3"/>
    </row>
    <row r="580" ht="15.75" customHeight="1">
      <c r="A580" s="8"/>
      <c r="B580" s="8"/>
      <c r="C580" s="8"/>
      <c r="D580" s="8"/>
      <c r="E580" s="2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  <c r="AA580" s="3"/>
      <c r="AB580" s="3"/>
      <c r="AC580" s="3"/>
    </row>
    <row r="581" ht="15.75" customHeight="1">
      <c r="A581" s="8"/>
      <c r="B581" s="8"/>
      <c r="C581" s="8"/>
      <c r="D581" s="8"/>
      <c r="E581" s="2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  <c r="AA581" s="3"/>
      <c r="AB581" s="3"/>
      <c r="AC581" s="3"/>
    </row>
    <row r="582" ht="15.75" customHeight="1">
      <c r="A582" s="8"/>
      <c r="B582" s="8"/>
      <c r="C582" s="8"/>
      <c r="D582" s="8"/>
      <c r="E582" s="2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  <c r="AA582" s="3"/>
      <c r="AB582" s="3"/>
      <c r="AC582" s="3"/>
    </row>
    <row r="583" ht="15.75" customHeight="1">
      <c r="A583" s="8"/>
      <c r="B583" s="8"/>
      <c r="C583" s="8"/>
      <c r="D583" s="8"/>
      <c r="E583" s="2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  <c r="AA583" s="3"/>
      <c r="AB583" s="3"/>
      <c r="AC583" s="3"/>
    </row>
    <row r="584" ht="15.75" customHeight="1">
      <c r="A584" s="8"/>
      <c r="B584" s="8"/>
      <c r="C584" s="8"/>
      <c r="D584" s="8"/>
      <c r="E584" s="2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  <c r="AA584" s="3"/>
      <c r="AB584" s="3"/>
      <c r="AC584" s="3"/>
    </row>
    <row r="585" ht="15.75" customHeight="1">
      <c r="A585" s="8"/>
      <c r="B585" s="8"/>
      <c r="C585" s="8"/>
      <c r="D585" s="8"/>
      <c r="E585" s="2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  <c r="AA585" s="3"/>
      <c r="AB585" s="3"/>
      <c r="AC585" s="3"/>
    </row>
    <row r="586" ht="15.75" customHeight="1">
      <c r="A586" s="8"/>
      <c r="B586" s="8"/>
      <c r="C586" s="8"/>
      <c r="D586" s="8"/>
      <c r="E586" s="2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  <c r="AA586" s="3"/>
      <c r="AB586" s="3"/>
      <c r="AC586" s="3"/>
    </row>
    <row r="587" ht="15.75" customHeight="1">
      <c r="A587" s="8"/>
      <c r="B587" s="8"/>
      <c r="C587" s="8"/>
      <c r="D587" s="8"/>
      <c r="E587" s="2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  <c r="AA587" s="3"/>
      <c r="AB587" s="3"/>
      <c r="AC587" s="3"/>
    </row>
    <row r="588" ht="15.75" customHeight="1">
      <c r="A588" s="8"/>
      <c r="B588" s="8"/>
      <c r="C588" s="8"/>
      <c r="D588" s="8"/>
      <c r="E588" s="2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  <c r="AA588" s="3"/>
      <c r="AB588" s="3"/>
      <c r="AC588" s="3"/>
    </row>
    <row r="589" ht="15.75" customHeight="1">
      <c r="A589" s="8"/>
      <c r="B589" s="8"/>
      <c r="C589" s="8"/>
      <c r="D589" s="8"/>
      <c r="E589" s="2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  <c r="AA589" s="3"/>
      <c r="AB589" s="3"/>
      <c r="AC589" s="3"/>
    </row>
    <row r="590" ht="15.75" customHeight="1">
      <c r="A590" s="8"/>
      <c r="B590" s="8"/>
      <c r="C590" s="8"/>
      <c r="D590" s="8"/>
      <c r="E590" s="2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  <c r="AA590" s="3"/>
      <c r="AB590" s="3"/>
      <c r="AC590" s="3"/>
    </row>
    <row r="591" ht="15.75" customHeight="1">
      <c r="A591" s="8"/>
      <c r="B591" s="8"/>
      <c r="C591" s="8"/>
      <c r="D591" s="8"/>
      <c r="E591" s="2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  <c r="AA591" s="3"/>
      <c r="AB591" s="3"/>
      <c r="AC591" s="3"/>
    </row>
    <row r="592" ht="15.75" customHeight="1">
      <c r="A592" s="8"/>
      <c r="B592" s="8"/>
      <c r="C592" s="8"/>
      <c r="D592" s="8"/>
      <c r="E592" s="2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  <c r="AA592" s="3"/>
      <c r="AB592" s="3"/>
      <c r="AC592" s="3"/>
    </row>
    <row r="593" ht="15.75" customHeight="1">
      <c r="A593" s="8"/>
      <c r="B593" s="8"/>
      <c r="C593" s="8"/>
      <c r="D593" s="8"/>
      <c r="E593" s="2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  <c r="AA593" s="3"/>
      <c r="AB593" s="3"/>
      <c r="AC593" s="3"/>
    </row>
    <row r="594" ht="15.75" customHeight="1">
      <c r="A594" s="8"/>
      <c r="B594" s="8"/>
      <c r="C594" s="8"/>
      <c r="D594" s="8"/>
      <c r="E594" s="2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  <c r="AA594" s="3"/>
      <c r="AB594" s="3"/>
      <c r="AC594" s="3"/>
    </row>
    <row r="595" ht="15.75" customHeight="1">
      <c r="A595" s="8"/>
      <c r="B595" s="8"/>
      <c r="C595" s="8"/>
      <c r="D595" s="8"/>
      <c r="E595" s="2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  <c r="AA595" s="3"/>
      <c r="AB595" s="3"/>
      <c r="AC595" s="3"/>
    </row>
    <row r="596" ht="15.75" customHeight="1">
      <c r="A596" s="8"/>
      <c r="B596" s="8"/>
      <c r="C596" s="8"/>
      <c r="D596" s="8"/>
      <c r="E596" s="2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  <c r="AA596" s="3"/>
      <c r="AB596" s="3"/>
      <c r="AC596" s="3"/>
    </row>
    <row r="597" ht="15.75" customHeight="1">
      <c r="A597" s="8"/>
      <c r="B597" s="8"/>
      <c r="C597" s="8"/>
      <c r="D597" s="8"/>
      <c r="E597" s="2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  <c r="AA597" s="3"/>
      <c r="AB597" s="3"/>
      <c r="AC597" s="3"/>
    </row>
    <row r="598" ht="15.75" customHeight="1">
      <c r="A598" s="8"/>
      <c r="B598" s="8"/>
      <c r="C598" s="8"/>
      <c r="D598" s="8"/>
      <c r="E598" s="2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  <c r="AA598" s="3"/>
      <c r="AB598" s="3"/>
      <c r="AC598" s="3"/>
    </row>
    <row r="599" ht="15.75" customHeight="1">
      <c r="A599" s="8"/>
      <c r="B599" s="8"/>
      <c r="C599" s="8"/>
      <c r="D599" s="8"/>
      <c r="E599" s="2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  <c r="AA599" s="3"/>
      <c r="AB599" s="3"/>
      <c r="AC599" s="3"/>
    </row>
    <row r="600" ht="15.75" customHeight="1">
      <c r="A600" s="8"/>
      <c r="B600" s="8"/>
      <c r="C600" s="8"/>
      <c r="D600" s="8"/>
      <c r="E600" s="2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  <c r="AA600" s="3"/>
      <c r="AB600" s="3"/>
      <c r="AC600" s="3"/>
    </row>
    <row r="601" ht="15.75" customHeight="1">
      <c r="A601" s="8"/>
      <c r="B601" s="8"/>
      <c r="C601" s="8"/>
      <c r="D601" s="8"/>
      <c r="E601" s="2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  <c r="AA601" s="3"/>
      <c r="AB601" s="3"/>
      <c r="AC601" s="3"/>
    </row>
    <row r="602" ht="15.75" customHeight="1">
      <c r="A602" s="8"/>
      <c r="B602" s="8"/>
      <c r="C602" s="8"/>
      <c r="D602" s="8"/>
      <c r="E602" s="2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  <c r="AA602" s="3"/>
      <c r="AB602" s="3"/>
      <c r="AC602" s="3"/>
    </row>
    <row r="603" ht="15.75" customHeight="1">
      <c r="A603" s="8"/>
      <c r="B603" s="8"/>
      <c r="C603" s="8"/>
      <c r="D603" s="8"/>
      <c r="E603" s="2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  <c r="AA603" s="3"/>
      <c r="AB603" s="3"/>
      <c r="AC603" s="3"/>
    </row>
    <row r="604" ht="15.75" customHeight="1">
      <c r="A604" s="8"/>
      <c r="B604" s="8"/>
      <c r="C604" s="8"/>
      <c r="D604" s="8"/>
      <c r="E604" s="2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  <c r="AA604" s="3"/>
      <c r="AB604" s="3"/>
      <c r="AC604" s="3"/>
    </row>
    <row r="605" ht="15.75" customHeight="1">
      <c r="A605" s="8"/>
      <c r="B605" s="8"/>
      <c r="C605" s="8"/>
      <c r="D605" s="8"/>
      <c r="E605" s="2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  <c r="AA605" s="3"/>
      <c r="AB605" s="3"/>
      <c r="AC605" s="3"/>
    </row>
    <row r="606" ht="15.75" customHeight="1">
      <c r="A606" s="8"/>
      <c r="B606" s="8"/>
      <c r="C606" s="8"/>
      <c r="D606" s="8"/>
      <c r="E606" s="2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  <c r="AA606" s="3"/>
      <c r="AB606" s="3"/>
      <c r="AC606" s="3"/>
    </row>
    <row r="607" ht="15.75" customHeight="1">
      <c r="A607" s="8" t="s">
        <v>19</v>
      </c>
      <c r="B607" s="8" t="s">
        <v>147</v>
      </c>
      <c r="C607" s="8"/>
      <c r="D607" s="8"/>
      <c r="E607" s="2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  <c r="AA607" s="3"/>
      <c r="AB607" s="3"/>
      <c r="AC607" s="3"/>
    </row>
    <row r="608" ht="15.75" customHeight="1">
      <c r="A608" s="8" t="s">
        <v>36</v>
      </c>
      <c r="B608" s="8" t="s">
        <v>280</v>
      </c>
      <c r="C608" s="8"/>
      <c r="D608" s="8"/>
      <c r="E608" s="2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  <c r="AA608" s="3"/>
      <c r="AB608" s="3"/>
      <c r="AC608" s="3"/>
    </row>
    <row r="609" ht="15.75" customHeight="1">
      <c r="A609" s="8"/>
      <c r="B609" s="8" t="s">
        <v>281</v>
      </c>
      <c r="C609" s="8"/>
      <c r="D609" s="8"/>
      <c r="E609" s="2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  <c r="AA609" s="3"/>
      <c r="AB609" s="3"/>
      <c r="AC609" s="3"/>
    </row>
    <row r="610" ht="15.75" customHeight="1">
      <c r="A610" s="8"/>
      <c r="B610" s="8"/>
      <c r="C610" s="8"/>
      <c r="D610" s="8"/>
      <c r="E610" s="2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  <c r="AA610" s="3"/>
      <c r="AB610" s="3"/>
      <c r="AC610" s="3"/>
    </row>
    <row r="611" ht="15.75" customHeight="1">
      <c r="A611" s="8"/>
      <c r="B611" s="8"/>
      <c r="C611" s="8"/>
      <c r="D611" s="8"/>
      <c r="E611" s="2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  <c r="AA611" s="3"/>
      <c r="AB611" s="3"/>
      <c r="AC611" s="3"/>
    </row>
    <row r="612" ht="15.75" customHeight="1">
      <c r="A612" s="8"/>
      <c r="B612" s="8"/>
      <c r="C612" s="8"/>
      <c r="D612" s="8"/>
      <c r="E612" s="2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  <c r="AA612" s="3"/>
      <c r="AB612" s="3"/>
      <c r="AC612" s="3"/>
    </row>
    <row r="613" ht="15.75" customHeight="1">
      <c r="A613" s="8"/>
      <c r="B613" s="8"/>
      <c r="C613" s="8"/>
      <c r="D613" s="8"/>
      <c r="E613" s="2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  <c r="AA613" s="3"/>
      <c r="AB613" s="3"/>
      <c r="AC613" s="3"/>
    </row>
    <row r="614" ht="15.75" customHeight="1">
      <c r="A614" s="8"/>
      <c r="B614" s="8"/>
      <c r="C614" s="8"/>
      <c r="D614" s="8"/>
      <c r="E614" s="2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  <c r="AA614" s="3"/>
      <c r="AB614" s="3"/>
      <c r="AC614" s="3"/>
    </row>
    <row r="615" ht="15.75" customHeight="1">
      <c r="A615" s="8"/>
      <c r="B615" s="8"/>
      <c r="C615" s="8"/>
      <c r="D615" s="8"/>
      <c r="E615" s="2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  <c r="AA615" s="3"/>
      <c r="AB615" s="3"/>
      <c r="AC615" s="3"/>
    </row>
    <row r="616" ht="15.75" customHeight="1">
      <c r="A616" s="8"/>
      <c r="B616" s="8"/>
      <c r="C616" s="8"/>
      <c r="D616" s="8"/>
      <c r="E616" s="2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  <c r="AA616" s="3"/>
      <c r="AB616" s="3"/>
      <c r="AC616" s="3"/>
    </row>
    <row r="617" ht="15.75" customHeight="1">
      <c r="A617" s="8"/>
      <c r="B617" s="8"/>
      <c r="C617" s="8"/>
      <c r="D617" s="8"/>
      <c r="E617" s="2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  <c r="AA617" s="3"/>
      <c r="AB617" s="3"/>
      <c r="AC617" s="3"/>
    </row>
    <row r="618" ht="15.75" customHeight="1">
      <c r="A618" s="8"/>
      <c r="B618" s="8"/>
      <c r="C618" s="8"/>
      <c r="D618" s="8"/>
      <c r="E618" s="2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  <c r="AA618" s="3"/>
      <c r="AB618" s="3"/>
      <c r="AC618" s="3"/>
    </row>
    <row r="619" ht="15.75" customHeight="1">
      <c r="A619" s="8"/>
      <c r="B619" s="8"/>
      <c r="C619" s="8"/>
      <c r="D619" s="8"/>
      <c r="E619" s="2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  <c r="AA619" s="3"/>
      <c r="AB619" s="3"/>
      <c r="AC619" s="3"/>
    </row>
    <row r="620" ht="15.75" customHeight="1">
      <c r="A620" s="8"/>
      <c r="B620" s="8"/>
      <c r="C620" s="8"/>
      <c r="D620" s="8"/>
      <c r="E620" s="2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  <c r="AA620" s="3"/>
      <c r="AB620" s="3"/>
      <c r="AC620" s="3"/>
    </row>
    <row r="621" ht="15.75" customHeight="1">
      <c r="A621" s="8"/>
      <c r="B621" s="8"/>
      <c r="C621" s="8"/>
      <c r="D621" s="8"/>
      <c r="E621" s="2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  <c r="AA621" s="3"/>
      <c r="AB621" s="3"/>
      <c r="AC621" s="3"/>
    </row>
    <row r="622" ht="15.75" customHeight="1">
      <c r="A622" s="8"/>
      <c r="B622" s="8"/>
      <c r="C622" s="8"/>
      <c r="D622" s="8"/>
      <c r="E622" s="2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  <c r="AA622" s="3"/>
      <c r="AB622" s="3"/>
      <c r="AC622" s="3"/>
    </row>
    <row r="623" ht="15.75" customHeight="1">
      <c r="A623" s="8"/>
      <c r="B623" s="8"/>
      <c r="C623" s="8"/>
      <c r="D623" s="8"/>
      <c r="E623" s="2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  <c r="AA623" s="3"/>
      <c r="AB623" s="3"/>
      <c r="AC623" s="3"/>
    </row>
    <row r="624" ht="15.75" customHeight="1">
      <c r="A624" s="8"/>
      <c r="B624" s="8"/>
      <c r="C624" s="8"/>
      <c r="D624" s="8"/>
      <c r="E624" s="2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  <c r="AA624" s="3"/>
      <c r="AB624" s="3"/>
      <c r="AC624" s="3"/>
    </row>
    <row r="625" ht="15.75" customHeight="1">
      <c r="A625" s="8"/>
      <c r="B625" s="8"/>
      <c r="C625" s="8"/>
      <c r="D625" s="8"/>
      <c r="E625" s="2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  <c r="AA625" s="3"/>
      <c r="AB625" s="3"/>
      <c r="AC625" s="3"/>
    </row>
    <row r="626" ht="15.75" customHeight="1">
      <c r="A626" s="8"/>
      <c r="B626" s="8"/>
      <c r="C626" s="8"/>
      <c r="D626" s="8"/>
      <c r="E626" s="2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  <c r="AA626" s="3"/>
      <c r="AB626" s="3"/>
      <c r="AC626" s="3"/>
    </row>
    <row r="627" ht="15.75" customHeight="1">
      <c r="A627" s="8"/>
      <c r="B627" s="8"/>
      <c r="C627" s="8"/>
      <c r="D627" s="8"/>
      <c r="E627" s="2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  <c r="AA627" s="3"/>
      <c r="AB627" s="3"/>
      <c r="AC627" s="3"/>
    </row>
    <row r="628" ht="15.75" customHeight="1">
      <c r="A628" s="8"/>
      <c r="B628" s="8"/>
      <c r="C628" s="8"/>
      <c r="D628" s="8"/>
      <c r="E628" s="2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  <c r="AA628" s="3"/>
      <c r="AB628" s="3"/>
      <c r="AC628" s="3"/>
    </row>
    <row r="629" ht="15.75" customHeight="1">
      <c r="A629" s="8"/>
      <c r="B629" s="8"/>
      <c r="C629" s="8"/>
      <c r="D629" s="8"/>
      <c r="E629" s="2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  <c r="AA629" s="3"/>
      <c r="AB629" s="3"/>
      <c r="AC629" s="3"/>
    </row>
    <row r="630" ht="15.75" customHeight="1">
      <c r="A630" s="8"/>
      <c r="B630" s="8"/>
      <c r="C630" s="8"/>
      <c r="D630" s="8"/>
      <c r="E630" s="2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  <c r="AA630" s="3"/>
      <c r="AB630" s="3"/>
      <c r="AC630" s="3"/>
    </row>
    <row r="631" ht="15.75" customHeight="1">
      <c r="A631" s="8"/>
      <c r="B631" s="8"/>
      <c r="C631" s="8"/>
      <c r="D631" s="8"/>
      <c r="E631" s="2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  <c r="AA631" s="3"/>
      <c r="AB631" s="3"/>
      <c r="AC631" s="3"/>
    </row>
    <row r="632" ht="15.75" customHeight="1">
      <c r="A632" s="8"/>
      <c r="B632" s="8"/>
      <c r="C632" s="8"/>
      <c r="D632" s="8"/>
      <c r="E632" s="2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  <c r="AA632" s="3"/>
      <c r="AB632" s="3"/>
      <c r="AC632" s="3"/>
    </row>
    <row r="633" ht="15.75" customHeight="1">
      <c r="A633" s="8"/>
      <c r="B633" s="8"/>
      <c r="C633" s="8"/>
      <c r="D633" s="8"/>
      <c r="E633" s="2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  <c r="AA633" s="3"/>
      <c r="AB633" s="3"/>
      <c r="AC633" s="3"/>
    </row>
    <row r="634" ht="15.75" customHeight="1">
      <c r="A634" s="8"/>
      <c r="B634" s="8"/>
      <c r="C634" s="8"/>
      <c r="D634" s="8"/>
      <c r="E634" s="2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  <c r="AA634" s="3"/>
      <c r="AB634" s="3"/>
      <c r="AC634" s="3"/>
    </row>
    <row r="635" ht="15.75" customHeight="1">
      <c r="A635" s="8"/>
      <c r="B635" s="8"/>
      <c r="C635" s="8"/>
      <c r="D635" s="8"/>
      <c r="E635" s="2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  <c r="AA635" s="3"/>
      <c r="AB635" s="3"/>
      <c r="AC635" s="3"/>
    </row>
    <row r="636" ht="15.75" customHeight="1">
      <c r="A636" s="8"/>
      <c r="B636" s="8"/>
      <c r="C636" s="8"/>
      <c r="D636" s="8"/>
      <c r="E636" s="2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  <c r="AA636" s="3"/>
      <c r="AB636" s="3"/>
      <c r="AC636" s="3"/>
    </row>
    <row r="637" ht="15.75" customHeight="1">
      <c r="A637" s="8"/>
      <c r="B637" s="8"/>
      <c r="C637" s="8"/>
      <c r="D637" s="8"/>
      <c r="E637" s="2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  <c r="AA637" s="3"/>
      <c r="AB637" s="3"/>
      <c r="AC637" s="3"/>
    </row>
    <row r="638" ht="15.75" customHeight="1">
      <c r="A638" s="8"/>
      <c r="B638" s="8"/>
      <c r="C638" s="8"/>
      <c r="D638" s="8"/>
      <c r="E638" s="2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  <c r="AA638" s="3"/>
      <c r="AB638" s="3"/>
      <c r="AC638" s="3"/>
    </row>
    <row r="639" ht="15.75" customHeight="1">
      <c r="A639" s="8"/>
      <c r="B639" s="8"/>
      <c r="C639" s="8"/>
      <c r="D639" s="8"/>
      <c r="E639" s="2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  <c r="AA639" s="3"/>
      <c r="AB639" s="3"/>
      <c r="AC639" s="3"/>
    </row>
    <row r="640" ht="15.75" customHeight="1">
      <c r="A640" s="8"/>
      <c r="B640" s="8"/>
      <c r="C640" s="8"/>
      <c r="D640" s="8"/>
      <c r="E640" s="2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  <c r="AA640" s="3"/>
      <c r="AB640" s="3"/>
      <c r="AC640" s="3"/>
    </row>
    <row r="641" ht="15.75" customHeight="1">
      <c r="A641" s="8"/>
      <c r="B641" s="8"/>
      <c r="C641" s="8"/>
      <c r="D641" s="8"/>
      <c r="E641" s="2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  <c r="AA641" s="3"/>
      <c r="AB641" s="3"/>
      <c r="AC641" s="3"/>
    </row>
    <row r="642" ht="15.75" customHeight="1">
      <c r="A642" s="8"/>
      <c r="B642" s="8"/>
      <c r="C642" s="8"/>
      <c r="D642" s="8"/>
      <c r="E642" s="2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  <c r="AA642" s="3"/>
      <c r="AB642" s="3"/>
      <c r="AC642" s="3"/>
    </row>
    <row r="643" ht="15.75" customHeight="1">
      <c r="A643" s="8"/>
      <c r="B643" s="8"/>
      <c r="C643" s="8"/>
      <c r="D643" s="8"/>
      <c r="E643" s="2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  <c r="AA643" s="3"/>
      <c r="AB643" s="3"/>
      <c r="AC643" s="3"/>
    </row>
    <row r="644" ht="15.75" customHeight="1">
      <c r="A644" s="8"/>
      <c r="B644" s="8"/>
      <c r="C644" s="8"/>
      <c r="D644" s="8"/>
      <c r="E644" s="2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  <c r="AA644" s="3"/>
      <c r="AB644" s="3"/>
      <c r="AC644" s="3"/>
    </row>
    <row r="645" ht="15.75" customHeight="1">
      <c r="A645" s="8"/>
      <c r="B645" s="8"/>
      <c r="C645" s="8"/>
      <c r="D645" s="8"/>
      <c r="E645" s="2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  <c r="AA645" s="3"/>
      <c r="AB645" s="3"/>
      <c r="AC645" s="3"/>
    </row>
    <row r="646" ht="15.75" customHeight="1">
      <c r="A646" s="8"/>
      <c r="B646" s="8"/>
      <c r="C646" s="8"/>
      <c r="D646" s="8"/>
      <c r="E646" s="2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  <c r="AA646" s="3"/>
      <c r="AB646" s="3"/>
      <c r="AC646" s="3"/>
    </row>
    <row r="647" ht="15.75" customHeight="1">
      <c r="A647" s="8"/>
      <c r="B647" s="8"/>
      <c r="C647" s="8"/>
      <c r="D647" s="8"/>
      <c r="E647" s="2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  <c r="AA647" s="3"/>
      <c r="AB647" s="3"/>
      <c r="AC647" s="3"/>
    </row>
    <row r="648" ht="15.75" customHeight="1">
      <c r="A648" s="8"/>
      <c r="B648" s="8"/>
      <c r="C648" s="8"/>
      <c r="D648" s="8"/>
      <c r="E648" s="2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  <c r="AA648" s="3"/>
      <c r="AB648" s="3"/>
      <c r="AC648" s="3"/>
    </row>
    <row r="649" ht="15.75" customHeight="1">
      <c r="A649" s="8"/>
      <c r="B649" s="8"/>
      <c r="C649" s="8"/>
      <c r="D649" s="8"/>
      <c r="E649" s="2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  <c r="AA649" s="3"/>
      <c r="AB649" s="3"/>
      <c r="AC649" s="3"/>
    </row>
    <row r="650" ht="15.75" customHeight="1">
      <c r="A650" s="8"/>
      <c r="B650" s="8"/>
      <c r="C650" s="8"/>
      <c r="D650" s="8"/>
      <c r="E650" s="2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  <c r="AA650" s="3"/>
      <c r="AB650" s="3"/>
      <c r="AC650" s="3"/>
    </row>
    <row r="651" ht="15.75" customHeight="1">
      <c r="A651" s="8"/>
      <c r="B651" s="8"/>
      <c r="C651" s="8"/>
      <c r="D651" s="8"/>
      <c r="E651" s="2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  <c r="AA651" s="3"/>
      <c r="AB651" s="3"/>
      <c r="AC651" s="3"/>
    </row>
    <row r="652" ht="15.75" customHeight="1">
      <c r="A652" s="8"/>
      <c r="B652" s="8"/>
      <c r="C652" s="8"/>
      <c r="D652" s="8"/>
      <c r="E652" s="2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  <c r="AA652" s="3"/>
      <c r="AB652" s="3"/>
      <c r="AC652" s="3"/>
    </row>
    <row r="653" ht="15.75" customHeight="1">
      <c r="A653" s="8"/>
      <c r="B653" s="8"/>
      <c r="C653" s="8"/>
      <c r="D653" s="8"/>
      <c r="E653" s="2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  <c r="AA653" s="3"/>
      <c r="AB653" s="3"/>
      <c r="AC653" s="3"/>
    </row>
    <row r="654" ht="15.75" customHeight="1">
      <c r="A654" s="8"/>
      <c r="B654" s="8"/>
      <c r="C654" s="8"/>
      <c r="D654" s="8"/>
      <c r="E654" s="2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  <c r="AA654" s="3"/>
      <c r="AB654" s="3"/>
      <c r="AC654" s="3"/>
    </row>
    <row r="655" ht="15.75" customHeight="1">
      <c r="A655" s="8"/>
      <c r="B655" s="8"/>
      <c r="C655" s="8"/>
      <c r="D655" s="8"/>
      <c r="E655" s="2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  <c r="AA655" s="3"/>
      <c r="AB655" s="3"/>
      <c r="AC655" s="3"/>
    </row>
    <row r="656" ht="15.75" customHeight="1">
      <c r="A656" s="8"/>
      <c r="B656" s="8"/>
      <c r="C656" s="8"/>
      <c r="D656" s="8"/>
      <c r="E656" s="2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  <c r="AA656" s="3"/>
      <c r="AB656" s="3"/>
      <c r="AC656" s="3"/>
    </row>
    <row r="657" ht="15.75" customHeight="1">
      <c r="A657" s="8"/>
      <c r="B657" s="8"/>
      <c r="C657" s="8"/>
      <c r="D657" s="8"/>
      <c r="E657" s="2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  <c r="AA657" s="3"/>
      <c r="AB657" s="3"/>
      <c r="AC657" s="3"/>
    </row>
    <row r="658" ht="15.75" customHeight="1">
      <c r="A658" s="8"/>
      <c r="B658" s="8"/>
      <c r="C658" s="8"/>
      <c r="D658" s="8"/>
      <c r="E658" s="2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  <c r="AA658" s="3"/>
      <c r="AB658" s="3"/>
      <c r="AC658" s="3"/>
    </row>
    <row r="659" ht="15.75" customHeight="1">
      <c r="A659" s="8"/>
      <c r="B659" s="8"/>
      <c r="C659" s="8"/>
      <c r="D659" s="8"/>
      <c r="E659" s="2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  <c r="AA659" s="3"/>
      <c r="AB659" s="3"/>
      <c r="AC659" s="3"/>
    </row>
    <row r="660" ht="15.75" customHeight="1">
      <c r="A660" s="8"/>
      <c r="B660" s="8"/>
      <c r="C660" s="8"/>
      <c r="D660" s="8"/>
      <c r="E660" s="2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  <c r="AA660" s="3"/>
      <c r="AB660" s="3"/>
      <c r="AC660" s="3"/>
    </row>
    <row r="661" ht="15.75" customHeight="1">
      <c r="A661" s="8"/>
      <c r="B661" s="8"/>
      <c r="C661" s="8"/>
      <c r="D661" s="8"/>
      <c r="E661" s="2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  <c r="AA661" s="3"/>
      <c r="AB661" s="3"/>
      <c r="AC661" s="3"/>
    </row>
    <row r="662" ht="15.75" customHeight="1">
      <c r="A662" s="8"/>
      <c r="B662" s="8"/>
      <c r="C662" s="8"/>
      <c r="D662" s="8"/>
      <c r="E662" s="2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  <c r="AA662" s="3"/>
      <c r="AB662" s="3"/>
      <c r="AC662" s="3"/>
    </row>
    <row r="663" ht="15.75" customHeight="1">
      <c r="A663" s="8"/>
      <c r="B663" s="8"/>
      <c r="C663" s="8"/>
      <c r="D663" s="8"/>
      <c r="E663" s="2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  <c r="AA663" s="3"/>
      <c r="AB663" s="3"/>
      <c r="AC663" s="3"/>
    </row>
    <row r="664" ht="15.75" customHeight="1">
      <c r="A664" s="8"/>
      <c r="B664" s="8"/>
      <c r="C664" s="8"/>
      <c r="D664" s="8"/>
      <c r="E664" s="2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  <c r="AA664" s="3"/>
      <c r="AB664" s="3"/>
      <c r="AC664" s="3"/>
    </row>
    <row r="665" ht="15.75" customHeight="1">
      <c r="A665" s="8"/>
      <c r="B665" s="8"/>
      <c r="C665" s="8"/>
      <c r="D665" s="8"/>
      <c r="E665" s="2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  <c r="AA665" s="3"/>
      <c r="AB665" s="3"/>
      <c r="AC665" s="3"/>
    </row>
    <row r="666" ht="15.75" customHeight="1">
      <c r="A666" s="8"/>
      <c r="B666" s="8"/>
      <c r="C666" s="8"/>
      <c r="D666" s="8"/>
      <c r="E666" s="2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  <c r="AA666" s="3"/>
      <c r="AB666" s="3"/>
      <c r="AC666" s="3"/>
    </row>
    <row r="667" ht="15.75" customHeight="1">
      <c r="A667" s="8"/>
      <c r="B667" s="8"/>
      <c r="C667" s="8"/>
      <c r="D667" s="8"/>
      <c r="E667" s="2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  <c r="AA667" s="3"/>
      <c r="AB667" s="3"/>
      <c r="AC667" s="3"/>
    </row>
    <row r="668" ht="15.75" customHeight="1">
      <c r="A668" s="8"/>
      <c r="B668" s="8"/>
      <c r="C668" s="8"/>
      <c r="D668" s="8"/>
      <c r="E668" s="2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  <c r="AA668" s="3"/>
      <c r="AB668" s="3"/>
      <c r="AC668" s="3"/>
    </row>
    <row r="669" ht="15.75" customHeight="1">
      <c r="A669" s="8"/>
      <c r="B669" s="8"/>
      <c r="C669" s="8"/>
      <c r="D669" s="8"/>
      <c r="E669" s="2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  <c r="AA669" s="3"/>
      <c r="AB669" s="3"/>
      <c r="AC669" s="3"/>
    </row>
    <row r="670" ht="15.75" customHeight="1">
      <c r="A670" s="8"/>
      <c r="B670" s="8"/>
      <c r="C670" s="8"/>
      <c r="D670" s="8"/>
      <c r="E670" s="2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  <c r="AA670" s="3"/>
      <c r="AB670" s="3"/>
      <c r="AC670" s="3"/>
    </row>
    <row r="671" ht="15.75" customHeight="1">
      <c r="A671" s="8"/>
      <c r="B671" s="8"/>
      <c r="C671" s="8"/>
      <c r="D671" s="8"/>
      <c r="E671" s="2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  <c r="AA671" s="3"/>
      <c r="AB671" s="3"/>
      <c r="AC671" s="3"/>
    </row>
    <row r="672" ht="15.75" customHeight="1">
      <c r="A672" s="8"/>
      <c r="B672" s="8"/>
      <c r="C672" s="8"/>
      <c r="D672" s="8"/>
      <c r="E672" s="2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  <c r="AA672" s="3"/>
      <c r="AB672" s="3"/>
      <c r="AC672" s="3"/>
    </row>
    <row r="673" ht="15.75" customHeight="1">
      <c r="A673" s="8"/>
      <c r="B673" s="8"/>
      <c r="C673" s="8"/>
      <c r="D673" s="8"/>
      <c r="E673" s="2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  <c r="AA673" s="3"/>
      <c r="AB673" s="3"/>
      <c r="AC673" s="3"/>
    </row>
    <row r="674" ht="15.75" customHeight="1">
      <c r="A674" s="8"/>
      <c r="B674" s="8"/>
      <c r="C674" s="8"/>
      <c r="D674" s="8"/>
      <c r="E674" s="2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  <c r="AA674" s="3"/>
      <c r="AB674" s="3"/>
      <c r="AC674" s="3"/>
    </row>
    <row r="675" ht="15.75" customHeight="1">
      <c r="A675" s="8"/>
      <c r="B675" s="8"/>
      <c r="C675" s="8"/>
      <c r="D675" s="8"/>
      <c r="E675" s="2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  <c r="AA675" s="3"/>
      <c r="AB675" s="3"/>
      <c r="AC675" s="3"/>
    </row>
    <row r="676" ht="15.75" customHeight="1">
      <c r="A676" s="8"/>
      <c r="B676" s="8"/>
      <c r="C676" s="8"/>
      <c r="D676" s="8"/>
      <c r="E676" s="2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  <c r="AA676" s="3"/>
      <c r="AB676" s="3"/>
      <c r="AC676" s="3"/>
    </row>
    <row r="677" ht="15.75" customHeight="1">
      <c r="A677" s="8"/>
      <c r="B677" s="8"/>
      <c r="C677" s="8"/>
      <c r="D677" s="8"/>
      <c r="E677" s="2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  <c r="AA677" s="3"/>
      <c r="AB677" s="3"/>
      <c r="AC677" s="3"/>
    </row>
    <row r="678" ht="15.75" customHeight="1">
      <c r="A678" s="8"/>
      <c r="B678" s="8"/>
      <c r="C678" s="8"/>
      <c r="D678" s="8"/>
      <c r="E678" s="2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  <c r="AA678" s="3"/>
      <c r="AB678" s="3"/>
      <c r="AC678" s="3"/>
    </row>
    <row r="679" ht="15.75" customHeight="1">
      <c r="A679" s="8"/>
      <c r="B679" s="8"/>
      <c r="C679" s="8"/>
      <c r="D679" s="8"/>
      <c r="E679" s="2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  <c r="AA679" s="3"/>
      <c r="AB679" s="3"/>
      <c r="AC679" s="3"/>
    </row>
    <row r="680" ht="15.75" customHeight="1">
      <c r="A680" s="8"/>
      <c r="B680" s="8"/>
      <c r="C680" s="8"/>
      <c r="D680" s="8"/>
      <c r="E680" s="2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  <c r="AA680" s="3"/>
      <c r="AB680" s="3"/>
      <c r="AC680" s="3"/>
    </row>
    <row r="681" ht="15.75" customHeight="1">
      <c r="A681" s="8"/>
      <c r="B681" s="8"/>
      <c r="C681" s="8"/>
      <c r="D681" s="8"/>
      <c r="E681" s="2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  <c r="AA681" s="3"/>
      <c r="AB681" s="3"/>
      <c r="AC681" s="3"/>
    </row>
    <row r="682" ht="15.75" customHeight="1">
      <c r="A682" s="8"/>
      <c r="B682" s="8"/>
      <c r="C682" s="8"/>
      <c r="D682" s="8"/>
      <c r="E682" s="2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  <c r="AA682" s="3"/>
      <c r="AB682" s="3"/>
      <c r="AC682" s="3"/>
    </row>
    <row r="683" ht="15.75" customHeight="1">
      <c r="A683" s="8"/>
      <c r="B683" s="8"/>
      <c r="C683" s="8"/>
      <c r="D683" s="8"/>
      <c r="E683" s="2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  <c r="AA683" s="3"/>
      <c r="AB683" s="3"/>
      <c r="AC683" s="3"/>
    </row>
    <row r="684" ht="15.75" customHeight="1">
      <c r="A684" s="8"/>
      <c r="B684" s="8"/>
      <c r="C684" s="8"/>
      <c r="D684" s="8"/>
      <c r="E684" s="2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  <c r="AA684" s="3"/>
      <c r="AB684" s="3"/>
      <c r="AC684" s="3"/>
    </row>
    <row r="685" ht="15.75" customHeight="1">
      <c r="A685" s="8"/>
      <c r="B685" s="8"/>
      <c r="C685" s="8"/>
      <c r="D685" s="8"/>
      <c r="E685" s="2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  <c r="AA685" s="3"/>
      <c r="AB685" s="3"/>
      <c r="AC685" s="3"/>
    </row>
    <row r="686" ht="15.75" customHeight="1">
      <c r="A686" s="8"/>
      <c r="B686" s="8"/>
      <c r="C686" s="8"/>
      <c r="D686" s="8"/>
      <c r="E686" s="2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  <c r="AA686" s="3"/>
      <c r="AB686" s="3"/>
      <c r="AC686" s="3"/>
    </row>
    <row r="687" ht="15.75" customHeight="1">
      <c r="A687" s="8"/>
      <c r="B687" s="8"/>
      <c r="C687" s="8"/>
      <c r="D687" s="8"/>
      <c r="E687" s="2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  <c r="AA687" s="3"/>
      <c r="AB687" s="3"/>
      <c r="AC687" s="3"/>
    </row>
    <row r="688" ht="15.75" customHeight="1">
      <c r="A688" s="8"/>
      <c r="B688" s="8"/>
      <c r="C688" s="8"/>
      <c r="D688" s="8"/>
      <c r="E688" s="2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  <c r="AA688" s="3"/>
      <c r="AB688" s="3"/>
      <c r="AC688" s="3"/>
    </row>
    <row r="689" ht="15.75" customHeight="1">
      <c r="A689" s="8"/>
      <c r="B689" s="8"/>
      <c r="C689" s="8"/>
      <c r="D689" s="8"/>
      <c r="E689" s="2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  <c r="AA689" s="3"/>
      <c r="AB689" s="3"/>
      <c r="AC689" s="3"/>
    </row>
    <row r="690" ht="15.75" customHeight="1">
      <c r="A690" s="8"/>
      <c r="B690" s="8"/>
      <c r="C690" s="8"/>
      <c r="D690" s="8"/>
      <c r="E690" s="2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  <c r="AA690" s="3"/>
      <c r="AB690" s="3"/>
      <c r="AC690" s="3"/>
    </row>
    <row r="691" ht="15.75" customHeight="1">
      <c r="A691" s="8"/>
      <c r="B691" s="8"/>
      <c r="C691" s="8"/>
      <c r="D691" s="8"/>
      <c r="E691" s="2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  <c r="AA691" s="3"/>
      <c r="AB691" s="3"/>
      <c r="AC691" s="3"/>
    </row>
    <row r="692" ht="15.75" customHeight="1">
      <c r="A692" s="8"/>
      <c r="B692" s="8"/>
      <c r="C692" s="8"/>
      <c r="D692" s="8"/>
      <c r="E692" s="2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  <c r="AA692" s="3"/>
      <c r="AB692" s="3"/>
      <c r="AC692" s="3"/>
    </row>
    <row r="693" ht="15.75" customHeight="1">
      <c r="A693" s="8"/>
      <c r="B693" s="8"/>
      <c r="C693" s="8"/>
      <c r="D693" s="8"/>
      <c r="E693" s="2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  <c r="AA693" s="3"/>
      <c r="AB693" s="3"/>
      <c r="AC693" s="3"/>
    </row>
    <row r="694" ht="15.75" customHeight="1">
      <c r="A694" s="8"/>
      <c r="B694" s="8"/>
      <c r="C694" s="8"/>
      <c r="D694" s="8"/>
      <c r="E694" s="2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  <c r="AA694" s="3"/>
      <c r="AB694" s="3"/>
      <c r="AC694" s="3"/>
    </row>
    <row r="695" ht="15.75" customHeight="1">
      <c r="A695" s="8"/>
      <c r="B695" s="8"/>
      <c r="C695" s="8"/>
      <c r="D695" s="8"/>
      <c r="E695" s="2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  <c r="AA695" s="3"/>
      <c r="AB695" s="3"/>
      <c r="AC695" s="3"/>
    </row>
    <row r="696" ht="15.75" customHeight="1">
      <c r="A696" s="8"/>
      <c r="B696" s="8"/>
      <c r="C696" s="8"/>
      <c r="D696" s="8"/>
      <c r="E696" s="2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  <c r="AA696" s="3"/>
      <c r="AB696" s="3"/>
      <c r="AC696" s="3"/>
    </row>
    <row r="697" ht="15.75" customHeight="1">
      <c r="A697" s="8"/>
      <c r="B697" s="8"/>
      <c r="C697" s="8"/>
      <c r="D697" s="8"/>
      <c r="E697" s="2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  <c r="AA697" s="3"/>
      <c r="AB697" s="3"/>
      <c r="AC697" s="3"/>
    </row>
    <row r="698" ht="15.75" customHeight="1">
      <c r="A698" s="8"/>
      <c r="B698" s="8"/>
      <c r="C698" s="8"/>
      <c r="D698" s="8"/>
      <c r="E698" s="2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  <c r="AA698" s="3"/>
      <c r="AB698" s="3"/>
      <c r="AC698" s="3"/>
    </row>
    <row r="699" ht="15.75" customHeight="1">
      <c r="A699" s="8"/>
      <c r="B699" s="8"/>
      <c r="C699" s="8"/>
      <c r="D699" s="8"/>
      <c r="E699" s="2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  <c r="AA699" s="3"/>
      <c r="AB699" s="3"/>
      <c r="AC699" s="3"/>
    </row>
    <row r="700" ht="15.75" customHeight="1">
      <c r="A700" s="8"/>
      <c r="B700" s="8"/>
      <c r="C700" s="8"/>
      <c r="D700" s="8"/>
      <c r="E700" s="2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  <c r="AA700" s="3"/>
      <c r="AB700" s="3"/>
      <c r="AC700" s="3"/>
    </row>
    <row r="701" ht="15.75" customHeight="1">
      <c r="A701" s="8"/>
      <c r="B701" s="8"/>
      <c r="C701" s="8"/>
      <c r="D701" s="8"/>
      <c r="E701" s="2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  <c r="AA701" s="3"/>
      <c r="AB701" s="3"/>
      <c r="AC701" s="3"/>
    </row>
    <row r="702" ht="15.75" customHeight="1">
      <c r="A702" s="8"/>
      <c r="B702" s="8"/>
      <c r="C702" s="8"/>
      <c r="D702" s="8"/>
      <c r="E702" s="2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  <c r="AA702" s="3"/>
      <c r="AB702" s="3"/>
      <c r="AC702" s="3"/>
    </row>
    <row r="703" ht="15.75" customHeight="1">
      <c r="A703" s="8"/>
      <c r="B703" s="8"/>
      <c r="C703" s="8"/>
      <c r="D703" s="8"/>
      <c r="E703" s="2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  <c r="AA703" s="3"/>
      <c r="AB703" s="3"/>
      <c r="AC703" s="3"/>
    </row>
    <row r="704" ht="15.75" customHeight="1">
      <c r="A704" s="8"/>
      <c r="B704" s="8"/>
      <c r="C704" s="8"/>
      <c r="D704" s="8"/>
      <c r="E704" s="2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  <c r="AA704" s="3"/>
      <c r="AB704" s="3"/>
      <c r="AC704" s="3"/>
    </row>
    <row r="705" ht="15.75" customHeight="1">
      <c r="A705" s="8"/>
      <c r="B705" s="8"/>
      <c r="C705" s="8"/>
      <c r="D705" s="8"/>
      <c r="E705" s="2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  <c r="AA705" s="3"/>
      <c r="AB705" s="3"/>
      <c r="AC705" s="3"/>
    </row>
    <row r="706" ht="15.75" customHeight="1">
      <c r="A706" s="8"/>
      <c r="B706" s="8"/>
      <c r="C706" s="8"/>
      <c r="D706" s="8"/>
      <c r="E706" s="2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  <c r="AA706" s="3"/>
      <c r="AB706" s="3"/>
      <c r="AC706" s="3"/>
    </row>
    <row r="707" ht="15.75" customHeight="1">
      <c r="A707" s="8"/>
      <c r="B707" s="8"/>
      <c r="C707" s="8"/>
      <c r="D707" s="8"/>
      <c r="E707" s="2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  <c r="AA707" s="3"/>
      <c r="AB707" s="3"/>
      <c r="AC707" s="3"/>
    </row>
    <row r="708" ht="15.75" customHeight="1">
      <c r="A708" s="8"/>
      <c r="B708" s="8"/>
      <c r="C708" s="8"/>
      <c r="D708" s="8"/>
      <c r="E708" s="2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  <c r="AA708" s="3"/>
      <c r="AB708" s="3"/>
      <c r="AC708" s="3"/>
    </row>
    <row r="709" ht="15.75" customHeight="1">
      <c r="A709" s="8"/>
      <c r="B709" s="8"/>
      <c r="C709" s="8"/>
      <c r="D709" s="8"/>
      <c r="E709" s="2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  <c r="AA709" s="3"/>
      <c r="AB709" s="3"/>
      <c r="AC709" s="3"/>
    </row>
    <row r="710" ht="15.75" customHeight="1">
      <c r="A710" s="8"/>
      <c r="B710" s="8"/>
      <c r="C710" s="8"/>
      <c r="D710" s="8"/>
      <c r="E710" s="2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  <c r="AA710" s="3"/>
      <c r="AB710" s="3"/>
      <c r="AC710" s="3"/>
    </row>
    <row r="711" ht="15.75" customHeight="1">
      <c r="A711" s="8"/>
      <c r="B711" s="8"/>
      <c r="C711" s="8"/>
      <c r="D711" s="8"/>
      <c r="E711" s="2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  <c r="AA711" s="3"/>
      <c r="AB711" s="3"/>
      <c r="AC711" s="3"/>
    </row>
    <row r="712" ht="15.75" customHeight="1">
      <c r="A712" s="8"/>
      <c r="B712" s="8"/>
      <c r="C712" s="8"/>
      <c r="D712" s="8"/>
      <c r="E712" s="2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  <c r="AA712" s="3"/>
      <c r="AB712" s="3"/>
      <c r="AC712" s="3"/>
    </row>
    <row r="713" ht="15.75" customHeight="1">
      <c r="A713" s="8"/>
      <c r="B713" s="8"/>
      <c r="C713" s="8"/>
      <c r="D713" s="8"/>
      <c r="E713" s="2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  <c r="AA713" s="3"/>
      <c r="AB713" s="3"/>
      <c r="AC713" s="3"/>
    </row>
    <row r="714" ht="15.75" customHeight="1">
      <c r="A714" s="8"/>
      <c r="B714" s="8"/>
      <c r="C714" s="8"/>
      <c r="D714" s="8"/>
      <c r="E714" s="2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  <c r="AA714" s="3"/>
      <c r="AB714" s="3"/>
      <c r="AC714" s="3"/>
    </row>
    <row r="715" ht="15.75" customHeight="1">
      <c r="A715" s="8"/>
      <c r="B715" s="8"/>
      <c r="C715" s="8"/>
      <c r="D715" s="8"/>
      <c r="E715" s="2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  <c r="AA715" s="3"/>
      <c r="AB715" s="3"/>
      <c r="AC715" s="3"/>
    </row>
    <row r="716" ht="15.75" customHeight="1">
      <c r="A716" s="8"/>
      <c r="B716" s="8"/>
      <c r="C716" s="8"/>
      <c r="D716" s="8"/>
      <c r="E716" s="2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  <c r="AA716" s="3"/>
      <c r="AB716" s="3"/>
      <c r="AC716" s="3"/>
    </row>
    <row r="717" ht="15.75" customHeight="1">
      <c r="A717" s="8"/>
      <c r="B717" s="8"/>
      <c r="C717" s="8"/>
      <c r="D717" s="8"/>
      <c r="E717" s="2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  <c r="AA717" s="3"/>
      <c r="AB717" s="3"/>
      <c r="AC717" s="3"/>
    </row>
    <row r="718" ht="15.75" customHeight="1">
      <c r="A718" s="8"/>
      <c r="B718" s="8"/>
      <c r="C718" s="8"/>
      <c r="D718" s="8"/>
      <c r="E718" s="2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  <c r="AA718" s="3"/>
      <c r="AB718" s="3"/>
      <c r="AC718" s="3"/>
    </row>
    <row r="719" ht="15.75" customHeight="1">
      <c r="A719" s="8"/>
      <c r="B719" s="8"/>
      <c r="C719" s="8"/>
      <c r="D719" s="8"/>
      <c r="E719" s="2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  <c r="AA719" s="3"/>
      <c r="AB719" s="3"/>
      <c r="AC719" s="3"/>
    </row>
    <row r="720" ht="15.75" customHeight="1">
      <c r="A720" s="8"/>
      <c r="B720" s="8"/>
      <c r="C720" s="8"/>
      <c r="D720" s="8"/>
      <c r="E720" s="2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  <c r="AA720" s="3"/>
      <c r="AB720" s="3"/>
      <c r="AC720" s="3"/>
    </row>
    <row r="721" ht="15.75" customHeight="1">
      <c r="A721" s="8"/>
      <c r="B721" s="8"/>
      <c r="C721" s="8"/>
      <c r="D721" s="8"/>
      <c r="E721" s="2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  <c r="AA721" s="3"/>
      <c r="AB721" s="3"/>
      <c r="AC721" s="3"/>
    </row>
    <row r="722" ht="15.75" customHeight="1">
      <c r="A722" s="8"/>
      <c r="B722" s="8"/>
      <c r="C722" s="8"/>
      <c r="D722" s="8"/>
      <c r="E722" s="2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  <c r="AA722" s="3"/>
      <c r="AB722" s="3"/>
      <c r="AC722" s="3"/>
    </row>
    <row r="723" ht="15.75" customHeight="1">
      <c r="A723" s="8"/>
      <c r="B723" s="8"/>
      <c r="C723" s="8"/>
      <c r="D723" s="8"/>
      <c r="E723" s="2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  <c r="AA723" s="3"/>
      <c r="AB723" s="3"/>
      <c r="AC723" s="3"/>
    </row>
    <row r="724" ht="15.75" customHeight="1">
      <c r="A724" s="8"/>
      <c r="B724" s="8"/>
      <c r="C724" s="8"/>
      <c r="D724" s="8"/>
      <c r="E724" s="2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  <c r="AA724" s="3"/>
      <c r="AB724" s="3"/>
      <c r="AC724" s="3"/>
    </row>
    <row r="725" ht="15.75" customHeight="1">
      <c r="A725" s="8"/>
      <c r="B725" s="8"/>
      <c r="C725" s="8"/>
      <c r="D725" s="8"/>
      <c r="E725" s="2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  <c r="AA725" s="3"/>
      <c r="AB725" s="3"/>
      <c r="AC725" s="3"/>
    </row>
    <row r="726" ht="15.75" customHeight="1">
      <c r="A726" s="8"/>
      <c r="B726" s="8"/>
      <c r="C726" s="8"/>
      <c r="D726" s="8"/>
      <c r="E726" s="2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  <c r="AA726" s="3"/>
      <c r="AB726" s="3"/>
      <c r="AC726" s="3"/>
    </row>
    <row r="727" ht="15.75" customHeight="1">
      <c r="A727" s="8"/>
      <c r="B727" s="8"/>
      <c r="C727" s="8"/>
      <c r="D727" s="8"/>
      <c r="E727" s="2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  <c r="AA727" s="3"/>
      <c r="AB727" s="3"/>
      <c r="AC727" s="3"/>
    </row>
    <row r="728" ht="15.75" customHeight="1">
      <c r="A728" s="8"/>
      <c r="B728" s="8"/>
      <c r="C728" s="8"/>
      <c r="D728" s="8"/>
      <c r="E728" s="2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  <c r="AA728" s="3"/>
      <c r="AB728" s="3"/>
      <c r="AC728" s="3"/>
    </row>
    <row r="729" ht="15.75" customHeight="1">
      <c r="A729" s="8"/>
      <c r="B729" s="8"/>
      <c r="C729" s="8"/>
      <c r="D729" s="8"/>
      <c r="E729" s="2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  <c r="AA729" s="3"/>
      <c r="AB729" s="3"/>
      <c r="AC729" s="3"/>
    </row>
    <row r="730" ht="15.75" customHeight="1">
      <c r="A730" s="8"/>
      <c r="B730" s="8"/>
      <c r="C730" s="8"/>
      <c r="D730" s="8"/>
      <c r="E730" s="2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  <c r="AA730" s="3"/>
      <c r="AB730" s="3"/>
      <c r="AC730" s="3"/>
    </row>
    <row r="731" ht="15.75" customHeight="1">
      <c r="A731" s="8"/>
      <c r="B731" s="8"/>
      <c r="C731" s="8"/>
      <c r="D731" s="8"/>
      <c r="E731" s="2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  <c r="AA731" s="3"/>
      <c r="AB731" s="3"/>
      <c r="AC731" s="3"/>
    </row>
    <row r="732" ht="15.75" customHeight="1">
      <c r="A732" s="8"/>
      <c r="B732" s="8"/>
      <c r="C732" s="8"/>
      <c r="D732" s="8"/>
      <c r="E732" s="2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  <c r="AA732" s="3"/>
      <c r="AB732" s="3"/>
      <c r="AC732" s="3"/>
    </row>
    <row r="733" ht="15.75" customHeight="1">
      <c r="A733" s="8"/>
      <c r="B733" s="8"/>
      <c r="C733" s="8"/>
      <c r="D733" s="8"/>
      <c r="E733" s="2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  <c r="AA733" s="3"/>
      <c r="AB733" s="3"/>
      <c r="AC733" s="3"/>
    </row>
    <row r="734" ht="15.75" customHeight="1">
      <c r="A734" s="8"/>
      <c r="B734" s="8"/>
      <c r="C734" s="8"/>
      <c r="D734" s="8"/>
      <c r="E734" s="2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  <c r="AA734" s="3"/>
      <c r="AB734" s="3"/>
      <c r="AC734" s="3"/>
    </row>
    <row r="735" ht="15.75" customHeight="1">
      <c r="A735" s="8"/>
      <c r="B735" s="8"/>
      <c r="C735" s="8"/>
      <c r="D735" s="8"/>
      <c r="E735" s="2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  <c r="AA735" s="3"/>
      <c r="AB735" s="3"/>
      <c r="AC735" s="3"/>
    </row>
    <row r="736" ht="15.75" customHeight="1">
      <c r="A736" s="8"/>
      <c r="B736" s="8"/>
      <c r="C736" s="8"/>
      <c r="D736" s="8"/>
      <c r="E736" s="2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  <c r="AA736" s="3"/>
      <c r="AB736" s="3"/>
      <c r="AC736" s="3"/>
    </row>
    <row r="737" ht="15.75" customHeight="1">
      <c r="A737" s="8"/>
      <c r="B737" s="8"/>
      <c r="C737" s="8"/>
      <c r="D737" s="8"/>
      <c r="E737" s="2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  <c r="AA737" s="3"/>
      <c r="AB737" s="3"/>
      <c r="AC737" s="3"/>
    </row>
    <row r="738" ht="15.75" customHeight="1">
      <c r="A738" s="8"/>
      <c r="B738" s="8"/>
      <c r="C738" s="8"/>
      <c r="D738" s="8"/>
      <c r="E738" s="2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  <c r="AA738" s="3"/>
      <c r="AB738" s="3"/>
      <c r="AC738" s="3"/>
    </row>
    <row r="739" ht="15.75" customHeight="1">
      <c r="A739" s="8"/>
      <c r="B739" s="8"/>
      <c r="C739" s="8"/>
      <c r="D739" s="8"/>
      <c r="E739" s="2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  <c r="AA739" s="3"/>
      <c r="AB739" s="3"/>
      <c r="AC739" s="3"/>
    </row>
    <row r="740" ht="15.75" customHeight="1">
      <c r="A740" s="8"/>
      <c r="B740" s="8"/>
      <c r="C740" s="8"/>
      <c r="D740" s="8"/>
      <c r="E740" s="2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  <c r="AA740" s="3"/>
      <c r="AB740" s="3"/>
      <c r="AC740" s="3"/>
    </row>
    <row r="741" ht="15.75" customHeight="1">
      <c r="A741" s="8"/>
      <c r="B741" s="8"/>
      <c r="C741" s="8"/>
      <c r="D741" s="8"/>
      <c r="E741" s="2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  <c r="AA741" s="3"/>
      <c r="AB741" s="3"/>
      <c r="AC741" s="3"/>
    </row>
    <row r="742" ht="15.75" customHeight="1">
      <c r="A742" s="8"/>
      <c r="B742" s="8"/>
      <c r="C742" s="8"/>
      <c r="D742" s="8"/>
      <c r="E742" s="2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  <c r="AA742" s="3"/>
      <c r="AB742" s="3"/>
      <c r="AC742" s="3"/>
    </row>
    <row r="743" ht="15.75" customHeight="1">
      <c r="A743" s="8"/>
      <c r="B743" s="8"/>
      <c r="C743" s="8"/>
      <c r="D743" s="8"/>
      <c r="E743" s="2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  <c r="AA743" s="3"/>
      <c r="AB743" s="3"/>
      <c r="AC743" s="3"/>
    </row>
    <row r="744" ht="15.75" customHeight="1">
      <c r="A744" s="8"/>
      <c r="B744" s="8"/>
      <c r="C744" s="8"/>
      <c r="D744" s="8"/>
      <c r="E744" s="2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  <c r="AA744" s="3"/>
      <c r="AB744" s="3"/>
      <c r="AC744" s="3"/>
    </row>
    <row r="745" ht="15.75" customHeight="1">
      <c r="A745" s="8"/>
      <c r="B745" s="8"/>
      <c r="C745" s="8"/>
      <c r="D745" s="8"/>
      <c r="E745" s="2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  <c r="AA745" s="3"/>
      <c r="AB745" s="3"/>
      <c r="AC745" s="3"/>
    </row>
    <row r="746" ht="15.75" customHeight="1">
      <c r="A746" s="8"/>
      <c r="B746" s="8"/>
      <c r="C746" s="8"/>
      <c r="D746" s="8"/>
      <c r="E746" s="2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  <c r="AA746" s="3"/>
      <c r="AB746" s="3"/>
      <c r="AC746" s="3"/>
    </row>
    <row r="747" ht="15.75" customHeight="1">
      <c r="A747" s="8"/>
      <c r="B747" s="8"/>
      <c r="C747" s="8"/>
      <c r="D747" s="8"/>
      <c r="E747" s="2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  <c r="AA747" s="3"/>
      <c r="AB747" s="3"/>
      <c r="AC747" s="3"/>
    </row>
    <row r="748" ht="15.75" customHeight="1">
      <c r="A748" s="8"/>
      <c r="B748" s="8"/>
      <c r="C748" s="8"/>
      <c r="D748" s="8"/>
      <c r="E748" s="2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  <c r="AA748" s="3"/>
      <c r="AB748" s="3"/>
      <c r="AC748" s="3"/>
    </row>
    <row r="749" ht="15.75" customHeight="1">
      <c r="A749" s="8"/>
      <c r="B749" s="8"/>
      <c r="C749" s="8"/>
      <c r="D749" s="8"/>
      <c r="E749" s="2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  <c r="AA749" s="3"/>
      <c r="AB749" s="3"/>
      <c r="AC749" s="3"/>
    </row>
    <row r="750" ht="15.75" customHeight="1">
      <c r="A750" s="8"/>
      <c r="B750" s="8"/>
      <c r="C750" s="8"/>
      <c r="D750" s="8"/>
      <c r="E750" s="2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  <c r="AA750" s="3"/>
      <c r="AB750" s="3"/>
      <c r="AC750" s="3"/>
    </row>
    <row r="751" ht="15.75" customHeight="1">
      <c r="A751" s="8"/>
      <c r="B751" s="8"/>
      <c r="C751" s="8"/>
      <c r="D751" s="8"/>
      <c r="E751" s="2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  <c r="AA751" s="3"/>
      <c r="AB751" s="3"/>
      <c r="AC751" s="3"/>
    </row>
    <row r="752" ht="15.75" customHeight="1">
      <c r="A752" s="8"/>
      <c r="B752" s="8"/>
      <c r="C752" s="8"/>
      <c r="D752" s="8"/>
      <c r="E752" s="2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  <c r="AA752" s="3"/>
      <c r="AB752" s="3"/>
      <c r="AC752" s="3"/>
    </row>
    <row r="753" ht="15.75" customHeight="1">
      <c r="A753" s="8"/>
      <c r="B753" s="8"/>
      <c r="C753" s="8"/>
      <c r="D753" s="8"/>
      <c r="E753" s="2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  <c r="AA753" s="3"/>
      <c r="AB753" s="3"/>
      <c r="AC753" s="3"/>
    </row>
    <row r="754" ht="15.75" customHeight="1">
      <c r="A754" s="8"/>
      <c r="B754" s="8"/>
      <c r="C754" s="8"/>
      <c r="D754" s="8"/>
      <c r="E754" s="2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  <c r="AA754" s="3"/>
      <c r="AB754" s="3"/>
      <c r="AC754" s="3"/>
    </row>
    <row r="755" ht="15.75" customHeight="1">
      <c r="A755" s="8"/>
      <c r="B755" s="8"/>
      <c r="C755" s="8"/>
      <c r="D755" s="8"/>
      <c r="E755" s="2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  <c r="AA755" s="3"/>
      <c r="AB755" s="3"/>
      <c r="AC755" s="3"/>
    </row>
    <row r="756" ht="15.75" customHeight="1">
      <c r="A756" s="8"/>
      <c r="B756" s="8"/>
      <c r="C756" s="8"/>
      <c r="D756" s="8"/>
      <c r="E756" s="2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  <c r="AA756" s="3"/>
      <c r="AB756" s="3"/>
      <c r="AC756" s="3"/>
    </row>
    <row r="757" ht="15.75" customHeight="1">
      <c r="A757" s="8"/>
      <c r="B757" s="8"/>
      <c r="C757" s="8"/>
      <c r="D757" s="8"/>
      <c r="E757" s="2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  <c r="AA757" s="3"/>
      <c r="AB757" s="3"/>
      <c r="AC757" s="3"/>
    </row>
    <row r="758" ht="15.75" customHeight="1">
      <c r="A758" s="8"/>
      <c r="B758" s="8"/>
      <c r="C758" s="8"/>
      <c r="D758" s="8"/>
      <c r="E758" s="2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  <c r="AA758" s="3"/>
      <c r="AB758" s="3"/>
      <c r="AC758" s="3"/>
    </row>
    <row r="759" ht="15.75" customHeight="1">
      <c r="A759" s="8"/>
      <c r="B759" s="8"/>
      <c r="C759" s="8"/>
      <c r="D759" s="8"/>
      <c r="E759" s="2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  <c r="AA759" s="3"/>
      <c r="AB759" s="3"/>
      <c r="AC759" s="3"/>
    </row>
    <row r="760" ht="15.75" customHeight="1">
      <c r="A760" s="8"/>
      <c r="B760" s="8"/>
      <c r="C760" s="8"/>
      <c r="D760" s="8"/>
      <c r="E760" s="2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  <c r="AA760" s="3"/>
      <c r="AB760" s="3"/>
      <c r="AC760" s="3"/>
    </row>
    <row r="761" ht="15.75" customHeight="1">
      <c r="A761" s="8"/>
      <c r="B761" s="8"/>
      <c r="C761" s="8"/>
      <c r="D761" s="8"/>
      <c r="E761" s="2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  <c r="AA761" s="3"/>
      <c r="AB761" s="3"/>
      <c r="AC761" s="3"/>
    </row>
    <row r="762" ht="15.75" customHeight="1">
      <c r="A762" s="8"/>
      <c r="B762" s="8"/>
      <c r="C762" s="8"/>
      <c r="D762" s="8"/>
      <c r="E762" s="2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  <c r="AA762" s="3"/>
      <c r="AB762" s="3"/>
      <c r="AC762" s="3"/>
    </row>
    <row r="763" ht="15.75" customHeight="1">
      <c r="A763" s="8"/>
      <c r="B763" s="8"/>
      <c r="C763" s="8"/>
      <c r="D763" s="8"/>
      <c r="E763" s="2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  <c r="AA763" s="3"/>
      <c r="AB763" s="3"/>
      <c r="AC763" s="3"/>
    </row>
    <row r="764" ht="15.75" customHeight="1">
      <c r="A764" s="8"/>
      <c r="B764" s="8"/>
      <c r="C764" s="8"/>
      <c r="D764" s="8"/>
      <c r="E764" s="2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  <c r="AA764" s="3"/>
      <c r="AB764" s="3"/>
      <c r="AC764" s="3"/>
    </row>
    <row r="765" ht="15.75" customHeight="1">
      <c r="A765" s="8"/>
      <c r="B765" s="8"/>
      <c r="C765" s="8"/>
      <c r="D765" s="8"/>
      <c r="E765" s="2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  <c r="AA765" s="3"/>
      <c r="AB765" s="3"/>
      <c r="AC765" s="3"/>
    </row>
    <row r="766" ht="15.75" customHeight="1">
      <c r="A766" s="8"/>
      <c r="B766" s="8"/>
      <c r="C766" s="8"/>
      <c r="D766" s="8"/>
      <c r="E766" s="2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  <c r="AA766" s="3"/>
      <c r="AB766" s="3"/>
      <c r="AC766" s="3"/>
    </row>
    <row r="767" ht="15.75" customHeight="1">
      <c r="A767" s="8"/>
      <c r="B767" s="8"/>
      <c r="C767" s="8"/>
      <c r="D767" s="8"/>
      <c r="E767" s="2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  <c r="AA767" s="3"/>
      <c r="AB767" s="3"/>
      <c r="AC767" s="3"/>
    </row>
    <row r="768" ht="15.75" customHeight="1">
      <c r="A768" s="8"/>
      <c r="B768" s="8"/>
      <c r="C768" s="8"/>
      <c r="D768" s="8"/>
      <c r="E768" s="2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  <c r="AA768" s="3"/>
      <c r="AB768" s="3"/>
      <c r="AC768" s="3"/>
    </row>
    <row r="769" ht="15.75" customHeight="1">
      <c r="A769" s="8"/>
      <c r="B769" s="8"/>
      <c r="C769" s="8"/>
      <c r="D769" s="8"/>
      <c r="E769" s="2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  <c r="AA769" s="3"/>
      <c r="AB769" s="3"/>
      <c r="AC769" s="3"/>
    </row>
    <row r="770" ht="15.75" customHeight="1">
      <c r="A770" s="8"/>
      <c r="B770" s="8"/>
      <c r="C770" s="8"/>
      <c r="D770" s="8"/>
      <c r="E770" s="2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  <c r="AA770" s="3"/>
      <c r="AB770" s="3"/>
      <c r="AC770" s="3"/>
    </row>
    <row r="771" ht="15.75" customHeight="1">
      <c r="A771" s="8"/>
      <c r="B771" s="8"/>
      <c r="C771" s="8"/>
      <c r="D771" s="8"/>
      <c r="E771" s="2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  <c r="AA771" s="3"/>
      <c r="AB771" s="3"/>
      <c r="AC771" s="3"/>
    </row>
    <row r="772" ht="15.75" customHeight="1">
      <c r="A772" s="8"/>
      <c r="B772" s="8"/>
      <c r="C772" s="8"/>
      <c r="D772" s="8"/>
      <c r="E772" s="2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  <c r="AA772" s="3"/>
      <c r="AB772" s="3"/>
      <c r="AC772" s="3"/>
    </row>
    <row r="773" ht="15.75" customHeight="1">
      <c r="A773" s="8"/>
      <c r="B773" s="8"/>
      <c r="C773" s="8"/>
      <c r="D773" s="8"/>
      <c r="E773" s="2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  <c r="AA773" s="3"/>
      <c r="AB773" s="3"/>
      <c r="AC773" s="3"/>
    </row>
    <row r="774" ht="15.75" customHeight="1">
      <c r="A774" s="8"/>
      <c r="B774" s="8"/>
      <c r="C774" s="8"/>
      <c r="D774" s="8"/>
      <c r="E774" s="2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  <c r="AA774" s="3"/>
      <c r="AB774" s="3"/>
      <c r="AC774" s="3"/>
    </row>
    <row r="775" ht="15.75" customHeight="1">
      <c r="A775" s="8"/>
      <c r="B775" s="8"/>
      <c r="C775" s="8"/>
      <c r="D775" s="8"/>
      <c r="E775" s="2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  <c r="AA775" s="3"/>
      <c r="AB775" s="3"/>
      <c r="AC775" s="3"/>
    </row>
    <row r="776" ht="15.75" customHeight="1">
      <c r="A776" s="8"/>
      <c r="B776" s="8"/>
      <c r="C776" s="8"/>
      <c r="D776" s="8"/>
      <c r="E776" s="2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  <c r="AA776" s="3"/>
      <c r="AB776" s="3"/>
      <c r="AC776" s="3"/>
    </row>
    <row r="777" ht="15.75" customHeight="1">
      <c r="A777" s="8"/>
      <c r="B777" s="8"/>
      <c r="C777" s="8"/>
      <c r="D777" s="8"/>
      <c r="E777" s="2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  <c r="AA777" s="3"/>
      <c r="AB777" s="3"/>
      <c r="AC777" s="3"/>
    </row>
    <row r="778" ht="15.75" customHeight="1">
      <c r="A778" s="8"/>
      <c r="B778" s="8"/>
      <c r="C778" s="8"/>
      <c r="D778" s="8"/>
      <c r="E778" s="2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  <c r="AA778" s="3"/>
      <c r="AB778" s="3"/>
      <c r="AC778" s="3"/>
    </row>
    <row r="779" ht="15.75" customHeight="1">
      <c r="A779" s="8"/>
      <c r="B779" s="8"/>
      <c r="C779" s="8"/>
      <c r="D779" s="8"/>
      <c r="E779" s="2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  <c r="AA779" s="3"/>
      <c r="AB779" s="3"/>
      <c r="AC779" s="3"/>
    </row>
    <row r="780" ht="15.75" customHeight="1">
      <c r="A780" s="8"/>
      <c r="B780" s="8"/>
      <c r="C780" s="8"/>
      <c r="D780" s="8"/>
      <c r="E780" s="2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  <c r="AA780" s="3"/>
      <c r="AB780" s="3"/>
      <c r="AC780" s="3"/>
    </row>
    <row r="781" ht="15.75" customHeight="1">
      <c r="A781" s="8"/>
      <c r="B781" s="8"/>
      <c r="C781" s="8"/>
      <c r="D781" s="8"/>
      <c r="E781" s="2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  <c r="AA781" s="3"/>
      <c r="AB781" s="3"/>
      <c r="AC781" s="3"/>
    </row>
    <row r="782" ht="15.75" customHeight="1">
      <c r="A782" s="8"/>
      <c r="B782" s="8"/>
      <c r="C782" s="8"/>
      <c r="D782" s="8"/>
      <c r="E782" s="2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  <c r="AA782" s="3"/>
      <c r="AB782" s="3"/>
      <c r="AC782" s="3"/>
    </row>
    <row r="783" ht="15.75" customHeight="1">
      <c r="A783" s="8"/>
      <c r="B783" s="8"/>
      <c r="C783" s="8"/>
      <c r="D783" s="8"/>
      <c r="E783" s="2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  <c r="AA783" s="3"/>
      <c r="AB783" s="3"/>
      <c r="AC783" s="3"/>
    </row>
    <row r="784" ht="15.75" customHeight="1">
      <c r="A784" s="8"/>
      <c r="B784" s="8"/>
      <c r="C784" s="8"/>
      <c r="D784" s="8"/>
      <c r="E784" s="2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  <c r="AA784" s="3"/>
      <c r="AB784" s="3"/>
      <c r="AC784" s="3"/>
    </row>
    <row r="785" ht="15.75" customHeight="1">
      <c r="A785" s="8"/>
      <c r="B785" s="8"/>
      <c r="C785" s="8"/>
      <c r="D785" s="8"/>
      <c r="E785" s="2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  <c r="AA785" s="3"/>
      <c r="AB785" s="3"/>
      <c r="AC785" s="3"/>
    </row>
    <row r="786" ht="15.75" customHeight="1">
      <c r="A786" s="8"/>
      <c r="B786" s="8"/>
      <c r="C786" s="8"/>
      <c r="D786" s="8"/>
      <c r="E786" s="2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  <c r="AA786" s="3"/>
      <c r="AB786" s="3"/>
      <c r="AC786" s="3"/>
    </row>
    <row r="787" ht="15.75" customHeight="1">
      <c r="A787" s="8"/>
      <c r="B787" s="8"/>
      <c r="C787" s="8"/>
      <c r="D787" s="8"/>
      <c r="E787" s="2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  <c r="AA787" s="3"/>
      <c r="AB787" s="3"/>
      <c r="AC787" s="3"/>
    </row>
    <row r="788" ht="15.75" customHeight="1">
      <c r="A788" s="8"/>
      <c r="B788" s="8"/>
      <c r="C788" s="8"/>
      <c r="D788" s="8"/>
      <c r="E788" s="2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  <c r="AA788" s="3"/>
      <c r="AB788" s="3"/>
      <c r="AC788" s="3"/>
    </row>
    <row r="789" ht="15.75" customHeight="1">
      <c r="A789" s="8"/>
      <c r="B789" s="8"/>
      <c r="C789" s="8"/>
      <c r="D789" s="8"/>
      <c r="E789" s="2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  <c r="AA789" s="3"/>
      <c r="AB789" s="3"/>
      <c r="AC789" s="3"/>
    </row>
    <row r="790" ht="15.75" customHeight="1">
      <c r="A790" s="8"/>
      <c r="B790" s="8"/>
      <c r="C790" s="8"/>
      <c r="D790" s="8"/>
      <c r="E790" s="2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  <c r="AA790" s="3"/>
      <c r="AB790" s="3"/>
      <c r="AC790" s="3"/>
    </row>
    <row r="791" ht="15.75" customHeight="1">
      <c r="A791" s="8"/>
      <c r="B791" s="8"/>
      <c r="C791" s="8"/>
      <c r="D791" s="8"/>
      <c r="E791" s="2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  <c r="AA791" s="3"/>
      <c r="AB791" s="3"/>
      <c r="AC791" s="3"/>
    </row>
    <row r="792" ht="15.75" customHeight="1">
      <c r="A792" s="8"/>
      <c r="B792" s="8"/>
      <c r="C792" s="8"/>
      <c r="D792" s="8"/>
      <c r="E792" s="2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  <c r="AA792" s="3"/>
      <c r="AB792" s="3"/>
      <c r="AC792" s="3"/>
    </row>
    <row r="793" ht="15.75" customHeight="1">
      <c r="A793" s="8"/>
      <c r="B793" s="8"/>
      <c r="C793" s="8"/>
      <c r="D793" s="8"/>
      <c r="E793" s="2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  <c r="AA793" s="3"/>
      <c r="AB793" s="3"/>
      <c r="AC793" s="3"/>
    </row>
    <row r="794" ht="15.75" customHeight="1">
      <c r="A794" s="8"/>
      <c r="B794" s="8"/>
      <c r="C794" s="8"/>
      <c r="D794" s="8"/>
      <c r="E794" s="2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  <c r="AA794" s="3"/>
      <c r="AB794" s="3"/>
      <c r="AC794" s="3"/>
    </row>
    <row r="795" ht="15.75" customHeight="1">
      <c r="A795" s="8"/>
      <c r="B795" s="8"/>
      <c r="C795" s="8"/>
      <c r="D795" s="8"/>
      <c r="E795" s="2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  <c r="AA795" s="3"/>
      <c r="AB795" s="3"/>
      <c r="AC795" s="3"/>
    </row>
    <row r="796" ht="15.75" customHeight="1">
      <c r="A796" s="8"/>
      <c r="B796" s="8"/>
      <c r="C796" s="8"/>
      <c r="D796" s="8"/>
      <c r="E796" s="2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  <c r="AA796" s="3"/>
      <c r="AB796" s="3"/>
      <c r="AC796" s="3"/>
    </row>
    <row r="797" ht="15.75" customHeight="1">
      <c r="A797" s="8"/>
      <c r="B797" s="8"/>
      <c r="C797" s="8"/>
      <c r="D797" s="8"/>
      <c r="E797" s="2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  <c r="AA797" s="3"/>
      <c r="AB797" s="3"/>
      <c r="AC797" s="3"/>
    </row>
    <row r="798" ht="15.75" customHeight="1">
      <c r="A798" s="8"/>
      <c r="B798" s="8"/>
      <c r="C798" s="8"/>
      <c r="D798" s="8"/>
      <c r="E798" s="2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  <c r="AA798" s="3"/>
      <c r="AB798" s="3"/>
      <c r="AC798" s="3"/>
    </row>
    <row r="799" ht="15.75" customHeight="1">
      <c r="A799" s="8"/>
      <c r="B799" s="8"/>
      <c r="C799" s="8"/>
      <c r="D799" s="8"/>
      <c r="E799" s="2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  <c r="AA799" s="3"/>
      <c r="AB799" s="3"/>
      <c r="AC799" s="3"/>
    </row>
    <row r="800" ht="15.75" customHeight="1">
      <c r="A800" s="8"/>
      <c r="B800" s="8"/>
      <c r="C800" s="8"/>
      <c r="D800" s="8"/>
      <c r="E800" s="2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  <c r="AA800" s="3"/>
      <c r="AB800" s="3"/>
      <c r="AC800" s="3"/>
    </row>
    <row r="801" ht="15.75" customHeight="1">
      <c r="A801" s="8"/>
      <c r="B801" s="8"/>
      <c r="C801" s="8"/>
      <c r="D801" s="8"/>
      <c r="E801" s="2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  <c r="AA801" s="3"/>
      <c r="AB801" s="3"/>
      <c r="AC801" s="3"/>
    </row>
    <row r="802" ht="15.75" customHeight="1">
      <c r="A802" s="8"/>
      <c r="B802" s="8"/>
      <c r="C802" s="8"/>
      <c r="D802" s="8"/>
      <c r="E802" s="2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  <c r="AA802" s="3"/>
      <c r="AB802" s="3"/>
      <c r="AC802" s="3"/>
    </row>
    <row r="803" ht="15.75" customHeight="1">
      <c r="A803" s="8"/>
      <c r="B803" s="8"/>
      <c r="C803" s="8"/>
      <c r="D803" s="8"/>
      <c r="E803" s="2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  <c r="AA803" s="3"/>
      <c r="AB803" s="3"/>
      <c r="AC803" s="3"/>
    </row>
    <row r="804" ht="15.75" customHeight="1">
      <c r="A804" s="8"/>
      <c r="B804" s="8"/>
      <c r="C804" s="8"/>
      <c r="D804" s="8"/>
      <c r="E804" s="2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  <c r="AA804" s="3"/>
      <c r="AB804" s="3"/>
      <c r="AC804" s="3"/>
    </row>
    <row r="805" ht="15.75" customHeight="1">
      <c r="A805" s="8"/>
      <c r="B805" s="8"/>
      <c r="C805" s="8"/>
      <c r="D805" s="8"/>
      <c r="E805" s="2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  <c r="AA805" s="3"/>
      <c r="AB805" s="3"/>
      <c r="AC805" s="3"/>
    </row>
    <row r="806" ht="15.75" customHeight="1">
      <c r="A806" s="8"/>
      <c r="B806" s="8"/>
      <c r="C806" s="8"/>
      <c r="D806" s="8"/>
      <c r="E806" s="2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  <c r="AA806" s="3"/>
      <c r="AB806" s="3"/>
      <c r="AC806" s="3"/>
    </row>
    <row r="807" ht="15.75" customHeight="1">
      <c r="A807" s="8"/>
      <c r="B807" s="8"/>
      <c r="C807" s="8"/>
      <c r="D807" s="8"/>
      <c r="E807" s="2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  <c r="AA807" s="3"/>
      <c r="AB807" s="3"/>
      <c r="AC807" s="3"/>
    </row>
    <row r="808" ht="15.75" customHeight="1">
      <c r="A808" s="8"/>
      <c r="B808" s="8"/>
      <c r="C808" s="8"/>
      <c r="D808" s="8"/>
      <c r="E808" s="2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  <c r="AA808" s="3"/>
      <c r="AB808" s="3"/>
      <c r="AC808" s="3"/>
    </row>
    <row r="809" ht="15.75" customHeight="1">
      <c r="A809" s="8"/>
      <c r="B809" s="8"/>
      <c r="C809" s="8"/>
      <c r="D809" s="8"/>
      <c r="E809" s="2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  <c r="AA809" s="3"/>
      <c r="AB809" s="3"/>
      <c r="AC809" s="3"/>
    </row>
    <row r="810" ht="15.75" customHeight="1">
      <c r="A810" s="8"/>
      <c r="B810" s="8"/>
      <c r="C810" s="8"/>
      <c r="D810" s="8"/>
      <c r="E810" s="2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  <c r="AA810" s="3"/>
      <c r="AB810" s="3"/>
      <c r="AC810" s="3"/>
    </row>
    <row r="811" ht="15.75" customHeight="1">
      <c r="A811" s="8"/>
      <c r="B811" s="8"/>
      <c r="C811" s="8"/>
      <c r="D811" s="8"/>
      <c r="E811" s="2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  <c r="AA811" s="3"/>
      <c r="AB811" s="3"/>
      <c r="AC811" s="3"/>
    </row>
    <row r="812" ht="15.75" customHeight="1">
      <c r="A812" s="8"/>
      <c r="B812" s="8"/>
      <c r="C812" s="8"/>
      <c r="D812" s="8"/>
      <c r="E812" s="2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  <c r="AA812" s="3"/>
      <c r="AB812" s="3"/>
      <c r="AC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9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9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9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9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9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9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9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9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9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9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9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9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9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9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9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9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9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9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9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9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9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9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9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9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9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9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9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9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9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9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9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9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9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9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9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9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9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9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9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9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9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9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9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9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9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9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9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9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9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9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9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9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9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9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9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9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9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9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9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9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9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9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9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9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9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9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9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9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9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9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9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9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9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9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9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9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9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9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9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9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9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9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9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9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9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9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9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9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9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9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9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9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9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9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9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9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9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9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9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9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9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9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9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9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9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9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9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9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9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9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9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9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9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9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9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9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9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9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9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9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9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9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9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9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9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9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9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9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9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9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9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9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9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9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9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9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9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9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9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9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9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9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9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9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9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9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9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9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9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9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9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9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9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9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9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9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9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9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9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9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9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9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9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9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9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9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9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9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9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9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9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9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9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9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9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9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9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9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9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9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9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9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9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9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9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9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9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9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9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9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9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9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9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9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</sheetData>
  <mergeCells count="4">
    <mergeCell ref="A5:I5"/>
    <mergeCell ref="A36:E36"/>
    <mergeCell ref="B39:C39"/>
    <mergeCell ref="B40:C40"/>
  </mergeCells>
  <conditionalFormatting sqref="A7:B34 C7">
    <cfRule type="containsText" dxfId="0" priority="1" operator="containsText" text="PENDIENTE">
      <formula>NOT(ISERROR(SEARCH(("PENDIENTE"),(A7))))</formula>
    </cfRule>
  </conditionalFormatting>
  <conditionalFormatting sqref="A7:B34 C7">
    <cfRule type="containsText" dxfId="1" priority="2" operator="containsText" text="PAGADO">
      <formula>NOT(ISERROR(SEARCH(("PAGADO"),(A7))))</formula>
    </cfRule>
  </conditionalFormatting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I14"/>
    <hyperlink r:id="rId10" ref="C15"/>
    <hyperlink r:id="rId11" ref="I15"/>
    <hyperlink r:id="rId12" ref="C16"/>
    <hyperlink r:id="rId13" ref="I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6"/>
    <hyperlink r:id="rId23" ref="I26"/>
    <hyperlink r:id="rId24" ref="C27"/>
    <hyperlink r:id="rId25" ref="I27"/>
    <hyperlink r:id="rId26" ref="C28"/>
    <hyperlink r:id="rId27" ref="I28"/>
    <hyperlink r:id="rId28" ref="C29"/>
    <hyperlink r:id="rId29" ref="I29"/>
    <hyperlink r:id="rId30" ref="C30"/>
    <hyperlink r:id="rId31" ref="I30"/>
  </hyperlinks>
  <printOptions horizontalCentered="1"/>
  <pageMargins bottom="0.75" footer="0.0" header="0.0" left="0.7" right="0.7" top="0.75"/>
  <pageSetup fitToHeight="0" orientation="landscape"/>
  <headerFooter>
    <oddFooter>&amp;RCTS - Estado de Resultados Grupos y Convenciones Pág. &amp;P de</oddFooter>
  </headerFooter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F1C8"/>
    <pageSetUpPr fitToPage="1"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3" width="25.57"/>
    <col customWidth="1" min="4" max="4" width="46.57"/>
    <col customWidth="1" min="5" max="5" width="72.57"/>
    <col customWidth="1" min="6" max="6" width="22.43"/>
    <col customWidth="1" min="7" max="7" width="23.71"/>
    <col customWidth="1" min="8" max="8" width="24.0"/>
    <col customWidth="1" min="9" max="9" width="24.57"/>
    <col customWidth="1" min="10" max="11" width="13.43"/>
    <col customWidth="1" min="12" max="13" width="11.43"/>
    <col customWidth="1" min="14" max="14" width="12.57"/>
    <col customWidth="1" min="15" max="25" width="11.43"/>
  </cols>
  <sheetData>
    <row r="1" ht="35.25" customHeight="1">
      <c r="A1" s="7"/>
      <c r="B1" s="9"/>
      <c r="C1" s="9"/>
      <c r="D1" s="9"/>
      <c r="E1" s="9"/>
      <c r="F1" s="9"/>
      <c r="G1" s="9"/>
      <c r="H1" s="104"/>
      <c r="I1" s="10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</row>
    <row r="2" ht="15.0" customHeight="1">
      <c r="A2" s="4"/>
      <c r="B2" s="4"/>
      <c r="C2" s="4"/>
      <c r="D2" s="4"/>
      <c r="E2" s="3"/>
      <c r="F2" s="7"/>
      <c r="G2" s="3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</row>
    <row r="3">
      <c r="A3" s="8"/>
      <c r="B3" s="9"/>
      <c r="C3" s="9"/>
      <c r="D3" s="9"/>
      <c r="E3" s="3"/>
      <c r="F3" s="8"/>
      <c r="G3" s="3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</row>
    <row r="4">
      <c r="A4" s="8"/>
      <c r="B4" s="8"/>
      <c r="C4" s="8"/>
      <c r="D4" s="8"/>
      <c r="E4" s="3"/>
      <c r="F4" s="104"/>
      <c r="G4" s="3"/>
      <c r="H4" s="104"/>
      <c r="I4" s="10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3"/>
      <c r="AC4" s="3"/>
    </row>
    <row r="5">
      <c r="A5" s="314" t="s">
        <v>282</v>
      </c>
      <c r="B5" s="315"/>
      <c r="C5" s="315"/>
      <c r="D5" s="315"/>
      <c r="E5" s="315"/>
      <c r="F5" s="315"/>
      <c r="G5" s="315"/>
      <c r="H5" s="315"/>
      <c r="I5" s="316"/>
      <c r="J5" s="102"/>
      <c r="K5" s="102"/>
      <c r="L5" s="102"/>
      <c r="M5" s="102"/>
      <c r="N5" s="102"/>
      <c r="O5" s="10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  <c r="AC5" s="3"/>
    </row>
    <row r="6">
      <c r="A6" s="20" t="s">
        <v>11</v>
      </c>
      <c r="B6" s="107" t="s">
        <v>38</v>
      </c>
      <c r="C6" s="21" t="s">
        <v>12</v>
      </c>
      <c r="D6" s="21" t="s">
        <v>13</v>
      </c>
      <c r="E6" s="21" t="s">
        <v>14</v>
      </c>
      <c r="F6" s="21" t="s">
        <v>16</v>
      </c>
      <c r="G6" s="21" t="s">
        <v>17</v>
      </c>
      <c r="H6" s="22" t="s">
        <v>18</v>
      </c>
      <c r="I6" s="22" t="s">
        <v>39</v>
      </c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53"/>
      <c r="AA6" s="53"/>
      <c r="AB6" s="53"/>
      <c r="AC6" s="53"/>
    </row>
    <row r="7">
      <c r="A7" s="367" t="s">
        <v>19</v>
      </c>
      <c r="B7" s="368" t="s">
        <v>283</v>
      </c>
      <c r="C7" s="369" t="s">
        <v>47</v>
      </c>
      <c r="D7" s="369" t="s">
        <v>284</v>
      </c>
      <c r="E7" s="370" t="s">
        <v>285</v>
      </c>
      <c r="F7" s="338">
        <v>761.9</v>
      </c>
      <c r="G7" s="371">
        <v>0.0</v>
      </c>
      <c r="H7" s="372">
        <f t="shared" ref="H7:H29" si="1">SUM(F7:G7)</f>
        <v>761.9</v>
      </c>
      <c r="I7" s="373">
        <v>45922.0</v>
      </c>
      <c r="J7" s="342"/>
      <c r="K7" s="342"/>
      <c r="L7" s="342"/>
      <c r="M7" s="342"/>
      <c r="N7" s="342"/>
      <c r="O7" s="342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</row>
    <row r="8">
      <c r="A8" s="374" t="s">
        <v>19</v>
      </c>
      <c r="B8" s="369" t="s">
        <v>283</v>
      </c>
      <c r="C8" s="369" t="s">
        <v>47</v>
      </c>
      <c r="D8" s="369" t="s">
        <v>284</v>
      </c>
      <c r="E8" s="370" t="s">
        <v>286</v>
      </c>
      <c r="F8" s="338">
        <v>1068.16</v>
      </c>
      <c r="G8" s="339">
        <v>0.0</v>
      </c>
      <c r="H8" s="340">
        <f t="shared" si="1"/>
        <v>1068.16</v>
      </c>
      <c r="I8" s="375">
        <v>45929.0</v>
      </c>
      <c r="J8" s="342"/>
      <c r="K8" s="342"/>
      <c r="L8" s="342"/>
      <c r="M8" s="342"/>
      <c r="N8" s="342"/>
      <c r="O8" s="342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</row>
    <row r="9">
      <c r="A9" s="367" t="s">
        <v>19</v>
      </c>
      <c r="B9" s="368" t="s">
        <v>283</v>
      </c>
      <c r="C9" s="369" t="s">
        <v>47</v>
      </c>
      <c r="D9" s="369" t="s">
        <v>284</v>
      </c>
      <c r="E9" s="370" t="s">
        <v>287</v>
      </c>
      <c r="F9" s="338">
        <v>1487.44</v>
      </c>
      <c r="G9" s="371">
        <v>0.0</v>
      </c>
      <c r="H9" s="372">
        <f t="shared" si="1"/>
        <v>1487.44</v>
      </c>
      <c r="I9" s="373">
        <v>45936.0</v>
      </c>
      <c r="J9" s="342"/>
      <c r="K9" s="342"/>
      <c r="L9" s="342"/>
      <c r="M9" s="342"/>
      <c r="N9" s="342"/>
      <c r="O9" s="342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34"/>
    </row>
    <row r="10">
      <c r="A10" s="376" t="s">
        <v>19</v>
      </c>
      <c r="B10" s="377" t="s">
        <v>283</v>
      </c>
      <c r="C10" s="378" t="s">
        <v>47</v>
      </c>
      <c r="D10" s="378" t="s">
        <v>284</v>
      </c>
      <c r="E10" s="379" t="s">
        <v>288</v>
      </c>
      <c r="F10" s="380">
        <v>989.34</v>
      </c>
      <c r="G10" s="381">
        <v>0.0</v>
      </c>
      <c r="H10" s="382">
        <f t="shared" si="1"/>
        <v>989.34</v>
      </c>
      <c r="I10" s="383">
        <v>45943.0</v>
      </c>
      <c r="J10" s="384"/>
      <c r="K10" s="132"/>
      <c r="L10" s="132"/>
      <c r="M10" s="132"/>
      <c r="N10" s="132"/>
      <c r="O10" s="132"/>
      <c r="P10" s="3"/>
      <c r="Q10" s="3"/>
      <c r="R10" s="3"/>
      <c r="S10" s="3"/>
      <c r="T10" s="3"/>
      <c r="U10" s="3"/>
      <c r="V10" s="3"/>
      <c r="W10" s="3"/>
      <c r="X10" s="3"/>
      <c r="Y10" s="3"/>
      <c r="Z10" s="133"/>
      <c r="AA10" s="133"/>
      <c r="AB10" s="133"/>
      <c r="AC10" s="133"/>
    </row>
    <row r="11">
      <c r="A11" s="385" t="s">
        <v>19</v>
      </c>
      <c r="B11" s="386" t="s">
        <v>283</v>
      </c>
      <c r="C11" s="335" t="s">
        <v>47</v>
      </c>
      <c r="D11" s="335" t="s">
        <v>284</v>
      </c>
      <c r="E11" s="337" t="s">
        <v>289</v>
      </c>
      <c r="F11" s="338">
        <f>3269.49+47.62</f>
        <v>3317.11</v>
      </c>
      <c r="G11" s="371">
        <v>0.0</v>
      </c>
      <c r="H11" s="372">
        <f t="shared" si="1"/>
        <v>3317.11</v>
      </c>
      <c r="I11" s="373">
        <v>45950.0</v>
      </c>
      <c r="J11" s="387"/>
      <c r="K11" s="342"/>
      <c r="L11" s="342"/>
      <c r="M11" s="342"/>
      <c r="N11" s="342"/>
      <c r="O11" s="342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</row>
    <row r="12">
      <c r="A12" s="385" t="s">
        <v>19</v>
      </c>
      <c r="B12" s="386" t="s">
        <v>283</v>
      </c>
      <c r="C12" s="335" t="s">
        <v>47</v>
      </c>
      <c r="D12" s="335" t="s">
        <v>284</v>
      </c>
      <c r="E12" s="388" t="s">
        <v>290</v>
      </c>
      <c r="F12" s="338">
        <v>32735.28</v>
      </c>
      <c r="G12" s="371">
        <v>0.0</v>
      </c>
      <c r="H12" s="372">
        <f t="shared" si="1"/>
        <v>32735.28</v>
      </c>
      <c r="I12" s="389">
        <v>45957.0</v>
      </c>
      <c r="J12" s="387"/>
      <c r="K12" s="342"/>
      <c r="L12" s="342"/>
      <c r="M12" s="342"/>
      <c r="N12" s="342"/>
      <c r="O12" s="342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</row>
    <row r="13">
      <c r="A13" s="385" t="s">
        <v>19</v>
      </c>
      <c r="B13" s="386" t="s">
        <v>283</v>
      </c>
      <c r="C13" s="335" t="s">
        <v>47</v>
      </c>
      <c r="D13" s="335" t="s">
        <v>284</v>
      </c>
      <c r="E13" s="337" t="s">
        <v>291</v>
      </c>
      <c r="F13" s="338">
        <v>192.86</v>
      </c>
      <c r="G13" s="371">
        <v>0.0</v>
      </c>
      <c r="H13" s="372">
        <f t="shared" si="1"/>
        <v>192.86</v>
      </c>
      <c r="I13" s="373">
        <v>45964.0</v>
      </c>
      <c r="J13" s="387"/>
      <c r="K13" s="342"/>
      <c r="L13" s="342"/>
      <c r="M13" s="342"/>
      <c r="N13" s="342"/>
      <c r="O13" s="342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>
      <c r="A14" s="390"/>
      <c r="B14" s="391"/>
      <c r="C14" s="351"/>
      <c r="D14" s="351"/>
      <c r="E14" s="392"/>
      <c r="F14" s="393">
        <v>0.0</v>
      </c>
      <c r="G14" s="394">
        <f t="shared" ref="G14:G29" si="2">F14*16%</f>
        <v>0</v>
      </c>
      <c r="H14" s="395">
        <f t="shared" si="1"/>
        <v>0</v>
      </c>
      <c r="I14" s="396"/>
      <c r="J14" s="32"/>
      <c r="K14" s="32"/>
      <c r="L14" s="32"/>
      <c r="M14" s="32"/>
      <c r="N14" s="32"/>
      <c r="O14" s="32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4"/>
      <c r="AA14" s="34"/>
      <c r="AB14" s="34"/>
      <c r="AC14" s="34"/>
    </row>
    <row r="15">
      <c r="A15" s="390"/>
      <c r="B15" s="391"/>
      <c r="C15" s="351"/>
      <c r="D15" s="351"/>
      <c r="E15" s="392"/>
      <c r="F15" s="393">
        <v>0.0</v>
      </c>
      <c r="G15" s="394">
        <f t="shared" si="2"/>
        <v>0</v>
      </c>
      <c r="H15" s="395">
        <f t="shared" si="1"/>
        <v>0</v>
      </c>
      <c r="I15" s="396"/>
      <c r="J15" s="32"/>
      <c r="K15" s="32"/>
      <c r="L15" s="32"/>
      <c r="M15" s="32"/>
      <c r="N15" s="32"/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4"/>
      <c r="AA15" s="34"/>
      <c r="AB15" s="34"/>
      <c r="AC15" s="34"/>
    </row>
    <row r="16">
      <c r="A16" s="390"/>
      <c r="B16" s="391"/>
      <c r="C16" s="351"/>
      <c r="D16" s="351"/>
      <c r="E16" s="392"/>
      <c r="F16" s="393">
        <v>0.0</v>
      </c>
      <c r="G16" s="394">
        <f t="shared" si="2"/>
        <v>0</v>
      </c>
      <c r="H16" s="395">
        <f t="shared" si="1"/>
        <v>0</v>
      </c>
      <c r="I16" s="396"/>
      <c r="J16" s="325"/>
      <c r="K16" s="326"/>
      <c r="L16" s="326"/>
      <c r="M16" s="326"/>
      <c r="N16" s="32"/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4"/>
      <c r="AA16" s="34"/>
      <c r="AB16" s="34"/>
      <c r="AC16" s="34"/>
    </row>
    <row r="17">
      <c r="A17" s="390"/>
      <c r="B17" s="391"/>
      <c r="C17" s="351"/>
      <c r="D17" s="351"/>
      <c r="E17" s="392"/>
      <c r="F17" s="393">
        <v>0.0</v>
      </c>
      <c r="G17" s="394">
        <f t="shared" si="2"/>
        <v>0</v>
      </c>
      <c r="H17" s="395">
        <f t="shared" si="1"/>
        <v>0</v>
      </c>
      <c r="I17" s="396"/>
      <c r="J17" s="325"/>
      <c r="K17" s="326"/>
      <c r="L17" s="326"/>
      <c r="M17" s="326"/>
      <c r="N17" s="32"/>
      <c r="O17" s="32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4"/>
      <c r="AA17" s="34"/>
      <c r="AB17" s="34"/>
      <c r="AC17" s="34"/>
    </row>
    <row r="18">
      <c r="A18" s="390"/>
      <c r="B18" s="391"/>
      <c r="C18" s="351"/>
      <c r="D18" s="351"/>
      <c r="E18" s="392"/>
      <c r="F18" s="393">
        <v>0.0</v>
      </c>
      <c r="G18" s="394">
        <f t="shared" si="2"/>
        <v>0</v>
      </c>
      <c r="H18" s="395">
        <f t="shared" si="1"/>
        <v>0</v>
      </c>
      <c r="I18" s="396"/>
      <c r="J18" s="325"/>
      <c r="K18" s="326"/>
      <c r="L18" s="326"/>
      <c r="M18" s="326"/>
      <c r="N18" s="32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4"/>
      <c r="AA18" s="34"/>
      <c r="AB18" s="34"/>
      <c r="AC18" s="34"/>
    </row>
    <row r="19">
      <c r="A19" s="390"/>
      <c r="B19" s="391"/>
      <c r="C19" s="351"/>
      <c r="D19" s="351"/>
      <c r="E19" s="392"/>
      <c r="F19" s="393">
        <v>0.0</v>
      </c>
      <c r="G19" s="394">
        <f t="shared" si="2"/>
        <v>0</v>
      </c>
      <c r="H19" s="395">
        <f t="shared" si="1"/>
        <v>0</v>
      </c>
      <c r="I19" s="396"/>
      <c r="J19" s="325"/>
      <c r="K19" s="326"/>
      <c r="L19" s="326"/>
      <c r="M19" s="326"/>
      <c r="N19" s="32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4"/>
      <c r="AA19" s="34"/>
      <c r="AB19" s="34"/>
      <c r="AC19" s="34"/>
    </row>
    <row r="20">
      <c r="A20" s="390"/>
      <c r="B20" s="391"/>
      <c r="C20" s="351"/>
      <c r="D20" s="351"/>
      <c r="E20" s="392"/>
      <c r="F20" s="393">
        <v>0.0</v>
      </c>
      <c r="G20" s="394">
        <f t="shared" si="2"/>
        <v>0</v>
      </c>
      <c r="H20" s="395">
        <f t="shared" si="1"/>
        <v>0</v>
      </c>
      <c r="I20" s="396"/>
      <c r="J20" s="32"/>
      <c r="K20" s="32"/>
      <c r="L20" s="32"/>
      <c r="M20" s="32"/>
      <c r="N20" s="32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4"/>
      <c r="AA20" s="34"/>
      <c r="AB20" s="34"/>
      <c r="AC20" s="34"/>
    </row>
    <row r="21">
      <c r="A21" s="390"/>
      <c r="B21" s="391"/>
      <c r="C21" s="351"/>
      <c r="D21" s="351"/>
      <c r="E21" s="392"/>
      <c r="F21" s="393">
        <v>0.0</v>
      </c>
      <c r="G21" s="394">
        <f t="shared" si="2"/>
        <v>0</v>
      </c>
      <c r="H21" s="395">
        <f t="shared" si="1"/>
        <v>0</v>
      </c>
      <c r="I21" s="396"/>
      <c r="J21" s="32"/>
      <c r="K21" s="32"/>
      <c r="L21" s="32"/>
      <c r="M21" s="32"/>
      <c r="N21" s="32"/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4"/>
      <c r="AA21" s="34"/>
      <c r="AB21" s="34"/>
      <c r="AC21" s="34"/>
    </row>
    <row r="22">
      <c r="A22" s="390"/>
      <c r="B22" s="391"/>
      <c r="C22" s="351"/>
      <c r="D22" s="351"/>
      <c r="E22" s="392"/>
      <c r="F22" s="393">
        <v>0.0</v>
      </c>
      <c r="G22" s="394">
        <f t="shared" si="2"/>
        <v>0</v>
      </c>
      <c r="H22" s="395">
        <f t="shared" si="1"/>
        <v>0</v>
      </c>
      <c r="I22" s="396"/>
      <c r="J22" s="32"/>
      <c r="K22" s="32"/>
      <c r="L22" s="32"/>
      <c r="M22" s="32"/>
      <c r="N22" s="32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4"/>
      <c r="AA22" s="34"/>
      <c r="AB22" s="34"/>
      <c r="AC22" s="34"/>
    </row>
    <row r="23">
      <c r="A23" s="390"/>
      <c r="B23" s="391"/>
      <c r="C23" s="351"/>
      <c r="D23" s="351"/>
      <c r="E23" s="392"/>
      <c r="F23" s="393">
        <v>0.0</v>
      </c>
      <c r="G23" s="394">
        <f t="shared" si="2"/>
        <v>0</v>
      </c>
      <c r="H23" s="395">
        <f t="shared" si="1"/>
        <v>0</v>
      </c>
      <c r="I23" s="396"/>
      <c r="J23" s="32"/>
      <c r="K23" s="32"/>
      <c r="L23" s="32"/>
      <c r="M23" s="32"/>
      <c r="N23" s="32"/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4"/>
      <c r="AA23" s="34"/>
      <c r="AB23" s="34"/>
      <c r="AC23" s="34"/>
    </row>
    <row r="24">
      <c r="A24" s="390"/>
      <c r="B24" s="391"/>
      <c r="C24" s="351"/>
      <c r="D24" s="351"/>
      <c r="E24" s="392"/>
      <c r="F24" s="393">
        <v>0.0</v>
      </c>
      <c r="G24" s="394">
        <f t="shared" si="2"/>
        <v>0</v>
      </c>
      <c r="H24" s="395">
        <f t="shared" si="1"/>
        <v>0</v>
      </c>
      <c r="I24" s="396"/>
      <c r="J24" s="32"/>
      <c r="K24" s="32"/>
      <c r="L24" s="32"/>
      <c r="M24" s="32"/>
      <c r="N24" s="32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  <c r="AA24" s="34"/>
      <c r="AB24" s="34"/>
      <c r="AC24" s="34"/>
    </row>
    <row r="25">
      <c r="A25" s="390"/>
      <c r="B25" s="391"/>
      <c r="C25" s="351"/>
      <c r="D25" s="351"/>
      <c r="E25" s="392"/>
      <c r="F25" s="393">
        <v>0.0</v>
      </c>
      <c r="G25" s="394">
        <f t="shared" si="2"/>
        <v>0</v>
      </c>
      <c r="H25" s="395">
        <f t="shared" si="1"/>
        <v>0</v>
      </c>
      <c r="I25" s="396"/>
      <c r="J25" s="32"/>
      <c r="K25" s="32"/>
      <c r="L25" s="32"/>
      <c r="M25" s="32"/>
      <c r="N25" s="32"/>
      <c r="O25" s="32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4"/>
      <c r="AA25" s="34"/>
      <c r="AB25" s="34"/>
      <c r="AC25" s="34"/>
    </row>
    <row r="26">
      <c r="A26" s="390"/>
      <c r="B26" s="391"/>
      <c r="C26" s="351"/>
      <c r="D26" s="351"/>
      <c r="E26" s="392"/>
      <c r="F26" s="393">
        <v>0.0</v>
      </c>
      <c r="G26" s="394">
        <f t="shared" si="2"/>
        <v>0</v>
      </c>
      <c r="H26" s="395">
        <f t="shared" si="1"/>
        <v>0</v>
      </c>
      <c r="I26" s="396"/>
      <c r="J26" s="325"/>
      <c r="K26" s="326"/>
      <c r="L26" s="326"/>
      <c r="M26" s="326"/>
      <c r="N26" s="32"/>
      <c r="O26" s="32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4"/>
      <c r="AA26" s="34"/>
      <c r="AB26" s="34"/>
      <c r="AC26" s="34"/>
    </row>
    <row r="27">
      <c r="A27" s="390"/>
      <c r="B27" s="391"/>
      <c r="C27" s="351"/>
      <c r="D27" s="351"/>
      <c r="E27" s="392"/>
      <c r="F27" s="393">
        <v>0.0</v>
      </c>
      <c r="G27" s="394">
        <f t="shared" si="2"/>
        <v>0</v>
      </c>
      <c r="H27" s="395">
        <f t="shared" si="1"/>
        <v>0</v>
      </c>
      <c r="I27" s="396"/>
      <c r="J27" s="325"/>
      <c r="K27" s="326"/>
      <c r="L27" s="326"/>
      <c r="M27" s="326"/>
      <c r="N27" s="32"/>
      <c r="O27" s="32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4"/>
      <c r="AA27" s="34"/>
      <c r="AB27" s="34"/>
      <c r="AC27" s="34"/>
    </row>
    <row r="28">
      <c r="A28" s="390"/>
      <c r="B28" s="391"/>
      <c r="C28" s="351"/>
      <c r="D28" s="351"/>
      <c r="E28" s="392"/>
      <c r="F28" s="393">
        <v>0.0</v>
      </c>
      <c r="G28" s="394">
        <f t="shared" si="2"/>
        <v>0</v>
      </c>
      <c r="H28" s="395">
        <f t="shared" si="1"/>
        <v>0</v>
      </c>
      <c r="I28" s="396"/>
      <c r="J28" s="325"/>
      <c r="K28" s="326"/>
      <c r="L28" s="326"/>
      <c r="M28" s="326"/>
      <c r="N28" s="32"/>
      <c r="O28" s="32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4"/>
      <c r="AA28" s="34"/>
      <c r="AB28" s="34"/>
      <c r="AC28" s="34"/>
    </row>
    <row r="29">
      <c r="A29" s="358"/>
      <c r="B29" s="359"/>
      <c r="C29" s="360"/>
      <c r="D29" s="360"/>
      <c r="E29" s="361"/>
      <c r="F29" s="362">
        <v>0.0</v>
      </c>
      <c r="G29" s="363">
        <f t="shared" si="2"/>
        <v>0</v>
      </c>
      <c r="H29" s="364">
        <f t="shared" si="1"/>
        <v>0</v>
      </c>
      <c r="I29" s="365"/>
      <c r="J29" s="325"/>
      <c r="K29" s="326"/>
      <c r="L29" s="326"/>
      <c r="M29" s="326"/>
      <c r="N29" s="32"/>
      <c r="O29" s="32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4"/>
      <c r="AA29" s="34"/>
      <c r="AB29" s="34"/>
      <c r="AC29" s="34"/>
    </row>
    <row r="30" ht="10.5" customHeight="1">
      <c r="A30" s="51"/>
      <c r="B30" s="51"/>
      <c r="C30" s="51"/>
      <c r="D30" s="51"/>
      <c r="E30" s="51"/>
      <c r="F30" s="51"/>
      <c r="G30" s="51"/>
      <c r="H30" s="52"/>
      <c r="I30" s="52"/>
      <c r="J30" s="52"/>
      <c r="K30" s="52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</row>
    <row r="31" ht="26.25" customHeight="1">
      <c r="A31" s="308" t="s">
        <v>292</v>
      </c>
      <c r="B31" s="55"/>
      <c r="C31" s="55"/>
      <c r="D31" s="55"/>
      <c r="E31" s="56"/>
      <c r="F31" s="309">
        <f>SUM($F$7:$F$30)</f>
        <v>40552.09</v>
      </c>
      <c r="G31" s="309">
        <f>SUM($G$7:$G$30)</f>
        <v>0</v>
      </c>
      <c r="H31" s="309">
        <f>SUM($H$7:$H$30)</f>
        <v>40552.09</v>
      </c>
      <c r="I31" s="310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</row>
    <row r="32" ht="15.75" customHeight="1">
      <c r="A32" s="8"/>
      <c r="B32" s="8"/>
      <c r="C32" s="8"/>
      <c r="D32" s="8"/>
      <c r="E32" s="2"/>
      <c r="F32" s="101"/>
      <c r="G32" s="101"/>
      <c r="H32" s="101"/>
      <c r="I32" s="10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3"/>
      <c r="AB32" s="3"/>
      <c r="AC32" s="3"/>
    </row>
    <row r="33" ht="15.75" customHeight="1">
      <c r="A33" s="2"/>
      <c r="B33" s="8"/>
      <c r="C33" s="8"/>
      <c r="D33" s="8"/>
      <c r="E33" s="2"/>
      <c r="F33" s="101"/>
      <c r="G33" s="101"/>
      <c r="H33" s="101"/>
      <c r="I33" s="10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  <c r="AA33" s="3"/>
      <c r="AB33" s="3"/>
      <c r="AC33" s="3"/>
    </row>
    <row r="34">
      <c r="A34" s="311" t="s">
        <v>19</v>
      </c>
      <c r="B34" s="55"/>
      <c r="C34" s="106"/>
      <c r="D34" s="312">
        <f>SUMIFS($H7:H$29,$A7:A$29,"PAGADO")</f>
        <v>40552.09</v>
      </c>
      <c r="E34" s="2"/>
      <c r="F34" s="101"/>
      <c r="G34" s="101"/>
      <c r="H34" s="101"/>
      <c r="I34" s="10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  <c r="AA34" s="3"/>
      <c r="AB34" s="3"/>
      <c r="AC34" s="3"/>
    </row>
    <row r="35">
      <c r="A35" s="311" t="s">
        <v>227</v>
      </c>
      <c r="B35" s="55"/>
      <c r="C35" s="106"/>
      <c r="D35" s="313">
        <f>SUMIFS($H7:H$29,$A7:A$29,"PENDIENTE")</f>
        <v>0</v>
      </c>
      <c r="E35" s="2"/>
      <c r="F35" s="8"/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3"/>
      <c r="AB35" s="3"/>
      <c r="AC35" s="3"/>
    </row>
    <row r="36" ht="15.75" customHeight="1">
      <c r="A36" s="8"/>
      <c r="B36" s="8"/>
      <c r="C36" s="8"/>
      <c r="D36" s="8"/>
      <c r="E36" s="2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3"/>
      <c r="AB36" s="3"/>
      <c r="AC36" s="3"/>
    </row>
    <row r="37" ht="15.75" customHeight="1">
      <c r="A37" s="8"/>
      <c r="B37" s="8"/>
      <c r="C37" s="8"/>
      <c r="D37" s="8"/>
      <c r="E37" s="2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3"/>
      <c r="AB37" s="3"/>
      <c r="AC37" s="3"/>
    </row>
    <row r="38" ht="15.75" customHeight="1">
      <c r="A38" s="8"/>
      <c r="B38" s="8"/>
      <c r="C38" s="8"/>
      <c r="D38" s="8"/>
      <c r="E38" s="2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3"/>
      <c r="AB38" s="3"/>
      <c r="AC38" s="3"/>
    </row>
    <row r="39" ht="15.75" customHeight="1">
      <c r="A39" s="8"/>
      <c r="B39" s="3"/>
      <c r="C39" s="3"/>
      <c r="D39" s="3"/>
      <c r="E39" s="2"/>
      <c r="F39" s="8"/>
      <c r="G39" s="8"/>
      <c r="H39" s="8"/>
      <c r="I39" s="8"/>
      <c r="J39" s="2"/>
      <c r="K39" s="2"/>
      <c r="L39" s="3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3"/>
      <c r="AB39" s="3"/>
      <c r="AC39" s="3"/>
    </row>
    <row r="40" ht="15.75" customHeight="1">
      <c r="A40" s="8"/>
      <c r="B40" s="3"/>
      <c r="C40" s="3"/>
      <c r="D40" s="3"/>
      <c r="E40" s="2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3"/>
      <c r="AB40" s="3"/>
      <c r="AC40" s="3"/>
    </row>
    <row r="41" ht="15.75" customHeight="1">
      <c r="A41" s="8"/>
      <c r="B41" s="8"/>
      <c r="C41" s="8"/>
      <c r="D41" s="8"/>
      <c r="E41" s="2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3"/>
      <c r="AB41" s="3"/>
      <c r="AC41" s="3"/>
    </row>
    <row r="42" ht="15.75" customHeight="1">
      <c r="A42" s="8"/>
      <c r="B42" s="8"/>
      <c r="C42" s="8"/>
      <c r="D42" s="8"/>
      <c r="E42" s="2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3"/>
      <c r="AB42" s="3"/>
      <c r="AC42" s="3"/>
    </row>
    <row r="43" ht="15.75" customHeight="1">
      <c r="A43" s="8"/>
      <c r="B43" s="8"/>
      <c r="C43" s="8"/>
      <c r="D43" s="8"/>
      <c r="E43" s="2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3"/>
      <c r="AB43" s="3"/>
      <c r="AC43" s="3"/>
    </row>
    <row r="44" ht="15.75" customHeight="1">
      <c r="A44" s="8"/>
      <c r="B44" s="8"/>
      <c r="C44" s="8"/>
      <c r="D44" s="8"/>
      <c r="E44" s="2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  <c r="AB44" s="3"/>
      <c r="AC44" s="3"/>
    </row>
    <row r="45" ht="15.75" customHeight="1">
      <c r="A45" s="8"/>
      <c r="B45" s="8"/>
      <c r="C45" s="8"/>
      <c r="D45" s="8"/>
      <c r="E45" s="2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3"/>
      <c r="AB45" s="3"/>
      <c r="AC45" s="3"/>
    </row>
    <row r="46" ht="15.75" customHeight="1">
      <c r="A46" s="8"/>
      <c r="B46" s="8"/>
      <c r="C46" s="8"/>
      <c r="D46" s="8"/>
      <c r="E46" s="2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3"/>
      <c r="AB46" s="3"/>
      <c r="AC46" s="3"/>
    </row>
    <row r="47" ht="15.75" customHeight="1">
      <c r="A47" s="8"/>
      <c r="B47" s="8"/>
      <c r="C47" s="8"/>
      <c r="D47" s="8"/>
      <c r="E47" s="2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3"/>
      <c r="AB47" s="3"/>
      <c r="AC47" s="3"/>
    </row>
    <row r="48" ht="15.75" customHeight="1">
      <c r="A48" s="8"/>
      <c r="B48" s="8"/>
      <c r="C48" s="8"/>
      <c r="D48" s="8"/>
      <c r="E48" s="2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  <c r="AB48" s="3"/>
      <c r="AC48" s="3"/>
    </row>
    <row r="49" ht="15.75" customHeight="1">
      <c r="A49" s="8"/>
      <c r="B49" s="8"/>
      <c r="C49" s="8"/>
      <c r="D49" s="8"/>
      <c r="E49" s="2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3"/>
      <c r="AB49" s="3"/>
      <c r="AC49" s="3"/>
    </row>
    <row r="50" ht="15.75" customHeight="1">
      <c r="A50" s="8"/>
      <c r="B50" s="8"/>
      <c r="C50" s="8"/>
      <c r="D50" s="8"/>
      <c r="E50" s="2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3"/>
      <c r="AB50" s="3"/>
      <c r="AC50" s="3"/>
    </row>
    <row r="51" ht="15.75" customHeight="1">
      <c r="A51" s="8"/>
      <c r="B51" s="8"/>
      <c r="C51" s="8"/>
      <c r="D51" s="8"/>
      <c r="E51" s="2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3"/>
      <c r="AB51" s="3"/>
      <c r="AC51" s="3"/>
    </row>
    <row r="52" ht="15.75" customHeight="1">
      <c r="A52" s="8"/>
      <c r="B52" s="8"/>
      <c r="C52" s="8"/>
      <c r="D52" s="8"/>
      <c r="E52" s="2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3"/>
      <c r="AB52" s="3"/>
      <c r="AC52" s="3"/>
    </row>
    <row r="53" ht="15.75" customHeight="1">
      <c r="A53" s="8"/>
      <c r="B53" s="8"/>
      <c r="C53" s="8"/>
      <c r="D53" s="8"/>
      <c r="E53" s="2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3"/>
      <c r="AB53" s="3"/>
      <c r="AC53" s="3"/>
    </row>
    <row r="54" ht="15.75" customHeight="1">
      <c r="A54" s="8"/>
      <c r="B54" s="8"/>
      <c r="C54" s="8"/>
      <c r="D54" s="8"/>
      <c r="E54" s="2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3"/>
      <c r="AB54" s="3"/>
      <c r="AC54" s="3"/>
    </row>
    <row r="55" ht="15.75" customHeight="1">
      <c r="A55" s="8"/>
      <c r="B55" s="8"/>
      <c r="C55" s="8"/>
      <c r="D55" s="8"/>
      <c r="E55" s="2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3"/>
      <c r="AB55" s="3"/>
      <c r="AC55" s="3"/>
    </row>
    <row r="56" ht="15.75" customHeight="1">
      <c r="A56" s="8"/>
      <c r="B56" s="8"/>
      <c r="C56" s="8"/>
      <c r="D56" s="8"/>
      <c r="E56" s="2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3"/>
      <c r="AB56" s="3"/>
      <c r="AC56" s="3"/>
    </row>
    <row r="57" ht="15.75" customHeight="1">
      <c r="A57" s="8"/>
      <c r="B57" s="8"/>
      <c r="C57" s="8"/>
      <c r="D57" s="8"/>
      <c r="E57" s="2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3"/>
      <c r="AB57" s="3"/>
      <c r="AC57" s="3"/>
    </row>
    <row r="58" ht="15.75" customHeight="1">
      <c r="A58" s="8"/>
      <c r="B58" s="8"/>
      <c r="C58" s="8"/>
      <c r="D58" s="8"/>
      <c r="E58" s="2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3"/>
      <c r="AB58" s="3"/>
      <c r="AC58" s="3"/>
    </row>
    <row r="59" ht="15.75" customHeight="1">
      <c r="A59" s="8"/>
      <c r="B59" s="8"/>
      <c r="C59" s="8"/>
      <c r="D59" s="8"/>
      <c r="E59" s="2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3"/>
      <c r="AB59" s="3"/>
      <c r="AC59" s="3"/>
    </row>
    <row r="60" ht="15.75" customHeight="1">
      <c r="A60" s="8"/>
      <c r="B60" s="8"/>
      <c r="C60" s="8"/>
      <c r="D60" s="8"/>
      <c r="E60" s="2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3"/>
      <c r="AB60" s="3"/>
      <c r="AC60" s="3"/>
    </row>
    <row r="61" ht="15.75" customHeight="1">
      <c r="A61" s="8"/>
      <c r="B61" s="8"/>
      <c r="C61" s="8"/>
      <c r="D61" s="8"/>
      <c r="E61" s="2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  <c r="AA61" s="3"/>
      <c r="AB61" s="3"/>
      <c r="AC61" s="3"/>
    </row>
    <row r="62" ht="15.75" customHeight="1">
      <c r="A62" s="8"/>
      <c r="B62" s="8"/>
      <c r="C62" s="8"/>
      <c r="D62" s="8"/>
      <c r="E62" s="2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  <c r="AA62" s="3"/>
      <c r="AB62" s="3"/>
      <c r="AC62" s="3"/>
    </row>
    <row r="63" ht="15.75" customHeight="1">
      <c r="A63" s="8"/>
      <c r="B63" s="8"/>
      <c r="C63" s="8"/>
      <c r="D63" s="8"/>
      <c r="E63" s="2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  <c r="AA63" s="3"/>
      <c r="AB63" s="3"/>
      <c r="AC63" s="3"/>
    </row>
    <row r="64" ht="15.75" customHeight="1">
      <c r="A64" s="8"/>
      <c r="B64" s="8"/>
      <c r="C64" s="8"/>
      <c r="D64" s="8"/>
      <c r="E64" s="2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  <c r="AA64" s="3"/>
      <c r="AB64" s="3"/>
      <c r="AC64" s="3"/>
    </row>
    <row r="65" ht="15.75" customHeight="1">
      <c r="A65" s="8"/>
      <c r="B65" s="8"/>
      <c r="C65" s="8"/>
      <c r="D65" s="8"/>
      <c r="E65" s="2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  <c r="AA65" s="3"/>
      <c r="AB65" s="3"/>
      <c r="AC65" s="3"/>
    </row>
    <row r="66" ht="15.75" customHeight="1">
      <c r="A66" s="8"/>
      <c r="B66" s="8"/>
      <c r="C66" s="8"/>
      <c r="D66" s="8"/>
      <c r="E66" s="2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  <c r="AA66" s="3"/>
      <c r="AB66" s="3"/>
      <c r="AC66" s="3"/>
    </row>
    <row r="67" ht="15.75" customHeight="1">
      <c r="A67" s="8"/>
      <c r="B67" s="8"/>
      <c r="C67" s="8"/>
      <c r="D67" s="8"/>
      <c r="E67" s="2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  <c r="AA67" s="3"/>
      <c r="AB67" s="3"/>
      <c r="AC67" s="3"/>
    </row>
    <row r="68" ht="15.75" customHeight="1">
      <c r="A68" s="8"/>
      <c r="B68" s="8"/>
      <c r="C68" s="8"/>
      <c r="D68" s="8"/>
      <c r="E68" s="2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  <c r="AA68" s="3"/>
      <c r="AB68" s="3"/>
      <c r="AC68" s="3"/>
    </row>
    <row r="69" ht="15.75" customHeight="1">
      <c r="A69" s="8"/>
      <c r="B69" s="8"/>
      <c r="C69" s="8"/>
      <c r="D69" s="8"/>
      <c r="E69" s="2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  <c r="AA69" s="3"/>
      <c r="AB69" s="3"/>
      <c r="AC69" s="3"/>
    </row>
    <row r="70" ht="15.75" customHeight="1">
      <c r="A70" s="8"/>
      <c r="B70" s="8"/>
      <c r="C70" s="8"/>
      <c r="D70" s="8"/>
      <c r="E70" s="2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  <c r="AA70" s="3"/>
      <c r="AB70" s="3"/>
      <c r="AC70" s="3"/>
    </row>
    <row r="71" ht="15.75" customHeight="1">
      <c r="A71" s="8"/>
      <c r="B71" s="8"/>
      <c r="C71" s="8"/>
      <c r="D71" s="8"/>
      <c r="E71" s="2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  <c r="AA71" s="3"/>
      <c r="AB71" s="3"/>
      <c r="AC71" s="3"/>
    </row>
    <row r="72" ht="15.75" customHeight="1">
      <c r="A72" s="8"/>
      <c r="B72" s="8"/>
      <c r="C72" s="8"/>
      <c r="D72" s="8"/>
      <c r="E72" s="2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  <c r="AA72" s="3"/>
      <c r="AB72" s="3"/>
      <c r="AC72" s="3"/>
    </row>
    <row r="73" ht="15.75" customHeight="1">
      <c r="A73" s="8"/>
      <c r="B73" s="8"/>
      <c r="C73" s="8"/>
      <c r="D73" s="8"/>
      <c r="E73" s="2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  <c r="AA73" s="3"/>
      <c r="AB73" s="3"/>
      <c r="AC73" s="3"/>
    </row>
    <row r="74" ht="15.75" customHeight="1">
      <c r="A74" s="8"/>
      <c r="B74" s="8"/>
      <c r="C74" s="8"/>
      <c r="D74" s="8"/>
      <c r="E74" s="2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  <c r="AA74" s="3"/>
      <c r="AB74" s="3"/>
      <c r="AC74" s="3"/>
    </row>
    <row r="75" ht="15.75" customHeight="1">
      <c r="A75" s="8"/>
      <c r="B75" s="8"/>
      <c r="C75" s="8"/>
      <c r="D75" s="8"/>
      <c r="E75" s="2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  <c r="AA75" s="3"/>
      <c r="AB75" s="3"/>
      <c r="AC75" s="3"/>
    </row>
    <row r="76" ht="15.75" customHeight="1">
      <c r="A76" s="8"/>
      <c r="B76" s="8"/>
      <c r="C76" s="8"/>
      <c r="D76" s="8"/>
      <c r="E76" s="2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  <c r="AA76" s="3"/>
      <c r="AB76" s="3"/>
      <c r="AC76" s="3"/>
    </row>
    <row r="77" ht="15.75" customHeight="1">
      <c r="A77" s="8"/>
      <c r="B77" s="8"/>
      <c r="C77" s="8"/>
      <c r="D77" s="8"/>
      <c r="E77" s="2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  <c r="AA77" s="3"/>
      <c r="AB77" s="3"/>
      <c r="AC77" s="3"/>
    </row>
    <row r="78" ht="15.75" customHeight="1">
      <c r="A78" s="8"/>
      <c r="B78" s="8"/>
      <c r="C78" s="8"/>
      <c r="D78" s="8"/>
      <c r="E78" s="2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  <c r="AA78" s="3"/>
      <c r="AB78" s="3"/>
      <c r="AC78" s="3"/>
    </row>
    <row r="79" ht="15.75" customHeight="1">
      <c r="A79" s="8"/>
      <c r="B79" s="8"/>
      <c r="C79" s="8"/>
      <c r="D79" s="8"/>
      <c r="E79" s="2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  <c r="AA79" s="3"/>
      <c r="AB79" s="3"/>
      <c r="AC79" s="3"/>
    </row>
    <row r="80" ht="15.75" customHeight="1">
      <c r="A80" s="8"/>
      <c r="B80" s="8"/>
      <c r="C80" s="8"/>
      <c r="D80" s="8"/>
      <c r="E80" s="2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  <c r="AA80" s="3"/>
      <c r="AB80" s="3"/>
      <c r="AC80" s="3"/>
    </row>
    <row r="81" ht="15.75" customHeight="1">
      <c r="A81" s="8"/>
      <c r="B81" s="8"/>
      <c r="C81" s="8"/>
      <c r="D81" s="8"/>
      <c r="E81" s="2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  <c r="AA81" s="3"/>
      <c r="AB81" s="3"/>
      <c r="AC81" s="3"/>
    </row>
    <row r="82" ht="15.75" customHeight="1">
      <c r="A82" s="8"/>
      <c r="B82" s="8"/>
      <c r="C82" s="8"/>
      <c r="D82" s="8"/>
      <c r="E82" s="2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  <c r="AA82" s="3"/>
      <c r="AB82" s="3"/>
      <c r="AC82" s="3"/>
    </row>
    <row r="83" ht="15.75" customHeight="1">
      <c r="A83" s="8"/>
      <c r="B83" s="8"/>
      <c r="C83" s="8"/>
      <c r="D83" s="8"/>
      <c r="E83" s="2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  <c r="AA83" s="3"/>
      <c r="AB83" s="3"/>
      <c r="AC83" s="3"/>
    </row>
    <row r="84" ht="15.75" customHeight="1">
      <c r="A84" s="8"/>
      <c r="B84" s="8"/>
      <c r="C84" s="8"/>
      <c r="D84" s="8"/>
      <c r="E84" s="2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  <c r="AA84" s="3"/>
      <c r="AB84" s="3"/>
      <c r="AC84" s="3"/>
    </row>
    <row r="85" ht="15.75" customHeight="1">
      <c r="A85" s="8"/>
      <c r="B85" s="8"/>
      <c r="C85" s="8"/>
      <c r="D85" s="8"/>
      <c r="E85" s="2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  <c r="AA85" s="3"/>
      <c r="AB85" s="3"/>
      <c r="AC85" s="3"/>
    </row>
    <row r="86" ht="15.75" customHeight="1">
      <c r="A86" s="8"/>
      <c r="B86" s="8"/>
      <c r="C86" s="8"/>
      <c r="D86" s="8"/>
      <c r="E86" s="2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  <c r="AA86" s="3"/>
      <c r="AB86" s="3"/>
      <c r="AC86" s="3"/>
    </row>
    <row r="87" ht="15.75" customHeight="1">
      <c r="A87" s="8"/>
      <c r="B87" s="8"/>
      <c r="C87" s="8"/>
      <c r="D87" s="8"/>
      <c r="E87" s="2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  <c r="AA87" s="3"/>
      <c r="AB87" s="3"/>
      <c r="AC87" s="3"/>
    </row>
    <row r="88" ht="15.75" customHeight="1">
      <c r="A88" s="8"/>
      <c r="B88" s="8"/>
      <c r="C88" s="8"/>
      <c r="D88" s="8"/>
      <c r="E88" s="2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  <c r="AA88" s="3"/>
      <c r="AB88" s="3"/>
      <c r="AC88" s="3"/>
    </row>
    <row r="89" ht="15.75" customHeight="1">
      <c r="A89" s="8"/>
      <c r="B89" s="8"/>
      <c r="C89" s="8"/>
      <c r="D89" s="8"/>
      <c r="E89" s="2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  <c r="AA89" s="3"/>
      <c r="AB89" s="3"/>
      <c r="AC89" s="3"/>
    </row>
    <row r="90" ht="15.75" customHeight="1">
      <c r="A90" s="8"/>
      <c r="B90" s="8"/>
      <c r="C90" s="8"/>
      <c r="D90" s="8"/>
      <c r="E90" s="2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  <c r="AA90" s="3"/>
      <c r="AB90" s="3"/>
      <c r="AC90" s="3"/>
    </row>
    <row r="91" ht="15.75" customHeight="1">
      <c r="A91" s="8"/>
      <c r="B91" s="8"/>
      <c r="C91" s="8"/>
      <c r="D91" s="8"/>
      <c r="E91" s="2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  <c r="AA91" s="3"/>
      <c r="AB91" s="3"/>
      <c r="AC91" s="3"/>
    </row>
    <row r="92" ht="15.75" customHeight="1">
      <c r="A92" s="8"/>
      <c r="B92" s="8"/>
      <c r="C92" s="8"/>
      <c r="D92" s="8"/>
      <c r="E92" s="2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  <c r="AA92" s="3"/>
      <c r="AB92" s="3"/>
      <c r="AC92" s="3"/>
    </row>
    <row r="93" ht="15.75" customHeight="1">
      <c r="A93" s="8"/>
      <c r="B93" s="8"/>
      <c r="C93" s="8"/>
      <c r="D93" s="8"/>
      <c r="E93" s="2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  <c r="AA93" s="3"/>
      <c r="AB93" s="3"/>
      <c r="AC93" s="3"/>
    </row>
    <row r="94" ht="15.75" customHeight="1">
      <c r="A94" s="8"/>
      <c r="B94" s="8"/>
      <c r="C94" s="8"/>
      <c r="D94" s="8"/>
      <c r="E94" s="2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  <c r="AA94" s="3"/>
      <c r="AB94" s="3"/>
      <c r="AC94" s="3"/>
    </row>
    <row r="95" ht="15.75" customHeight="1">
      <c r="A95" s="8"/>
      <c r="B95" s="8"/>
      <c r="C95" s="8"/>
      <c r="D95" s="8"/>
      <c r="E95" s="2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  <c r="AA95" s="3"/>
      <c r="AB95" s="3"/>
      <c r="AC95" s="3"/>
    </row>
    <row r="96" ht="15.75" customHeight="1">
      <c r="A96" s="8"/>
      <c r="B96" s="8"/>
      <c r="C96" s="8"/>
      <c r="D96" s="8"/>
      <c r="E96" s="2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  <c r="AA96" s="3"/>
      <c r="AB96" s="3"/>
      <c r="AC96" s="3"/>
    </row>
    <row r="97" ht="15.75" customHeight="1">
      <c r="A97" s="8"/>
      <c r="B97" s="8"/>
      <c r="C97" s="8"/>
      <c r="D97" s="8"/>
      <c r="E97" s="2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  <c r="AA97" s="3"/>
      <c r="AB97" s="3"/>
      <c r="AC97" s="3"/>
    </row>
    <row r="98" ht="15.75" customHeight="1">
      <c r="A98" s="8"/>
      <c r="B98" s="8"/>
      <c r="C98" s="8"/>
      <c r="D98" s="8"/>
      <c r="E98" s="2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  <c r="AA98" s="3"/>
      <c r="AB98" s="3"/>
      <c r="AC98" s="3"/>
    </row>
    <row r="99" ht="15.75" customHeight="1">
      <c r="A99" s="8"/>
      <c r="B99" s="8"/>
      <c r="C99" s="8"/>
      <c r="D99" s="8"/>
      <c r="E99" s="2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  <c r="AA99" s="3"/>
      <c r="AB99" s="3"/>
      <c r="AC99" s="3"/>
    </row>
    <row r="100" ht="15.75" customHeight="1">
      <c r="A100" s="8"/>
      <c r="B100" s="8"/>
      <c r="C100" s="8"/>
      <c r="D100" s="8"/>
      <c r="E100" s="2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  <c r="AA100" s="3"/>
      <c r="AB100" s="3"/>
      <c r="AC100" s="3"/>
    </row>
    <row r="101" ht="15.75" customHeight="1">
      <c r="A101" s="8"/>
      <c r="B101" s="8"/>
      <c r="C101" s="8"/>
      <c r="D101" s="8"/>
      <c r="E101" s="2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  <c r="AA101" s="3"/>
      <c r="AB101" s="3"/>
      <c r="AC101" s="3"/>
    </row>
    <row r="102" ht="15.75" customHeight="1">
      <c r="A102" s="8"/>
      <c r="B102" s="8"/>
      <c r="C102" s="8"/>
      <c r="D102" s="8"/>
      <c r="E102" s="2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  <c r="AA102" s="3"/>
      <c r="AB102" s="3"/>
      <c r="AC102" s="3"/>
    </row>
    <row r="103" ht="15.75" customHeight="1">
      <c r="A103" s="8"/>
      <c r="B103" s="8"/>
      <c r="C103" s="8"/>
      <c r="D103" s="8"/>
      <c r="E103" s="2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  <c r="AA103" s="3"/>
      <c r="AB103" s="3"/>
      <c r="AC103" s="3"/>
    </row>
    <row r="104" ht="15.75" customHeight="1">
      <c r="A104" s="8"/>
      <c r="B104" s="8"/>
      <c r="C104" s="8"/>
      <c r="D104" s="8"/>
      <c r="E104" s="2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  <c r="AA104" s="3"/>
      <c r="AB104" s="3"/>
      <c r="AC104" s="3"/>
    </row>
    <row r="105" ht="15.75" customHeight="1">
      <c r="A105" s="8"/>
      <c r="B105" s="8"/>
      <c r="C105" s="8"/>
      <c r="D105" s="8"/>
      <c r="E105" s="2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  <c r="AA105" s="3"/>
      <c r="AB105" s="3"/>
      <c r="AC105" s="3"/>
    </row>
    <row r="106" ht="15.75" customHeight="1">
      <c r="A106" s="8"/>
      <c r="B106" s="8"/>
      <c r="C106" s="8"/>
      <c r="D106" s="8"/>
      <c r="E106" s="2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  <c r="AA106" s="3"/>
      <c r="AB106" s="3"/>
      <c r="AC106" s="3"/>
    </row>
    <row r="107" ht="15.75" customHeight="1">
      <c r="A107" s="8"/>
      <c r="B107" s="8"/>
      <c r="C107" s="8"/>
      <c r="D107" s="8"/>
      <c r="E107" s="2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  <c r="AA107" s="3"/>
      <c r="AB107" s="3"/>
      <c r="AC107" s="3"/>
    </row>
    <row r="108" ht="15.75" customHeight="1">
      <c r="A108" s="8"/>
      <c r="B108" s="8"/>
      <c r="C108" s="8"/>
      <c r="D108" s="8"/>
      <c r="E108" s="2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  <c r="AA108" s="3"/>
      <c r="AB108" s="3"/>
      <c r="AC108" s="3"/>
    </row>
    <row r="109" ht="15.75" customHeight="1">
      <c r="A109" s="8"/>
      <c r="B109" s="8"/>
      <c r="C109" s="8"/>
      <c r="D109" s="8"/>
      <c r="E109" s="2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  <c r="AA109" s="3"/>
      <c r="AB109" s="3"/>
      <c r="AC109" s="3"/>
    </row>
    <row r="110" ht="15.75" customHeight="1">
      <c r="A110" s="8"/>
      <c r="B110" s="8"/>
      <c r="C110" s="8"/>
      <c r="D110" s="8"/>
      <c r="E110" s="2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  <c r="AA110" s="3"/>
      <c r="AB110" s="3"/>
      <c r="AC110" s="3"/>
    </row>
    <row r="111" ht="15.75" customHeight="1">
      <c r="A111" s="8"/>
      <c r="B111" s="8"/>
      <c r="C111" s="8"/>
      <c r="D111" s="8"/>
      <c r="E111" s="2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  <c r="AA111" s="3"/>
      <c r="AB111" s="3"/>
      <c r="AC111" s="3"/>
    </row>
    <row r="112" ht="15.75" customHeight="1">
      <c r="A112" s="8"/>
      <c r="B112" s="8"/>
      <c r="C112" s="8"/>
      <c r="D112" s="8"/>
      <c r="E112" s="2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  <c r="AA112" s="3"/>
      <c r="AB112" s="3"/>
      <c r="AC112" s="3"/>
    </row>
    <row r="113" ht="15.75" customHeight="1">
      <c r="A113" s="8"/>
      <c r="B113" s="8"/>
      <c r="C113" s="8"/>
      <c r="D113" s="8"/>
      <c r="E113" s="2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  <c r="AA113" s="3"/>
      <c r="AB113" s="3"/>
      <c r="AC113" s="3"/>
    </row>
    <row r="114" ht="15.75" customHeight="1">
      <c r="A114" s="8"/>
      <c r="B114" s="8"/>
      <c r="C114" s="8"/>
      <c r="D114" s="8"/>
      <c r="E114" s="2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  <c r="AA114" s="3"/>
      <c r="AB114" s="3"/>
      <c r="AC114" s="3"/>
    </row>
    <row r="115" ht="15.75" customHeight="1">
      <c r="A115" s="8"/>
      <c r="B115" s="8"/>
      <c r="C115" s="8"/>
      <c r="D115" s="8"/>
      <c r="E115" s="2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  <c r="AA115" s="3"/>
      <c r="AB115" s="3"/>
      <c r="AC115" s="3"/>
    </row>
    <row r="116" ht="15.75" customHeight="1">
      <c r="A116" s="8"/>
      <c r="B116" s="8"/>
      <c r="C116" s="8"/>
      <c r="D116" s="8"/>
      <c r="E116" s="2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  <c r="AA116" s="3"/>
      <c r="AB116" s="3"/>
      <c r="AC116" s="3"/>
    </row>
    <row r="117" ht="15.75" customHeight="1">
      <c r="A117" s="8"/>
      <c r="B117" s="8"/>
      <c r="C117" s="8"/>
      <c r="D117" s="8"/>
      <c r="E117" s="2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  <c r="AA117" s="3"/>
      <c r="AB117" s="3"/>
      <c r="AC117" s="3"/>
    </row>
    <row r="118" ht="15.75" customHeight="1">
      <c r="A118" s="8"/>
      <c r="B118" s="8"/>
      <c r="C118" s="8"/>
      <c r="D118" s="8"/>
      <c r="E118" s="2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  <c r="AA118" s="3"/>
      <c r="AB118" s="3"/>
      <c r="AC118" s="3"/>
    </row>
    <row r="119" ht="15.75" customHeight="1">
      <c r="A119" s="8"/>
      <c r="B119" s="8"/>
      <c r="C119" s="8"/>
      <c r="D119" s="8"/>
      <c r="E119" s="2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  <c r="AA119" s="3"/>
      <c r="AB119" s="3"/>
      <c r="AC119" s="3"/>
    </row>
    <row r="120" ht="15.75" customHeight="1">
      <c r="A120" s="8"/>
      <c r="B120" s="8"/>
      <c r="C120" s="8"/>
      <c r="D120" s="8"/>
      <c r="E120" s="2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  <c r="AA120" s="3"/>
      <c r="AB120" s="3"/>
      <c r="AC120" s="3"/>
    </row>
    <row r="121" ht="15.75" customHeight="1">
      <c r="A121" s="8"/>
      <c r="B121" s="8"/>
      <c r="C121" s="8"/>
      <c r="D121" s="8"/>
      <c r="E121" s="2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  <c r="AA121" s="3"/>
      <c r="AB121" s="3"/>
      <c r="AC121" s="3"/>
    </row>
    <row r="122" ht="15.75" customHeight="1">
      <c r="A122" s="8"/>
      <c r="B122" s="8"/>
      <c r="C122" s="8"/>
      <c r="D122" s="8"/>
      <c r="E122" s="2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  <c r="AA122" s="3"/>
      <c r="AB122" s="3"/>
      <c r="AC122" s="3"/>
    </row>
    <row r="123" ht="15.75" customHeight="1">
      <c r="A123" s="8"/>
      <c r="B123" s="8"/>
      <c r="C123" s="8"/>
      <c r="D123" s="8"/>
      <c r="E123" s="2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  <c r="AA123" s="3"/>
      <c r="AB123" s="3"/>
      <c r="AC123" s="3"/>
    </row>
    <row r="124" ht="15.75" customHeight="1">
      <c r="A124" s="8"/>
      <c r="B124" s="8"/>
      <c r="C124" s="8"/>
      <c r="D124" s="8"/>
      <c r="E124" s="2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  <c r="AA124" s="3"/>
      <c r="AB124" s="3"/>
      <c r="AC124" s="3"/>
    </row>
    <row r="125" ht="15.75" customHeight="1">
      <c r="A125" s="8"/>
      <c r="B125" s="8"/>
      <c r="C125" s="8"/>
      <c r="D125" s="8"/>
      <c r="E125" s="2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  <c r="AA125" s="3"/>
      <c r="AB125" s="3"/>
      <c r="AC125" s="3"/>
    </row>
    <row r="126" ht="15.75" customHeight="1">
      <c r="A126" s="8"/>
      <c r="B126" s="8"/>
      <c r="C126" s="8"/>
      <c r="D126" s="8"/>
      <c r="E126" s="2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  <c r="AA126" s="3"/>
      <c r="AB126" s="3"/>
      <c r="AC126" s="3"/>
    </row>
    <row r="127" ht="15.75" customHeight="1">
      <c r="A127" s="8"/>
      <c r="B127" s="8"/>
      <c r="C127" s="8"/>
      <c r="D127" s="8"/>
      <c r="E127" s="2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  <c r="AA127" s="3"/>
      <c r="AB127" s="3"/>
      <c r="AC127" s="3"/>
    </row>
    <row r="128" ht="15.75" customHeight="1">
      <c r="A128" s="8"/>
      <c r="B128" s="8"/>
      <c r="C128" s="8"/>
      <c r="D128" s="8"/>
      <c r="E128" s="2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  <c r="AA128" s="3"/>
      <c r="AB128" s="3"/>
      <c r="AC128" s="3"/>
    </row>
    <row r="129" ht="15.75" customHeight="1">
      <c r="A129" s="8"/>
      <c r="B129" s="8"/>
      <c r="C129" s="8"/>
      <c r="D129" s="8"/>
      <c r="E129" s="2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  <c r="AA129" s="3"/>
      <c r="AB129" s="3"/>
      <c r="AC129" s="3"/>
    </row>
    <row r="130" ht="15.75" customHeight="1">
      <c r="A130" s="8"/>
      <c r="B130" s="8"/>
      <c r="C130" s="8"/>
      <c r="D130" s="8"/>
      <c r="E130" s="2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  <c r="AA130" s="3"/>
      <c r="AB130" s="3"/>
      <c r="AC130" s="3"/>
    </row>
    <row r="131" ht="15.75" customHeight="1">
      <c r="A131" s="8"/>
      <c r="B131" s="8"/>
      <c r="C131" s="8"/>
      <c r="D131" s="8"/>
      <c r="E131" s="2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  <c r="AA131" s="3"/>
      <c r="AB131" s="3"/>
      <c r="AC131" s="3"/>
    </row>
    <row r="132" ht="15.75" customHeight="1">
      <c r="A132" s="8"/>
      <c r="B132" s="8"/>
      <c r="C132" s="8"/>
      <c r="D132" s="8"/>
      <c r="E132" s="2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  <c r="AA132" s="3"/>
      <c r="AB132" s="3"/>
      <c r="AC132" s="3"/>
    </row>
    <row r="133" ht="15.75" customHeight="1">
      <c r="A133" s="8"/>
      <c r="B133" s="8"/>
      <c r="C133" s="8"/>
      <c r="D133" s="8"/>
      <c r="E133" s="2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  <c r="AA133" s="3"/>
      <c r="AB133" s="3"/>
      <c r="AC133" s="3"/>
    </row>
    <row r="134" ht="15.75" customHeight="1">
      <c r="A134" s="8"/>
      <c r="B134" s="8"/>
      <c r="C134" s="8"/>
      <c r="D134" s="8"/>
      <c r="E134" s="2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  <c r="AA134" s="3"/>
      <c r="AB134" s="3"/>
      <c r="AC134" s="3"/>
    </row>
    <row r="135" ht="15.75" customHeight="1">
      <c r="A135" s="8"/>
      <c r="B135" s="8"/>
      <c r="C135" s="8"/>
      <c r="D135" s="8"/>
      <c r="E135" s="2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  <c r="AA135" s="3"/>
      <c r="AB135" s="3"/>
      <c r="AC135" s="3"/>
    </row>
    <row r="136" ht="15.75" customHeight="1">
      <c r="A136" s="8"/>
      <c r="B136" s="8"/>
      <c r="C136" s="8"/>
      <c r="D136" s="8"/>
      <c r="E136" s="2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  <c r="AA136" s="3"/>
      <c r="AB136" s="3"/>
      <c r="AC136" s="3"/>
    </row>
    <row r="137" ht="15.75" customHeight="1">
      <c r="A137" s="8"/>
      <c r="B137" s="8"/>
      <c r="C137" s="8"/>
      <c r="D137" s="8"/>
      <c r="E137" s="2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  <c r="AA137" s="3"/>
      <c r="AB137" s="3"/>
      <c r="AC137" s="3"/>
    </row>
    <row r="138" ht="15.75" customHeight="1">
      <c r="A138" s="8"/>
      <c r="B138" s="8"/>
      <c r="C138" s="8"/>
      <c r="D138" s="8"/>
      <c r="E138" s="2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  <c r="AA138" s="3"/>
      <c r="AB138" s="3"/>
      <c r="AC138" s="3"/>
    </row>
    <row r="139" ht="15.75" customHeight="1">
      <c r="A139" s="8"/>
      <c r="B139" s="8"/>
      <c r="C139" s="8"/>
      <c r="D139" s="8"/>
      <c r="E139" s="2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  <c r="AA139" s="3"/>
      <c r="AB139" s="3"/>
      <c r="AC139" s="3"/>
    </row>
    <row r="140" ht="15.75" customHeight="1">
      <c r="A140" s="8"/>
      <c r="B140" s="8"/>
      <c r="C140" s="8"/>
      <c r="D140" s="8"/>
      <c r="E140" s="2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  <c r="AA140" s="3"/>
      <c r="AB140" s="3"/>
      <c r="AC140" s="3"/>
    </row>
    <row r="141" ht="15.75" customHeight="1">
      <c r="A141" s="8"/>
      <c r="B141" s="8"/>
      <c r="C141" s="8"/>
      <c r="D141" s="8"/>
      <c r="E141" s="2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  <c r="AA141" s="3"/>
      <c r="AB141" s="3"/>
      <c r="AC141" s="3"/>
    </row>
    <row r="142" ht="15.75" customHeight="1">
      <c r="A142" s="8"/>
      <c r="B142" s="8"/>
      <c r="C142" s="8"/>
      <c r="D142" s="8"/>
      <c r="E142" s="2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  <c r="AA142" s="3"/>
      <c r="AB142" s="3"/>
      <c r="AC142" s="3"/>
    </row>
    <row r="143" ht="15.75" customHeight="1">
      <c r="A143" s="8"/>
      <c r="B143" s="8"/>
      <c r="C143" s="8"/>
      <c r="D143" s="8"/>
      <c r="E143" s="2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  <c r="AA143" s="3"/>
      <c r="AB143" s="3"/>
      <c r="AC143" s="3"/>
    </row>
    <row r="144" ht="15.75" customHeight="1">
      <c r="A144" s="8"/>
      <c r="B144" s="8"/>
      <c r="C144" s="8"/>
      <c r="D144" s="8"/>
      <c r="E144" s="2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  <c r="AA144" s="3"/>
      <c r="AB144" s="3"/>
      <c r="AC144" s="3"/>
    </row>
    <row r="145" ht="15.75" customHeight="1">
      <c r="A145" s="8"/>
      <c r="B145" s="8"/>
      <c r="C145" s="8"/>
      <c r="D145" s="8"/>
      <c r="E145" s="2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  <c r="AA145" s="3"/>
      <c r="AB145" s="3"/>
      <c r="AC145" s="3"/>
    </row>
    <row r="146" ht="15.75" customHeight="1">
      <c r="A146" s="8"/>
      <c r="B146" s="8"/>
      <c r="C146" s="8"/>
      <c r="D146" s="8"/>
      <c r="E146" s="2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  <c r="AA146" s="3"/>
      <c r="AB146" s="3"/>
      <c r="AC146" s="3"/>
    </row>
    <row r="147" ht="15.75" customHeight="1">
      <c r="A147" s="8"/>
      <c r="B147" s="8"/>
      <c r="C147" s="8"/>
      <c r="D147" s="8"/>
      <c r="E147" s="2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  <c r="AA147" s="3"/>
      <c r="AB147" s="3"/>
      <c r="AC147" s="3"/>
    </row>
    <row r="148" ht="15.75" customHeight="1">
      <c r="A148" s="8"/>
      <c r="B148" s="8"/>
      <c r="C148" s="8"/>
      <c r="D148" s="8"/>
      <c r="E148" s="2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  <c r="AA148" s="3"/>
      <c r="AB148" s="3"/>
      <c r="AC148" s="3"/>
    </row>
    <row r="149" ht="15.75" customHeight="1">
      <c r="A149" s="8"/>
      <c r="B149" s="8"/>
      <c r="C149" s="8"/>
      <c r="D149" s="8"/>
      <c r="E149" s="2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  <c r="AA149" s="3"/>
      <c r="AB149" s="3"/>
      <c r="AC149" s="3"/>
    </row>
    <row r="150" ht="15.75" customHeight="1">
      <c r="A150" s="8"/>
      <c r="B150" s="8"/>
      <c r="C150" s="8"/>
      <c r="D150" s="8"/>
      <c r="E150" s="2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  <c r="AA150" s="3"/>
      <c r="AB150" s="3"/>
      <c r="AC150" s="3"/>
    </row>
    <row r="151" ht="15.75" customHeight="1">
      <c r="A151" s="8"/>
      <c r="B151" s="8"/>
      <c r="C151" s="8"/>
      <c r="D151" s="8"/>
      <c r="E151" s="2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  <c r="AA151" s="3"/>
      <c r="AB151" s="3"/>
      <c r="AC151" s="3"/>
    </row>
    <row r="152" ht="15.75" customHeight="1">
      <c r="A152" s="8"/>
      <c r="B152" s="8"/>
      <c r="C152" s="8"/>
      <c r="D152" s="8"/>
      <c r="E152" s="2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  <c r="AA152" s="3"/>
      <c r="AB152" s="3"/>
      <c r="AC152" s="3"/>
    </row>
    <row r="153" ht="15.75" customHeight="1">
      <c r="A153" s="8"/>
      <c r="B153" s="8"/>
      <c r="C153" s="8"/>
      <c r="D153" s="8"/>
      <c r="E153" s="2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  <c r="AA153" s="3"/>
      <c r="AB153" s="3"/>
      <c r="AC153" s="3"/>
    </row>
    <row r="154" ht="15.75" customHeight="1">
      <c r="A154" s="8"/>
      <c r="B154" s="8"/>
      <c r="C154" s="8"/>
      <c r="D154" s="8"/>
      <c r="E154" s="2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  <c r="AA154" s="3"/>
      <c r="AB154" s="3"/>
      <c r="AC154" s="3"/>
    </row>
    <row r="155" ht="15.75" customHeight="1">
      <c r="A155" s="8"/>
      <c r="B155" s="8"/>
      <c r="C155" s="8"/>
      <c r="D155" s="8"/>
      <c r="E155" s="2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  <c r="AA155" s="3"/>
      <c r="AB155" s="3"/>
      <c r="AC155" s="3"/>
    </row>
    <row r="156" ht="15.75" customHeight="1">
      <c r="A156" s="8"/>
      <c r="B156" s="8"/>
      <c r="C156" s="8"/>
      <c r="D156" s="8"/>
      <c r="E156" s="2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  <c r="AA156" s="3"/>
      <c r="AB156" s="3"/>
      <c r="AC156" s="3"/>
    </row>
    <row r="157" ht="15.75" customHeight="1">
      <c r="A157" s="8"/>
      <c r="B157" s="8"/>
      <c r="C157" s="8"/>
      <c r="D157" s="8"/>
      <c r="E157" s="2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  <c r="AA157" s="3"/>
      <c r="AB157" s="3"/>
      <c r="AC157" s="3"/>
    </row>
    <row r="158" ht="15.75" customHeight="1">
      <c r="A158" s="8"/>
      <c r="B158" s="8"/>
      <c r="C158" s="8"/>
      <c r="D158" s="8"/>
      <c r="E158" s="2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  <c r="AA158" s="3"/>
      <c r="AB158" s="3"/>
      <c r="AC158" s="3"/>
    </row>
    <row r="159" ht="15.75" customHeight="1">
      <c r="A159" s="8"/>
      <c r="B159" s="8"/>
      <c r="C159" s="8"/>
      <c r="D159" s="8"/>
      <c r="E159" s="2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  <c r="AA159" s="3"/>
      <c r="AB159" s="3"/>
      <c r="AC159" s="3"/>
    </row>
    <row r="160" ht="15.75" customHeight="1">
      <c r="A160" s="8"/>
      <c r="B160" s="8"/>
      <c r="C160" s="8"/>
      <c r="D160" s="8"/>
      <c r="E160" s="2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  <c r="AA160" s="3"/>
      <c r="AB160" s="3"/>
      <c r="AC160" s="3"/>
    </row>
    <row r="161" ht="15.75" customHeight="1">
      <c r="A161" s="8"/>
      <c r="B161" s="8"/>
      <c r="C161" s="8"/>
      <c r="D161" s="8"/>
      <c r="E161" s="2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  <c r="AA161" s="3"/>
      <c r="AB161" s="3"/>
      <c r="AC161" s="3"/>
    </row>
    <row r="162" ht="15.75" customHeight="1">
      <c r="A162" s="8"/>
      <c r="B162" s="8"/>
      <c r="C162" s="8"/>
      <c r="D162" s="8"/>
      <c r="E162" s="2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  <c r="AA162" s="3"/>
      <c r="AB162" s="3"/>
      <c r="AC162" s="3"/>
    </row>
    <row r="163" ht="15.75" customHeight="1">
      <c r="A163" s="8"/>
      <c r="B163" s="8"/>
      <c r="C163" s="8"/>
      <c r="D163" s="8"/>
      <c r="E163" s="2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  <c r="AA163" s="3"/>
      <c r="AB163" s="3"/>
      <c r="AC163" s="3"/>
    </row>
    <row r="164" ht="15.75" customHeight="1">
      <c r="A164" s="8"/>
      <c r="B164" s="8"/>
      <c r="C164" s="8"/>
      <c r="D164" s="8"/>
      <c r="E164" s="2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  <c r="AA164" s="3"/>
      <c r="AB164" s="3"/>
      <c r="AC164" s="3"/>
    </row>
    <row r="165" ht="15.75" customHeight="1">
      <c r="A165" s="8"/>
      <c r="B165" s="8"/>
      <c r="C165" s="8"/>
      <c r="D165" s="8"/>
      <c r="E165" s="2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  <c r="AA165" s="3"/>
      <c r="AB165" s="3"/>
      <c r="AC165" s="3"/>
    </row>
    <row r="166" ht="15.75" customHeight="1">
      <c r="A166" s="8"/>
      <c r="B166" s="8"/>
      <c r="C166" s="8"/>
      <c r="D166" s="8"/>
      <c r="E166" s="2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  <c r="AA166" s="3"/>
      <c r="AB166" s="3"/>
      <c r="AC166" s="3"/>
    </row>
    <row r="167" ht="15.75" customHeight="1">
      <c r="A167" s="8"/>
      <c r="B167" s="8"/>
      <c r="C167" s="8"/>
      <c r="D167" s="8"/>
      <c r="E167" s="2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  <c r="AA167" s="3"/>
      <c r="AB167" s="3"/>
      <c r="AC167" s="3"/>
    </row>
    <row r="168" ht="15.75" customHeight="1">
      <c r="A168" s="8"/>
      <c r="B168" s="8"/>
      <c r="C168" s="8"/>
      <c r="D168" s="8"/>
      <c r="E168" s="2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  <c r="AA168" s="3"/>
      <c r="AB168" s="3"/>
      <c r="AC168" s="3"/>
    </row>
    <row r="169" ht="15.75" customHeight="1">
      <c r="A169" s="8"/>
      <c r="B169" s="8"/>
      <c r="C169" s="8"/>
      <c r="D169" s="8"/>
      <c r="E169" s="2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  <c r="AA169" s="3"/>
      <c r="AB169" s="3"/>
      <c r="AC169" s="3"/>
    </row>
    <row r="170" ht="15.75" customHeight="1">
      <c r="A170" s="8"/>
      <c r="B170" s="8"/>
      <c r="C170" s="8"/>
      <c r="D170" s="8"/>
      <c r="E170" s="2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  <c r="AA170" s="3"/>
      <c r="AB170" s="3"/>
      <c r="AC170" s="3"/>
    </row>
    <row r="171" ht="15.75" customHeight="1">
      <c r="A171" s="8"/>
      <c r="B171" s="8"/>
      <c r="C171" s="8"/>
      <c r="D171" s="8"/>
      <c r="E171" s="2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  <c r="AA171" s="3"/>
      <c r="AB171" s="3"/>
      <c r="AC171" s="3"/>
    </row>
    <row r="172" ht="15.75" customHeight="1">
      <c r="A172" s="8"/>
      <c r="B172" s="8"/>
      <c r="C172" s="8"/>
      <c r="D172" s="8"/>
      <c r="E172" s="2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  <c r="AA172" s="3"/>
      <c r="AB172" s="3"/>
      <c r="AC172" s="3"/>
    </row>
    <row r="173" ht="15.75" customHeight="1">
      <c r="A173" s="8"/>
      <c r="B173" s="8"/>
      <c r="C173" s="8"/>
      <c r="D173" s="8"/>
      <c r="E173" s="2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  <c r="AA173" s="3"/>
      <c r="AB173" s="3"/>
      <c r="AC173" s="3"/>
    </row>
    <row r="174" ht="15.75" customHeight="1">
      <c r="A174" s="8"/>
      <c r="B174" s="8"/>
      <c r="C174" s="8"/>
      <c r="D174" s="8"/>
      <c r="E174" s="2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  <c r="AA174" s="3"/>
      <c r="AB174" s="3"/>
      <c r="AC174" s="3"/>
    </row>
    <row r="175" ht="15.75" customHeight="1">
      <c r="A175" s="8"/>
      <c r="B175" s="8"/>
      <c r="C175" s="8"/>
      <c r="D175" s="8"/>
      <c r="E175" s="2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  <c r="AA175" s="3"/>
      <c r="AB175" s="3"/>
      <c r="AC175" s="3"/>
    </row>
    <row r="176" ht="15.75" customHeight="1">
      <c r="A176" s="8"/>
      <c r="B176" s="8"/>
      <c r="C176" s="8"/>
      <c r="D176" s="8"/>
      <c r="E176" s="2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  <c r="AA176" s="3"/>
      <c r="AB176" s="3"/>
      <c r="AC176" s="3"/>
    </row>
    <row r="177" ht="15.75" customHeight="1">
      <c r="A177" s="8"/>
      <c r="B177" s="8"/>
      <c r="C177" s="8"/>
      <c r="D177" s="8"/>
      <c r="E177" s="2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  <c r="AA177" s="3"/>
      <c r="AB177" s="3"/>
      <c r="AC177" s="3"/>
    </row>
    <row r="178" ht="15.75" customHeight="1">
      <c r="A178" s="8"/>
      <c r="B178" s="8"/>
      <c r="C178" s="8"/>
      <c r="D178" s="8"/>
      <c r="E178" s="2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  <c r="AA178" s="3"/>
      <c r="AB178" s="3"/>
      <c r="AC178" s="3"/>
    </row>
    <row r="179" ht="15.75" customHeight="1">
      <c r="A179" s="8"/>
      <c r="B179" s="8"/>
      <c r="C179" s="8"/>
      <c r="D179" s="8"/>
      <c r="E179" s="2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  <c r="AA179" s="3"/>
      <c r="AB179" s="3"/>
      <c r="AC179" s="3"/>
    </row>
    <row r="180" ht="15.75" customHeight="1">
      <c r="A180" s="8"/>
      <c r="B180" s="8"/>
      <c r="C180" s="8"/>
      <c r="D180" s="8"/>
      <c r="E180" s="2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  <c r="AA180" s="3"/>
      <c r="AB180" s="3"/>
      <c r="AC180" s="3"/>
    </row>
    <row r="181" ht="15.75" customHeight="1">
      <c r="A181" s="8"/>
      <c r="B181" s="8"/>
      <c r="C181" s="8"/>
      <c r="D181" s="8"/>
      <c r="E181" s="2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  <c r="AA181" s="3"/>
      <c r="AB181" s="3"/>
      <c r="AC181" s="3"/>
    </row>
    <row r="182" ht="15.75" customHeight="1">
      <c r="A182" s="8"/>
      <c r="B182" s="8"/>
      <c r="C182" s="8"/>
      <c r="D182" s="8"/>
      <c r="E182" s="2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  <c r="AA182" s="3"/>
      <c r="AB182" s="3"/>
      <c r="AC182" s="3"/>
    </row>
    <row r="183" ht="15.75" customHeight="1">
      <c r="A183" s="8"/>
      <c r="B183" s="8"/>
      <c r="C183" s="8"/>
      <c r="D183" s="8"/>
      <c r="E183" s="2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  <c r="AA183" s="3"/>
      <c r="AB183" s="3"/>
      <c r="AC183" s="3"/>
    </row>
    <row r="184" ht="15.75" customHeight="1">
      <c r="A184" s="8"/>
      <c r="B184" s="8"/>
      <c r="C184" s="8"/>
      <c r="D184" s="8"/>
      <c r="E184" s="2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  <c r="AA184" s="3"/>
      <c r="AB184" s="3"/>
      <c r="AC184" s="3"/>
    </row>
    <row r="185" ht="15.75" customHeight="1">
      <c r="A185" s="8"/>
      <c r="B185" s="8"/>
      <c r="C185" s="8"/>
      <c r="D185" s="8"/>
      <c r="E185" s="2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  <c r="AA185" s="3"/>
      <c r="AB185" s="3"/>
      <c r="AC185" s="3"/>
    </row>
    <row r="186" ht="15.75" customHeight="1">
      <c r="A186" s="8"/>
      <c r="B186" s="8"/>
      <c r="C186" s="8"/>
      <c r="D186" s="8"/>
      <c r="E186" s="2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  <c r="AA186" s="3"/>
      <c r="AB186" s="3"/>
      <c r="AC186" s="3"/>
    </row>
    <row r="187" ht="15.75" customHeight="1">
      <c r="A187" s="8"/>
      <c r="B187" s="8"/>
      <c r="C187" s="8"/>
      <c r="D187" s="8"/>
      <c r="E187" s="2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  <c r="AA187" s="3"/>
      <c r="AB187" s="3"/>
      <c r="AC187" s="3"/>
    </row>
    <row r="188" ht="15.75" customHeight="1">
      <c r="A188" s="8"/>
      <c r="B188" s="8"/>
      <c r="C188" s="8"/>
      <c r="D188" s="8"/>
      <c r="E188" s="2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  <c r="AA188" s="3"/>
      <c r="AB188" s="3"/>
      <c r="AC188" s="3"/>
    </row>
    <row r="189" ht="15.75" customHeight="1">
      <c r="A189" s="8"/>
      <c r="B189" s="8"/>
      <c r="C189" s="8"/>
      <c r="D189" s="8"/>
      <c r="E189" s="2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  <c r="AA189" s="3"/>
      <c r="AB189" s="3"/>
      <c r="AC189" s="3"/>
    </row>
    <row r="190" ht="15.75" customHeight="1">
      <c r="A190" s="8"/>
      <c r="B190" s="8"/>
      <c r="C190" s="8"/>
      <c r="D190" s="8"/>
      <c r="E190" s="2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  <c r="AA190" s="3"/>
      <c r="AB190" s="3"/>
      <c r="AC190" s="3"/>
    </row>
    <row r="191" ht="15.75" customHeight="1">
      <c r="A191" s="8"/>
      <c r="B191" s="8"/>
      <c r="C191" s="8"/>
      <c r="D191" s="8"/>
      <c r="E191" s="2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  <c r="AA191" s="3"/>
      <c r="AB191" s="3"/>
      <c r="AC191" s="3"/>
    </row>
    <row r="192" ht="15.75" customHeight="1">
      <c r="A192" s="8"/>
      <c r="B192" s="8"/>
      <c r="C192" s="8"/>
      <c r="D192" s="8"/>
      <c r="E192" s="2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  <c r="AA192" s="3"/>
      <c r="AB192" s="3"/>
      <c r="AC192" s="3"/>
    </row>
    <row r="193" ht="15.75" customHeight="1">
      <c r="A193" s="8"/>
      <c r="B193" s="8"/>
      <c r="C193" s="8"/>
      <c r="D193" s="8"/>
      <c r="E193" s="2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  <c r="AA193" s="3"/>
      <c r="AB193" s="3"/>
      <c r="AC193" s="3"/>
    </row>
    <row r="194" ht="15.75" customHeight="1">
      <c r="A194" s="8"/>
      <c r="B194" s="8"/>
      <c r="C194" s="8"/>
      <c r="D194" s="8"/>
      <c r="E194" s="2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  <c r="AA194" s="3"/>
      <c r="AB194" s="3"/>
      <c r="AC194" s="3"/>
    </row>
    <row r="195" ht="15.75" customHeight="1">
      <c r="A195" s="8"/>
      <c r="B195" s="8"/>
      <c r="C195" s="8"/>
      <c r="D195" s="8"/>
      <c r="E195" s="2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  <c r="AA195" s="3"/>
      <c r="AB195" s="3"/>
      <c r="AC195" s="3"/>
    </row>
    <row r="196" ht="15.75" customHeight="1">
      <c r="A196" s="8"/>
      <c r="B196" s="8"/>
      <c r="C196" s="8"/>
      <c r="D196" s="8"/>
      <c r="E196" s="2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  <c r="AA196" s="3"/>
      <c r="AB196" s="3"/>
      <c r="AC196" s="3"/>
    </row>
    <row r="197" ht="15.75" customHeight="1">
      <c r="A197" s="8"/>
      <c r="B197" s="8"/>
      <c r="C197" s="8"/>
      <c r="D197" s="8"/>
      <c r="E197" s="2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  <c r="AA197" s="3"/>
      <c r="AB197" s="3"/>
      <c r="AC197" s="3"/>
    </row>
    <row r="198" ht="15.75" customHeight="1">
      <c r="A198" s="8"/>
      <c r="B198" s="8"/>
      <c r="C198" s="8"/>
      <c r="D198" s="8"/>
      <c r="E198" s="2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  <c r="AA198" s="3"/>
      <c r="AB198" s="3"/>
      <c r="AC198" s="3"/>
    </row>
    <row r="199" ht="15.75" customHeight="1">
      <c r="A199" s="8"/>
      <c r="B199" s="8"/>
      <c r="C199" s="8"/>
      <c r="D199" s="8"/>
      <c r="E199" s="2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  <c r="AA199" s="3"/>
      <c r="AB199" s="3"/>
      <c r="AC199" s="3"/>
    </row>
    <row r="200" ht="15.75" customHeight="1">
      <c r="A200" s="8"/>
      <c r="B200" s="8"/>
      <c r="C200" s="8"/>
      <c r="D200" s="8"/>
      <c r="E200" s="2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  <c r="AA200" s="3"/>
      <c r="AB200" s="3"/>
      <c r="AC200" s="3"/>
    </row>
    <row r="201" ht="15.75" customHeight="1">
      <c r="A201" s="8"/>
      <c r="B201" s="8"/>
      <c r="C201" s="8"/>
      <c r="D201" s="8"/>
      <c r="E201" s="2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  <c r="AA201" s="3"/>
      <c r="AB201" s="3"/>
      <c r="AC201" s="3"/>
    </row>
    <row r="202" ht="15.75" customHeight="1">
      <c r="A202" s="8"/>
      <c r="B202" s="8"/>
      <c r="C202" s="8"/>
      <c r="D202" s="8"/>
      <c r="E202" s="2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  <c r="AA202" s="3"/>
      <c r="AB202" s="3"/>
      <c r="AC202" s="3"/>
    </row>
    <row r="203" ht="15.75" customHeight="1">
      <c r="A203" s="8"/>
      <c r="B203" s="8"/>
      <c r="C203" s="8"/>
      <c r="D203" s="8"/>
      <c r="E203" s="2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  <c r="AA203" s="3"/>
      <c r="AB203" s="3"/>
      <c r="AC203" s="3"/>
    </row>
    <row r="204" ht="15.75" customHeight="1">
      <c r="A204" s="8"/>
      <c r="B204" s="8"/>
      <c r="C204" s="8"/>
      <c r="D204" s="8"/>
      <c r="E204" s="2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  <c r="AA204" s="3"/>
      <c r="AB204" s="3"/>
      <c r="AC204" s="3"/>
    </row>
    <row r="205" ht="15.75" customHeight="1">
      <c r="A205" s="8"/>
      <c r="B205" s="8"/>
      <c r="C205" s="8"/>
      <c r="D205" s="8"/>
      <c r="E205" s="2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  <c r="AA205" s="3"/>
      <c r="AB205" s="3"/>
      <c r="AC205" s="3"/>
    </row>
    <row r="206" ht="15.75" customHeight="1">
      <c r="A206" s="8"/>
      <c r="B206" s="8"/>
      <c r="C206" s="8"/>
      <c r="D206" s="8"/>
      <c r="E206" s="2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  <c r="AA206" s="3"/>
      <c r="AB206" s="3"/>
      <c r="AC206" s="3"/>
    </row>
    <row r="207" ht="15.75" customHeight="1">
      <c r="A207" s="8"/>
      <c r="B207" s="8"/>
      <c r="C207" s="8"/>
      <c r="D207" s="8"/>
      <c r="E207" s="2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  <c r="AA207" s="3"/>
      <c r="AB207" s="3"/>
      <c r="AC207" s="3"/>
    </row>
    <row r="208" ht="15.75" customHeight="1">
      <c r="A208" s="8"/>
      <c r="B208" s="8"/>
      <c r="C208" s="8"/>
      <c r="D208" s="8"/>
      <c r="E208" s="2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  <c r="AA208" s="3"/>
      <c r="AB208" s="3"/>
      <c r="AC208" s="3"/>
    </row>
    <row r="209" ht="15.75" customHeight="1">
      <c r="A209" s="8"/>
      <c r="B209" s="8"/>
      <c r="C209" s="8"/>
      <c r="D209" s="8"/>
      <c r="E209" s="2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  <c r="AA209" s="3"/>
      <c r="AB209" s="3"/>
      <c r="AC209" s="3"/>
    </row>
    <row r="210" ht="15.75" customHeight="1">
      <c r="A210" s="8"/>
      <c r="B210" s="8"/>
      <c r="C210" s="8"/>
      <c r="D210" s="8"/>
      <c r="E210" s="2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  <c r="AA210" s="3"/>
      <c r="AB210" s="3"/>
      <c r="AC210" s="3"/>
    </row>
    <row r="211" ht="15.75" customHeight="1">
      <c r="A211" s="8"/>
      <c r="B211" s="8"/>
      <c r="C211" s="8"/>
      <c r="D211" s="8"/>
      <c r="E211" s="2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  <c r="AA211" s="3"/>
      <c r="AB211" s="3"/>
      <c r="AC211" s="3"/>
    </row>
    <row r="212" ht="15.75" customHeight="1">
      <c r="A212" s="8"/>
      <c r="B212" s="8"/>
      <c r="C212" s="8"/>
      <c r="D212" s="8"/>
      <c r="E212" s="2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  <c r="AA212" s="3"/>
      <c r="AB212" s="3"/>
      <c r="AC212" s="3"/>
    </row>
    <row r="213" ht="15.75" customHeight="1">
      <c r="A213" s="8"/>
      <c r="B213" s="8"/>
      <c r="C213" s="8"/>
      <c r="D213" s="8"/>
      <c r="E213" s="2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3"/>
      <c r="AB213" s="3"/>
      <c r="AC213" s="3"/>
    </row>
    <row r="214" ht="15.75" customHeight="1">
      <c r="A214" s="8"/>
      <c r="B214" s="8"/>
      <c r="C214" s="8"/>
      <c r="D214" s="8"/>
      <c r="E214" s="2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  <c r="AA214" s="3"/>
      <c r="AB214" s="3"/>
      <c r="AC214" s="3"/>
    </row>
    <row r="215" ht="15.75" customHeight="1">
      <c r="A215" s="8"/>
      <c r="B215" s="8"/>
      <c r="C215" s="8"/>
      <c r="D215" s="8"/>
      <c r="E215" s="2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  <c r="AA215" s="3"/>
      <c r="AB215" s="3"/>
      <c r="AC215" s="3"/>
    </row>
    <row r="216" ht="15.75" customHeight="1">
      <c r="A216" s="8"/>
      <c r="B216" s="8"/>
      <c r="C216" s="8"/>
      <c r="D216" s="8"/>
      <c r="E216" s="2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  <c r="AA216" s="3"/>
      <c r="AB216" s="3"/>
      <c r="AC216" s="3"/>
    </row>
    <row r="217" ht="15.75" customHeight="1">
      <c r="A217" s="8"/>
      <c r="B217" s="8"/>
      <c r="C217" s="8"/>
      <c r="D217" s="8"/>
      <c r="E217" s="2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  <c r="AA217" s="3"/>
      <c r="AB217" s="3"/>
      <c r="AC217" s="3"/>
    </row>
    <row r="218" ht="15.75" customHeight="1">
      <c r="A218" s="8"/>
      <c r="B218" s="8"/>
      <c r="C218" s="8"/>
      <c r="D218" s="8"/>
      <c r="E218" s="2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  <c r="AA218" s="3"/>
      <c r="AB218" s="3"/>
      <c r="AC218" s="3"/>
    </row>
    <row r="219" ht="15.75" customHeight="1">
      <c r="A219" s="8"/>
      <c r="B219" s="8"/>
      <c r="C219" s="8"/>
      <c r="D219" s="8"/>
      <c r="E219" s="2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  <c r="AA219" s="3"/>
      <c r="AB219" s="3"/>
      <c r="AC219" s="3"/>
    </row>
    <row r="220" ht="15.75" customHeight="1">
      <c r="A220" s="8"/>
      <c r="B220" s="8"/>
      <c r="C220" s="8"/>
      <c r="D220" s="8"/>
      <c r="E220" s="2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  <c r="AA220" s="3"/>
      <c r="AB220" s="3"/>
      <c r="AC220" s="3"/>
    </row>
    <row r="221" ht="15.75" customHeight="1">
      <c r="A221" s="8"/>
      <c r="B221" s="8"/>
      <c r="C221" s="8"/>
      <c r="D221" s="8"/>
      <c r="E221" s="2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  <c r="AA221" s="3"/>
      <c r="AB221" s="3"/>
      <c r="AC221" s="3"/>
    </row>
    <row r="222" ht="15.75" customHeight="1">
      <c r="A222" s="8"/>
      <c r="B222" s="8"/>
      <c r="C222" s="8"/>
      <c r="D222" s="8"/>
      <c r="E222" s="2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  <c r="AA222" s="3"/>
      <c r="AB222" s="3"/>
      <c r="AC222" s="3"/>
    </row>
    <row r="223" ht="15.75" customHeight="1">
      <c r="A223" s="8"/>
      <c r="B223" s="8"/>
      <c r="C223" s="8"/>
      <c r="D223" s="8"/>
      <c r="E223" s="2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  <c r="AA223" s="3"/>
      <c r="AB223" s="3"/>
      <c r="AC223" s="3"/>
    </row>
    <row r="224" ht="15.75" customHeight="1">
      <c r="A224" s="8"/>
      <c r="B224" s="8"/>
      <c r="C224" s="8"/>
      <c r="D224" s="8"/>
      <c r="E224" s="2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  <c r="AA224" s="3"/>
      <c r="AB224" s="3"/>
      <c r="AC224" s="3"/>
    </row>
    <row r="225" ht="15.75" customHeight="1">
      <c r="A225" s="8"/>
      <c r="B225" s="8"/>
      <c r="C225" s="8"/>
      <c r="D225" s="8"/>
      <c r="E225" s="2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  <c r="AA225" s="3"/>
      <c r="AB225" s="3"/>
      <c r="AC225" s="3"/>
    </row>
    <row r="226" ht="15.75" customHeight="1">
      <c r="A226" s="8"/>
      <c r="B226" s="8"/>
      <c r="C226" s="8"/>
      <c r="D226" s="8"/>
      <c r="E226" s="2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  <c r="AA226" s="3"/>
      <c r="AB226" s="3"/>
      <c r="AC226" s="3"/>
    </row>
    <row r="227" ht="15.75" customHeight="1">
      <c r="A227" s="8"/>
      <c r="B227" s="8"/>
      <c r="C227" s="8"/>
      <c r="D227" s="8"/>
      <c r="E227" s="2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  <c r="AA227" s="3"/>
      <c r="AB227" s="3"/>
      <c r="AC227" s="3"/>
    </row>
    <row r="228" ht="15.75" customHeight="1">
      <c r="A228" s="8"/>
      <c r="B228" s="8"/>
      <c r="C228" s="8"/>
      <c r="D228" s="8"/>
      <c r="E228" s="2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  <c r="AA228" s="3"/>
      <c r="AB228" s="3"/>
      <c r="AC228" s="3"/>
    </row>
    <row r="229" ht="15.75" customHeight="1">
      <c r="A229" s="8"/>
      <c r="B229" s="8"/>
      <c r="C229" s="8"/>
      <c r="D229" s="8"/>
      <c r="E229" s="2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  <c r="AA229" s="3"/>
      <c r="AB229" s="3"/>
      <c r="AC229" s="3"/>
    </row>
    <row r="230" ht="15.75" customHeight="1">
      <c r="A230" s="8"/>
      <c r="B230" s="8"/>
      <c r="C230" s="8"/>
      <c r="D230" s="8"/>
      <c r="E230" s="2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  <c r="AA230" s="3"/>
      <c r="AB230" s="3"/>
      <c r="AC230" s="3"/>
    </row>
    <row r="231" ht="15.75" customHeight="1">
      <c r="A231" s="8"/>
      <c r="B231" s="8"/>
      <c r="C231" s="8"/>
      <c r="D231" s="8"/>
      <c r="E231" s="2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  <c r="AA231" s="3"/>
      <c r="AB231" s="3"/>
      <c r="AC231" s="3"/>
    </row>
    <row r="232" ht="15.75" customHeight="1">
      <c r="A232" s="8"/>
      <c r="B232" s="8"/>
      <c r="C232" s="8"/>
      <c r="D232" s="8"/>
      <c r="E232" s="2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  <c r="AA232" s="3"/>
      <c r="AB232" s="3"/>
      <c r="AC232" s="3"/>
    </row>
    <row r="233" ht="15.75" customHeight="1">
      <c r="A233" s="8"/>
      <c r="B233" s="8"/>
      <c r="C233" s="8"/>
      <c r="D233" s="8"/>
      <c r="E233" s="2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  <c r="AA233" s="3"/>
      <c r="AB233" s="3"/>
      <c r="AC233" s="3"/>
    </row>
    <row r="234" ht="15.75" customHeight="1">
      <c r="A234" s="8"/>
      <c r="B234" s="8"/>
      <c r="C234" s="8"/>
      <c r="D234" s="8"/>
      <c r="E234" s="2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  <c r="AA234" s="3"/>
      <c r="AB234" s="3"/>
      <c r="AC234" s="3"/>
    </row>
    <row r="235" ht="15.75" customHeight="1">
      <c r="A235" s="8"/>
      <c r="B235" s="8"/>
      <c r="C235" s="8"/>
      <c r="D235" s="8"/>
      <c r="E235" s="2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  <c r="AA235" s="3"/>
      <c r="AB235" s="3"/>
      <c r="AC235" s="3"/>
    </row>
    <row r="236" ht="15.75" customHeight="1">
      <c r="A236" s="8"/>
      <c r="B236" s="8"/>
      <c r="C236" s="8"/>
      <c r="D236" s="8"/>
      <c r="E236" s="2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  <c r="AA236" s="3"/>
      <c r="AB236" s="3"/>
      <c r="AC236" s="3"/>
    </row>
    <row r="237" ht="15.75" customHeight="1">
      <c r="A237" s="8"/>
      <c r="B237" s="8"/>
      <c r="C237" s="8"/>
      <c r="D237" s="8"/>
      <c r="E237" s="2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  <c r="AA237" s="3"/>
      <c r="AB237" s="3"/>
      <c r="AC237" s="3"/>
    </row>
    <row r="238" ht="15.75" customHeight="1">
      <c r="A238" s="8"/>
      <c r="B238" s="8"/>
      <c r="C238" s="8"/>
      <c r="D238" s="8"/>
      <c r="E238" s="2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  <c r="AA238" s="3"/>
      <c r="AB238" s="3"/>
      <c r="AC238" s="3"/>
    </row>
    <row r="239" ht="15.75" customHeight="1">
      <c r="A239" s="8"/>
      <c r="B239" s="8"/>
      <c r="C239" s="8"/>
      <c r="D239" s="8"/>
      <c r="E239" s="2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  <c r="AA239" s="3"/>
      <c r="AB239" s="3"/>
      <c r="AC239" s="3"/>
    </row>
    <row r="240" ht="15.75" customHeight="1">
      <c r="A240" s="8"/>
      <c r="B240" s="8"/>
      <c r="C240" s="8"/>
      <c r="D240" s="8"/>
      <c r="E240" s="2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  <c r="AA240" s="3"/>
      <c r="AB240" s="3"/>
      <c r="AC240" s="3"/>
    </row>
    <row r="241" ht="15.75" customHeight="1">
      <c r="A241" s="8"/>
      <c r="B241" s="8"/>
      <c r="C241" s="8"/>
      <c r="D241" s="8"/>
      <c r="E241" s="2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  <c r="AA241" s="3"/>
      <c r="AB241" s="3"/>
      <c r="AC241" s="3"/>
    </row>
    <row r="242" ht="15.75" customHeight="1">
      <c r="A242" s="8"/>
      <c r="B242" s="8"/>
      <c r="C242" s="8"/>
      <c r="D242" s="8"/>
      <c r="E242" s="2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  <c r="AA242" s="3"/>
      <c r="AB242" s="3"/>
      <c r="AC242" s="3"/>
    </row>
    <row r="243" ht="15.75" customHeight="1">
      <c r="A243" s="8"/>
      <c r="B243" s="8"/>
      <c r="C243" s="8"/>
      <c r="D243" s="8"/>
      <c r="E243" s="2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  <c r="AA243" s="3"/>
      <c r="AB243" s="3"/>
      <c r="AC243" s="3"/>
    </row>
    <row r="244" ht="15.75" customHeight="1">
      <c r="A244" s="8"/>
      <c r="B244" s="8"/>
      <c r="C244" s="8"/>
      <c r="D244" s="8"/>
      <c r="E244" s="2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  <c r="AA244" s="3"/>
      <c r="AB244" s="3"/>
      <c r="AC244" s="3"/>
    </row>
    <row r="245" ht="15.75" customHeight="1">
      <c r="A245" s="8"/>
      <c r="B245" s="8"/>
      <c r="C245" s="8"/>
      <c r="D245" s="8"/>
      <c r="E245" s="2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  <c r="AA245" s="3"/>
      <c r="AB245" s="3"/>
      <c r="AC245" s="3"/>
    </row>
    <row r="246" ht="15.75" customHeight="1">
      <c r="A246" s="8"/>
      <c r="B246" s="8"/>
      <c r="C246" s="8"/>
      <c r="D246" s="8"/>
      <c r="E246" s="2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  <c r="AA246" s="3"/>
      <c r="AB246" s="3"/>
      <c r="AC246" s="3"/>
    </row>
    <row r="247" ht="15.75" customHeight="1">
      <c r="A247" s="8"/>
      <c r="B247" s="8"/>
      <c r="C247" s="8"/>
      <c r="D247" s="8"/>
      <c r="E247" s="2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  <c r="AA247" s="3"/>
      <c r="AB247" s="3"/>
      <c r="AC247" s="3"/>
    </row>
    <row r="248" ht="15.75" customHeight="1">
      <c r="A248" s="8"/>
      <c r="B248" s="8"/>
      <c r="C248" s="8"/>
      <c r="D248" s="8"/>
      <c r="E248" s="2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  <c r="AA248" s="3"/>
      <c r="AB248" s="3"/>
      <c r="AC248" s="3"/>
    </row>
    <row r="249" ht="15.75" customHeight="1">
      <c r="A249" s="8"/>
      <c r="B249" s="8"/>
      <c r="C249" s="8"/>
      <c r="D249" s="8"/>
      <c r="E249" s="2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  <c r="AA249" s="3"/>
      <c r="AB249" s="3"/>
      <c r="AC249" s="3"/>
    </row>
    <row r="250" ht="15.75" customHeight="1">
      <c r="A250" s="8"/>
      <c r="B250" s="8"/>
      <c r="C250" s="8"/>
      <c r="D250" s="8"/>
      <c r="E250" s="2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  <c r="AA250" s="3"/>
      <c r="AB250" s="3"/>
      <c r="AC250" s="3"/>
    </row>
    <row r="251" ht="15.75" customHeight="1">
      <c r="A251" s="8"/>
      <c r="B251" s="8"/>
      <c r="C251" s="8"/>
      <c r="D251" s="8"/>
      <c r="E251" s="2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  <c r="AA251" s="3"/>
      <c r="AB251" s="3"/>
      <c r="AC251" s="3"/>
    </row>
    <row r="252" ht="15.75" customHeight="1">
      <c r="A252" s="8"/>
      <c r="B252" s="8"/>
      <c r="C252" s="8"/>
      <c r="D252" s="8"/>
      <c r="E252" s="2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  <c r="AA252" s="3"/>
      <c r="AB252" s="3"/>
      <c r="AC252" s="3"/>
    </row>
    <row r="253" ht="15.75" customHeight="1">
      <c r="A253" s="8"/>
      <c r="B253" s="8"/>
      <c r="C253" s="8"/>
      <c r="D253" s="8"/>
      <c r="E253" s="2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  <c r="AA253" s="3"/>
      <c r="AB253" s="3"/>
      <c r="AC253" s="3"/>
    </row>
    <row r="254" ht="15.75" customHeight="1">
      <c r="A254" s="8"/>
      <c r="B254" s="8"/>
      <c r="C254" s="8"/>
      <c r="D254" s="8"/>
      <c r="E254" s="2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  <c r="AA254" s="3"/>
      <c r="AB254" s="3"/>
      <c r="AC254" s="3"/>
    </row>
    <row r="255" ht="15.75" customHeight="1">
      <c r="A255" s="8"/>
      <c r="B255" s="8"/>
      <c r="C255" s="8"/>
      <c r="D255" s="8"/>
      <c r="E255" s="2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  <c r="AA255" s="3"/>
      <c r="AB255" s="3"/>
      <c r="AC255" s="3"/>
    </row>
    <row r="256" ht="15.75" customHeight="1">
      <c r="A256" s="8"/>
      <c r="B256" s="8"/>
      <c r="C256" s="8"/>
      <c r="D256" s="8"/>
      <c r="E256" s="2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  <c r="AA256" s="3"/>
      <c r="AB256" s="3"/>
      <c r="AC256" s="3"/>
    </row>
    <row r="257" ht="15.75" customHeight="1">
      <c r="A257" s="8"/>
      <c r="B257" s="8"/>
      <c r="C257" s="8"/>
      <c r="D257" s="8"/>
      <c r="E257" s="2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  <c r="AA257" s="3"/>
      <c r="AB257" s="3"/>
      <c r="AC257" s="3"/>
    </row>
    <row r="258" ht="15.75" customHeight="1">
      <c r="A258" s="8"/>
      <c r="B258" s="8"/>
      <c r="C258" s="8"/>
      <c r="D258" s="8"/>
      <c r="E258" s="2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  <c r="AA258" s="3"/>
      <c r="AB258" s="3"/>
      <c r="AC258" s="3"/>
    </row>
    <row r="259" ht="15.75" customHeight="1">
      <c r="A259" s="8"/>
      <c r="B259" s="8"/>
      <c r="C259" s="8"/>
      <c r="D259" s="8"/>
      <c r="E259" s="2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  <c r="AA259" s="3"/>
      <c r="AB259" s="3"/>
      <c r="AC259" s="3"/>
    </row>
    <row r="260" ht="15.75" customHeight="1">
      <c r="A260" s="8"/>
      <c r="B260" s="8"/>
      <c r="C260" s="8"/>
      <c r="D260" s="8"/>
      <c r="E260" s="2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  <c r="AA260" s="3"/>
      <c r="AB260" s="3"/>
      <c r="AC260" s="3"/>
    </row>
    <row r="261" ht="15.75" customHeight="1">
      <c r="A261" s="8"/>
      <c r="B261" s="8"/>
      <c r="C261" s="8"/>
      <c r="D261" s="8"/>
      <c r="E261" s="2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  <c r="AA261" s="3"/>
      <c r="AB261" s="3"/>
      <c r="AC261" s="3"/>
    </row>
    <row r="262" ht="15.75" customHeight="1">
      <c r="A262" s="8"/>
      <c r="B262" s="8"/>
      <c r="C262" s="8"/>
      <c r="D262" s="8"/>
      <c r="E262" s="2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  <c r="AA262" s="3"/>
      <c r="AB262" s="3"/>
      <c r="AC262" s="3"/>
    </row>
    <row r="263" ht="15.75" customHeight="1">
      <c r="A263" s="8"/>
      <c r="B263" s="8"/>
      <c r="C263" s="8"/>
      <c r="D263" s="8"/>
      <c r="E263" s="2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  <c r="AA263" s="3"/>
      <c r="AB263" s="3"/>
      <c r="AC263" s="3"/>
    </row>
    <row r="264" ht="15.75" customHeight="1">
      <c r="A264" s="8"/>
      <c r="B264" s="8"/>
      <c r="C264" s="8"/>
      <c r="D264" s="8"/>
      <c r="E264" s="2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  <c r="AA264" s="3"/>
      <c r="AB264" s="3"/>
      <c r="AC264" s="3"/>
    </row>
    <row r="265" ht="15.75" customHeight="1">
      <c r="A265" s="8"/>
      <c r="B265" s="8"/>
      <c r="C265" s="8"/>
      <c r="D265" s="8"/>
      <c r="E265" s="2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  <c r="AA265" s="3"/>
      <c r="AB265" s="3"/>
      <c r="AC265" s="3"/>
    </row>
    <row r="266" ht="15.75" customHeight="1">
      <c r="A266" s="8"/>
      <c r="B266" s="8"/>
      <c r="C266" s="8"/>
      <c r="D266" s="8"/>
      <c r="E266" s="2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  <c r="AA266" s="3"/>
      <c r="AB266" s="3"/>
      <c r="AC266" s="3"/>
    </row>
    <row r="267" ht="15.75" customHeight="1">
      <c r="A267" s="8"/>
      <c r="B267" s="8"/>
      <c r="C267" s="8"/>
      <c r="D267" s="8"/>
      <c r="E267" s="2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  <c r="AA267" s="3"/>
      <c r="AB267" s="3"/>
      <c r="AC267" s="3"/>
    </row>
    <row r="268" ht="15.75" customHeight="1">
      <c r="A268" s="8"/>
      <c r="B268" s="8"/>
      <c r="C268" s="8"/>
      <c r="D268" s="8"/>
      <c r="E268" s="2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  <c r="AA268" s="3"/>
      <c r="AB268" s="3"/>
      <c r="AC268" s="3"/>
    </row>
    <row r="269" ht="15.75" customHeight="1">
      <c r="A269" s="8"/>
      <c r="B269" s="8"/>
      <c r="C269" s="8"/>
      <c r="D269" s="8"/>
      <c r="E269" s="2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  <c r="AA269" s="3"/>
      <c r="AB269" s="3"/>
      <c r="AC269" s="3"/>
    </row>
    <row r="270" ht="15.75" customHeight="1">
      <c r="A270" s="8"/>
      <c r="B270" s="8"/>
      <c r="C270" s="8"/>
      <c r="D270" s="8"/>
      <c r="E270" s="2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  <c r="AA270" s="3"/>
      <c r="AB270" s="3"/>
      <c r="AC270" s="3"/>
    </row>
    <row r="271" ht="15.75" customHeight="1">
      <c r="A271" s="8"/>
      <c r="B271" s="8"/>
      <c r="C271" s="8"/>
      <c r="D271" s="8"/>
      <c r="E271" s="2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  <c r="AA271" s="3"/>
      <c r="AB271" s="3"/>
      <c r="AC271" s="3"/>
    </row>
    <row r="272" ht="15.75" customHeight="1">
      <c r="A272" s="8"/>
      <c r="B272" s="8"/>
      <c r="C272" s="8"/>
      <c r="D272" s="8"/>
      <c r="E272" s="2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  <c r="AA272" s="3"/>
      <c r="AB272" s="3"/>
      <c r="AC272" s="3"/>
    </row>
    <row r="273" ht="15.75" customHeight="1">
      <c r="A273" s="8"/>
      <c r="B273" s="8"/>
      <c r="C273" s="8"/>
      <c r="D273" s="8"/>
      <c r="E273" s="2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  <c r="AA273" s="3"/>
      <c r="AB273" s="3"/>
      <c r="AC273" s="3"/>
    </row>
    <row r="274" ht="15.75" customHeight="1">
      <c r="A274" s="8"/>
      <c r="B274" s="8"/>
      <c r="C274" s="8"/>
      <c r="D274" s="8"/>
      <c r="E274" s="2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  <c r="AA274" s="3"/>
      <c r="AB274" s="3"/>
      <c r="AC274" s="3"/>
    </row>
    <row r="275" ht="15.75" customHeight="1">
      <c r="A275" s="8"/>
      <c r="B275" s="8"/>
      <c r="C275" s="8"/>
      <c r="D275" s="8"/>
      <c r="E275" s="2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  <c r="AA275" s="3"/>
      <c r="AB275" s="3"/>
      <c r="AC275" s="3"/>
    </row>
    <row r="276" ht="15.75" customHeight="1">
      <c r="A276" s="8"/>
      <c r="B276" s="8"/>
      <c r="C276" s="8"/>
      <c r="D276" s="8"/>
      <c r="E276" s="2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  <c r="AA276" s="3"/>
      <c r="AB276" s="3"/>
      <c r="AC276" s="3"/>
    </row>
    <row r="277" ht="15.75" customHeight="1">
      <c r="A277" s="8"/>
      <c r="B277" s="8"/>
      <c r="C277" s="8"/>
      <c r="D277" s="8"/>
      <c r="E277" s="2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  <c r="AA277" s="3"/>
      <c r="AB277" s="3"/>
      <c r="AC277" s="3"/>
    </row>
    <row r="278" ht="15.75" customHeight="1">
      <c r="A278" s="8"/>
      <c r="B278" s="8"/>
      <c r="C278" s="8"/>
      <c r="D278" s="8"/>
      <c r="E278" s="2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  <c r="AA278" s="3"/>
      <c r="AB278" s="3"/>
      <c r="AC278" s="3"/>
    </row>
    <row r="279" ht="15.75" customHeight="1">
      <c r="A279" s="8"/>
      <c r="B279" s="8"/>
      <c r="C279" s="8"/>
      <c r="D279" s="8"/>
      <c r="E279" s="2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  <c r="AA279" s="3"/>
      <c r="AB279" s="3"/>
      <c r="AC279" s="3"/>
    </row>
    <row r="280" ht="15.75" customHeight="1">
      <c r="A280" s="8"/>
      <c r="B280" s="8"/>
      <c r="C280" s="8"/>
      <c r="D280" s="8"/>
      <c r="E280" s="2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  <c r="AA280" s="3"/>
      <c r="AB280" s="3"/>
      <c r="AC280" s="3"/>
    </row>
    <row r="281" ht="15.75" customHeight="1">
      <c r="A281" s="8"/>
      <c r="B281" s="8"/>
      <c r="C281" s="8"/>
      <c r="D281" s="8"/>
      <c r="E281" s="2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  <c r="AA281" s="3"/>
      <c r="AB281" s="3"/>
      <c r="AC281" s="3"/>
    </row>
    <row r="282" ht="15.75" customHeight="1">
      <c r="A282" s="8"/>
      <c r="B282" s="8"/>
      <c r="C282" s="8"/>
      <c r="D282" s="8"/>
      <c r="E282" s="2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  <c r="AA282" s="3"/>
      <c r="AB282" s="3"/>
      <c r="AC282" s="3"/>
    </row>
    <row r="283" ht="15.75" customHeight="1">
      <c r="A283" s="8"/>
      <c r="B283" s="8"/>
      <c r="C283" s="8"/>
      <c r="D283" s="8"/>
      <c r="E283" s="2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  <c r="AA283" s="3"/>
      <c r="AB283" s="3"/>
      <c r="AC283" s="3"/>
    </row>
    <row r="284" ht="15.75" customHeight="1">
      <c r="A284" s="8"/>
      <c r="B284" s="8"/>
      <c r="C284" s="8"/>
      <c r="D284" s="8"/>
      <c r="E284" s="2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  <c r="AA284" s="3"/>
      <c r="AB284" s="3"/>
      <c r="AC284" s="3"/>
    </row>
    <row r="285" ht="15.75" customHeight="1">
      <c r="A285" s="8"/>
      <c r="B285" s="8"/>
      <c r="C285" s="8"/>
      <c r="D285" s="8"/>
      <c r="E285" s="2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  <c r="AA285" s="3"/>
      <c r="AB285" s="3"/>
      <c r="AC285" s="3"/>
    </row>
    <row r="286" ht="15.75" customHeight="1">
      <c r="A286" s="8"/>
      <c r="B286" s="8"/>
      <c r="C286" s="8"/>
      <c r="D286" s="8"/>
      <c r="E286" s="2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  <c r="AA286" s="3"/>
      <c r="AB286" s="3"/>
      <c r="AC286" s="3"/>
    </row>
    <row r="287" ht="15.75" customHeight="1">
      <c r="A287" s="8"/>
      <c r="B287" s="8"/>
      <c r="C287" s="8"/>
      <c r="D287" s="8"/>
      <c r="E287" s="2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  <c r="AA287" s="3"/>
      <c r="AB287" s="3"/>
      <c r="AC287" s="3"/>
    </row>
    <row r="288" ht="15.75" customHeight="1">
      <c r="A288" s="8"/>
      <c r="B288" s="8"/>
      <c r="C288" s="8"/>
      <c r="D288" s="8"/>
      <c r="E288" s="2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  <c r="AA288" s="3"/>
      <c r="AB288" s="3"/>
      <c r="AC288" s="3"/>
    </row>
    <row r="289" ht="15.75" customHeight="1">
      <c r="A289" s="8"/>
      <c r="B289" s="8"/>
      <c r="C289" s="8"/>
      <c r="D289" s="8"/>
      <c r="E289" s="2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  <c r="AA289" s="3"/>
      <c r="AB289" s="3"/>
      <c r="AC289" s="3"/>
    </row>
    <row r="290" ht="15.75" customHeight="1">
      <c r="A290" s="8"/>
      <c r="B290" s="8"/>
      <c r="C290" s="8"/>
      <c r="D290" s="8"/>
      <c r="E290" s="2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  <c r="AA290" s="3"/>
      <c r="AB290" s="3"/>
      <c r="AC290" s="3"/>
    </row>
    <row r="291" ht="15.75" customHeight="1">
      <c r="A291" s="8"/>
      <c r="B291" s="8"/>
      <c r="C291" s="8"/>
      <c r="D291" s="8"/>
      <c r="E291" s="2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  <c r="AA291" s="3"/>
      <c r="AB291" s="3"/>
      <c r="AC291" s="3"/>
    </row>
    <row r="292" ht="15.75" customHeight="1">
      <c r="A292" s="8"/>
      <c r="B292" s="8"/>
      <c r="C292" s="8"/>
      <c r="D292" s="8"/>
      <c r="E292" s="2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  <c r="AA292" s="3"/>
      <c r="AB292" s="3"/>
      <c r="AC292" s="3"/>
    </row>
    <row r="293" ht="15.75" customHeight="1">
      <c r="A293" s="8"/>
      <c r="B293" s="8"/>
      <c r="C293" s="8"/>
      <c r="D293" s="8"/>
      <c r="E293" s="2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  <c r="AA293" s="3"/>
      <c r="AB293" s="3"/>
      <c r="AC293" s="3"/>
    </row>
    <row r="294" ht="15.75" customHeight="1">
      <c r="A294" s="8"/>
      <c r="B294" s="8"/>
      <c r="C294" s="8"/>
      <c r="D294" s="8"/>
      <c r="E294" s="2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  <c r="AA294" s="3"/>
      <c r="AB294" s="3"/>
      <c r="AC294" s="3"/>
    </row>
    <row r="295" ht="15.75" customHeight="1">
      <c r="A295" s="8"/>
      <c r="B295" s="8"/>
      <c r="C295" s="8"/>
      <c r="D295" s="8"/>
      <c r="E295" s="2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  <c r="AA295" s="3"/>
      <c r="AB295" s="3"/>
      <c r="AC295" s="3"/>
    </row>
    <row r="296" ht="15.75" customHeight="1">
      <c r="A296" s="8"/>
      <c r="B296" s="8"/>
      <c r="C296" s="8"/>
      <c r="D296" s="8"/>
      <c r="E296" s="2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  <c r="AA296" s="3"/>
      <c r="AB296" s="3"/>
      <c r="AC296" s="3"/>
    </row>
    <row r="297" ht="15.75" customHeight="1">
      <c r="A297" s="8"/>
      <c r="B297" s="8"/>
      <c r="C297" s="8"/>
      <c r="D297" s="8"/>
      <c r="E297" s="2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  <c r="AA297" s="3"/>
      <c r="AB297" s="3"/>
      <c r="AC297" s="3"/>
    </row>
    <row r="298" ht="15.75" customHeight="1">
      <c r="A298" s="8"/>
      <c r="B298" s="8"/>
      <c r="C298" s="8"/>
      <c r="D298" s="8"/>
      <c r="E298" s="2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  <c r="AA298" s="3"/>
      <c r="AB298" s="3"/>
      <c r="AC298" s="3"/>
    </row>
    <row r="299" ht="15.75" customHeight="1">
      <c r="A299" s="8"/>
      <c r="B299" s="8"/>
      <c r="C299" s="8"/>
      <c r="D299" s="8"/>
      <c r="E299" s="2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  <c r="AA299" s="3"/>
      <c r="AB299" s="3"/>
      <c r="AC299" s="3"/>
    </row>
    <row r="300" ht="15.75" customHeight="1">
      <c r="A300" s="8"/>
      <c r="B300" s="8"/>
      <c r="C300" s="8"/>
      <c r="D300" s="8"/>
      <c r="E300" s="2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  <c r="AA300" s="3"/>
      <c r="AB300" s="3"/>
      <c r="AC300" s="3"/>
    </row>
    <row r="301" ht="15.75" customHeight="1">
      <c r="A301" s="8"/>
      <c r="B301" s="8"/>
      <c r="C301" s="8"/>
      <c r="D301" s="8"/>
      <c r="E301" s="2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  <c r="AA301" s="3"/>
      <c r="AB301" s="3"/>
      <c r="AC301" s="3"/>
    </row>
    <row r="302" ht="15.75" customHeight="1">
      <c r="A302" s="8"/>
      <c r="B302" s="8"/>
      <c r="C302" s="8"/>
      <c r="D302" s="8"/>
      <c r="E302" s="2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  <c r="AA302" s="3"/>
      <c r="AB302" s="3"/>
      <c r="AC302" s="3"/>
    </row>
    <row r="303" ht="15.75" customHeight="1">
      <c r="A303" s="8"/>
      <c r="B303" s="8"/>
      <c r="C303" s="8"/>
      <c r="D303" s="8"/>
      <c r="E303" s="2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  <c r="AA303" s="3"/>
      <c r="AB303" s="3"/>
      <c r="AC303" s="3"/>
    </row>
    <row r="304" ht="15.75" customHeight="1">
      <c r="A304" s="8"/>
      <c r="B304" s="8"/>
      <c r="C304" s="8"/>
      <c r="D304" s="8"/>
      <c r="E304" s="2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  <c r="AA304" s="3"/>
      <c r="AB304" s="3"/>
      <c r="AC304" s="3"/>
    </row>
    <row r="305" ht="15.75" customHeight="1">
      <c r="A305" s="8"/>
      <c r="B305" s="8"/>
      <c r="C305" s="8"/>
      <c r="D305" s="8"/>
      <c r="E305" s="2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  <c r="AA305" s="3"/>
      <c r="AB305" s="3"/>
      <c r="AC305" s="3"/>
    </row>
    <row r="306" ht="15.75" customHeight="1">
      <c r="A306" s="8"/>
      <c r="B306" s="8"/>
      <c r="C306" s="8"/>
      <c r="D306" s="8"/>
      <c r="E306" s="2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  <c r="AA306" s="3"/>
      <c r="AB306" s="3"/>
      <c r="AC306" s="3"/>
    </row>
    <row r="307" ht="15.75" customHeight="1">
      <c r="A307" s="8"/>
      <c r="B307" s="8"/>
      <c r="C307" s="8"/>
      <c r="D307" s="8"/>
      <c r="E307" s="2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  <c r="AA307" s="3"/>
      <c r="AB307" s="3"/>
      <c r="AC307" s="3"/>
    </row>
    <row r="308" ht="15.75" customHeight="1">
      <c r="A308" s="8"/>
      <c r="B308" s="8"/>
      <c r="C308" s="8"/>
      <c r="D308" s="8"/>
      <c r="E308" s="2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  <c r="AA308" s="3"/>
      <c r="AB308" s="3"/>
      <c r="AC308" s="3"/>
    </row>
    <row r="309" ht="15.75" customHeight="1">
      <c r="A309" s="8"/>
      <c r="B309" s="8"/>
      <c r="C309" s="8"/>
      <c r="D309" s="8"/>
      <c r="E309" s="2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  <c r="AA309" s="3"/>
      <c r="AB309" s="3"/>
      <c r="AC309" s="3"/>
    </row>
    <row r="310" ht="15.75" customHeight="1">
      <c r="A310" s="8"/>
      <c r="B310" s="8"/>
      <c r="C310" s="8"/>
      <c r="D310" s="8"/>
      <c r="E310" s="2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  <c r="AA310" s="3"/>
      <c r="AB310" s="3"/>
      <c r="AC310" s="3"/>
    </row>
    <row r="311" ht="15.75" customHeight="1">
      <c r="A311" s="8"/>
      <c r="B311" s="8"/>
      <c r="C311" s="8"/>
      <c r="D311" s="8"/>
      <c r="E311" s="2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  <c r="AA311" s="3"/>
      <c r="AB311" s="3"/>
      <c r="AC311" s="3"/>
    </row>
    <row r="312" ht="15.75" customHeight="1">
      <c r="A312" s="8"/>
      <c r="B312" s="8"/>
      <c r="C312" s="8"/>
      <c r="D312" s="8"/>
      <c r="E312" s="2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  <c r="AA312" s="3"/>
      <c r="AB312" s="3"/>
      <c r="AC312" s="3"/>
    </row>
    <row r="313" ht="15.75" customHeight="1">
      <c r="A313" s="8"/>
      <c r="B313" s="8"/>
      <c r="C313" s="8"/>
      <c r="D313" s="8"/>
      <c r="E313" s="2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  <c r="AA313" s="3"/>
      <c r="AB313" s="3"/>
      <c r="AC313" s="3"/>
    </row>
    <row r="314" ht="15.75" customHeight="1">
      <c r="A314" s="8"/>
      <c r="B314" s="8"/>
      <c r="C314" s="8"/>
      <c r="D314" s="8"/>
      <c r="E314" s="2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  <c r="AA314" s="3"/>
      <c r="AB314" s="3"/>
      <c r="AC314" s="3"/>
    </row>
    <row r="315" ht="15.75" customHeight="1">
      <c r="A315" s="8"/>
      <c r="B315" s="8"/>
      <c r="C315" s="8"/>
      <c r="D315" s="8"/>
      <c r="E315" s="2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  <c r="AA315" s="3"/>
      <c r="AB315" s="3"/>
      <c r="AC315" s="3"/>
    </row>
    <row r="316" ht="15.75" customHeight="1">
      <c r="A316" s="8"/>
      <c r="B316" s="8"/>
      <c r="C316" s="8"/>
      <c r="D316" s="8"/>
      <c r="E316" s="2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  <c r="AA316" s="3"/>
      <c r="AB316" s="3"/>
      <c r="AC316" s="3"/>
    </row>
    <row r="317" ht="15.75" customHeight="1">
      <c r="A317" s="8"/>
      <c r="B317" s="8"/>
      <c r="C317" s="8"/>
      <c r="D317" s="8"/>
      <c r="E317" s="2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  <c r="AA317" s="3"/>
      <c r="AB317" s="3"/>
      <c r="AC317" s="3"/>
    </row>
    <row r="318" ht="15.75" customHeight="1">
      <c r="A318" s="8"/>
      <c r="B318" s="8"/>
      <c r="C318" s="8"/>
      <c r="D318" s="8"/>
      <c r="E318" s="2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  <c r="AA318" s="3"/>
      <c r="AB318" s="3"/>
      <c r="AC318" s="3"/>
    </row>
    <row r="319" ht="15.75" customHeight="1">
      <c r="A319" s="8"/>
      <c r="B319" s="8"/>
      <c r="C319" s="8"/>
      <c r="D319" s="8"/>
      <c r="E319" s="2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  <c r="AA319" s="3"/>
      <c r="AB319" s="3"/>
      <c r="AC319" s="3"/>
    </row>
    <row r="320" ht="15.75" customHeight="1">
      <c r="A320" s="8"/>
      <c r="B320" s="8"/>
      <c r="C320" s="8"/>
      <c r="D320" s="8"/>
      <c r="E320" s="2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  <c r="AA320" s="3"/>
      <c r="AB320" s="3"/>
      <c r="AC320" s="3"/>
    </row>
    <row r="321" ht="15.75" customHeight="1">
      <c r="A321" s="8"/>
      <c r="B321" s="8"/>
      <c r="C321" s="8"/>
      <c r="D321" s="8"/>
      <c r="E321" s="2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  <c r="AA321" s="3"/>
      <c r="AB321" s="3"/>
      <c r="AC321" s="3"/>
    </row>
    <row r="322" ht="15.75" customHeight="1">
      <c r="A322" s="8"/>
      <c r="B322" s="8"/>
      <c r="C322" s="8"/>
      <c r="D322" s="8"/>
      <c r="E322" s="2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  <c r="AA322" s="3"/>
      <c r="AB322" s="3"/>
      <c r="AC322" s="3"/>
    </row>
    <row r="323" ht="15.75" customHeight="1">
      <c r="A323" s="8"/>
      <c r="B323" s="8"/>
      <c r="C323" s="8"/>
      <c r="D323" s="8"/>
      <c r="E323" s="2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  <c r="AA323" s="3"/>
      <c r="AB323" s="3"/>
      <c r="AC323" s="3"/>
    </row>
    <row r="324" ht="15.75" customHeight="1">
      <c r="A324" s="8"/>
      <c r="B324" s="8"/>
      <c r="C324" s="8"/>
      <c r="D324" s="8"/>
      <c r="E324" s="2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  <c r="AA324" s="3"/>
      <c r="AB324" s="3"/>
      <c r="AC324" s="3"/>
    </row>
    <row r="325" ht="15.75" customHeight="1">
      <c r="A325" s="8"/>
      <c r="B325" s="8"/>
      <c r="C325" s="8"/>
      <c r="D325" s="8"/>
      <c r="E325" s="2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  <c r="AA325" s="3"/>
      <c r="AB325" s="3"/>
      <c r="AC325" s="3"/>
    </row>
    <row r="326" ht="15.75" customHeight="1">
      <c r="A326" s="8"/>
      <c r="B326" s="8"/>
      <c r="C326" s="8"/>
      <c r="D326" s="8"/>
      <c r="E326" s="2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  <c r="AA326" s="3"/>
      <c r="AB326" s="3"/>
      <c r="AC326" s="3"/>
    </row>
    <row r="327" ht="15.75" customHeight="1">
      <c r="A327" s="8"/>
      <c r="B327" s="8"/>
      <c r="C327" s="8"/>
      <c r="D327" s="8"/>
      <c r="E327" s="2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  <c r="AA327" s="3"/>
      <c r="AB327" s="3"/>
      <c r="AC327" s="3"/>
    </row>
    <row r="328" ht="15.75" customHeight="1">
      <c r="A328" s="8"/>
      <c r="B328" s="8"/>
      <c r="C328" s="8"/>
      <c r="D328" s="8"/>
      <c r="E328" s="2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  <c r="AA328" s="3"/>
      <c r="AB328" s="3"/>
      <c r="AC328" s="3"/>
    </row>
    <row r="329" ht="15.75" customHeight="1">
      <c r="A329" s="8"/>
      <c r="B329" s="8"/>
      <c r="C329" s="8"/>
      <c r="D329" s="8"/>
      <c r="E329" s="2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  <c r="AA329" s="3"/>
      <c r="AB329" s="3"/>
      <c r="AC329" s="3"/>
    </row>
    <row r="330" ht="15.75" customHeight="1">
      <c r="A330" s="8"/>
      <c r="B330" s="8"/>
      <c r="C330" s="8"/>
      <c r="D330" s="8"/>
      <c r="E330" s="2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  <c r="AA330" s="3"/>
      <c r="AB330" s="3"/>
      <c r="AC330" s="3"/>
    </row>
    <row r="331" ht="15.75" customHeight="1">
      <c r="A331" s="8"/>
      <c r="B331" s="8"/>
      <c r="C331" s="8"/>
      <c r="D331" s="8"/>
      <c r="E331" s="2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  <c r="AA331" s="3"/>
      <c r="AB331" s="3"/>
      <c r="AC331" s="3"/>
    </row>
    <row r="332" ht="15.75" customHeight="1">
      <c r="A332" s="8"/>
      <c r="B332" s="8"/>
      <c r="C332" s="8"/>
      <c r="D332" s="8"/>
      <c r="E332" s="2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  <c r="AA332" s="3"/>
      <c r="AB332" s="3"/>
      <c r="AC332" s="3"/>
    </row>
    <row r="333" ht="15.75" customHeight="1">
      <c r="A333" s="8"/>
      <c r="B333" s="8"/>
      <c r="C333" s="8"/>
      <c r="D333" s="8"/>
      <c r="E333" s="2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  <c r="AA333" s="3"/>
      <c r="AB333" s="3"/>
      <c r="AC333" s="3"/>
    </row>
    <row r="334" ht="15.75" customHeight="1">
      <c r="A334" s="8"/>
      <c r="B334" s="8"/>
      <c r="C334" s="8"/>
      <c r="D334" s="8"/>
      <c r="E334" s="2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  <c r="AA334" s="3"/>
      <c r="AB334" s="3"/>
      <c r="AC334" s="3"/>
    </row>
    <row r="335" ht="15.75" customHeight="1">
      <c r="A335" s="8"/>
      <c r="B335" s="8"/>
      <c r="C335" s="8"/>
      <c r="D335" s="8"/>
      <c r="E335" s="2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  <c r="AA335" s="3"/>
      <c r="AB335" s="3"/>
      <c r="AC335" s="3"/>
    </row>
    <row r="336" ht="15.75" customHeight="1">
      <c r="A336" s="8"/>
      <c r="B336" s="8"/>
      <c r="C336" s="8"/>
      <c r="D336" s="8"/>
      <c r="E336" s="2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  <c r="AA336" s="3"/>
      <c r="AB336" s="3"/>
      <c r="AC336" s="3"/>
    </row>
    <row r="337" ht="15.75" customHeight="1">
      <c r="A337" s="8"/>
      <c r="B337" s="8"/>
      <c r="C337" s="8"/>
      <c r="D337" s="8"/>
      <c r="E337" s="2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  <c r="AA337" s="3"/>
      <c r="AB337" s="3"/>
      <c r="AC337" s="3"/>
    </row>
    <row r="338" ht="15.75" customHeight="1">
      <c r="A338" s="8"/>
      <c r="B338" s="8"/>
      <c r="C338" s="8"/>
      <c r="D338" s="8"/>
      <c r="E338" s="2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  <c r="AA338" s="3"/>
      <c r="AB338" s="3"/>
      <c r="AC338" s="3"/>
    </row>
    <row r="339" ht="15.75" customHeight="1">
      <c r="A339" s="8"/>
      <c r="B339" s="8"/>
      <c r="C339" s="8"/>
      <c r="D339" s="8"/>
      <c r="E339" s="2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  <c r="AA339" s="3"/>
      <c r="AB339" s="3"/>
      <c r="AC339" s="3"/>
    </row>
    <row r="340" ht="15.75" customHeight="1">
      <c r="A340" s="8"/>
      <c r="B340" s="8"/>
      <c r="C340" s="8"/>
      <c r="D340" s="8"/>
      <c r="E340" s="2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  <c r="AA340" s="3"/>
      <c r="AB340" s="3"/>
      <c r="AC340" s="3"/>
    </row>
    <row r="341" ht="15.75" customHeight="1">
      <c r="A341" s="8"/>
      <c r="B341" s="8"/>
      <c r="C341" s="8"/>
      <c r="D341" s="8"/>
      <c r="E341" s="2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  <c r="AA341" s="3"/>
      <c r="AB341" s="3"/>
      <c r="AC341" s="3"/>
    </row>
    <row r="342" ht="15.75" customHeight="1">
      <c r="A342" s="8"/>
      <c r="B342" s="8"/>
      <c r="C342" s="8"/>
      <c r="D342" s="8"/>
      <c r="E342" s="2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  <c r="AA342" s="3"/>
      <c r="AB342" s="3"/>
      <c r="AC342" s="3"/>
    </row>
    <row r="343" ht="15.75" customHeight="1">
      <c r="A343" s="8"/>
      <c r="B343" s="8"/>
      <c r="C343" s="8"/>
      <c r="D343" s="8"/>
      <c r="E343" s="2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  <c r="AA343" s="3"/>
      <c r="AB343" s="3"/>
      <c r="AC343" s="3"/>
    </row>
    <row r="344" ht="15.75" customHeight="1">
      <c r="A344" s="8"/>
      <c r="B344" s="8"/>
      <c r="C344" s="8"/>
      <c r="D344" s="8"/>
      <c r="E344" s="2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  <c r="AA344" s="3"/>
      <c r="AB344" s="3"/>
      <c r="AC344" s="3"/>
    </row>
    <row r="345" ht="15.75" customHeight="1">
      <c r="A345" s="8"/>
      <c r="B345" s="8"/>
      <c r="C345" s="8"/>
      <c r="D345" s="8"/>
      <c r="E345" s="2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  <c r="AA345" s="3"/>
      <c r="AB345" s="3"/>
      <c r="AC345" s="3"/>
    </row>
    <row r="346" ht="15.75" customHeight="1">
      <c r="A346" s="8"/>
      <c r="B346" s="8"/>
      <c r="C346" s="8"/>
      <c r="D346" s="8"/>
      <c r="E346" s="2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  <c r="AA346" s="3"/>
      <c r="AB346" s="3"/>
      <c r="AC346" s="3"/>
    </row>
    <row r="347" ht="15.75" customHeight="1">
      <c r="A347" s="8"/>
      <c r="B347" s="8"/>
      <c r="C347" s="8"/>
      <c r="D347" s="8"/>
      <c r="E347" s="2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  <c r="AA347" s="3"/>
      <c r="AB347" s="3"/>
      <c r="AC347" s="3"/>
    </row>
    <row r="348" ht="15.75" customHeight="1">
      <c r="A348" s="8"/>
      <c r="B348" s="8"/>
      <c r="C348" s="8"/>
      <c r="D348" s="8"/>
      <c r="E348" s="2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  <c r="AA348" s="3"/>
      <c r="AB348" s="3"/>
      <c r="AC348" s="3"/>
    </row>
    <row r="349" ht="15.75" customHeight="1">
      <c r="A349" s="8"/>
      <c r="B349" s="8"/>
      <c r="C349" s="8"/>
      <c r="D349" s="8"/>
      <c r="E349" s="2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  <c r="AA349" s="3"/>
      <c r="AB349" s="3"/>
      <c r="AC349" s="3"/>
    </row>
    <row r="350" ht="15.75" customHeight="1">
      <c r="A350" s="8"/>
      <c r="B350" s="8"/>
      <c r="C350" s="8"/>
      <c r="D350" s="8"/>
      <c r="E350" s="2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  <c r="AA350" s="3"/>
      <c r="AB350" s="3"/>
      <c r="AC350" s="3"/>
    </row>
    <row r="351" ht="15.75" customHeight="1">
      <c r="A351" s="8"/>
      <c r="B351" s="8"/>
      <c r="C351" s="8"/>
      <c r="D351" s="8"/>
      <c r="E351" s="2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  <c r="AA351" s="3"/>
      <c r="AB351" s="3"/>
      <c r="AC351" s="3"/>
    </row>
    <row r="352" ht="15.75" customHeight="1">
      <c r="A352" s="8"/>
      <c r="B352" s="8"/>
      <c r="C352" s="8"/>
      <c r="D352" s="8"/>
      <c r="E352" s="2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  <c r="AA352" s="3"/>
      <c r="AB352" s="3"/>
      <c r="AC352" s="3"/>
    </row>
    <row r="353" ht="15.75" customHeight="1">
      <c r="A353" s="8"/>
      <c r="B353" s="8"/>
      <c r="C353" s="8"/>
      <c r="D353" s="8"/>
      <c r="E353" s="2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  <c r="AA353" s="3"/>
      <c r="AB353" s="3"/>
      <c r="AC353" s="3"/>
    </row>
    <row r="354" ht="15.75" customHeight="1">
      <c r="A354" s="8"/>
      <c r="B354" s="8"/>
      <c r="C354" s="8"/>
      <c r="D354" s="8"/>
      <c r="E354" s="2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  <c r="AA354" s="3"/>
      <c r="AB354" s="3"/>
      <c r="AC354" s="3"/>
    </row>
    <row r="355" ht="15.75" customHeight="1">
      <c r="A355" s="8"/>
      <c r="B355" s="8"/>
      <c r="C355" s="8"/>
      <c r="D355" s="8"/>
      <c r="E355" s="2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  <c r="AA355" s="3"/>
      <c r="AB355" s="3"/>
      <c r="AC355" s="3"/>
    </row>
    <row r="356" ht="15.75" customHeight="1">
      <c r="A356" s="8"/>
      <c r="B356" s="8"/>
      <c r="C356" s="8"/>
      <c r="D356" s="8"/>
      <c r="E356" s="2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  <c r="AA356" s="3"/>
      <c r="AB356" s="3"/>
      <c r="AC356" s="3"/>
    </row>
    <row r="357" ht="15.75" customHeight="1">
      <c r="A357" s="8"/>
      <c r="B357" s="8"/>
      <c r="C357" s="8"/>
      <c r="D357" s="8"/>
      <c r="E357" s="2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  <c r="AA357" s="3"/>
      <c r="AB357" s="3"/>
      <c r="AC357" s="3"/>
    </row>
    <row r="358" ht="15.75" customHeight="1">
      <c r="A358" s="8"/>
      <c r="B358" s="8"/>
      <c r="C358" s="8"/>
      <c r="D358" s="8"/>
      <c r="E358" s="2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  <c r="AA358" s="3"/>
      <c r="AB358" s="3"/>
      <c r="AC358" s="3"/>
    </row>
    <row r="359" ht="15.75" customHeight="1">
      <c r="A359" s="8"/>
      <c r="B359" s="8"/>
      <c r="C359" s="8"/>
      <c r="D359" s="8"/>
      <c r="E359" s="2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  <c r="AA359" s="3"/>
      <c r="AB359" s="3"/>
      <c r="AC359" s="3"/>
    </row>
    <row r="360" ht="15.75" customHeight="1">
      <c r="A360" s="8"/>
      <c r="B360" s="8"/>
      <c r="C360" s="8"/>
      <c r="D360" s="8"/>
      <c r="E360" s="2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  <c r="AA360" s="3"/>
      <c r="AB360" s="3"/>
      <c r="AC360" s="3"/>
    </row>
    <row r="361" ht="15.75" customHeight="1">
      <c r="A361" s="8"/>
      <c r="B361" s="8"/>
      <c r="C361" s="8"/>
      <c r="D361" s="8"/>
      <c r="E361" s="2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  <c r="AA361" s="3"/>
      <c r="AB361" s="3"/>
      <c r="AC361" s="3"/>
    </row>
    <row r="362" ht="15.75" customHeight="1">
      <c r="A362" s="8"/>
      <c r="B362" s="8"/>
      <c r="C362" s="8"/>
      <c r="D362" s="8"/>
      <c r="E362" s="2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  <c r="AA362" s="3"/>
      <c r="AB362" s="3"/>
      <c r="AC362" s="3"/>
    </row>
    <row r="363" ht="15.75" customHeight="1">
      <c r="A363" s="8"/>
      <c r="B363" s="8"/>
      <c r="C363" s="8"/>
      <c r="D363" s="8"/>
      <c r="E363" s="2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  <c r="AA363" s="3"/>
      <c r="AB363" s="3"/>
      <c r="AC363" s="3"/>
    </row>
    <row r="364" ht="15.75" customHeight="1">
      <c r="A364" s="8"/>
      <c r="B364" s="8"/>
      <c r="C364" s="8"/>
      <c r="D364" s="8"/>
      <c r="E364" s="2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  <c r="AA364" s="3"/>
      <c r="AB364" s="3"/>
      <c r="AC364" s="3"/>
    </row>
    <row r="365" ht="15.75" customHeight="1">
      <c r="A365" s="8"/>
      <c r="B365" s="8"/>
      <c r="C365" s="8"/>
      <c r="D365" s="8"/>
      <c r="E365" s="2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  <c r="AA365" s="3"/>
      <c r="AB365" s="3"/>
      <c r="AC365" s="3"/>
    </row>
    <row r="366" ht="15.75" customHeight="1">
      <c r="A366" s="8"/>
      <c r="B366" s="8"/>
      <c r="C366" s="8"/>
      <c r="D366" s="8"/>
      <c r="E366" s="2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  <c r="AA366" s="3"/>
      <c r="AB366" s="3"/>
      <c r="AC366" s="3"/>
    </row>
    <row r="367" ht="15.75" customHeight="1">
      <c r="A367" s="8"/>
      <c r="B367" s="8"/>
      <c r="C367" s="8"/>
      <c r="D367" s="8"/>
      <c r="E367" s="2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  <c r="AA367" s="3"/>
      <c r="AB367" s="3"/>
      <c r="AC367" s="3"/>
    </row>
    <row r="368" ht="15.75" customHeight="1">
      <c r="A368" s="8"/>
      <c r="B368" s="8"/>
      <c r="C368" s="8"/>
      <c r="D368" s="8"/>
      <c r="E368" s="2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  <c r="AA368" s="3"/>
      <c r="AB368" s="3"/>
      <c r="AC368" s="3"/>
    </row>
    <row r="369" ht="15.75" customHeight="1">
      <c r="A369" s="8"/>
      <c r="B369" s="8"/>
      <c r="C369" s="8"/>
      <c r="D369" s="8"/>
      <c r="E369" s="2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  <c r="AA369" s="3"/>
      <c r="AB369" s="3"/>
      <c r="AC369" s="3"/>
    </row>
    <row r="370" ht="15.75" customHeight="1">
      <c r="A370" s="8"/>
      <c r="B370" s="8"/>
      <c r="C370" s="8"/>
      <c r="D370" s="8"/>
      <c r="E370" s="2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  <c r="AA370" s="3"/>
      <c r="AB370" s="3"/>
      <c r="AC370" s="3"/>
    </row>
    <row r="371" ht="15.75" customHeight="1">
      <c r="A371" s="8"/>
      <c r="B371" s="8"/>
      <c r="C371" s="8"/>
      <c r="D371" s="8"/>
      <c r="E371" s="2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  <c r="AA371" s="3"/>
      <c r="AB371" s="3"/>
      <c r="AC371" s="3"/>
    </row>
    <row r="372" ht="15.75" customHeight="1">
      <c r="A372" s="8"/>
      <c r="B372" s="8"/>
      <c r="C372" s="8"/>
      <c r="D372" s="8"/>
      <c r="E372" s="2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  <c r="AA372" s="3"/>
      <c r="AB372" s="3"/>
      <c r="AC372" s="3"/>
    </row>
    <row r="373" ht="15.75" customHeight="1">
      <c r="A373" s="8"/>
      <c r="B373" s="8"/>
      <c r="C373" s="8"/>
      <c r="D373" s="8"/>
      <c r="E373" s="2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  <c r="AA373" s="3"/>
      <c r="AB373" s="3"/>
      <c r="AC373" s="3"/>
    </row>
    <row r="374" ht="15.75" customHeight="1">
      <c r="A374" s="8"/>
      <c r="B374" s="8"/>
      <c r="C374" s="8"/>
      <c r="D374" s="8"/>
      <c r="E374" s="2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  <c r="AA374" s="3"/>
      <c r="AB374" s="3"/>
      <c r="AC374" s="3"/>
    </row>
    <row r="375" ht="15.75" customHeight="1">
      <c r="A375" s="8"/>
      <c r="B375" s="8"/>
      <c r="C375" s="8"/>
      <c r="D375" s="8"/>
      <c r="E375" s="2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  <c r="AA375" s="3"/>
      <c r="AB375" s="3"/>
      <c r="AC375" s="3"/>
    </row>
    <row r="376" ht="15.75" customHeight="1">
      <c r="A376" s="8"/>
      <c r="B376" s="8"/>
      <c r="C376" s="8"/>
      <c r="D376" s="8"/>
      <c r="E376" s="2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  <c r="AA376" s="3"/>
      <c r="AB376" s="3"/>
      <c r="AC376" s="3"/>
    </row>
    <row r="377" ht="15.75" customHeight="1">
      <c r="A377" s="8"/>
      <c r="B377" s="8"/>
      <c r="C377" s="8"/>
      <c r="D377" s="8"/>
      <c r="E377" s="2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  <c r="AA377" s="3"/>
      <c r="AB377" s="3"/>
      <c r="AC377" s="3"/>
    </row>
    <row r="378" ht="15.75" customHeight="1">
      <c r="A378" s="8"/>
      <c r="B378" s="8"/>
      <c r="C378" s="8"/>
      <c r="D378" s="8"/>
      <c r="E378" s="2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  <c r="AA378" s="3"/>
      <c r="AB378" s="3"/>
      <c r="AC378" s="3"/>
    </row>
    <row r="379" ht="15.75" customHeight="1">
      <c r="A379" s="8"/>
      <c r="B379" s="8"/>
      <c r="C379" s="8"/>
      <c r="D379" s="8"/>
      <c r="E379" s="2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  <c r="AA379" s="3"/>
      <c r="AB379" s="3"/>
      <c r="AC379" s="3"/>
    </row>
    <row r="380" ht="15.75" customHeight="1">
      <c r="A380" s="8"/>
      <c r="B380" s="8"/>
      <c r="C380" s="8"/>
      <c r="D380" s="8"/>
      <c r="E380" s="2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  <c r="AA380" s="3"/>
      <c r="AB380" s="3"/>
      <c r="AC380" s="3"/>
    </row>
    <row r="381" ht="15.75" customHeight="1">
      <c r="A381" s="8"/>
      <c r="B381" s="8"/>
      <c r="C381" s="8"/>
      <c r="D381" s="8"/>
      <c r="E381" s="2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  <c r="AA381" s="3"/>
      <c r="AB381" s="3"/>
      <c r="AC381" s="3"/>
    </row>
    <row r="382" ht="15.75" customHeight="1">
      <c r="A382" s="8"/>
      <c r="B382" s="8"/>
      <c r="C382" s="8"/>
      <c r="D382" s="8"/>
      <c r="E382" s="2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  <c r="AA382" s="3"/>
      <c r="AB382" s="3"/>
      <c r="AC382" s="3"/>
    </row>
    <row r="383" ht="15.75" customHeight="1">
      <c r="A383" s="8"/>
      <c r="B383" s="8"/>
      <c r="C383" s="8"/>
      <c r="D383" s="8"/>
      <c r="E383" s="2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  <c r="AA383" s="3"/>
      <c r="AB383" s="3"/>
      <c r="AC383" s="3"/>
    </row>
    <row r="384" ht="15.75" customHeight="1">
      <c r="A384" s="8"/>
      <c r="B384" s="8"/>
      <c r="C384" s="8"/>
      <c r="D384" s="8"/>
      <c r="E384" s="2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  <c r="AA384" s="3"/>
      <c r="AB384" s="3"/>
      <c r="AC384" s="3"/>
    </row>
    <row r="385" ht="15.75" customHeight="1">
      <c r="A385" s="8"/>
      <c r="B385" s="8"/>
      <c r="C385" s="8"/>
      <c r="D385" s="8"/>
      <c r="E385" s="2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  <c r="AA385" s="3"/>
      <c r="AB385" s="3"/>
      <c r="AC385" s="3"/>
    </row>
    <row r="386" ht="15.75" customHeight="1">
      <c r="A386" s="8"/>
      <c r="B386" s="8"/>
      <c r="C386" s="8"/>
      <c r="D386" s="8"/>
      <c r="E386" s="2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  <c r="AA386" s="3"/>
      <c r="AB386" s="3"/>
      <c r="AC386" s="3"/>
    </row>
    <row r="387" ht="15.75" customHeight="1">
      <c r="A387" s="8"/>
      <c r="B387" s="8"/>
      <c r="C387" s="8"/>
      <c r="D387" s="8"/>
      <c r="E387" s="2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  <c r="AA387" s="3"/>
      <c r="AB387" s="3"/>
      <c r="AC387" s="3"/>
    </row>
    <row r="388" ht="15.75" customHeight="1">
      <c r="A388" s="8"/>
      <c r="B388" s="8"/>
      <c r="C388" s="8"/>
      <c r="D388" s="8"/>
      <c r="E388" s="2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  <c r="AA388" s="3"/>
      <c r="AB388" s="3"/>
      <c r="AC388" s="3"/>
    </row>
    <row r="389" ht="15.75" customHeight="1">
      <c r="A389" s="8"/>
      <c r="B389" s="8"/>
      <c r="C389" s="8"/>
      <c r="D389" s="8"/>
      <c r="E389" s="2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  <c r="AA389" s="3"/>
      <c r="AB389" s="3"/>
      <c r="AC389" s="3"/>
    </row>
    <row r="390" ht="15.75" customHeight="1">
      <c r="A390" s="8"/>
      <c r="B390" s="8"/>
      <c r="C390" s="8"/>
      <c r="D390" s="8"/>
      <c r="E390" s="2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  <c r="AA390" s="3"/>
      <c r="AB390" s="3"/>
      <c r="AC390" s="3"/>
    </row>
    <row r="391" ht="15.75" customHeight="1">
      <c r="A391" s="8"/>
      <c r="B391" s="8"/>
      <c r="C391" s="8"/>
      <c r="D391" s="8"/>
      <c r="E391" s="2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  <c r="AA391" s="3"/>
      <c r="AB391" s="3"/>
      <c r="AC391" s="3"/>
    </row>
    <row r="392" ht="15.75" customHeight="1">
      <c r="A392" s="8"/>
      <c r="B392" s="8"/>
      <c r="C392" s="8"/>
      <c r="D392" s="8"/>
      <c r="E392" s="2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  <c r="AA392" s="3"/>
      <c r="AB392" s="3"/>
      <c r="AC392" s="3"/>
    </row>
    <row r="393" ht="15.75" customHeight="1">
      <c r="A393" s="8"/>
      <c r="B393" s="8"/>
      <c r="C393" s="8"/>
      <c r="D393" s="8"/>
      <c r="E393" s="2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  <c r="AA393" s="3"/>
      <c r="AB393" s="3"/>
      <c r="AC393" s="3"/>
    </row>
    <row r="394" ht="15.75" customHeight="1">
      <c r="A394" s="8"/>
      <c r="B394" s="8"/>
      <c r="C394" s="8"/>
      <c r="D394" s="8"/>
      <c r="E394" s="2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  <c r="AA394" s="3"/>
      <c r="AB394" s="3"/>
      <c r="AC394" s="3"/>
    </row>
    <row r="395" ht="15.75" customHeight="1">
      <c r="A395" s="8"/>
      <c r="B395" s="8"/>
      <c r="C395" s="8"/>
      <c r="D395" s="8"/>
      <c r="E395" s="2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  <c r="AA395" s="3"/>
      <c r="AB395" s="3"/>
      <c r="AC395" s="3"/>
    </row>
    <row r="396" ht="15.75" customHeight="1">
      <c r="A396" s="8"/>
      <c r="B396" s="8"/>
      <c r="C396" s="8"/>
      <c r="D396" s="8"/>
      <c r="E396" s="2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  <c r="AA396" s="3"/>
      <c r="AB396" s="3"/>
      <c r="AC396" s="3"/>
    </row>
    <row r="397" ht="15.75" customHeight="1">
      <c r="A397" s="8"/>
      <c r="B397" s="8"/>
      <c r="C397" s="8"/>
      <c r="D397" s="8"/>
      <c r="E397" s="2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  <c r="AA397" s="3"/>
      <c r="AB397" s="3"/>
      <c r="AC397" s="3"/>
    </row>
    <row r="398" ht="15.75" customHeight="1">
      <c r="A398" s="8"/>
      <c r="B398" s="8"/>
      <c r="C398" s="8"/>
      <c r="D398" s="8"/>
      <c r="E398" s="2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  <c r="AA398" s="3"/>
      <c r="AB398" s="3"/>
      <c r="AC398" s="3"/>
    </row>
    <row r="399" ht="15.75" customHeight="1">
      <c r="A399" s="8"/>
      <c r="B399" s="8"/>
      <c r="C399" s="8"/>
      <c r="D399" s="8"/>
      <c r="E399" s="2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  <c r="AA399" s="3"/>
      <c r="AB399" s="3"/>
      <c r="AC399" s="3"/>
    </row>
    <row r="400" ht="15.75" customHeight="1">
      <c r="A400" s="8"/>
      <c r="B400" s="8"/>
      <c r="C400" s="8"/>
      <c r="D400" s="8"/>
      <c r="E400" s="2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  <c r="AA400" s="3"/>
      <c r="AB400" s="3"/>
      <c r="AC400" s="3"/>
    </row>
    <row r="401" ht="15.75" customHeight="1">
      <c r="A401" s="8"/>
      <c r="B401" s="8"/>
      <c r="C401" s="8"/>
      <c r="D401" s="8"/>
      <c r="E401" s="2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  <c r="AA401" s="3"/>
      <c r="AB401" s="3"/>
      <c r="AC401" s="3"/>
    </row>
    <row r="402" ht="15.75" customHeight="1">
      <c r="A402" s="8"/>
      <c r="B402" s="8"/>
      <c r="C402" s="8"/>
      <c r="D402" s="8"/>
      <c r="E402" s="2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  <c r="AA402" s="3"/>
      <c r="AB402" s="3"/>
      <c r="AC402" s="3"/>
    </row>
    <row r="403" ht="15.75" customHeight="1">
      <c r="A403" s="8"/>
      <c r="B403" s="8"/>
      <c r="C403" s="8"/>
      <c r="D403" s="8"/>
      <c r="E403" s="2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  <c r="AA403" s="3"/>
      <c r="AB403" s="3"/>
      <c r="AC403" s="3"/>
    </row>
    <row r="404" ht="15.75" customHeight="1">
      <c r="A404" s="8"/>
      <c r="B404" s="8"/>
      <c r="C404" s="8"/>
      <c r="D404" s="8"/>
      <c r="E404" s="2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  <c r="AA404" s="3"/>
      <c r="AB404" s="3"/>
      <c r="AC404" s="3"/>
    </row>
    <row r="405" ht="15.75" customHeight="1">
      <c r="A405" s="8"/>
      <c r="B405" s="8"/>
      <c r="C405" s="8"/>
      <c r="D405" s="8"/>
      <c r="E405" s="2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  <c r="AA405" s="3"/>
      <c r="AB405" s="3"/>
      <c r="AC405" s="3"/>
    </row>
    <row r="406" ht="15.75" customHeight="1">
      <c r="A406" s="8"/>
      <c r="B406" s="8"/>
      <c r="C406" s="8"/>
      <c r="D406" s="8"/>
      <c r="E406" s="2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  <c r="AA406" s="3"/>
      <c r="AB406" s="3"/>
      <c r="AC406" s="3"/>
    </row>
    <row r="407" ht="15.75" customHeight="1">
      <c r="A407" s="8"/>
      <c r="B407" s="8"/>
      <c r="C407" s="8"/>
      <c r="D407" s="8"/>
      <c r="E407" s="2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  <c r="AA407" s="3"/>
      <c r="AB407" s="3"/>
      <c r="AC407" s="3"/>
    </row>
    <row r="408" ht="15.75" customHeight="1">
      <c r="A408" s="8"/>
      <c r="B408" s="8"/>
      <c r="C408" s="8"/>
      <c r="D408" s="8"/>
      <c r="E408" s="2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  <c r="AA408" s="3"/>
      <c r="AB408" s="3"/>
      <c r="AC408" s="3"/>
    </row>
    <row r="409" ht="15.75" customHeight="1">
      <c r="A409" s="8"/>
      <c r="B409" s="8"/>
      <c r="C409" s="8"/>
      <c r="D409" s="8"/>
      <c r="E409" s="2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  <c r="AA409" s="3"/>
      <c r="AB409" s="3"/>
      <c r="AC409" s="3"/>
    </row>
    <row r="410" ht="15.75" customHeight="1">
      <c r="A410" s="8"/>
      <c r="B410" s="8"/>
      <c r="C410" s="8"/>
      <c r="D410" s="8"/>
      <c r="E410" s="2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  <c r="AA410" s="3"/>
      <c r="AB410" s="3"/>
      <c r="AC410" s="3"/>
    </row>
    <row r="411" ht="15.75" customHeight="1">
      <c r="A411" s="8"/>
      <c r="B411" s="8"/>
      <c r="C411" s="8"/>
      <c r="D411" s="8"/>
      <c r="E411" s="2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  <c r="AA411" s="3"/>
      <c r="AB411" s="3"/>
      <c r="AC411" s="3"/>
    </row>
    <row r="412" ht="15.75" customHeight="1">
      <c r="A412" s="8"/>
      <c r="B412" s="8"/>
      <c r="C412" s="8"/>
      <c r="D412" s="8"/>
      <c r="E412" s="2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  <c r="AA412" s="3"/>
      <c r="AB412" s="3"/>
      <c r="AC412" s="3"/>
    </row>
    <row r="413" ht="15.75" customHeight="1">
      <c r="A413" s="8"/>
      <c r="B413" s="8"/>
      <c r="C413" s="8"/>
      <c r="D413" s="8"/>
      <c r="E413" s="2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  <c r="AA413" s="3"/>
      <c r="AB413" s="3"/>
      <c r="AC413" s="3"/>
    </row>
    <row r="414" ht="15.75" customHeight="1">
      <c r="A414" s="8"/>
      <c r="B414" s="8"/>
      <c r="C414" s="8"/>
      <c r="D414" s="8"/>
      <c r="E414" s="2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  <c r="AA414" s="3"/>
      <c r="AB414" s="3"/>
      <c r="AC414" s="3"/>
    </row>
    <row r="415" ht="15.75" customHeight="1">
      <c r="A415" s="8"/>
      <c r="B415" s="8"/>
      <c r="C415" s="8"/>
      <c r="D415" s="8"/>
      <c r="E415" s="2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  <c r="AA415" s="3"/>
      <c r="AB415" s="3"/>
      <c r="AC415" s="3"/>
    </row>
    <row r="416" ht="15.75" customHeight="1">
      <c r="A416" s="8"/>
      <c r="B416" s="8"/>
      <c r="C416" s="8"/>
      <c r="D416" s="8"/>
      <c r="E416" s="2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  <c r="AA416" s="3"/>
      <c r="AB416" s="3"/>
      <c r="AC416" s="3"/>
    </row>
    <row r="417" ht="15.75" customHeight="1">
      <c r="A417" s="8"/>
      <c r="B417" s="8"/>
      <c r="C417" s="8"/>
      <c r="D417" s="8"/>
      <c r="E417" s="2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  <c r="AA417" s="3"/>
      <c r="AB417" s="3"/>
      <c r="AC417" s="3"/>
    </row>
    <row r="418" ht="15.75" customHeight="1">
      <c r="A418" s="8"/>
      <c r="B418" s="8"/>
      <c r="C418" s="8"/>
      <c r="D418" s="8"/>
      <c r="E418" s="2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  <c r="AA418" s="3"/>
      <c r="AB418" s="3"/>
      <c r="AC418" s="3"/>
    </row>
    <row r="419" ht="15.75" customHeight="1">
      <c r="A419" s="8"/>
      <c r="B419" s="8"/>
      <c r="C419" s="8"/>
      <c r="D419" s="8"/>
      <c r="E419" s="2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  <c r="AA419" s="3"/>
      <c r="AB419" s="3"/>
      <c r="AC419" s="3"/>
    </row>
    <row r="420" ht="15.75" customHeight="1">
      <c r="A420" s="8"/>
      <c r="B420" s="8"/>
      <c r="C420" s="8"/>
      <c r="D420" s="8"/>
      <c r="E420" s="2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  <c r="AA420" s="3"/>
      <c r="AB420" s="3"/>
      <c r="AC420" s="3"/>
    </row>
    <row r="421" ht="15.75" customHeight="1">
      <c r="A421" s="8"/>
      <c r="B421" s="8"/>
      <c r="C421" s="8"/>
      <c r="D421" s="8"/>
      <c r="E421" s="2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  <c r="AA421" s="3"/>
      <c r="AB421" s="3"/>
      <c r="AC421" s="3"/>
    </row>
    <row r="422" ht="15.75" customHeight="1">
      <c r="A422" s="8"/>
      <c r="B422" s="8"/>
      <c r="C422" s="8"/>
      <c r="D422" s="8"/>
      <c r="E422" s="2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  <c r="AA422" s="3"/>
      <c r="AB422" s="3"/>
      <c r="AC422" s="3"/>
    </row>
    <row r="423" ht="15.75" customHeight="1">
      <c r="A423" s="8"/>
      <c r="B423" s="8"/>
      <c r="C423" s="8"/>
      <c r="D423" s="8"/>
      <c r="E423" s="2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  <c r="AA423" s="3"/>
      <c r="AB423" s="3"/>
      <c r="AC423" s="3"/>
    </row>
    <row r="424" ht="15.75" customHeight="1">
      <c r="A424" s="8"/>
      <c r="B424" s="8"/>
      <c r="C424" s="8"/>
      <c r="D424" s="8"/>
      <c r="E424" s="2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  <c r="AA424" s="3"/>
      <c r="AB424" s="3"/>
      <c r="AC424" s="3"/>
    </row>
    <row r="425" ht="15.75" customHeight="1">
      <c r="A425" s="8"/>
      <c r="B425" s="8"/>
      <c r="C425" s="8"/>
      <c r="D425" s="8"/>
      <c r="E425" s="2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  <c r="AA425" s="3"/>
      <c r="AB425" s="3"/>
      <c r="AC425" s="3"/>
    </row>
    <row r="426" ht="15.75" customHeight="1">
      <c r="A426" s="8"/>
      <c r="B426" s="8"/>
      <c r="C426" s="8"/>
      <c r="D426" s="8"/>
      <c r="E426" s="2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  <c r="AA426" s="3"/>
      <c r="AB426" s="3"/>
      <c r="AC426" s="3"/>
    </row>
    <row r="427" ht="15.75" customHeight="1">
      <c r="A427" s="8"/>
      <c r="B427" s="8"/>
      <c r="C427" s="8"/>
      <c r="D427" s="8"/>
      <c r="E427" s="2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  <c r="AA427" s="3"/>
      <c r="AB427" s="3"/>
      <c r="AC427" s="3"/>
    </row>
    <row r="428" ht="15.75" customHeight="1">
      <c r="A428" s="8"/>
      <c r="B428" s="8"/>
      <c r="C428" s="8"/>
      <c r="D428" s="8"/>
      <c r="E428" s="2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  <c r="AA428" s="3"/>
      <c r="AB428" s="3"/>
      <c r="AC428" s="3"/>
    </row>
    <row r="429" ht="15.75" customHeight="1">
      <c r="A429" s="8"/>
      <c r="B429" s="8"/>
      <c r="C429" s="8"/>
      <c r="D429" s="8"/>
      <c r="E429" s="2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  <c r="AA429" s="3"/>
      <c r="AB429" s="3"/>
      <c r="AC429" s="3"/>
    </row>
    <row r="430" ht="15.75" customHeight="1">
      <c r="A430" s="8"/>
      <c r="B430" s="8"/>
      <c r="C430" s="8"/>
      <c r="D430" s="8"/>
      <c r="E430" s="2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  <c r="AA430" s="3"/>
      <c r="AB430" s="3"/>
      <c r="AC430" s="3"/>
    </row>
    <row r="431" ht="15.75" customHeight="1">
      <c r="A431" s="8"/>
      <c r="B431" s="8"/>
      <c r="C431" s="8"/>
      <c r="D431" s="8"/>
      <c r="E431" s="2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  <c r="AA431" s="3"/>
      <c r="AB431" s="3"/>
      <c r="AC431" s="3"/>
    </row>
    <row r="432" ht="15.75" customHeight="1">
      <c r="A432" s="8"/>
      <c r="B432" s="8"/>
      <c r="C432" s="8"/>
      <c r="D432" s="8"/>
      <c r="E432" s="2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  <c r="AA432" s="3"/>
      <c r="AB432" s="3"/>
      <c r="AC432" s="3"/>
    </row>
    <row r="433" ht="15.75" customHeight="1">
      <c r="A433" s="8"/>
      <c r="B433" s="8"/>
      <c r="C433" s="8"/>
      <c r="D433" s="8"/>
      <c r="E433" s="2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  <c r="AA433" s="3"/>
      <c r="AB433" s="3"/>
      <c r="AC433" s="3"/>
    </row>
    <row r="434" ht="15.75" customHeight="1">
      <c r="A434" s="8"/>
      <c r="B434" s="8"/>
      <c r="C434" s="8"/>
      <c r="D434" s="8"/>
      <c r="E434" s="2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  <c r="AA434" s="3"/>
      <c r="AB434" s="3"/>
      <c r="AC434" s="3"/>
    </row>
    <row r="435" ht="15.75" customHeight="1">
      <c r="A435" s="8"/>
      <c r="B435" s="8"/>
      <c r="C435" s="8"/>
      <c r="D435" s="8"/>
      <c r="E435" s="2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  <c r="AA435" s="3"/>
      <c r="AB435" s="3"/>
      <c r="AC435" s="3"/>
    </row>
    <row r="436" ht="15.75" customHeight="1">
      <c r="A436" s="8"/>
      <c r="B436" s="8"/>
      <c r="C436" s="8"/>
      <c r="D436" s="8"/>
      <c r="E436" s="2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  <c r="AA436" s="3"/>
      <c r="AB436" s="3"/>
      <c r="AC436" s="3"/>
    </row>
    <row r="437" ht="15.75" customHeight="1">
      <c r="A437" s="8"/>
      <c r="B437" s="8"/>
      <c r="C437" s="8"/>
      <c r="D437" s="8"/>
      <c r="E437" s="2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  <c r="AA437" s="3"/>
      <c r="AB437" s="3"/>
      <c r="AC437" s="3"/>
    </row>
    <row r="438" ht="15.75" customHeight="1">
      <c r="A438" s="8"/>
      <c r="B438" s="8"/>
      <c r="C438" s="8"/>
      <c r="D438" s="8"/>
      <c r="E438" s="2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  <c r="AA438" s="3"/>
      <c r="AB438" s="3"/>
      <c r="AC438" s="3"/>
    </row>
    <row r="439" ht="15.75" customHeight="1">
      <c r="A439" s="8"/>
      <c r="B439" s="8"/>
      <c r="C439" s="8"/>
      <c r="D439" s="8"/>
      <c r="E439" s="2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  <c r="AA439" s="3"/>
      <c r="AB439" s="3"/>
      <c r="AC439" s="3"/>
    </row>
    <row r="440" ht="15.75" customHeight="1">
      <c r="A440" s="8"/>
      <c r="B440" s="8"/>
      <c r="C440" s="8"/>
      <c r="D440" s="8"/>
      <c r="E440" s="2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  <c r="AA440" s="3"/>
      <c r="AB440" s="3"/>
      <c r="AC440" s="3"/>
    </row>
    <row r="441" ht="15.75" customHeight="1">
      <c r="A441" s="8"/>
      <c r="B441" s="8"/>
      <c r="C441" s="8"/>
      <c r="D441" s="8"/>
      <c r="E441" s="2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  <c r="AA441" s="3"/>
      <c r="AB441" s="3"/>
      <c r="AC441" s="3"/>
    </row>
    <row r="442" ht="15.75" customHeight="1">
      <c r="A442" s="8"/>
      <c r="B442" s="8"/>
      <c r="C442" s="8"/>
      <c r="D442" s="8"/>
      <c r="E442" s="2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  <c r="AA442" s="3"/>
      <c r="AB442" s="3"/>
      <c r="AC442" s="3"/>
    </row>
    <row r="443" ht="15.75" customHeight="1">
      <c r="A443" s="8"/>
      <c r="B443" s="8"/>
      <c r="C443" s="8"/>
      <c r="D443" s="8"/>
      <c r="E443" s="2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  <c r="AA443" s="3"/>
      <c r="AB443" s="3"/>
      <c r="AC443" s="3"/>
    </row>
    <row r="444" ht="15.75" customHeight="1">
      <c r="A444" s="8"/>
      <c r="B444" s="8"/>
      <c r="C444" s="8"/>
      <c r="D444" s="8"/>
      <c r="E444" s="2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  <c r="AA444" s="3"/>
      <c r="AB444" s="3"/>
      <c r="AC444" s="3"/>
    </row>
    <row r="445" ht="15.75" customHeight="1">
      <c r="A445" s="8"/>
      <c r="B445" s="8"/>
      <c r="C445" s="8"/>
      <c r="D445" s="8"/>
      <c r="E445" s="2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  <c r="AA445" s="3"/>
      <c r="AB445" s="3"/>
      <c r="AC445" s="3"/>
    </row>
    <row r="446" ht="15.75" customHeight="1">
      <c r="A446" s="8"/>
      <c r="B446" s="8"/>
      <c r="C446" s="8"/>
      <c r="D446" s="8"/>
      <c r="E446" s="2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  <c r="AA446" s="3"/>
      <c r="AB446" s="3"/>
      <c r="AC446" s="3"/>
    </row>
    <row r="447" ht="15.75" customHeight="1">
      <c r="A447" s="8"/>
      <c r="B447" s="8"/>
      <c r="C447" s="8"/>
      <c r="D447" s="8"/>
      <c r="E447" s="2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  <c r="AA447" s="3"/>
      <c r="AB447" s="3"/>
      <c r="AC447" s="3"/>
    </row>
    <row r="448" ht="15.75" customHeight="1">
      <c r="A448" s="8"/>
      <c r="B448" s="8"/>
      <c r="C448" s="8"/>
      <c r="D448" s="8"/>
      <c r="E448" s="2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  <c r="AA448" s="3"/>
      <c r="AB448" s="3"/>
      <c r="AC448" s="3"/>
    </row>
    <row r="449" ht="15.75" customHeight="1">
      <c r="A449" s="8"/>
      <c r="B449" s="8"/>
      <c r="C449" s="8"/>
      <c r="D449" s="8"/>
      <c r="E449" s="2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  <c r="AA449" s="3"/>
      <c r="AB449" s="3"/>
      <c r="AC449" s="3"/>
    </row>
    <row r="450" ht="15.75" customHeight="1">
      <c r="A450" s="8"/>
      <c r="B450" s="8"/>
      <c r="C450" s="8"/>
      <c r="D450" s="8"/>
      <c r="E450" s="2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  <c r="AA450" s="3"/>
      <c r="AB450" s="3"/>
      <c r="AC450" s="3"/>
    </row>
    <row r="451" ht="15.75" customHeight="1">
      <c r="A451" s="8"/>
      <c r="B451" s="8"/>
      <c r="C451" s="8"/>
      <c r="D451" s="8"/>
      <c r="E451" s="2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  <c r="AA451" s="3"/>
      <c r="AB451" s="3"/>
      <c r="AC451" s="3"/>
    </row>
    <row r="452" ht="15.75" customHeight="1">
      <c r="A452" s="8"/>
      <c r="B452" s="8"/>
      <c r="C452" s="8"/>
      <c r="D452" s="8"/>
      <c r="E452" s="2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  <c r="AA452" s="3"/>
      <c r="AB452" s="3"/>
      <c r="AC452" s="3"/>
    </row>
    <row r="453" ht="15.75" customHeight="1">
      <c r="A453" s="8"/>
      <c r="B453" s="8"/>
      <c r="C453" s="8"/>
      <c r="D453" s="8"/>
      <c r="E453" s="2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  <c r="AA453" s="3"/>
      <c r="AB453" s="3"/>
      <c r="AC453" s="3"/>
    </row>
    <row r="454" ht="15.75" customHeight="1">
      <c r="A454" s="8"/>
      <c r="B454" s="8"/>
      <c r="C454" s="8"/>
      <c r="D454" s="8"/>
      <c r="E454" s="2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  <c r="AA454" s="3"/>
      <c r="AB454" s="3"/>
      <c r="AC454" s="3"/>
    </row>
    <row r="455" ht="15.75" customHeight="1">
      <c r="A455" s="8"/>
      <c r="B455" s="8"/>
      <c r="C455" s="8"/>
      <c r="D455" s="8"/>
      <c r="E455" s="2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  <c r="AA455" s="3"/>
      <c r="AB455" s="3"/>
      <c r="AC455" s="3"/>
    </row>
    <row r="456" ht="15.75" customHeight="1">
      <c r="A456" s="8"/>
      <c r="B456" s="8"/>
      <c r="C456" s="8"/>
      <c r="D456" s="8"/>
      <c r="E456" s="2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  <c r="AA456" s="3"/>
      <c r="AB456" s="3"/>
      <c r="AC456" s="3"/>
    </row>
    <row r="457" ht="15.75" customHeight="1">
      <c r="A457" s="8"/>
      <c r="B457" s="8"/>
      <c r="C457" s="8"/>
      <c r="D457" s="8"/>
      <c r="E457" s="2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  <c r="AA457" s="3"/>
      <c r="AB457" s="3"/>
      <c r="AC457" s="3"/>
    </row>
    <row r="458" ht="15.75" customHeight="1">
      <c r="A458" s="8"/>
      <c r="B458" s="8"/>
      <c r="C458" s="8"/>
      <c r="D458" s="8"/>
      <c r="E458" s="2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  <c r="AA458" s="3"/>
      <c r="AB458" s="3"/>
      <c r="AC458" s="3"/>
    </row>
    <row r="459" ht="15.75" customHeight="1">
      <c r="A459" s="8"/>
      <c r="B459" s="8"/>
      <c r="C459" s="8"/>
      <c r="D459" s="8"/>
      <c r="E459" s="2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  <c r="AA459" s="3"/>
      <c r="AB459" s="3"/>
      <c r="AC459" s="3"/>
    </row>
    <row r="460" ht="15.75" customHeight="1">
      <c r="A460" s="8"/>
      <c r="B460" s="8"/>
      <c r="C460" s="8"/>
      <c r="D460" s="8"/>
      <c r="E460" s="2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  <c r="AA460" s="3"/>
      <c r="AB460" s="3"/>
      <c r="AC460" s="3"/>
    </row>
    <row r="461" ht="15.75" customHeight="1">
      <c r="A461" s="8"/>
      <c r="B461" s="8"/>
      <c r="C461" s="8"/>
      <c r="D461" s="8"/>
      <c r="E461" s="2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  <c r="AA461" s="3"/>
      <c r="AB461" s="3"/>
      <c r="AC461" s="3"/>
    </row>
    <row r="462" ht="15.75" customHeight="1">
      <c r="A462" s="8"/>
      <c r="B462" s="8"/>
      <c r="C462" s="8"/>
      <c r="D462" s="8"/>
      <c r="E462" s="2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  <c r="AA462" s="3"/>
      <c r="AB462" s="3"/>
      <c r="AC462" s="3"/>
    </row>
    <row r="463" ht="15.75" customHeight="1">
      <c r="A463" s="8"/>
      <c r="B463" s="8"/>
      <c r="C463" s="8"/>
      <c r="D463" s="8"/>
      <c r="E463" s="2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  <c r="AA463" s="3"/>
      <c r="AB463" s="3"/>
      <c r="AC463" s="3"/>
    </row>
    <row r="464" ht="15.75" customHeight="1">
      <c r="A464" s="8"/>
      <c r="B464" s="8"/>
      <c r="C464" s="8"/>
      <c r="D464" s="8"/>
      <c r="E464" s="2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  <c r="AA464" s="3"/>
      <c r="AB464" s="3"/>
      <c r="AC464" s="3"/>
    </row>
    <row r="465" ht="15.75" customHeight="1">
      <c r="A465" s="8"/>
      <c r="B465" s="8"/>
      <c r="C465" s="8"/>
      <c r="D465" s="8"/>
      <c r="E465" s="2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  <c r="AA465" s="3"/>
      <c r="AB465" s="3"/>
      <c r="AC465" s="3"/>
    </row>
    <row r="466" ht="15.75" customHeight="1">
      <c r="A466" s="8"/>
      <c r="B466" s="8"/>
      <c r="C466" s="8"/>
      <c r="D466" s="8"/>
      <c r="E466" s="2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  <c r="AA466" s="3"/>
      <c r="AB466" s="3"/>
      <c r="AC466" s="3"/>
    </row>
    <row r="467" ht="15.75" customHeight="1">
      <c r="A467" s="8"/>
      <c r="B467" s="8"/>
      <c r="C467" s="8"/>
      <c r="D467" s="8"/>
      <c r="E467" s="2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  <c r="AA467" s="3"/>
      <c r="AB467" s="3"/>
      <c r="AC467" s="3"/>
    </row>
    <row r="468" ht="15.75" customHeight="1">
      <c r="A468" s="8"/>
      <c r="B468" s="8"/>
      <c r="C468" s="8"/>
      <c r="D468" s="8"/>
      <c r="E468" s="2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  <c r="AA468" s="3"/>
      <c r="AB468" s="3"/>
      <c r="AC468" s="3"/>
    </row>
    <row r="469" ht="15.75" customHeight="1">
      <c r="A469" s="8"/>
      <c r="B469" s="8"/>
      <c r="C469" s="8"/>
      <c r="D469" s="8"/>
      <c r="E469" s="2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  <c r="AA469" s="3"/>
      <c r="AB469" s="3"/>
      <c r="AC469" s="3"/>
    </row>
    <row r="470" ht="15.75" customHeight="1">
      <c r="A470" s="8"/>
      <c r="B470" s="8"/>
      <c r="C470" s="8"/>
      <c r="D470" s="8"/>
      <c r="E470" s="2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  <c r="AA470" s="3"/>
      <c r="AB470" s="3"/>
      <c r="AC470" s="3"/>
    </row>
    <row r="471" ht="15.75" customHeight="1">
      <c r="A471" s="8"/>
      <c r="B471" s="8"/>
      <c r="C471" s="8"/>
      <c r="D471" s="8"/>
      <c r="E471" s="2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  <c r="AA471" s="3"/>
      <c r="AB471" s="3"/>
      <c r="AC471" s="3"/>
    </row>
    <row r="472" ht="15.75" customHeight="1">
      <c r="A472" s="8"/>
      <c r="B472" s="8"/>
      <c r="C472" s="8"/>
      <c r="D472" s="8"/>
      <c r="E472" s="2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  <c r="AA472" s="3"/>
      <c r="AB472" s="3"/>
      <c r="AC472" s="3"/>
    </row>
    <row r="473" ht="15.75" customHeight="1">
      <c r="A473" s="8"/>
      <c r="B473" s="8"/>
      <c r="C473" s="8"/>
      <c r="D473" s="8"/>
      <c r="E473" s="2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  <c r="AA473" s="3"/>
      <c r="AB473" s="3"/>
      <c r="AC473" s="3"/>
    </row>
    <row r="474" ht="15.75" customHeight="1">
      <c r="A474" s="8"/>
      <c r="B474" s="8"/>
      <c r="C474" s="8"/>
      <c r="D474" s="8"/>
      <c r="E474" s="2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  <c r="AA474" s="3"/>
      <c r="AB474" s="3"/>
      <c r="AC474" s="3"/>
    </row>
    <row r="475" ht="15.75" customHeight="1">
      <c r="A475" s="8"/>
      <c r="B475" s="8"/>
      <c r="C475" s="8"/>
      <c r="D475" s="8"/>
      <c r="E475" s="2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  <c r="AA475" s="3"/>
      <c r="AB475" s="3"/>
      <c r="AC475" s="3"/>
    </row>
    <row r="476" ht="15.75" customHeight="1">
      <c r="A476" s="8"/>
      <c r="B476" s="8"/>
      <c r="C476" s="8"/>
      <c r="D476" s="8"/>
      <c r="E476" s="2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  <c r="AA476" s="3"/>
      <c r="AB476" s="3"/>
      <c r="AC476" s="3"/>
    </row>
    <row r="477" ht="15.75" customHeight="1">
      <c r="A477" s="8"/>
      <c r="B477" s="8"/>
      <c r="C477" s="8"/>
      <c r="D477" s="8"/>
      <c r="E477" s="2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  <c r="AA477" s="3"/>
      <c r="AB477" s="3"/>
      <c r="AC477" s="3"/>
    </row>
    <row r="478" ht="15.75" customHeight="1">
      <c r="A478" s="8"/>
      <c r="B478" s="8"/>
      <c r="C478" s="8"/>
      <c r="D478" s="8"/>
      <c r="E478" s="2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  <c r="AA478" s="3"/>
      <c r="AB478" s="3"/>
      <c r="AC478" s="3"/>
    </row>
    <row r="479" ht="15.75" customHeight="1">
      <c r="A479" s="8"/>
      <c r="B479" s="8"/>
      <c r="C479" s="8"/>
      <c r="D479" s="8"/>
      <c r="E479" s="2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  <c r="AA479" s="3"/>
      <c r="AB479" s="3"/>
      <c r="AC479" s="3"/>
    </row>
    <row r="480" ht="15.75" customHeight="1">
      <c r="A480" s="8"/>
      <c r="B480" s="8"/>
      <c r="C480" s="8"/>
      <c r="D480" s="8"/>
      <c r="E480" s="2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  <c r="AA480" s="3"/>
      <c r="AB480" s="3"/>
      <c r="AC480" s="3"/>
    </row>
    <row r="481" ht="15.75" customHeight="1">
      <c r="A481" s="8"/>
      <c r="B481" s="8"/>
      <c r="C481" s="8"/>
      <c r="D481" s="8"/>
      <c r="E481" s="2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  <c r="AA481" s="3"/>
      <c r="AB481" s="3"/>
      <c r="AC481" s="3"/>
    </row>
    <row r="482" ht="15.75" customHeight="1">
      <c r="A482" s="8"/>
      <c r="B482" s="8"/>
      <c r="C482" s="8"/>
      <c r="D482" s="8"/>
      <c r="E482" s="2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  <c r="AA482" s="3"/>
      <c r="AB482" s="3"/>
      <c r="AC482" s="3"/>
    </row>
    <row r="483" ht="15.75" customHeight="1">
      <c r="A483" s="8"/>
      <c r="B483" s="8"/>
      <c r="C483" s="8"/>
      <c r="D483" s="8"/>
      <c r="E483" s="2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  <c r="AA483" s="3"/>
      <c r="AB483" s="3"/>
      <c r="AC483" s="3"/>
    </row>
    <row r="484" ht="15.75" customHeight="1">
      <c r="A484" s="8"/>
      <c r="B484" s="8"/>
      <c r="C484" s="8"/>
      <c r="D484" s="8"/>
      <c r="E484" s="2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  <c r="AA484" s="3"/>
      <c r="AB484" s="3"/>
      <c r="AC484" s="3"/>
    </row>
    <row r="485" ht="15.75" customHeight="1">
      <c r="A485" s="8"/>
      <c r="B485" s="8"/>
      <c r="C485" s="8"/>
      <c r="D485" s="8"/>
      <c r="E485" s="2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  <c r="AA485" s="3"/>
      <c r="AB485" s="3"/>
      <c r="AC485" s="3"/>
    </row>
    <row r="486" ht="15.75" customHeight="1">
      <c r="A486" s="8"/>
      <c r="B486" s="8"/>
      <c r="C486" s="8"/>
      <c r="D486" s="8"/>
      <c r="E486" s="2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  <c r="AA486" s="3"/>
      <c r="AB486" s="3"/>
      <c r="AC486" s="3"/>
    </row>
    <row r="487" ht="15.75" customHeight="1">
      <c r="A487" s="8"/>
      <c r="B487" s="8"/>
      <c r="C487" s="8"/>
      <c r="D487" s="8"/>
      <c r="E487" s="2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  <c r="AA487" s="3"/>
      <c r="AB487" s="3"/>
      <c r="AC487" s="3"/>
    </row>
    <row r="488" ht="15.75" customHeight="1">
      <c r="A488" s="8"/>
      <c r="B488" s="8"/>
      <c r="C488" s="8"/>
      <c r="D488" s="8"/>
      <c r="E488" s="2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  <c r="AA488" s="3"/>
      <c r="AB488" s="3"/>
      <c r="AC488" s="3"/>
    </row>
    <row r="489" ht="15.75" customHeight="1">
      <c r="A489" s="8"/>
      <c r="B489" s="8"/>
      <c r="C489" s="8"/>
      <c r="D489" s="8"/>
      <c r="E489" s="2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  <c r="AA489" s="3"/>
      <c r="AB489" s="3"/>
      <c r="AC489" s="3"/>
    </row>
    <row r="490" ht="15.75" customHeight="1">
      <c r="A490" s="8"/>
      <c r="B490" s="8"/>
      <c r="C490" s="8"/>
      <c r="D490" s="8"/>
      <c r="E490" s="2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  <c r="AA490" s="3"/>
      <c r="AB490" s="3"/>
      <c r="AC490" s="3"/>
    </row>
    <row r="491" ht="15.75" customHeight="1">
      <c r="A491" s="8"/>
      <c r="B491" s="8"/>
      <c r="C491" s="8"/>
      <c r="D491" s="8"/>
      <c r="E491" s="2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  <c r="AA491" s="3"/>
      <c r="AB491" s="3"/>
      <c r="AC491" s="3"/>
    </row>
    <row r="492" ht="15.75" customHeight="1">
      <c r="A492" s="8"/>
      <c r="B492" s="8"/>
      <c r="C492" s="8"/>
      <c r="D492" s="8"/>
      <c r="E492" s="2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  <c r="AA492" s="3"/>
      <c r="AB492" s="3"/>
      <c r="AC492" s="3"/>
    </row>
    <row r="493" ht="15.75" customHeight="1">
      <c r="A493" s="8"/>
      <c r="B493" s="8"/>
      <c r="C493" s="8"/>
      <c r="D493" s="8"/>
      <c r="E493" s="2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  <c r="AA493" s="3"/>
      <c r="AB493" s="3"/>
      <c r="AC493" s="3"/>
    </row>
    <row r="494" ht="15.75" customHeight="1">
      <c r="A494" s="8"/>
      <c r="B494" s="8"/>
      <c r="C494" s="8"/>
      <c r="D494" s="8"/>
      <c r="E494" s="2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  <c r="AA494" s="3"/>
      <c r="AB494" s="3"/>
      <c r="AC494" s="3"/>
    </row>
    <row r="495" ht="15.75" customHeight="1">
      <c r="A495" s="8"/>
      <c r="B495" s="8"/>
      <c r="C495" s="8"/>
      <c r="D495" s="8"/>
      <c r="E495" s="2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  <c r="AA495" s="3"/>
      <c r="AB495" s="3"/>
      <c r="AC495" s="3"/>
    </row>
    <row r="496" ht="15.75" customHeight="1">
      <c r="A496" s="8"/>
      <c r="B496" s="8"/>
      <c r="C496" s="8"/>
      <c r="D496" s="8"/>
      <c r="E496" s="2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  <c r="AA496" s="3"/>
      <c r="AB496" s="3"/>
      <c r="AC496" s="3"/>
    </row>
    <row r="497" ht="15.75" customHeight="1">
      <c r="A497" s="8"/>
      <c r="B497" s="8"/>
      <c r="C497" s="8"/>
      <c r="D497" s="8"/>
      <c r="E497" s="2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  <c r="AA497" s="3"/>
      <c r="AB497" s="3"/>
      <c r="AC497" s="3"/>
    </row>
    <row r="498" ht="15.75" customHeight="1">
      <c r="A498" s="8"/>
      <c r="B498" s="8"/>
      <c r="C498" s="8"/>
      <c r="D498" s="8"/>
      <c r="E498" s="2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  <c r="AA498" s="3"/>
      <c r="AB498" s="3"/>
      <c r="AC498" s="3"/>
    </row>
    <row r="499" ht="15.75" customHeight="1">
      <c r="A499" s="8"/>
      <c r="B499" s="8"/>
      <c r="C499" s="8"/>
      <c r="D499" s="8"/>
      <c r="E499" s="2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  <c r="AA499" s="3"/>
      <c r="AB499" s="3"/>
      <c r="AC499" s="3"/>
    </row>
    <row r="500" ht="15.75" customHeight="1">
      <c r="A500" s="8"/>
      <c r="B500" s="8"/>
      <c r="C500" s="8"/>
      <c r="D500" s="8"/>
      <c r="E500" s="2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  <c r="AA500" s="3"/>
      <c r="AB500" s="3"/>
      <c r="AC500" s="3"/>
    </row>
    <row r="501" ht="15.75" customHeight="1">
      <c r="A501" s="8"/>
      <c r="B501" s="8"/>
      <c r="C501" s="8"/>
      <c r="D501" s="8"/>
      <c r="E501" s="2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  <c r="AA501" s="3"/>
      <c r="AB501" s="3"/>
      <c r="AC501" s="3"/>
    </row>
    <row r="502" ht="15.75" customHeight="1">
      <c r="A502" s="8"/>
      <c r="B502" s="8"/>
      <c r="C502" s="8"/>
      <c r="D502" s="8"/>
      <c r="E502" s="2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  <c r="AA502" s="3"/>
      <c r="AB502" s="3"/>
      <c r="AC502" s="3"/>
    </row>
    <row r="503" ht="15.75" customHeight="1">
      <c r="A503" s="8"/>
      <c r="B503" s="8"/>
      <c r="C503" s="8"/>
      <c r="D503" s="8"/>
      <c r="E503" s="2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  <c r="AA503" s="3"/>
      <c r="AB503" s="3"/>
      <c r="AC503" s="3"/>
    </row>
    <row r="504" ht="15.75" customHeight="1">
      <c r="A504" s="8"/>
      <c r="B504" s="8"/>
      <c r="C504" s="8"/>
      <c r="D504" s="8"/>
      <c r="E504" s="2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  <c r="AA504" s="3"/>
      <c r="AB504" s="3"/>
      <c r="AC504" s="3"/>
    </row>
    <row r="505" ht="15.75" customHeight="1">
      <c r="A505" s="8"/>
      <c r="B505" s="8"/>
      <c r="C505" s="8"/>
      <c r="D505" s="8"/>
      <c r="E505" s="2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  <c r="AA505" s="3"/>
      <c r="AB505" s="3"/>
      <c r="AC505" s="3"/>
    </row>
    <row r="506" ht="15.75" customHeight="1">
      <c r="A506" s="8"/>
      <c r="B506" s="8"/>
      <c r="C506" s="8"/>
      <c r="D506" s="8"/>
      <c r="E506" s="2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  <c r="AA506" s="3"/>
      <c r="AB506" s="3"/>
      <c r="AC506" s="3"/>
    </row>
    <row r="507" ht="15.75" customHeight="1">
      <c r="A507" s="8"/>
      <c r="B507" s="8"/>
      <c r="C507" s="8"/>
      <c r="D507" s="8"/>
      <c r="E507" s="2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  <c r="AA507" s="3"/>
      <c r="AB507" s="3"/>
      <c r="AC507" s="3"/>
    </row>
    <row r="508" ht="15.75" customHeight="1">
      <c r="A508" s="8"/>
      <c r="B508" s="8"/>
      <c r="C508" s="8"/>
      <c r="D508" s="8"/>
      <c r="E508" s="2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  <c r="AA508" s="3"/>
      <c r="AB508" s="3"/>
      <c r="AC508" s="3"/>
    </row>
    <row r="509" ht="15.75" customHeight="1">
      <c r="A509" s="8"/>
      <c r="B509" s="8"/>
      <c r="C509" s="8"/>
      <c r="D509" s="8"/>
      <c r="E509" s="2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  <c r="AA509" s="3"/>
      <c r="AB509" s="3"/>
      <c r="AC509" s="3"/>
    </row>
    <row r="510" ht="15.75" customHeight="1">
      <c r="A510" s="8"/>
      <c r="B510" s="8"/>
      <c r="C510" s="8"/>
      <c r="D510" s="8"/>
      <c r="E510" s="2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  <c r="AA510" s="3"/>
      <c r="AB510" s="3"/>
      <c r="AC510" s="3"/>
    </row>
    <row r="511" ht="15.75" customHeight="1">
      <c r="A511" s="8"/>
      <c r="B511" s="8"/>
      <c r="C511" s="8"/>
      <c r="D511" s="8"/>
      <c r="E511" s="2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  <c r="AA511" s="3"/>
      <c r="AB511" s="3"/>
      <c r="AC511" s="3"/>
    </row>
    <row r="512" ht="15.75" customHeight="1">
      <c r="A512" s="8"/>
      <c r="B512" s="8"/>
      <c r="C512" s="8"/>
      <c r="D512" s="8"/>
      <c r="E512" s="2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  <c r="AA512" s="3"/>
      <c r="AB512" s="3"/>
      <c r="AC512" s="3"/>
    </row>
    <row r="513" ht="15.75" customHeight="1">
      <c r="A513" s="8"/>
      <c r="B513" s="8"/>
      <c r="C513" s="8"/>
      <c r="D513" s="8"/>
      <c r="E513" s="2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  <c r="AA513" s="3"/>
      <c r="AB513" s="3"/>
      <c r="AC513" s="3"/>
    </row>
    <row r="514" ht="15.75" customHeight="1">
      <c r="A514" s="8"/>
      <c r="B514" s="8"/>
      <c r="C514" s="8"/>
      <c r="D514" s="8"/>
      <c r="E514" s="2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  <c r="AA514" s="3"/>
      <c r="AB514" s="3"/>
      <c r="AC514" s="3"/>
    </row>
    <row r="515" ht="15.75" customHeight="1">
      <c r="A515" s="8"/>
      <c r="B515" s="8"/>
      <c r="C515" s="8"/>
      <c r="D515" s="8"/>
      <c r="E515" s="2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  <c r="AA515" s="3"/>
      <c r="AB515" s="3"/>
      <c r="AC515" s="3"/>
    </row>
    <row r="516" ht="15.75" customHeight="1">
      <c r="A516" s="8"/>
      <c r="B516" s="8"/>
      <c r="C516" s="8"/>
      <c r="D516" s="8"/>
      <c r="E516" s="2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  <c r="AA516" s="3"/>
      <c r="AB516" s="3"/>
      <c r="AC516" s="3"/>
    </row>
    <row r="517" ht="15.75" customHeight="1">
      <c r="A517" s="8"/>
      <c r="B517" s="8"/>
      <c r="C517" s="8"/>
      <c r="D517" s="8"/>
      <c r="E517" s="2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  <c r="AA517" s="3"/>
      <c r="AB517" s="3"/>
      <c r="AC517" s="3"/>
    </row>
    <row r="518" ht="15.75" customHeight="1">
      <c r="A518" s="8"/>
      <c r="B518" s="8"/>
      <c r="C518" s="8"/>
      <c r="D518" s="8"/>
      <c r="E518" s="2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  <c r="AA518" s="3"/>
      <c r="AB518" s="3"/>
      <c r="AC518" s="3"/>
    </row>
    <row r="519" ht="15.75" customHeight="1">
      <c r="A519" s="8"/>
      <c r="B519" s="8"/>
      <c r="C519" s="8"/>
      <c r="D519" s="8"/>
      <c r="E519" s="2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  <c r="AA519" s="3"/>
      <c r="AB519" s="3"/>
      <c r="AC519" s="3"/>
    </row>
    <row r="520" ht="15.75" customHeight="1">
      <c r="A520" s="8"/>
      <c r="B520" s="8"/>
      <c r="C520" s="8"/>
      <c r="D520" s="8"/>
      <c r="E520" s="2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  <c r="AA520" s="3"/>
      <c r="AB520" s="3"/>
      <c r="AC520" s="3"/>
    </row>
    <row r="521" ht="15.75" customHeight="1">
      <c r="A521" s="8"/>
      <c r="B521" s="8"/>
      <c r="C521" s="8"/>
      <c r="D521" s="8"/>
      <c r="E521" s="2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  <c r="AA521" s="3"/>
      <c r="AB521" s="3"/>
      <c r="AC521" s="3"/>
    </row>
    <row r="522" ht="15.75" customHeight="1">
      <c r="A522" s="8"/>
      <c r="B522" s="8"/>
      <c r="C522" s="8"/>
      <c r="D522" s="8"/>
      <c r="E522" s="2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  <c r="AA522" s="3"/>
      <c r="AB522" s="3"/>
      <c r="AC522" s="3"/>
    </row>
    <row r="523" ht="15.75" customHeight="1">
      <c r="A523" s="8"/>
      <c r="B523" s="8"/>
      <c r="C523" s="8"/>
      <c r="D523" s="8"/>
      <c r="E523" s="2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  <c r="AA523" s="3"/>
      <c r="AB523" s="3"/>
      <c r="AC523" s="3"/>
    </row>
    <row r="524" ht="15.75" customHeight="1">
      <c r="A524" s="8"/>
      <c r="B524" s="8"/>
      <c r="C524" s="8"/>
      <c r="D524" s="8"/>
      <c r="E524" s="2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  <c r="AA524" s="3"/>
      <c r="AB524" s="3"/>
      <c r="AC524" s="3"/>
    </row>
    <row r="525" ht="15.75" customHeight="1">
      <c r="A525" s="8"/>
      <c r="B525" s="8"/>
      <c r="C525" s="8"/>
      <c r="D525" s="8"/>
      <c r="E525" s="2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  <c r="AA525" s="3"/>
      <c r="AB525" s="3"/>
      <c r="AC525" s="3"/>
    </row>
    <row r="526" ht="15.75" customHeight="1">
      <c r="A526" s="8"/>
      <c r="B526" s="8"/>
      <c r="C526" s="8"/>
      <c r="D526" s="8"/>
      <c r="E526" s="2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  <c r="AA526" s="3"/>
      <c r="AB526" s="3"/>
      <c r="AC526" s="3"/>
    </row>
    <row r="527" ht="15.75" customHeight="1">
      <c r="A527" s="8"/>
      <c r="B527" s="8"/>
      <c r="C527" s="8"/>
      <c r="D527" s="8"/>
      <c r="E527" s="2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  <c r="AA527" s="3"/>
      <c r="AB527" s="3"/>
      <c r="AC527" s="3"/>
    </row>
    <row r="528" ht="15.75" customHeight="1">
      <c r="A528" s="8"/>
      <c r="B528" s="8"/>
      <c r="C528" s="8"/>
      <c r="D528" s="8"/>
      <c r="E528" s="2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  <c r="AA528" s="3"/>
      <c r="AB528" s="3"/>
      <c r="AC528" s="3"/>
    </row>
    <row r="529" ht="15.75" customHeight="1">
      <c r="A529" s="8"/>
      <c r="B529" s="8"/>
      <c r="C529" s="8"/>
      <c r="D529" s="8"/>
      <c r="E529" s="2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  <c r="AA529" s="3"/>
      <c r="AB529" s="3"/>
      <c r="AC529" s="3"/>
    </row>
    <row r="530" ht="15.75" customHeight="1">
      <c r="A530" s="8"/>
      <c r="B530" s="8"/>
      <c r="C530" s="8"/>
      <c r="D530" s="8"/>
      <c r="E530" s="2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  <c r="AA530" s="3"/>
      <c r="AB530" s="3"/>
      <c r="AC530" s="3"/>
    </row>
    <row r="531" ht="15.75" customHeight="1">
      <c r="A531" s="8"/>
      <c r="B531" s="8"/>
      <c r="C531" s="8"/>
      <c r="D531" s="8"/>
      <c r="E531" s="2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  <c r="AA531" s="3"/>
      <c r="AB531" s="3"/>
      <c r="AC531" s="3"/>
    </row>
    <row r="532" ht="15.75" customHeight="1">
      <c r="A532" s="8"/>
      <c r="B532" s="8"/>
      <c r="C532" s="8"/>
      <c r="D532" s="8"/>
      <c r="E532" s="2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  <c r="AA532" s="3"/>
      <c r="AB532" s="3"/>
      <c r="AC532" s="3"/>
    </row>
    <row r="533" ht="15.75" customHeight="1">
      <c r="A533" s="8"/>
      <c r="B533" s="8"/>
      <c r="C533" s="8"/>
      <c r="D533" s="8"/>
      <c r="E533" s="2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  <c r="AA533" s="3"/>
      <c r="AB533" s="3"/>
      <c r="AC533" s="3"/>
    </row>
    <row r="534" ht="15.75" customHeight="1">
      <c r="A534" s="8"/>
      <c r="B534" s="8"/>
      <c r="C534" s="8"/>
      <c r="D534" s="8"/>
      <c r="E534" s="2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  <c r="AA534" s="3"/>
      <c r="AB534" s="3"/>
      <c r="AC534" s="3"/>
    </row>
    <row r="535" ht="15.75" customHeight="1">
      <c r="A535" s="8"/>
      <c r="B535" s="8"/>
      <c r="C535" s="8"/>
      <c r="D535" s="8"/>
      <c r="E535" s="2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  <c r="AA535" s="3"/>
      <c r="AB535" s="3"/>
      <c r="AC535" s="3"/>
    </row>
    <row r="536" ht="15.75" customHeight="1">
      <c r="A536" s="8"/>
      <c r="B536" s="8"/>
      <c r="C536" s="8"/>
      <c r="D536" s="8"/>
      <c r="E536" s="2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  <c r="AA536" s="3"/>
      <c r="AB536" s="3"/>
      <c r="AC536" s="3"/>
    </row>
    <row r="537" ht="15.75" customHeight="1">
      <c r="A537" s="8"/>
      <c r="B537" s="8"/>
      <c r="C537" s="8"/>
      <c r="D537" s="8"/>
      <c r="E537" s="2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  <c r="AA537" s="3"/>
      <c r="AB537" s="3"/>
      <c r="AC537" s="3"/>
    </row>
    <row r="538" ht="15.75" customHeight="1">
      <c r="A538" s="8"/>
      <c r="B538" s="8"/>
      <c r="C538" s="8"/>
      <c r="D538" s="8"/>
      <c r="E538" s="2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  <c r="AA538" s="3"/>
      <c r="AB538" s="3"/>
      <c r="AC538" s="3"/>
    </row>
    <row r="539" ht="15.75" customHeight="1">
      <c r="A539" s="8"/>
      <c r="B539" s="8"/>
      <c r="C539" s="8"/>
      <c r="D539" s="8"/>
      <c r="E539" s="2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  <c r="AA539" s="3"/>
      <c r="AB539" s="3"/>
      <c r="AC539" s="3"/>
    </row>
    <row r="540" ht="15.75" customHeight="1">
      <c r="A540" s="8"/>
      <c r="B540" s="8"/>
      <c r="C540" s="8"/>
      <c r="D540" s="8"/>
      <c r="E540" s="2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  <c r="AA540" s="3"/>
      <c r="AB540" s="3"/>
      <c r="AC540" s="3"/>
    </row>
    <row r="541" ht="15.75" customHeight="1">
      <c r="A541" s="8"/>
      <c r="B541" s="8"/>
      <c r="C541" s="8"/>
      <c r="D541" s="8"/>
      <c r="E541" s="2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  <c r="AA541" s="3"/>
      <c r="AB541" s="3"/>
      <c r="AC541" s="3"/>
    </row>
    <row r="542" ht="15.75" customHeight="1">
      <c r="A542" s="8"/>
      <c r="B542" s="8"/>
      <c r="C542" s="8"/>
      <c r="D542" s="8"/>
      <c r="E542" s="2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  <c r="AA542" s="3"/>
      <c r="AB542" s="3"/>
      <c r="AC542" s="3"/>
    </row>
    <row r="543" ht="15.75" customHeight="1">
      <c r="A543" s="8"/>
      <c r="B543" s="8"/>
      <c r="C543" s="8"/>
      <c r="D543" s="8"/>
      <c r="E543" s="2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  <c r="AA543" s="3"/>
      <c r="AB543" s="3"/>
      <c r="AC543" s="3"/>
    </row>
    <row r="544" ht="15.75" customHeight="1">
      <c r="A544" s="8"/>
      <c r="B544" s="8"/>
      <c r="C544" s="8"/>
      <c r="D544" s="8"/>
      <c r="E544" s="2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  <c r="AA544" s="3"/>
      <c r="AB544" s="3"/>
      <c r="AC544" s="3"/>
    </row>
    <row r="545" ht="15.75" customHeight="1">
      <c r="A545" s="8"/>
      <c r="B545" s="8"/>
      <c r="C545" s="8"/>
      <c r="D545" s="8"/>
      <c r="E545" s="2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  <c r="AA545" s="3"/>
      <c r="AB545" s="3"/>
      <c r="AC545" s="3"/>
    </row>
    <row r="546" ht="15.75" customHeight="1">
      <c r="A546" s="8"/>
      <c r="B546" s="8"/>
      <c r="C546" s="8"/>
      <c r="D546" s="8"/>
      <c r="E546" s="2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  <c r="AA546" s="3"/>
      <c r="AB546" s="3"/>
      <c r="AC546" s="3"/>
    </row>
    <row r="547" ht="15.75" customHeight="1">
      <c r="A547" s="8"/>
      <c r="B547" s="8"/>
      <c r="C547" s="8"/>
      <c r="D547" s="8"/>
      <c r="E547" s="2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  <c r="AA547" s="3"/>
      <c r="AB547" s="3"/>
      <c r="AC547" s="3"/>
    </row>
    <row r="548" ht="15.75" customHeight="1">
      <c r="A548" s="8"/>
      <c r="B548" s="8"/>
      <c r="C548" s="8"/>
      <c r="D548" s="8"/>
      <c r="E548" s="2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  <c r="AA548" s="3"/>
      <c r="AB548" s="3"/>
      <c r="AC548" s="3"/>
    </row>
    <row r="549" ht="15.75" customHeight="1">
      <c r="A549" s="8"/>
      <c r="B549" s="8"/>
      <c r="C549" s="8"/>
      <c r="D549" s="8"/>
      <c r="E549" s="2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  <c r="AA549" s="3"/>
      <c r="AB549" s="3"/>
      <c r="AC549" s="3"/>
    </row>
    <row r="550" ht="15.75" customHeight="1">
      <c r="A550" s="8"/>
      <c r="B550" s="8"/>
      <c r="C550" s="8"/>
      <c r="D550" s="8"/>
      <c r="E550" s="2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  <c r="AA550" s="3"/>
      <c r="AB550" s="3"/>
      <c r="AC550" s="3"/>
    </row>
    <row r="551" ht="15.75" customHeight="1">
      <c r="A551" s="8"/>
      <c r="B551" s="8"/>
      <c r="C551" s="8"/>
      <c r="D551" s="8"/>
      <c r="E551" s="2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  <c r="AA551" s="3"/>
      <c r="AB551" s="3"/>
      <c r="AC551" s="3"/>
    </row>
    <row r="552" ht="15.75" customHeight="1">
      <c r="A552" s="8"/>
      <c r="B552" s="8"/>
      <c r="C552" s="8"/>
      <c r="D552" s="8"/>
      <c r="E552" s="2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  <c r="AA552" s="3"/>
      <c r="AB552" s="3"/>
      <c r="AC552" s="3"/>
    </row>
    <row r="553" ht="15.75" customHeight="1">
      <c r="A553" s="8"/>
      <c r="B553" s="8"/>
      <c r="C553" s="8"/>
      <c r="D553" s="8"/>
      <c r="E553" s="2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  <c r="AA553" s="3"/>
      <c r="AB553" s="3"/>
      <c r="AC553" s="3"/>
    </row>
    <row r="554" ht="15.75" customHeight="1">
      <c r="A554" s="8"/>
      <c r="B554" s="8"/>
      <c r="C554" s="8"/>
      <c r="D554" s="8"/>
      <c r="E554" s="2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  <c r="AA554" s="3"/>
      <c r="AB554" s="3"/>
      <c r="AC554" s="3"/>
    </row>
    <row r="555" ht="15.75" customHeight="1">
      <c r="A555" s="8"/>
      <c r="B555" s="8"/>
      <c r="C555" s="8"/>
      <c r="D555" s="8"/>
      <c r="E555" s="2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  <c r="AA555" s="3"/>
      <c r="AB555" s="3"/>
      <c r="AC555" s="3"/>
    </row>
    <row r="556" ht="15.75" customHeight="1">
      <c r="A556" s="8"/>
      <c r="B556" s="8"/>
      <c r="C556" s="8"/>
      <c r="D556" s="8"/>
      <c r="E556" s="2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  <c r="AA556" s="3"/>
      <c r="AB556" s="3"/>
      <c r="AC556" s="3"/>
    </row>
    <row r="557" ht="15.75" customHeight="1">
      <c r="A557" s="8"/>
      <c r="B557" s="8"/>
      <c r="C557" s="8"/>
      <c r="D557" s="8"/>
      <c r="E557" s="2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  <c r="AA557" s="3"/>
      <c r="AB557" s="3"/>
      <c r="AC557" s="3"/>
    </row>
    <row r="558" ht="15.75" customHeight="1">
      <c r="A558" s="8"/>
      <c r="B558" s="8"/>
      <c r="C558" s="8"/>
      <c r="D558" s="8"/>
      <c r="E558" s="2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  <c r="AA558" s="3"/>
      <c r="AB558" s="3"/>
      <c r="AC558" s="3"/>
    </row>
    <row r="559" ht="15.75" customHeight="1">
      <c r="A559" s="8"/>
      <c r="B559" s="8"/>
      <c r="C559" s="8"/>
      <c r="D559" s="8"/>
      <c r="E559" s="2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  <c r="AA559" s="3"/>
      <c r="AB559" s="3"/>
      <c r="AC559" s="3"/>
    </row>
    <row r="560" ht="15.75" customHeight="1">
      <c r="A560" s="8"/>
      <c r="B560" s="8"/>
      <c r="C560" s="8"/>
      <c r="D560" s="8"/>
      <c r="E560" s="2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  <c r="AA560" s="3"/>
      <c r="AB560" s="3"/>
      <c r="AC560" s="3"/>
    </row>
    <row r="561" ht="15.75" customHeight="1">
      <c r="A561" s="8"/>
      <c r="B561" s="8"/>
      <c r="C561" s="8"/>
      <c r="D561" s="8"/>
      <c r="E561" s="2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  <c r="AA561" s="3"/>
      <c r="AB561" s="3"/>
      <c r="AC561" s="3"/>
    </row>
    <row r="562" ht="15.75" customHeight="1">
      <c r="A562" s="8"/>
      <c r="B562" s="8"/>
      <c r="C562" s="8"/>
      <c r="D562" s="8"/>
      <c r="E562" s="2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  <c r="AA562" s="3"/>
      <c r="AB562" s="3"/>
      <c r="AC562" s="3"/>
    </row>
    <row r="563" ht="15.75" customHeight="1">
      <c r="A563" s="8"/>
      <c r="B563" s="8"/>
      <c r="C563" s="8"/>
      <c r="D563" s="8"/>
      <c r="E563" s="2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  <c r="AA563" s="3"/>
      <c r="AB563" s="3"/>
      <c r="AC563" s="3"/>
    </row>
    <row r="564" ht="15.75" customHeight="1">
      <c r="A564" s="8"/>
      <c r="B564" s="8"/>
      <c r="C564" s="8"/>
      <c r="D564" s="8"/>
      <c r="E564" s="2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  <c r="AA564" s="3"/>
      <c r="AB564" s="3"/>
      <c r="AC564" s="3"/>
    </row>
    <row r="565" ht="15.75" customHeight="1">
      <c r="A565" s="8"/>
      <c r="B565" s="8"/>
      <c r="C565" s="8"/>
      <c r="D565" s="8"/>
      <c r="E565" s="2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  <c r="AA565" s="3"/>
      <c r="AB565" s="3"/>
      <c r="AC565" s="3"/>
    </row>
    <row r="566" ht="15.75" customHeight="1">
      <c r="A566" s="8"/>
      <c r="B566" s="8"/>
      <c r="C566" s="8"/>
      <c r="D566" s="8"/>
      <c r="E566" s="2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  <c r="AA566" s="3"/>
      <c r="AB566" s="3"/>
      <c r="AC566" s="3"/>
    </row>
    <row r="567" ht="15.75" customHeight="1">
      <c r="A567" s="8"/>
      <c r="B567" s="8"/>
      <c r="C567" s="8"/>
      <c r="D567" s="8"/>
      <c r="E567" s="2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  <c r="AA567" s="3"/>
      <c r="AB567" s="3"/>
      <c r="AC567" s="3"/>
    </row>
    <row r="568" ht="15.75" customHeight="1">
      <c r="A568" s="8"/>
      <c r="B568" s="8"/>
      <c r="C568" s="8"/>
      <c r="D568" s="8"/>
      <c r="E568" s="2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  <c r="AA568" s="3"/>
      <c r="AB568" s="3"/>
      <c r="AC568" s="3"/>
    </row>
    <row r="569" ht="15.75" customHeight="1">
      <c r="A569" s="8"/>
      <c r="B569" s="8"/>
      <c r="C569" s="8"/>
      <c r="D569" s="8"/>
      <c r="E569" s="2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  <c r="AA569" s="3"/>
      <c r="AB569" s="3"/>
      <c r="AC569" s="3"/>
    </row>
    <row r="570" ht="15.75" customHeight="1">
      <c r="A570" s="8"/>
      <c r="B570" s="8"/>
      <c r="C570" s="8"/>
      <c r="D570" s="8"/>
      <c r="E570" s="2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  <c r="AA570" s="3"/>
      <c r="AB570" s="3"/>
      <c r="AC570" s="3"/>
    </row>
    <row r="571" ht="15.75" customHeight="1">
      <c r="A571" s="8"/>
      <c r="B571" s="8"/>
      <c r="C571" s="8"/>
      <c r="D571" s="8"/>
      <c r="E571" s="2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  <c r="AA571" s="3"/>
      <c r="AB571" s="3"/>
      <c r="AC571" s="3"/>
    </row>
    <row r="572" ht="15.75" customHeight="1">
      <c r="A572" s="8"/>
      <c r="B572" s="8"/>
      <c r="C572" s="8"/>
      <c r="D572" s="8"/>
      <c r="E572" s="2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  <c r="AA572" s="3"/>
      <c r="AB572" s="3"/>
      <c r="AC572" s="3"/>
    </row>
    <row r="573" ht="15.75" customHeight="1">
      <c r="A573" s="8"/>
      <c r="B573" s="8"/>
      <c r="C573" s="8"/>
      <c r="D573" s="8"/>
      <c r="E573" s="2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  <c r="AA573" s="3"/>
      <c r="AB573" s="3"/>
      <c r="AC573" s="3"/>
    </row>
    <row r="574" ht="15.75" customHeight="1">
      <c r="A574" s="8"/>
      <c r="B574" s="8"/>
      <c r="C574" s="8"/>
      <c r="D574" s="8"/>
      <c r="E574" s="2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  <c r="AA574" s="3"/>
      <c r="AB574" s="3"/>
      <c r="AC574" s="3"/>
    </row>
    <row r="575" ht="15.75" customHeight="1">
      <c r="A575" s="8"/>
      <c r="B575" s="8"/>
      <c r="C575" s="8"/>
      <c r="D575" s="8"/>
      <c r="E575" s="2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  <c r="AA575" s="3"/>
      <c r="AB575" s="3"/>
      <c r="AC575" s="3"/>
    </row>
    <row r="576" ht="15.75" customHeight="1">
      <c r="A576" s="8"/>
      <c r="B576" s="8"/>
      <c r="C576" s="8"/>
      <c r="D576" s="8"/>
      <c r="E576" s="2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  <c r="AA576" s="3"/>
      <c r="AB576" s="3"/>
      <c r="AC576" s="3"/>
    </row>
    <row r="577" ht="15.75" customHeight="1">
      <c r="A577" s="8"/>
      <c r="B577" s="8"/>
      <c r="C577" s="8"/>
      <c r="D577" s="8"/>
      <c r="E577" s="2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  <c r="AA577" s="3"/>
      <c r="AB577" s="3"/>
      <c r="AC577" s="3"/>
    </row>
    <row r="578" ht="15.75" customHeight="1">
      <c r="A578" s="8"/>
      <c r="B578" s="8"/>
      <c r="C578" s="8"/>
      <c r="D578" s="8"/>
      <c r="E578" s="2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  <c r="AA578" s="3"/>
      <c r="AB578" s="3"/>
      <c r="AC578" s="3"/>
    </row>
    <row r="579" ht="15.75" customHeight="1">
      <c r="A579" s="8"/>
      <c r="B579" s="8"/>
      <c r="C579" s="8"/>
      <c r="D579" s="8"/>
      <c r="E579" s="2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  <c r="AA579" s="3"/>
      <c r="AB579" s="3"/>
      <c r="AC579" s="3"/>
    </row>
    <row r="580" ht="15.75" customHeight="1">
      <c r="A580" s="8"/>
      <c r="B580" s="8"/>
      <c r="C580" s="8"/>
      <c r="D580" s="8"/>
      <c r="E580" s="2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  <c r="AA580" s="3"/>
      <c r="AB580" s="3"/>
      <c r="AC580" s="3"/>
    </row>
    <row r="581" ht="15.75" customHeight="1">
      <c r="A581" s="8"/>
      <c r="B581" s="8"/>
      <c r="C581" s="8"/>
      <c r="D581" s="8"/>
      <c r="E581" s="2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  <c r="AA581" s="3"/>
      <c r="AB581" s="3"/>
      <c r="AC581" s="3"/>
    </row>
    <row r="582" ht="15.75" customHeight="1">
      <c r="A582" s="8"/>
      <c r="B582" s="8"/>
      <c r="C582" s="8"/>
      <c r="D582" s="8"/>
      <c r="E582" s="2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  <c r="AA582" s="3"/>
      <c r="AB582" s="3"/>
      <c r="AC582" s="3"/>
    </row>
    <row r="583" ht="15.75" customHeight="1">
      <c r="A583" s="8"/>
      <c r="B583" s="8"/>
      <c r="C583" s="8"/>
      <c r="D583" s="8"/>
      <c r="E583" s="2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  <c r="AA583" s="3"/>
      <c r="AB583" s="3"/>
      <c r="AC583" s="3"/>
    </row>
    <row r="584" ht="15.75" customHeight="1">
      <c r="A584" s="8"/>
      <c r="B584" s="8"/>
      <c r="C584" s="8"/>
      <c r="D584" s="8"/>
      <c r="E584" s="2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  <c r="AA584" s="3"/>
      <c r="AB584" s="3"/>
      <c r="AC584" s="3"/>
    </row>
    <row r="585" ht="15.75" customHeight="1">
      <c r="A585" s="8"/>
      <c r="B585" s="8"/>
      <c r="C585" s="8"/>
      <c r="D585" s="8"/>
      <c r="E585" s="2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  <c r="AA585" s="3"/>
      <c r="AB585" s="3"/>
      <c r="AC585" s="3"/>
    </row>
    <row r="586" ht="15.75" customHeight="1">
      <c r="A586" s="8"/>
      <c r="B586" s="8"/>
      <c r="C586" s="8"/>
      <c r="D586" s="8"/>
      <c r="E586" s="2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  <c r="AA586" s="3"/>
      <c r="AB586" s="3"/>
      <c r="AC586" s="3"/>
    </row>
    <row r="587" ht="15.75" customHeight="1">
      <c r="A587" s="8"/>
      <c r="B587" s="8"/>
      <c r="C587" s="8"/>
      <c r="D587" s="8"/>
      <c r="E587" s="2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  <c r="AA587" s="3"/>
      <c r="AB587" s="3"/>
      <c r="AC587" s="3"/>
    </row>
    <row r="588" ht="15.75" customHeight="1">
      <c r="A588" s="8"/>
      <c r="B588" s="8"/>
      <c r="C588" s="8"/>
      <c r="D588" s="8"/>
      <c r="E588" s="2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  <c r="AA588" s="3"/>
      <c r="AB588" s="3"/>
      <c r="AC588" s="3"/>
    </row>
    <row r="589" ht="15.75" customHeight="1">
      <c r="A589" s="8"/>
      <c r="B589" s="8"/>
      <c r="C589" s="8"/>
      <c r="D589" s="8"/>
      <c r="E589" s="2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  <c r="AA589" s="3"/>
      <c r="AB589" s="3"/>
      <c r="AC589" s="3"/>
    </row>
    <row r="590" ht="15.75" customHeight="1">
      <c r="A590" s="8"/>
      <c r="B590" s="8"/>
      <c r="C590" s="8"/>
      <c r="D590" s="8"/>
      <c r="E590" s="2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  <c r="AA590" s="3"/>
      <c r="AB590" s="3"/>
      <c r="AC590" s="3"/>
    </row>
    <row r="591" ht="15.75" customHeight="1">
      <c r="A591" s="8"/>
      <c r="B591" s="8"/>
      <c r="C591" s="8"/>
      <c r="D591" s="8"/>
      <c r="E591" s="2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  <c r="AA591" s="3"/>
      <c r="AB591" s="3"/>
      <c r="AC591" s="3"/>
    </row>
    <row r="592" ht="15.75" customHeight="1">
      <c r="A592" s="8"/>
      <c r="B592" s="8"/>
      <c r="C592" s="8"/>
      <c r="D592" s="8"/>
      <c r="E592" s="2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  <c r="AA592" s="3"/>
      <c r="AB592" s="3"/>
      <c r="AC592" s="3"/>
    </row>
    <row r="593" ht="15.75" customHeight="1">
      <c r="A593" s="8"/>
      <c r="B593" s="8"/>
      <c r="C593" s="8"/>
      <c r="D593" s="8"/>
      <c r="E593" s="2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  <c r="AA593" s="3"/>
      <c r="AB593" s="3"/>
      <c r="AC593" s="3"/>
    </row>
    <row r="594" ht="15.75" customHeight="1">
      <c r="A594" s="8"/>
      <c r="B594" s="8"/>
      <c r="C594" s="8"/>
      <c r="D594" s="8"/>
      <c r="E594" s="2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  <c r="AA594" s="3"/>
      <c r="AB594" s="3"/>
      <c r="AC594" s="3"/>
    </row>
    <row r="595" ht="15.75" customHeight="1">
      <c r="A595" s="8"/>
      <c r="B595" s="8"/>
      <c r="C595" s="8"/>
      <c r="D595" s="8"/>
      <c r="E595" s="2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  <c r="AA595" s="3"/>
      <c r="AB595" s="3"/>
      <c r="AC595" s="3"/>
    </row>
    <row r="596" ht="15.75" customHeight="1">
      <c r="A596" s="8"/>
      <c r="B596" s="8"/>
      <c r="C596" s="8"/>
      <c r="D596" s="8"/>
      <c r="E596" s="2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  <c r="AA596" s="3"/>
      <c r="AB596" s="3"/>
      <c r="AC596" s="3"/>
    </row>
    <row r="597" ht="15.75" customHeight="1">
      <c r="A597" s="8"/>
      <c r="B597" s="8"/>
      <c r="C597" s="8"/>
      <c r="D597" s="8"/>
      <c r="E597" s="2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  <c r="AA597" s="3"/>
      <c r="AB597" s="3"/>
      <c r="AC597" s="3"/>
    </row>
    <row r="598" ht="15.75" customHeight="1">
      <c r="A598" s="8"/>
      <c r="B598" s="8"/>
      <c r="C598" s="8"/>
      <c r="D598" s="8"/>
      <c r="E598" s="2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  <c r="AA598" s="3"/>
      <c r="AB598" s="3"/>
      <c r="AC598" s="3"/>
    </row>
    <row r="599" ht="15.75" customHeight="1">
      <c r="A599" s="8"/>
      <c r="B599" s="8"/>
      <c r="C599" s="8"/>
      <c r="D599" s="8"/>
      <c r="E599" s="2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  <c r="AA599" s="3"/>
      <c r="AB599" s="3"/>
      <c r="AC599" s="3"/>
    </row>
    <row r="600" ht="15.75" customHeight="1">
      <c r="A600" s="8"/>
      <c r="B600" s="8"/>
      <c r="C600" s="8"/>
      <c r="D600" s="8"/>
      <c r="E600" s="2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  <c r="AA600" s="3"/>
      <c r="AB600" s="3"/>
      <c r="AC600" s="3"/>
    </row>
    <row r="601" ht="15.75" customHeight="1">
      <c r="A601" s="8"/>
      <c r="B601" s="8"/>
      <c r="C601" s="8"/>
      <c r="D601" s="8"/>
      <c r="E601" s="2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  <c r="AA601" s="3"/>
      <c r="AB601" s="3"/>
      <c r="AC601" s="3"/>
    </row>
    <row r="602" ht="15.75" customHeight="1">
      <c r="A602" s="8" t="s">
        <v>19</v>
      </c>
      <c r="B602" s="8" t="s">
        <v>283</v>
      </c>
      <c r="C602" s="8"/>
      <c r="D602" s="8"/>
      <c r="E602" s="2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  <c r="AA602" s="3"/>
      <c r="AB602" s="3"/>
      <c r="AC602" s="3"/>
    </row>
    <row r="603" ht="15.75" customHeight="1">
      <c r="A603" s="8" t="s">
        <v>36</v>
      </c>
      <c r="B603" s="8" t="s">
        <v>281</v>
      </c>
      <c r="C603" s="8"/>
      <c r="D603" s="8"/>
      <c r="E603" s="2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  <c r="AA603" s="3"/>
      <c r="AB603" s="3"/>
      <c r="AC603" s="3"/>
    </row>
    <row r="604" ht="15.75" customHeight="1">
      <c r="A604" s="8"/>
      <c r="B604" s="8" t="s">
        <v>147</v>
      </c>
      <c r="C604" s="8"/>
      <c r="D604" s="8"/>
      <c r="E604" s="2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  <c r="AA604" s="3"/>
      <c r="AB604" s="3"/>
      <c r="AC604" s="3"/>
    </row>
    <row r="605" ht="15.75" customHeight="1">
      <c r="A605" s="8"/>
      <c r="B605" s="8"/>
      <c r="C605" s="8"/>
      <c r="D605" s="8"/>
      <c r="E605" s="2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  <c r="AA605" s="3"/>
      <c r="AB605" s="3"/>
      <c r="AC605" s="3"/>
    </row>
    <row r="606" ht="15.75" customHeight="1">
      <c r="A606" s="8"/>
      <c r="B606" s="8"/>
      <c r="C606" s="8"/>
      <c r="D606" s="8"/>
      <c r="E606" s="2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  <c r="AA606" s="3"/>
      <c r="AB606" s="3"/>
      <c r="AC606" s="3"/>
    </row>
    <row r="607" ht="15.75" customHeight="1">
      <c r="A607" s="8"/>
      <c r="B607" s="8"/>
      <c r="C607" s="8"/>
      <c r="D607" s="8"/>
      <c r="E607" s="2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  <c r="AA607" s="3"/>
      <c r="AB607" s="3"/>
      <c r="AC607" s="3"/>
    </row>
    <row r="608" ht="15.75" customHeight="1">
      <c r="A608" s="8"/>
      <c r="B608" s="8"/>
      <c r="C608" s="8"/>
      <c r="D608" s="8"/>
      <c r="E608" s="2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  <c r="AA608" s="3"/>
      <c r="AB608" s="3"/>
      <c r="AC608" s="3"/>
    </row>
    <row r="609" ht="15.75" customHeight="1">
      <c r="A609" s="8"/>
      <c r="B609" s="8"/>
      <c r="C609" s="8"/>
      <c r="D609" s="8"/>
      <c r="E609" s="2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  <c r="AA609" s="3"/>
      <c r="AB609" s="3"/>
      <c r="AC609" s="3"/>
    </row>
    <row r="610" ht="15.75" customHeight="1">
      <c r="A610" s="8"/>
      <c r="B610" s="8"/>
      <c r="C610" s="8"/>
      <c r="D610" s="8"/>
      <c r="E610" s="2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  <c r="AA610" s="3"/>
      <c r="AB610" s="3"/>
      <c r="AC610" s="3"/>
    </row>
    <row r="611" ht="15.75" customHeight="1">
      <c r="A611" s="8"/>
      <c r="B611" s="8"/>
      <c r="C611" s="8"/>
      <c r="D611" s="8"/>
      <c r="E611" s="2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  <c r="AA611" s="3"/>
      <c r="AB611" s="3"/>
      <c r="AC611" s="3"/>
    </row>
    <row r="612" ht="15.75" customHeight="1">
      <c r="A612" s="8"/>
      <c r="B612" s="8"/>
      <c r="C612" s="8"/>
      <c r="D612" s="8"/>
      <c r="E612" s="2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  <c r="AA612" s="3"/>
      <c r="AB612" s="3"/>
      <c r="AC612" s="3"/>
    </row>
    <row r="613" ht="15.75" customHeight="1">
      <c r="A613" s="8"/>
      <c r="B613" s="8"/>
      <c r="C613" s="8"/>
      <c r="D613" s="8"/>
      <c r="E613" s="2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  <c r="AA613" s="3"/>
      <c r="AB613" s="3"/>
      <c r="AC613" s="3"/>
    </row>
    <row r="614" ht="15.75" customHeight="1">
      <c r="A614" s="8"/>
      <c r="B614" s="8"/>
      <c r="C614" s="8"/>
      <c r="D614" s="8"/>
      <c r="E614" s="2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  <c r="AA614" s="3"/>
      <c r="AB614" s="3"/>
      <c r="AC614" s="3"/>
    </row>
    <row r="615" ht="15.75" customHeight="1">
      <c r="A615" s="8"/>
      <c r="B615" s="8"/>
      <c r="C615" s="8"/>
      <c r="D615" s="8"/>
      <c r="E615" s="2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  <c r="AA615" s="3"/>
      <c r="AB615" s="3"/>
      <c r="AC615" s="3"/>
    </row>
    <row r="616" ht="15.75" customHeight="1">
      <c r="A616" s="8"/>
      <c r="B616" s="8"/>
      <c r="C616" s="8"/>
      <c r="D616" s="8"/>
      <c r="E616" s="2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  <c r="AA616" s="3"/>
      <c r="AB616" s="3"/>
      <c r="AC616" s="3"/>
    </row>
    <row r="617" ht="15.75" customHeight="1">
      <c r="A617" s="8"/>
      <c r="B617" s="8"/>
      <c r="C617" s="8"/>
      <c r="D617" s="8"/>
      <c r="E617" s="2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  <c r="AA617" s="3"/>
      <c r="AB617" s="3"/>
      <c r="AC617" s="3"/>
    </row>
    <row r="618" ht="15.75" customHeight="1">
      <c r="A618" s="8"/>
      <c r="B618" s="8"/>
      <c r="C618" s="8"/>
      <c r="D618" s="8"/>
      <c r="E618" s="2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  <c r="AA618" s="3"/>
      <c r="AB618" s="3"/>
      <c r="AC618" s="3"/>
    </row>
    <row r="619" ht="15.75" customHeight="1">
      <c r="A619" s="8"/>
      <c r="B619" s="8"/>
      <c r="C619" s="8"/>
      <c r="D619" s="8"/>
      <c r="E619" s="2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  <c r="AA619" s="3"/>
      <c r="AB619" s="3"/>
      <c r="AC619" s="3"/>
    </row>
    <row r="620" ht="15.75" customHeight="1">
      <c r="A620" s="8"/>
      <c r="B620" s="8"/>
      <c r="C620" s="8"/>
      <c r="D620" s="8"/>
      <c r="E620" s="2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  <c r="AA620" s="3"/>
      <c r="AB620" s="3"/>
      <c r="AC620" s="3"/>
    </row>
    <row r="621" ht="15.75" customHeight="1">
      <c r="A621" s="8"/>
      <c r="B621" s="8"/>
      <c r="C621" s="8"/>
      <c r="D621" s="8"/>
      <c r="E621" s="2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  <c r="AA621" s="3"/>
      <c r="AB621" s="3"/>
      <c r="AC621" s="3"/>
    </row>
    <row r="622" ht="15.75" customHeight="1">
      <c r="A622" s="8"/>
      <c r="B622" s="8"/>
      <c r="C622" s="8"/>
      <c r="D622" s="8"/>
      <c r="E622" s="2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  <c r="AA622" s="3"/>
      <c r="AB622" s="3"/>
      <c r="AC622" s="3"/>
    </row>
    <row r="623" ht="15.75" customHeight="1">
      <c r="A623" s="8"/>
      <c r="B623" s="8"/>
      <c r="C623" s="8"/>
      <c r="D623" s="8"/>
      <c r="E623" s="2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  <c r="AA623" s="3"/>
      <c r="AB623" s="3"/>
      <c r="AC623" s="3"/>
    </row>
    <row r="624" ht="15.75" customHeight="1">
      <c r="A624" s="8"/>
      <c r="B624" s="8"/>
      <c r="C624" s="8"/>
      <c r="D624" s="8"/>
      <c r="E624" s="2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  <c r="AA624" s="3"/>
      <c r="AB624" s="3"/>
      <c r="AC624" s="3"/>
    </row>
    <row r="625" ht="15.75" customHeight="1">
      <c r="A625" s="8"/>
      <c r="B625" s="8"/>
      <c r="C625" s="8"/>
      <c r="D625" s="8"/>
      <c r="E625" s="2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  <c r="AA625" s="3"/>
      <c r="AB625" s="3"/>
      <c r="AC625" s="3"/>
    </row>
    <row r="626" ht="15.75" customHeight="1">
      <c r="A626" s="8"/>
      <c r="B626" s="8"/>
      <c r="C626" s="8"/>
      <c r="D626" s="8"/>
      <c r="E626" s="2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  <c r="AA626" s="3"/>
      <c r="AB626" s="3"/>
      <c r="AC626" s="3"/>
    </row>
    <row r="627" ht="15.75" customHeight="1">
      <c r="A627" s="8"/>
      <c r="B627" s="8"/>
      <c r="C627" s="8"/>
      <c r="D627" s="8"/>
      <c r="E627" s="2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  <c r="AA627" s="3"/>
      <c r="AB627" s="3"/>
      <c r="AC627" s="3"/>
    </row>
    <row r="628" ht="15.75" customHeight="1">
      <c r="A628" s="8"/>
      <c r="B628" s="8"/>
      <c r="C628" s="8"/>
      <c r="D628" s="8"/>
      <c r="E628" s="2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  <c r="AA628" s="3"/>
      <c r="AB628" s="3"/>
      <c r="AC628" s="3"/>
    </row>
    <row r="629" ht="15.75" customHeight="1">
      <c r="A629" s="8"/>
      <c r="B629" s="8"/>
      <c r="C629" s="8"/>
      <c r="D629" s="8"/>
      <c r="E629" s="2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  <c r="AA629" s="3"/>
      <c r="AB629" s="3"/>
      <c r="AC629" s="3"/>
    </row>
    <row r="630" ht="15.75" customHeight="1">
      <c r="A630" s="8"/>
      <c r="B630" s="8"/>
      <c r="C630" s="8"/>
      <c r="D630" s="8"/>
      <c r="E630" s="2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  <c r="AA630" s="3"/>
      <c r="AB630" s="3"/>
      <c r="AC630" s="3"/>
    </row>
    <row r="631" ht="15.75" customHeight="1">
      <c r="A631" s="8"/>
      <c r="B631" s="8"/>
      <c r="C631" s="8"/>
      <c r="D631" s="8"/>
      <c r="E631" s="2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  <c r="AA631" s="3"/>
      <c r="AB631" s="3"/>
      <c r="AC631" s="3"/>
    </row>
    <row r="632" ht="15.75" customHeight="1">
      <c r="A632" s="8"/>
      <c r="B632" s="8"/>
      <c r="C632" s="8"/>
      <c r="D632" s="8"/>
      <c r="E632" s="2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  <c r="AA632" s="3"/>
      <c r="AB632" s="3"/>
      <c r="AC632" s="3"/>
    </row>
    <row r="633" ht="15.75" customHeight="1">
      <c r="A633" s="8"/>
      <c r="B633" s="8"/>
      <c r="C633" s="8"/>
      <c r="D633" s="8"/>
      <c r="E633" s="2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  <c r="AA633" s="3"/>
      <c r="AB633" s="3"/>
      <c r="AC633" s="3"/>
    </row>
    <row r="634" ht="15.75" customHeight="1">
      <c r="A634" s="8"/>
      <c r="B634" s="8"/>
      <c r="C634" s="8"/>
      <c r="D634" s="8"/>
      <c r="E634" s="2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  <c r="AA634" s="3"/>
      <c r="AB634" s="3"/>
      <c r="AC634" s="3"/>
    </row>
    <row r="635" ht="15.75" customHeight="1">
      <c r="A635" s="8"/>
      <c r="B635" s="8"/>
      <c r="C635" s="8"/>
      <c r="D635" s="8"/>
      <c r="E635" s="2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  <c r="AA635" s="3"/>
      <c r="AB635" s="3"/>
      <c r="AC635" s="3"/>
    </row>
    <row r="636" ht="15.75" customHeight="1">
      <c r="A636" s="8"/>
      <c r="B636" s="8"/>
      <c r="C636" s="8"/>
      <c r="D636" s="8"/>
      <c r="E636" s="2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  <c r="AA636" s="3"/>
      <c r="AB636" s="3"/>
      <c r="AC636" s="3"/>
    </row>
    <row r="637" ht="15.75" customHeight="1">
      <c r="A637" s="8"/>
      <c r="B637" s="8"/>
      <c r="C637" s="8"/>
      <c r="D637" s="8"/>
      <c r="E637" s="2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  <c r="AA637" s="3"/>
      <c r="AB637" s="3"/>
      <c r="AC637" s="3"/>
    </row>
    <row r="638" ht="15.75" customHeight="1">
      <c r="A638" s="8"/>
      <c r="B638" s="8"/>
      <c r="C638" s="8"/>
      <c r="D638" s="8"/>
      <c r="E638" s="2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  <c r="AA638" s="3"/>
      <c r="AB638" s="3"/>
      <c r="AC638" s="3"/>
    </row>
    <row r="639" ht="15.75" customHeight="1">
      <c r="A639" s="8"/>
      <c r="B639" s="8"/>
      <c r="C639" s="8"/>
      <c r="D639" s="8"/>
      <c r="E639" s="2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  <c r="AA639" s="3"/>
      <c r="AB639" s="3"/>
      <c r="AC639" s="3"/>
    </row>
    <row r="640" ht="15.75" customHeight="1">
      <c r="A640" s="8"/>
      <c r="B640" s="8"/>
      <c r="C640" s="8"/>
      <c r="D640" s="8"/>
      <c r="E640" s="2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  <c r="AA640" s="3"/>
      <c r="AB640" s="3"/>
      <c r="AC640" s="3"/>
    </row>
    <row r="641" ht="15.75" customHeight="1">
      <c r="A641" s="8"/>
      <c r="B641" s="8"/>
      <c r="C641" s="8"/>
      <c r="D641" s="8"/>
      <c r="E641" s="2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  <c r="AA641" s="3"/>
      <c r="AB641" s="3"/>
      <c r="AC641" s="3"/>
    </row>
    <row r="642" ht="15.75" customHeight="1">
      <c r="A642" s="8"/>
      <c r="B642" s="8"/>
      <c r="C642" s="8"/>
      <c r="D642" s="8"/>
      <c r="E642" s="2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  <c r="AA642" s="3"/>
      <c r="AB642" s="3"/>
      <c r="AC642" s="3"/>
    </row>
    <row r="643" ht="15.75" customHeight="1">
      <c r="A643" s="8"/>
      <c r="B643" s="8"/>
      <c r="C643" s="8"/>
      <c r="D643" s="8"/>
      <c r="E643" s="2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  <c r="AA643" s="3"/>
      <c r="AB643" s="3"/>
      <c r="AC643" s="3"/>
    </row>
    <row r="644" ht="15.75" customHeight="1">
      <c r="A644" s="8"/>
      <c r="B644" s="8"/>
      <c r="C644" s="8"/>
      <c r="D644" s="8"/>
      <c r="E644" s="2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  <c r="AA644" s="3"/>
      <c r="AB644" s="3"/>
      <c r="AC644" s="3"/>
    </row>
    <row r="645" ht="15.75" customHeight="1">
      <c r="A645" s="8"/>
      <c r="B645" s="8"/>
      <c r="C645" s="8"/>
      <c r="D645" s="8"/>
      <c r="E645" s="2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  <c r="AA645" s="3"/>
      <c r="AB645" s="3"/>
      <c r="AC645" s="3"/>
    </row>
    <row r="646" ht="15.75" customHeight="1">
      <c r="A646" s="8"/>
      <c r="B646" s="8"/>
      <c r="C646" s="8"/>
      <c r="D646" s="8"/>
      <c r="E646" s="2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  <c r="AA646" s="3"/>
      <c r="AB646" s="3"/>
      <c r="AC646" s="3"/>
    </row>
    <row r="647" ht="15.75" customHeight="1">
      <c r="A647" s="8"/>
      <c r="B647" s="8"/>
      <c r="C647" s="8"/>
      <c r="D647" s="8"/>
      <c r="E647" s="2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  <c r="AA647" s="3"/>
      <c r="AB647" s="3"/>
      <c r="AC647" s="3"/>
    </row>
    <row r="648" ht="15.75" customHeight="1">
      <c r="A648" s="8"/>
      <c r="B648" s="8"/>
      <c r="C648" s="8"/>
      <c r="D648" s="8"/>
      <c r="E648" s="2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  <c r="AA648" s="3"/>
      <c r="AB648" s="3"/>
      <c r="AC648" s="3"/>
    </row>
    <row r="649" ht="15.75" customHeight="1">
      <c r="A649" s="8"/>
      <c r="B649" s="8"/>
      <c r="C649" s="8"/>
      <c r="D649" s="8"/>
      <c r="E649" s="2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  <c r="AA649" s="3"/>
      <c r="AB649" s="3"/>
      <c r="AC649" s="3"/>
    </row>
    <row r="650" ht="15.75" customHeight="1">
      <c r="A650" s="8"/>
      <c r="B650" s="8"/>
      <c r="C650" s="8"/>
      <c r="D650" s="8"/>
      <c r="E650" s="2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  <c r="AA650" s="3"/>
      <c r="AB650" s="3"/>
      <c r="AC650" s="3"/>
    </row>
    <row r="651" ht="15.75" customHeight="1">
      <c r="A651" s="8"/>
      <c r="B651" s="8"/>
      <c r="C651" s="8"/>
      <c r="D651" s="8"/>
      <c r="E651" s="2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  <c r="AA651" s="3"/>
      <c r="AB651" s="3"/>
      <c r="AC651" s="3"/>
    </row>
    <row r="652" ht="15.75" customHeight="1">
      <c r="A652" s="8"/>
      <c r="B652" s="8"/>
      <c r="C652" s="8"/>
      <c r="D652" s="8"/>
      <c r="E652" s="2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  <c r="AA652" s="3"/>
      <c r="AB652" s="3"/>
      <c r="AC652" s="3"/>
    </row>
    <row r="653" ht="15.75" customHeight="1">
      <c r="A653" s="8"/>
      <c r="B653" s="8"/>
      <c r="C653" s="8"/>
      <c r="D653" s="8"/>
      <c r="E653" s="2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  <c r="AA653" s="3"/>
      <c r="AB653" s="3"/>
      <c r="AC653" s="3"/>
    </row>
    <row r="654" ht="15.75" customHeight="1">
      <c r="A654" s="8"/>
      <c r="B654" s="8"/>
      <c r="C654" s="8"/>
      <c r="D654" s="8"/>
      <c r="E654" s="2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  <c r="AA654" s="3"/>
      <c r="AB654" s="3"/>
      <c r="AC654" s="3"/>
    </row>
    <row r="655" ht="15.75" customHeight="1">
      <c r="A655" s="8"/>
      <c r="B655" s="8"/>
      <c r="C655" s="8"/>
      <c r="D655" s="8"/>
      <c r="E655" s="2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  <c r="AA655" s="3"/>
      <c r="AB655" s="3"/>
      <c r="AC655" s="3"/>
    </row>
    <row r="656" ht="15.75" customHeight="1">
      <c r="A656" s="8"/>
      <c r="B656" s="8"/>
      <c r="C656" s="8"/>
      <c r="D656" s="8"/>
      <c r="E656" s="2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  <c r="AA656" s="3"/>
      <c r="AB656" s="3"/>
      <c r="AC656" s="3"/>
    </row>
    <row r="657" ht="15.75" customHeight="1">
      <c r="A657" s="8"/>
      <c r="B657" s="8"/>
      <c r="C657" s="8"/>
      <c r="D657" s="8"/>
      <c r="E657" s="2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  <c r="AA657" s="3"/>
      <c r="AB657" s="3"/>
      <c r="AC657" s="3"/>
    </row>
    <row r="658" ht="15.75" customHeight="1">
      <c r="A658" s="8"/>
      <c r="B658" s="8"/>
      <c r="C658" s="8"/>
      <c r="D658" s="8"/>
      <c r="E658" s="2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  <c r="AA658" s="3"/>
      <c r="AB658" s="3"/>
      <c r="AC658" s="3"/>
    </row>
    <row r="659" ht="15.75" customHeight="1">
      <c r="A659" s="8"/>
      <c r="B659" s="8"/>
      <c r="C659" s="8"/>
      <c r="D659" s="8"/>
      <c r="E659" s="2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  <c r="AA659" s="3"/>
      <c r="AB659" s="3"/>
      <c r="AC659" s="3"/>
    </row>
    <row r="660" ht="15.75" customHeight="1">
      <c r="A660" s="8"/>
      <c r="B660" s="8"/>
      <c r="C660" s="8"/>
      <c r="D660" s="8"/>
      <c r="E660" s="2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  <c r="AA660" s="3"/>
      <c r="AB660" s="3"/>
      <c r="AC660" s="3"/>
    </row>
    <row r="661" ht="15.75" customHeight="1">
      <c r="A661" s="8"/>
      <c r="B661" s="8"/>
      <c r="C661" s="8"/>
      <c r="D661" s="8"/>
      <c r="E661" s="2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  <c r="AA661" s="3"/>
      <c r="AB661" s="3"/>
      <c r="AC661" s="3"/>
    </row>
    <row r="662" ht="15.75" customHeight="1">
      <c r="A662" s="8"/>
      <c r="B662" s="8"/>
      <c r="C662" s="8"/>
      <c r="D662" s="8"/>
      <c r="E662" s="2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  <c r="AA662" s="3"/>
      <c r="AB662" s="3"/>
      <c r="AC662" s="3"/>
    </row>
    <row r="663" ht="15.75" customHeight="1">
      <c r="A663" s="8"/>
      <c r="B663" s="8"/>
      <c r="C663" s="8"/>
      <c r="D663" s="8"/>
      <c r="E663" s="2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  <c r="AA663" s="3"/>
      <c r="AB663" s="3"/>
      <c r="AC663" s="3"/>
    </row>
    <row r="664" ht="15.75" customHeight="1">
      <c r="A664" s="8"/>
      <c r="B664" s="8"/>
      <c r="C664" s="8"/>
      <c r="D664" s="8"/>
      <c r="E664" s="2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  <c r="AA664" s="3"/>
      <c r="AB664" s="3"/>
      <c r="AC664" s="3"/>
    </row>
    <row r="665" ht="15.75" customHeight="1">
      <c r="A665" s="8"/>
      <c r="B665" s="8"/>
      <c r="C665" s="8"/>
      <c r="D665" s="8"/>
      <c r="E665" s="2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  <c r="AA665" s="3"/>
      <c r="AB665" s="3"/>
      <c r="AC665" s="3"/>
    </row>
    <row r="666" ht="15.75" customHeight="1">
      <c r="A666" s="8"/>
      <c r="B666" s="8"/>
      <c r="C666" s="8"/>
      <c r="D666" s="8"/>
      <c r="E666" s="2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  <c r="AA666" s="3"/>
      <c r="AB666" s="3"/>
      <c r="AC666" s="3"/>
    </row>
    <row r="667" ht="15.75" customHeight="1">
      <c r="A667" s="8"/>
      <c r="B667" s="8"/>
      <c r="C667" s="8"/>
      <c r="D667" s="8"/>
      <c r="E667" s="2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  <c r="AA667" s="3"/>
      <c r="AB667" s="3"/>
      <c r="AC667" s="3"/>
    </row>
    <row r="668" ht="15.75" customHeight="1">
      <c r="A668" s="8"/>
      <c r="B668" s="8"/>
      <c r="C668" s="8"/>
      <c r="D668" s="8"/>
      <c r="E668" s="2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  <c r="AA668" s="3"/>
      <c r="AB668" s="3"/>
      <c r="AC668" s="3"/>
    </row>
    <row r="669" ht="15.75" customHeight="1">
      <c r="A669" s="8"/>
      <c r="B669" s="8"/>
      <c r="C669" s="8"/>
      <c r="D669" s="8"/>
      <c r="E669" s="2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  <c r="AA669" s="3"/>
      <c r="AB669" s="3"/>
      <c r="AC669" s="3"/>
    </row>
    <row r="670" ht="15.75" customHeight="1">
      <c r="A670" s="8"/>
      <c r="B670" s="8"/>
      <c r="C670" s="8"/>
      <c r="D670" s="8"/>
      <c r="E670" s="2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  <c r="AA670" s="3"/>
      <c r="AB670" s="3"/>
      <c r="AC670" s="3"/>
    </row>
    <row r="671" ht="15.75" customHeight="1">
      <c r="A671" s="8"/>
      <c r="B671" s="8"/>
      <c r="C671" s="8"/>
      <c r="D671" s="8"/>
      <c r="E671" s="2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  <c r="AA671" s="3"/>
      <c r="AB671" s="3"/>
      <c r="AC671" s="3"/>
    </row>
    <row r="672" ht="15.75" customHeight="1">
      <c r="A672" s="8"/>
      <c r="B672" s="8"/>
      <c r="C672" s="8"/>
      <c r="D672" s="8"/>
      <c r="E672" s="2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  <c r="AA672" s="3"/>
      <c r="AB672" s="3"/>
      <c r="AC672" s="3"/>
    </row>
    <row r="673" ht="15.75" customHeight="1">
      <c r="A673" s="8"/>
      <c r="B673" s="8"/>
      <c r="C673" s="8"/>
      <c r="D673" s="8"/>
      <c r="E673" s="2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  <c r="AA673" s="3"/>
      <c r="AB673" s="3"/>
      <c r="AC673" s="3"/>
    </row>
    <row r="674" ht="15.75" customHeight="1">
      <c r="A674" s="8"/>
      <c r="B674" s="8"/>
      <c r="C674" s="8"/>
      <c r="D674" s="8"/>
      <c r="E674" s="2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  <c r="AA674" s="3"/>
      <c r="AB674" s="3"/>
      <c r="AC674" s="3"/>
    </row>
    <row r="675" ht="15.75" customHeight="1">
      <c r="A675" s="8"/>
      <c r="B675" s="8"/>
      <c r="C675" s="8"/>
      <c r="D675" s="8"/>
      <c r="E675" s="2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  <c r="AA675" s="3"/>
      <c r="AB675" s="3"/>
      <c r="AC675" s="3"/>
    </row>
    <row r="676" ht="15.75" customHeight="1">
      <c r="A676" s="8"/>
      <c r="B676" s="8"/>
      <c r="C676" s="8"/>
      <c r="D676" s="8"/>
      <c r="E676" s="2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  <c r="AA676" s="3"/>
      <c r="AB676" s="3"/>
      <c r="AC676" s="3"/>
    </row>
    <row r="677" ht="15.75" customHeight="1">
      <c r="A677" s="8"/>
      <c r="B677" s="8"/>
      <c r="C677" s="8"/>
      <c r="D677" s="8"/>
      <c r="E677" s="2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  <c r="AA677" s="3"/>
      <c r="AB677" s="3"/>
      <c r="AC677" s="3"/>
    </row>
    <row r="678" ht="15.75" customHeight="1">
      <c r="A678" s="8"/>
      <c r="B678" s="8"/>
      <c r="C678" s="8"/>
      <c r="D678" s="8"/>
      <c r="E678" s="2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  <c r="AA678" s="3"/>
      <c r="AB678" s="3"/>
      <c r="AC678" s="3"/>
    </row>
    <row r="679" ht="15.75" customHeight="1">
      <c r="A679" s="8"/>
      <c r="B679" s="8"/>
      <c r="C679" s="8"/>
      <c r="D679" s="8"/>
      <c r="E679" s="2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  <c r="AA679" s="3"/>
      <c r="AB679" s="3"/>
      <c r="AC679" s="3"/>
    </row>
    <row r="680" ht="15.75" customHeight="1">
      <c r="A680" s="8"/>
      <c r="B680" s="8"/>
      <c r="C680" s="8"/>
      <c r="D680" s="8"/>
      <c r="E680" s="2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  <c r="AA680" s="3"/>
      <c r="AB680" s="3"/>
      <c r="AC680" s="3"/>
    </row>
    <row r="681" ht="15.75" customHeight="1">
      <c r="A681" s="8"/>
      <c r="B681" s="8"/>
      <c r="C681" s="8"/>
      <c r="D681" s="8"/>
      <c r="E681" s="2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  <c r="AA681" s="3"/>
      <c r="AB681" s="3"/>
      <c r="AC681" s="3"/>
    </row>
    <row r="682" ht="15.75" customHeight="1">
      <c r="A682" s="8"/>
      <c r="B682" s="8"/>
      <c r="C682" s="8"/>
      <c r="D682" s="8"/>
      <c r="E682" s="2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  <c r="AA682" s="3"/>
      <c r="AB682" s="3"/>
      <c r="AC682" s="3"/>
    </row>
    <row r="683" ht="15.75" customHeight="1">
      <c r="A683" s="8"/>
      <c r="B683" s="8"/>
      <c r="C683" s="8"/>
      <c r="D683" s="8"/>
      <c r="E683" s="2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  <c r="AA683" s="3"/>
      <c r="AB683" s="3"/>
      <c r="AC683" s="3"/>
    </row>
    <row r="684" ht="15.75" customHeight="1">
      <c r="A684" s="8"/>
      <c r="B684" s="8"/>
      <c r="C684" s="8"/>
      <c r="D684" s="8"/>
      <c r="E684" s="2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  <c r="AA684" s="3"/>
      <c r="AB684" s="3"/>
      <c r="AC684" s="3"/>
    </row>
    <row r="685" ht="15.75" customHeight="1">
      <c r="A685" s="8"/>
      <c r="B685" s="8"/>
      <c r="C685" s="8"/>
      <c r="D685" s="8"/>
      <c r="E685" s="2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  <c r="AA685" s="3"/>
      <c r="AB685" s="3"/>
      <c r="AC685" s="3"/>
    </row>
    <row r="686" ht="15.75" customHeight="1">
      <c r="A686" s="8"/>
      <c r="B686" s="8"/>
      <c r="C686" s="8"/>
      <c r="D686" s="8"/>
      <c r="E686" s="2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  <c r="AA686" s="3"/>
      <c r="AB686" s="3"/>
      <c r="AC686" s="3"/>
    </row>
    <row r="687" ht="15.75" customHeight="1">
      <c r="A687" s="8"/>
      <c r="B687" s="8"/>
      <c r="C687" s="8"/>
      <c r="D687" s="8"/>
      <c r="E687" s="2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  <c r="AA687" s="3"/>
      <c r="AB687" s="3"/>
      <c r="AC687" s="3"/>
    </row>
    <row r="688" ht="15.75" customHeight="1">
      <c r="A688" s="8"/>
      <c r="B688" s="8"/>
      <c r="C688" s="8"/>
      <c r="D688" s="8"/>
      <c r="E688" s="2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  <c r="AA688" s="3"/>
      <c r="AB688" s="3"/>
      <c r="AC688" s="3"/>
    </row>
    <row r="689" ht="15.75" customHeight="1">
      <c r="A689" s="8"/>
      <c r="B689" s="8"/>
      <c r="C689" s="8"/>
      <c r="D689" s="8"/>
      <c r="E689" s="2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  <c r="AA689" s="3"/>
      <c r="AB689" s="3"/>
      <c r="AC689" s="3"/>
    </row>
    <row r="690" ht="15.75" customHeight="1">
      <c r="A690" s="8"/>
      <c r="B690" s="8"/>
      <c r="C690" s="8"/>
      <c r="D690" s="8"/>
      <c r="E690" s="2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  <c r="AA690" s="3"/>
      <c r="AB690" s="3"/>
      <c r="AC690" s="3"/>
    </row>
    <row r="691" ht="15.75" customHeight="1">
      <c r="A691" s="8"/>
      <c r="B691" s="8"/>
      <c r="C691" s="8"/>
      <c r="D691" s="8"/>
      <c r="E691" s="2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  <c r="AA691" s="3"/>
      <c r="AB691" s="3"/>
      <c r="AC691" s="3"/>
    </row>
    <row r="692" ht="15.75" customHeight="1">
      <c r="A692" s="8"/>
      <c r="B692" s="8"/>
      <c r="C692" s="8"/>
      <c r="D692" s="8"/>
      <c r="E692" s="2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  <c r="AA692" s="3"/>
      <c r="AB692" s="3"/>
      <c r="AC692" s="3"/>
    </row>
    <row r="693" ht="15.75" customHeight="1">
      <c r="A693" s="8"/>
      <c r="B693" s="8"/>
      <c r="C693" s="8"/>
      <c r="D693" s="8"/>
      <c r="E693" s="2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  <c r="AA693" s="3"/>
      <c r="AB693" s="3"/>
      <c r="AC693" s="3"/>
    </row>
    <row r="694" ht="15.75" customHeight="1">
      <c r="A694" s="8"/>
      <c r="B694" s="8"/>
      <c r="C694" s="8"/>
      <c r="D694" s="8"/>
      <c r="E694" s="2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  <c r="AA694" s="3"/>
      <c r="AB694" s="3"/>
      <c r="AC694" s="3"/>
    </row>
    <row r="695" ht="15.75" customHeight="1">
      <c r="A695" s="8"/>
      <c r="B695" s="8"/>
      <c r="C695" s="8"/>
      <c r="D695" s="8"/>
      <c r="E695" s="2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  <c r="AA695" s="3"/>
      <c r="AB695" s="3"/>
      <c r="AC695" s="3"/>
    </row>
    <row r="696" ht="15.75" customHeight="1">
      <c r="A696" s="8"/>
      <c r="B696" s="8"/>
      <c r="C696" s="8"/>
      <c r="D696" s="8"/>
      <c r="E696" s="2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  <c r="AA696" s="3"/>
      <c r="AB696" s="3"/>
      <c r="AC696" s="3"/>
    </row>
    <row r="697" ht="15.75" customHeight="1">
      <c r="A697" s="8"/>
      <c r="B697" s="8"/>
      <c r="C697" s="8"/>
      <c r="D697" s="8"/>
      <c r="E697" s="2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  <c r="AA697" s="3"/>
      <c r="AB697" s="3"/>
      <c r="AC697" s="3"/>
    </row>
    <row r="698" ht="15.75" customHeight="1">
      <c r="A698" s="8"/>
      <c r="B698" s="8"/>
      <c r="C698" s="8"/>
      <c r="D698" s="8"/>
      <c r="E698" s="2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  <c r="AA698" s="3"/>
      <c r="AB698" s="3"/>
      <c r="AC698" s="3"/>
    </row>
    <row r="699" ht="15.75" customHeight="1">
      <c r="A699" s="8"/>
      <c r="B699" s="8"/>
      <c r="C699" s="8"/>
      <c r="D699" s="8"/>
      <c r="E699" s="2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  <c r="AA699" s="3"/>
      <c r="AB699" s="3"/>
      <c r="AC699" s="3"/>
    </row>
    <row r="700" ht="15.75" customHeight="1">
      <c r="A700" s="8"/>
      <c r="B700" s="8"/>
      <c r="C700" s="8"/>
      <c r="D700" s="8"/>
      <c r="E700" s="2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  <c r="AA700" s="3"/>
      <c r="AB700" s="3"/>
      <c r="AC700" s="3"/>
    </row>
    <row r="701" ht="15.75" customHeight="1">
      <c r="A701" s="8"/>
      <c r="B701" s="8"/>
      <c r="C701" s="8"/>
      <c r="D701" s="8"/>
      <c r="E701" s="2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  <c r="AA701" s="3"/>
      <c r="AB701" s="3"/>
      <c r="AC701" s="3"/>
    </row>
    <row r="702" ht="15.75" customHeight="1">
      <c r="A702" s="8"/>
      <c r="B702" s="8"/>
      <c r="C702" s="8"/>
      <c r="D702" s="8"/>
      <c r="E702" s="2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  <c r="AA702" s="3"/>
      <c r="AB702" s="3"/>
      <c r="AC702" s="3"/>
    </row>
    <row r="703" ht="15.75" customHeight="1">
      <c r="A703" s="8"/>
      <c r="B703" s="8"/>
      <c r="C703" s="8"/>
      <c r="D703" s="8"/>
      <c r="E703" s="2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  <c r="AA703" s="3"/>
      <c r="AB703" s="3"/>
      <c r="AC703" s="3"/>
    </row>
    <row r="704" ht="15.75" customHeight="1">
      <c r="A704" s="8"/>
      <c r="B704" s="8"/>
      <c r="C704" s="8"/>
      <c r="D704" s="8"/>
      <c r="E704" s="2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  <c r="AA704" s="3"/>
      <c r="AB704" s="3"/>
      <c r="AC704" s="3"/>
    </row>
    <row r="705" ht="15.75" customHeight="1">
      <c r="A705" s="8"/>
      <c r="B705" s="8"/>
      <c r="C705" s="8"/>
      <c r="D705" s="8"/>
      <c r="E705" s="2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  <c r="AA705" s="3"/>
      <c r="AB705" s="3"/>
      <c r="AC705" s="3"/>
    </row>
    <row r="706" ht="15.75" customHeight="1">
      <c r="A706" s="8"/>
      <c r="B706" s="8"/>
      <c r="C706" s="8"/>
      <c r="D706" s="8"/>
      <c r="E706" s="2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  <c r="AA706" s="3"/>
      <c r="AB706" s="3"/>
      <c r="AC706" s="3"/>
    </row>
    <row r="707" ht="15.75" customHeight="1">
      <c r="A707" s="8"/>
      <c r="B707" s="8"/>
      <c r="C707" s="8"/>
      <c r="D707" s="8"/>
      <c r="E707" s="2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  <c r="AA707" s="3"/>
      <c r="AB707" s="3"/>
      <c r="AC707" s="3"/>
    </row>
    <row r="708" ht="15.75" customHeight="1">
      <c r="A708" s="8"/>
      <c r="B708" s="8"/>
      <c r="C708" s="8"/>
      <c r="D708" s="8"/>
      <c r="E708" s="2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  <c r="AA708" s="3"/>
      <c r="AB708" s="3"/>
      <c r="AC708" s="3"/>
    </row>
    <row r="709" ht="15.75" customHeight="1">
      <c r="A709" s="8"/>
      <c r="B709" s="8"/>
      <c r="C709" s="8"/>
      <c r="D709" s="8"/>
      <c r="E709" s="2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  <c r="AA709" s="3"/>
      <c r="AB709" s="3"/>
      <c r="AC709" s="3"/>
    </row>
    <row r="710" ht="15.75" customHeight="1">
      <c r="A710" s="8"/>
      <c r="B710" s="8"/>
      <c r="C710" s="8"/>
      <c r="D710" s="8"/>
      <c r="E710" s="2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  <c r="AA710" s="3"/>
      <c r="AB710" s="3"/>
      <c r="AC710" s="3"/>
    </row>
    <row r="711" ht="15.75" customHeight="1">
      <c r="A711" s="8"/>
      <c r="B711" s="8"/>
      <c r="C711" s="8"/>
      <c r="D711" s="8"/>
      <c r="E711" s="2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  <c r="AA711" s="3"/>
      <c r="AB711" s="3"/>
      <c r="AC711" s="3"/>
    </row>
    <row r="712" ht="15.75" customHeight="1">
      <c r="A712" s="8"/>
      <c r="B712" s="8"/>
      <c r="C712" s="8"/>
      <c r="D712" s="8"/>
      <c r="E712" s="2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  <c r="AA712" s="3"/>
      <c r="AB712" s="3"/>
      <c r="AC712" s="3"/>
    </row>
    <row r="713" ht="15.75" customHeight="1">
      <c r="A713" s="8"/>
      <c r="B713" s="8"/>
      <c r="C713" s="8"/>
      <c r="D713" s="8"/>
      <c r="E713" s="2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  <c r="AA713" s="3"/>
      <c r="AB713" s="3"/>
      <c r="AC713" s="3"/>
    </row>
    <row r="714" ht="15.75" customHeight="1">
      <c r="A714" s="8"/>
      <c r="B714" s="8"/>
      <c r="C714" s="8"/>
      <c r="D714" s="8"/>
      <c r="E714" s="2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  <c r="AA714" s="3"/>
      <c r="AB714" s="3"/>
      <c r="AC714" s="3"/>
    </row>
    <row r="715" ht="15.75" customHeight="1">
      <c r="A715" s="8"/>
      <c r="B715" s="8"/>
      <c r="C715" s="8"/>
      <c r="D715" s="8"/>
      <c r="E715" s="2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  <c r="AA715" s="3"/>
      <c r="AB715" s="3"/>
      <c r="AC715" s="3"/>
    </row>
    <row r="716" ht="15.75" customHeight="1">
      <c r="A716" s="8"/>
      <c r="B716" s="8"/>
      <c r="C716" s="8"/>
      <c r="D716" s="8"/>
      <c r="E716" s="2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  <c r="AA716" s="3"/>
      <c r="AB716" s="3"/>
      <c r="AC716" s="3"/>
    </row>
    <row r="717" ht="15.75" customHeight="1">
      <c r="A717" s="8"/>
      <c r="B717" s="8"/>
      <c r="C717" s="8"/>
      <c r="D717" s="8"/>
      <c r="E717" s="2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  <c r="AA717" s="3"/>
      <c r="AB717" s="3"/>
      <c r="AC717" s="3"/>
    </row>
    <row r="718" ht="15.75" customHeight="1">
      <c r="A718" s="8"/>
      <c r="B718" s="8"/>
      <c r="C718" s="8"/>
      <c r="D718" s="8"/>
      <c r="E718" s="2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  <c r="AA718" s="3"/>
      <c r="AB718" s="3"/>
      <c r="AC718" s="3"/>
    </row>
    <row r="719" ht="15.75" customHeight="1">
      <c r="A719" s="8"/>
      <c r="B719" s="8"/>
      <c r="C719" s="8"/>
      <c r="D719" s="8"/>
      <c r="E719" s="2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  <c r="AA719" s="3"/>
      <c r="AB719" s="3"/>
      <c r="AC719" s="3"/>
    </row>
    <row r="720" ht="15.75" customHeight="1">
      <c r="A720" s="8"/>
      <c r="B720" s="8"/>
      <c r="C720" s="8"/>
      <c r="D720" s="8"/>
      <c r="E720" s="2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  <c r="AA720" s="3"/>
      <c r="AB720" s="3"/>
      <c r="AC720" s="3"/>
    </row>
    <row r="721" ht="15.75" customHeight="1">
      <c r="A721" s="8"/>
      <c r="B721" s="8"/>
      <c r="C721" s="8"/>
      <c r="D721" s="8"/>
      <c r="E721" s="2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  <c r="AA721" s="3"/>
      <c r="AB721" s="3"/>
      <c r="AC721" s="3"/>
    </row>
    <row r="722" ht="15.75" customHeight="1">
      <c r="A722" s="8"/>
      <c r="B722" s="8"/>
      <c r="C722" s="8"/>
      <c r="D722" s="8"/>
      <c r="E722" s="2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  <c r="AA722" s="3"/>
      <c r="AB722" s="3"/>
      <c r="AC722" s="3"/>
    </row>
    <row r="723" ht="15.75" customHeight="1">
      <c r="A723" s="8"/>
      <c r="B723" s="8"/>
      <c r="C723" s="8"/>
      <c r="D723" s="8"/>
      <c r="E723" s="2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  <c r="AA723" s="3"/>
      <c r="AB723" s="3"/>
      <c r="AC723" s="3"/>
    </row>
    <row r="724" ht="15.75" customHeight="1">
      <c r="A724" s="8"/>
      <c r="B724" s="8"/>
      <c r="C724" s="8"/>
      <c r="D724" s="8"/>
      <c r="E724" s="2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  <c r="AA724" s="3"/>
      <c r="AB724" s="3"/>
      <c r="AC724" s="3"/>
    </row>
    <row r="725" ht="15.75" customHeight="1">
      <c r="A725" s="8"/>
      <c r="B725" s="8"/>
      <c r="C725" s="8"/>
      <c r="D725" s="8"/>
      <c r="E725" s="2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  <c r="AA725" s="3"/>
      <c r="AB725" s="3"/>
      <c r="AC725" s="3"/>
    </row>
    <row r="726" ht="15.75" customHeight="1">
      <c r="A726" s="8"/>
      <c r="B726" s="8"/>
      <c r="C726" s="8"/>
      <c r="D726" s="8"/>
      <c r="E726" s="2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  <c r="AA726" s="3"/>
      <c r="AB726" s="3"/>
      <c r="AC726" s="3"/>
    </row>
    <row r="727" ht="15.75" customHeight="1">
      <c r="A727" s="8"/>
      <c r="B727" s="8"/>
      <c r="C727" s="8"/>
      <c r="D727" s="8"/>
      <c r="E727" s="2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  <c r="AA727" s="3"/>
      <c r="AB727" s="3"/>
      <c r="AC727" s="3"/>
    </row>
    <row r="728" ht="15.75" customHeight="1">
      <c r="A728" s="8"/>
      <c r="B728" s="8"/>
      <c r="C728" s="8"/>
      <c r="D728" s="8"/>
      <c r="E728" s="2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  <c r="AA728" s="3"/>
      <c r="AB728" s="3"/>
      <c r="AC728" s="3"/>
    </row>
    <row r="729" ht="15.75" customHeight="1">
      <c r="A729" s="8"/>
      <c r="B729" s="8"/>
      <c r="C729" s="8"/>
      <c r="D729" s="8"/>
      <c r="E729" s="2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  <c r="AA729" s="3"/>
      <c r="AB729" s="3"/>
      <c r="AC729" s="3"/>
    </row>
    <row r="730" ht="15.75" customHeight="1">
      <c r="A730" s="8"/>
      <c r="B730" s="8"/>
      <c r="C730" s="8"/>
      <c r="D730" s="8"/>
      <c r="E730" s="2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  <c r="AA730" s="3"/>
      <c r="AB730" s="3"/>
      <c r="AC730" s="3"/>
    </row>
    <row r="731" ht="15.75" customHeight="1">
      <c r="A731" s="8"/>
      <c r="B731" s="8"/>
      <c r="C731" s="8"/>
      <c r="D731" s="8"/>
      <c r="E731" s="2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  <c r="AA731" s="3"/>
      <c r="AB731" s="3"/>
      <c r="AC731" s="3"/>
    </row>
    <row r="732" ht="15.75" customHeight="1">
      <c r="A732" s="8"/>
      <c r="B732" s="8"/>
      <c r="C732" s="8"/>
      <c r="D732" s="8"/>
      <c r="E732" s="2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  <c r="AA732" s="3"/>
      <c r="AB732" s="3"/>
      <c r="AC732" s="3"/>
    </row>
    <row r="733" ht="15.75" customHeight="1">
      <c r="A733" s="8"/>
      <c r="B733" s="8"/>
      <c r="C733" s="8"/>
      <c r="D733" s="8"/>
      <c r="E733" s="2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  <c r="AA733" s="3"/>
      <c r="AB733" s="3"/>
      <c r="AC733" s="3"/>
    </row>
    <row r="734" ht="15.75" customHeight="1">
      <c r="A734" s="8"/>
      <c r="B734" s="8"/>
      <c r="C734" s="8"/>
      <c r="D734" s="8"/>
      <c r="E734" s="2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  <c r="AA734" s="3"/>
      <c r="AB734" s="3"/>
      <c r="AC734" s="3"/>
    </row>
    <row r="735" ht="15.75" customHeight="1">
      <c r="A735" s="8"/>
      <c r="B735" s="8"/>
      <c r="C735" s="8"/>
      <c r="D735" s="8"/>
      <c r="E735" s="2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  <c r="AA735" s="3"/>
      <c r="AB735" s="3"/>
      <c r="AC735" s="3"/>
    </row>
    <row r="736" ht="15.75" customHeight="1">
      <c r="A736" s="8"/>
      <c r="B736" s="8"/>
      <c r="C736" s="8"/>
      <c r="D736" s="8"/>
      <c r="E736" s="2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  <c r="AA736" s="3"/>
      <c r="AB736" s="3"/>
      <c r="AC736" s="3"/>
    </row>
    <row r="737" ht="15.75" customHeight="1">
      <c r="A737" s="8"/>
      <c r="B737" s="8"/>
      <c r="C737" s="8"/>
      <c r="D737" s="8"/>
      <c r="E737" s="2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  <c r="AA737" s="3"/>
      <c r="AB737" s="3"/>
      <c r="AC737" s="3"/>
    </row>
    <row r="738" ht="15.75" customHeight="1">
      <c r="A738" s="8"/>
      <c r="B738" s="8"/>
      <c r="C738" s="8"/>
      <c r="D738" s="8"/>
      <c r="E738" s="2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  <c r="AA738" s="3"/>
      <c r="AB738" s="3"/>
      <c r="AC738" s="3"/>
    </row>
    <row r="739" ht="15.75" customHeight="1">
      <c r="A739" s="8"/>
      <c r="B739" s="8"/>
      <c r="C739" s="8"/>
      <c r="D739" s="8"/>
      <c r="E739" s="2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  <c r="AA739" s="3"/>
      <c r="AB739" s="3"/>
      <c r="AC739" s="3"/>
    </row>
    <row r="740" ht="15.75" customHeight="1">
      <c r="A740" s="8"/>
      <c r="B740" s="8"/>
      <c r="C740" s="8"/>
      <c r="D740" s="8"/>
      <c r="E740" s="2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  <c r="AA740" s="3"/>
      <c r="AB740" s="3"/>
      <c r="AC740" s="3"/>
    </row>
    <row r="741" ht="15.75" customHeight="1">
      <c r="A741" s="8"/>
      <c r="B741" s="8"/>
      <c r="C741" s="8"/>
      <c r="D741" s="8"/>
      <c r="E741" s="2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  <c r="AA741" s="3"/>
      <c r="AB741" s="3"/>
      <c r="AC741" s="3"/>
    </row>
    <row r="742" ht="15.75" customHeight="1">
      <c r="A742" s="8"/>
      <c r="B742" s="8"/>
      <c r="C742" s="8"/>
      <c r="D742" s="8"/>
      <c r="E742" s="2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  <c r="AA742" s="3"/>
      <c r="AB742" s="3"/>
      <c r="AC742" s="3"/>
    </row>
    <row r="743" ht="15.75" customHeight="1">
      <c r="A743" s="8"/>
      <c r="B743" s="8"/>
      <c r="C743" s="8"/>
      <c r="D743" s="8"/>
      <c r="E743" s="2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  <c r="AA743" s="3"/>
      <c r="AB743" s="3"/>
      <c r="AC743" s="3"/>
    </row>
    <row r="744" ht="15.75" customHeight="1">
      <c r="A744" s="8"/>
      <c r="B744" s="8"/>
      <c r="C744" s="8"/>
      <c r="D744" s="8"/>
      <c r="E744" s="2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  <c r="AA744" s="3"/>
      <c r="AB744" s="3"/>
      <c r="AC744" s="3"/>
    </row>
    <row r="745" ht="15.75" customHeight="1">
      <c r="A745" s="8"/>
      <c r="B745" s="8"/>
      <c r="C745" s="8"/>
      <c r="D745" s="8"/>
      <c r="E745" s="2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  <c r="AA745" s="3"/>
      <c r="AB745" s="3"/>
      <c r="AC745" s="3"/>
    </row>
    <row r="746" ht="15.75" customHeight="1">
      <c r="A746" s="8"/>
      <c r="B746" s="8"/>
      <c r="C746" s="8"/>
      <c r="D746" s="8"/>
      <c r="E746" s="2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  <c r="AA746" s="3"/>
      <c r="AB746" s="3"/>
      <c r="AC746" s="3"/>
    </row>
    <row r="747" ht="15.75" customHeight="1">
      <c r="A747" s="8"/>
      <c r="B747" s="8"/>
      <c r="C747" s="8"/>
      <c r="D747" s="8"/>
      <c r="E747" s="2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  <c r="AA747" s="3"/>
      <c r="AB747" s="3"/>
      <c r="AC747" s="3"/>
    </row>
    <row r="748" ht="15.75" customHeight="1">
      <c r="A748" s="8"/>
      <c r="B748" s="8"/>
      <c r="C748" s="8"/>
      <c r="D748" s="8"/>
      <c r="E748" s="2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  <c r="AA748" s="3"/>
      <c r="AB748" s="3"/>
      <c r="AC748" s="3"/>
    </row>
    <row r="749" ht="15.75" customHeight="1">
      <c r="A749" s="8"/>
      <c r="B749" s="8"/>
      <c r="C749" s="8"/>
      <c r="D749" s="8"/>
      <c r="E749" s="2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  <c r="AA749" s="3"/>
      <c r="AB749" s="3"/>
      <c r="AC749" s="3"/>
    </row>
    <row r="750" ht="15.75" customHeight="1">
      <c r="A750" s="8"/>
      <c r="B750" s="8"/>
      <c r="C750" s="8"/>
      <c r="D750" s="8"/>
      <c r="E750" s="2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  <c r="AA750" s="3"/>
      <c r="AB750" s="3"/>
      <c r="AC750" s="3"/>
    </row>
    <row r="751" ht="15.75" customHeight="1">
      <c r="A751" s="8"/>
      <c r="B751" s="8"/>
      <c r="C751" s="8"/>
      <c r="D751" s="8"/>
      <c r="E751" s="2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  <c r="AA751" s="3"/>
      <c r="AB751" s="3"/>
      <c r="AC751" s="3"/>
    </row>
    <row r="752" ht="15.75" customHeight="1">
      <c r="A752" s="8"/>
      <c r="B752" s="8"/>
      <c r="C752" s="8"/>
      <c r="D752" s="8"/>
      <c r="E752" s="2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  <c r="AA752" s="3"/>
      <c r="AB752" s="3"/>
      <c r="AC752" s="3"/>
    </row>
    <row r="753" ht="15.75" customHeight="1">
      <c r="A753" s="8"/>
      <c r="B753" s="8"/>
      <c r="C753" s="8"/>
      <c r="D753" s="8"/>
      <c r="E753" s="2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  <c r="AA753" s="3"/>
      <c r="AB753" s="3"/>
      <c r="AC753" s="3"/>
    </row>
    <row r="754" ht="15.75" customHeight="1">
      <c r="A754" s="8"/>
      <c r="B754" s="8"/>
      <c r="C754" s="8"/>
      <c r="D754" s="8"/>
      <c r="E754" s="2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  <c r="AA754" s="3"/>
      <c r="AB754" s="3"/>
      <c r="AC754" s="3"/>
    </row>
    <row r="755" ht="15.75" customHeight="1">
      <c r="A755" s="8"/>
      <c r="B755" s="8"/>
      <c r="C755" s="8"/>
      <c r="D755" s="8"/>
      <c r="E755" s="2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  <c r="AA755" s="3"/>
      <c r="AB755" s="3"/>
      <c r="AC755" s="3"/>
    </row>
    <row r="756" ht="15.75" customHeight="1">
      <c r="A756" s="8"/>
      <c r="B756" s="8"/>
      <c r="C756" s="8"/>
      <c r="D756" s="8"/>
      <c r="E756" s="2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  <c r="AA756" s="3"/>
      <c r="AB756" s="3"/>
      <c r="AC756" s="3"/>
    </row>
    <row r="757" ht="15.75" customHeight="1">
      <c r="A757" s="8"/>
      <c r="B757" s="8"/>
      <c r="C757" s="8"/>
      <c r="D757" s="8"/>
      <c r="E757" s="2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  <c r="AA757" s="3"/>
      <c r="AB757" s="3"/>
      <c r="AC757" s="3"/>
    </row>
    <row r="758" ht="15.75" customHeight="1">
      <c r="A758" s="8"/>
      <c r="B758" s="8"/>
      <c r="C758" s="8"/>
      <c r="D758" s="8"/>
      <c r="E758" s="2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  <c r="AA758" s="3"/>
      <c r="AB758" s="3"/>
      <c r="AC758" s="3"/>
    </row>
    <row r="759" ht="15.75" customHeight="1">
      <c r="A759" s="8"/>
      <c r="B759" s="8"/>
      <c r="C759" s="8"/>
      <c r="D759" s="8"/>
      <c r="E759" s="2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  <c r="AA759" s="3"/>
      <c r="AB759" s="3"/>
      <c r="AC759" s="3"/>
    </row>
    <row r="760" ht="15.75" customHeight="1">
      <c r="A760" s="8"/>
      <c r="B760" s="8"/>
      <c r="C760" s="8"/>
      <c r="D760" s="8"/>
      <c r="E760" s="2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  <c r="AA760" s="3"/>
      <c r="AB760" s="3"/>
      <c r="AC760" s="3"/>
    </row>
    <row r="761" ht="15.75" customHeight="1">
      <c r="A761" s="8"/>
      <c r="B761" s="8"/>
      <c r="C761" s="8"/>
      <c r="D761" s="8"/>
      <c r="E761" s="2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  <c r="AA761" s="3"/>
      <c r="AB761" s="3"/>
      <c r="AC761" s="3"/>
    </row>
    <row r="762" ht="15.75" customHeight="1">
      <c r="A762" s="8"/>
      <c r="B762" s="8"/>
      <c r="C762" s="8"/>
      <c r="D762" s="8"/>
      <c r="E762" s="2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  <c r="AA762" s="3"/>
      <c r="AB762" s="3"/>
      <c r="AC762" s="3"/>
    </row>
    <row r="763" ht="15.75" customHeight="1">
      <c r="A763" s="8"/>
      <c r="B763" s="8"/>
      <c r="C763" s="8"/>
      <c r="D763" s="8"/>
      <c r="E763" s="2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  <c r="AA763" s="3"/>
      <c r="AB763" s="3"/>
      <c r="AC763" s="3"/>
    </row>
    <row r="764" ht="15.75" customHeight="1">
      <c r="A764" s="8"/>
      <c r="B764" s="8"/>
      <c r="C764" s="8"/>
      <c r="D764" s="8"/>
      <c r="E764" s="2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  <c r="AA764" s="3"/>
      <c r="AB764" s="3"/>
      <c r="AC764" s="3"/>
    </row>
    <row r="765" ht="15.75" customHeight="1">
      <c r="A765" s="8"/>
      <c r="B765" s="8"/>
      <c r="C765" s="8"/>
      <c r="D765" s="8"/>
      <c r="E765" s="2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  <c r="AA765" s="3"/>
      <c r="AB765" s="3"/>
      <c r="AC765" s="3"/>
    </row>
    <row r="766" ht="15.75" customHeight="1">
      <c r="A766" s="8"/>
      <c r="B766" s="8"/>
      <c r="C766" s="8"/>
      <c r="D766" s="8"/>
      <c r="E766" s="2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  <c r="AA766" s="3"/>
      <c r="AB766" s="3"/>
      <c r="AC766" s="3"/>
    </row>
    <row r="767" ht="15.75" customHeight="1">
      <c r="A767" s="8"/>
      <c r="B767" s="8"/>
      <c r="C767" s="8"/>
      <c r="D767" s="8"/>
      <c r="E767" s="2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  <c r="AA767" s="3"/>
      <c r="AB767" s="3"/>
      <c r="AC767" s="3"/>
    </row>
    <row r="768" ht="15.75" customHeight="1">
      <c r="A768" s="8"/>
      <c r="B768" s="8"/>
      <c r="C768" s="8"/>
      <c r="D768" s="8"/>
      <c r="E768" s="2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  <c r="AA768" s="3"/>
      <c r="AB768" s="3"/>
      <c r="AC768" s="3"/>
    </row>
    <row r="769" ht="15.75" customHeight="1">
      <c r="A769" s="8"/>
      <c r="B769" s="8"/>
      <c r="C769" s="8"/>
      <c r="D769" s="8"/>
      <c r="E769" s="2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  <c r="AA769" s="3"/>
      <c r="AB769" s="3"/>
      <c r="AC769" s="3"/>
    </row>
    <row r="770" ht="15.75" customHeight="1">
      <c r="A770" s="8"/>
      <c r="B770" s="8"/>
      <c r="C770" s="8"/>
      <c r="D770" s="8"/>
      <c r="E770" s="2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  <c r="AA770" s="3"/>
      <c r="AB770" s="3"/>
      <c r="AC770" s="3"/>
    </row>
    <row r="771" ht="15.75" customHeight="1">
      <c r="A771" s="8"/>
      <c r="B771" s="8"/>
      <c r="C771" s="8"/>
      <c r="D771" s="8"/>
      <c r="E771" s="2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  <c r="AA771" s="3"/>
      <c r="AB771" s="3"/>
      <c r="AC771" s="3"/>
    </row>
    <row r="772" ht="15.75" customHeight="1">
      <c r="A772" s="8"/>
      <c r="B772" s="8"/>
      <c r="C772" s="8"/>
      <c r="D772" s="8"/>
      <c r="E772" s="2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  <c r="AA772" s="3"/>
      <c r="AB772" s="3"/>
      <c r="AC772" s="3"/>
    </row>
    <row r="773" ht="15.75" customHeight="1">
      <c r="A773" s="8"/>
      <c r="B773" s="8"/>
      <c r="C773" s="8"/>
      <c r="D773" s="8"/>
      <c r="E773" s="2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  <c r="AA773" s="3"/>
      <c r="AB773" s="3"/>
      <c r="AC773" s="3"/>
    </row>
    <row r="774" ht="15.75" customHeight="1">
      <c r="A774" s="8"/>
      <c r="B774" s="8"/>
      <c r="C774" s="8"/>
      <c r="D774" s="8"/>
      <c r="E774" s="2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  <c r="AA774" s="3"/>
      <c r="AB774" s="3"/>
      <c r="AC774" s="3"/>
    </row>
    <row r="775" ht="15.75" customHeight="1">
      <c r="A775" s="8"/>
      <c r="B775" s="8"/>
      <c r="C775" s="8"/>
      <c r="D775" s="8"/>
      <c r="E775" s="2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  <c r="AA775" s="3"/>
      <c r="AB775" s="3"/>
      <c r="AC775" s="3"/>
    </row>
    <row r="776" ht="15.75" customHeight="1">
      <c r="A776" s="8"/>
      <c r="B776" s="8"/>
      <c r="C776" s="8"/>
      <c r="D776" s="8"/>
      <c r="E776" s="2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  <c r="AA776" s="3"/>
      <c r="AB776" s="3"/>
      <c r="AC776" s="3"/>
    </row>
    <row r="777" ht="15.75" customHeight="1">
      <c r="A777" s="8"/>
      <c r="B777" s="8"/>
      <c r="C777" s="8"/>
      <c r="D777" s="8"/>
      <c r="E777" s="2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  <c r="AA777" s="3"/>
      <c r="AB777" s="3"/>
      <c r="AC777" s="3"/>
    </row>
    <row r="778" ht="15.75" customHeight="1">
      <c r="A778" s="8"/>
      <c r="B778" s="8"/>
      <c r="C778" s="8"/>
      <c r="D778" s="8"/>
      <c r="E778" s="2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  <c r="AA778" s="3"/>
      <c r="AB778" s="3"/>
      <c r="AC778" s="3"/>
    </row>
    <row r="779" ht="15.75" customHeight="1">
      <c r="A779" s="8"/>
      <c r="B779" s="8"/>
      <c r="C779" s="8"/>
      <c r="D779" s="8"/>
      <c r="E779" s="2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  <c r="AA779" s="3"/>
      <c r="AB779" s="3"/>
      <c r="AC779" s="3"/>
    </row>
    <row r="780" ht="15.75" customHeight="1">
      <c r="A780" s="8"/>
      <c r="B780" s="8"/>
      <c r="C780" s="8"/>
      <c r="D780" s="8"/>
      <c r="E780" s="2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  <c r="AA780" s="3"/>
      <c r="AB780" s="3"/>
      <c r="AC780" s="3"/>
    </row>
    <row r="781" ht="15.75" customHeight="1">
      <c r="A781" s="8"/>
      <c r="B781" s="8"/>
      <c r="C781" s="8"/>
      <c r="D781" s="8"/>
      <c r="E781" s="2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  <c r="AA781" s="3"/>
      <c r="AB781" s="3"/>
      <c r="AC781" s="3"/>
    </row>
    <row r="782" ht="15.75" customHeight="1">
      <c r="A782" s="8"/>
      <c r="B782" s="8"/>
      <c r="C782" s="8"/>
      <c r="D782" s="8"/>
      <c r="E782" s="2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  <c r="AA782" s="3"/>
      <c r="AB782" s="3"/>
      <c r="AC782" s="3"/>
    </row>
    <row r="783" ht="15.75" customHeight="1">
      <c r="A783" s="8"/>
      <c r="B783" s="8"/>
      <c r="C783" s="8"/>
      <c r="D783" s="8"/>
      <c r="E783" s="2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  <c r="AA783" s="3"/>
      <c r="AB783" s="3"/>
      <c r="AC783" s="3"/>
    </row>
    <row r="784" ht="15.75" customHeight="1">
      <c r="A784" s="8"/>
      <c r="B784" s="8"/>
      <c r="C784" s="8"/>
      <c r="D784" s="8"/>
      <c r="E784" s="2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  <c r="AA784" s="3"/>
      <c r="AB784" s="3"/>
      <c r="AC784" s="3"/>
    </row>
    <row r="785" ht="15.75" customHeight="1">
      <c r="A785" s="8"/>
      <c r="B785" s="8"/>
      <c r="C785" s="8"/>
      <c r="D785" s="8"/>
      <c r="E785" s="2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  <c r="AA785" s="3"/>
      <c r="AB785" s="3"/>
      <c r="AC785" s="3"/>
    </row>
    <row r="786" ht="15.75" customHeight="1">
      <c r="A786" s="8"/>
      <c r="B786" s="8"/>
      <c r="C786" s="8"/>
      <c r="D786" s="8"/>
      <c r="E786" s="2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  <c r="AA786" s="3"/>
      <c r="AB786" s="3"/>
      <c r="AC786" s="3"/>
    </row>
    <row r="787" ht="15.75" customHeight="1">
      <c r="A787" s="8"/>
      <c r="B787" s="8"/>
      <c r="C787" s="8"/>
      <c r="D787" s="8"/>
      <c r="E787" s="2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  <c r="AA787" s="3"/>
      <c r="AB787" s="3"/>
      <c r="AC787" s="3"/>
    </row>
    <row r="788" ht="15.75" customHeight="1">
      <c r="A788" s="8"/>
      <c r="B788" s="8"/>
      <c r="C788" s="8"/>
      <c r="D788" s="8"/>
      <c r="E788" s="2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  <c r="AA788" s="3"/>
      <c r="AB788" s="3"/>
      <c r="AC788" s="3"/>
    </row>
    <row r="789" ht="15.75" customHeight="1">
      <c r="A789" s="8"/>
      <c r="B789" s="8"/>
      <c r="C789" s="8"/>
      <c r="D789" s="8"/>
      <c r="E789" s="2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  <c r="AA789" s="3"/>
      <c r="AB789" s="3"/>
      <c r="AC789" s="3"/>
    </row>
    <row r="790" ht="15.75" customHeight="1">
      <c r="A790" s="8"/>
      <c r="B790" s="8"/>
      <c r="C790" s="8"/>
      <c r="D790" s="8"/>
      <c r="E790" s="2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  <c r="AA790" s="3"/>
      <c r="AB790" s="3"/>
      <c r="AC790" s="3"/>
    </row>
    <row r="791" ht="15.75" customHeight="1">
      <c r="A791" s="8"/>
      <c r="B791" s="8"/>
      <c r="C791" s="8"/>
      <c r="D791" s="8"/>
      <c r="E791" s="2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  <c r="AA791" s="3"/>
      <c r="AB791" s="3"/>
      <c r="AC791" s="3"/>
    </row>
    <row r="792" ht="15.75" customHeight="1">
      <c r="A792" s="8"/>
      <c r="B792" s="8"/>
      <c r="C792" s="8"/>
      <c r="D792" s="8"/>
      <c r="E792" s="2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  <c r="AA792" s="3"/>
      <c r="AB792" s="3"/>
      <c r="AC792" s="3"/>
    </row>
    <row r="793" ht="15.75" customHeight="1">
      <c r="A793" s="8"/>
      <c r="B793" s="8"/>
      <c r="C793" s="8"/>
      <c r="D793" s="8"/>
      <c r="E793" s="2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  <c r="AA793" s="3"/>
      <c r="AB793" s="3"/>
      <c r="AC793" s="3"/>
    </row>
    <row r="794" ht="15.75" customHeight="1">
      <c r="A794" s="8"/>
      <c r="B794" s="8"/>
      <c r="C794" s="8"/>
      <c r="D794" s="8"/>
      <c r="E794" s="2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  <c r="AA794" s="3"/>
      <c r="AB794" s="3"/>
      <c r="AC794" s="3"/>
    </row>
    <row r="795" ht="15.75" customHeight="1">
      <c r="A795" s="8"/>
      <c r="B795" s="8"/>
      <c r="C795" s="8"/>
      <c r="D795" s="8"/>
      <c r="E795" s="2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  <c r="AA795" s="3"/>
      <c r="AB795" s="3"/>
      <c r="AC795" s="3"/>
    </row>
    <row r="796" ht="15.75" customHeight="1">
      <c r="A796" s="8"/>
      <c r="B796" s="8"/>
      <c r="C796" s="8"/>
      <c r="D796" s="8"/>
      <c r="E796" s="2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  <c r="AA796" s="3"/>
      <c r="AB796" s="3"/>
      <c r="AC796" s="3"/>
    </row>
    <row r="797" ht="15.75" customHeight="1">
      <c r="A797" s="8"/>
      <c r="B797" s="8"/>
      <c r="C797" s="8"/>
      <c r="D797" s="8"/>
      <c r="E797" s="2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  <c r="AA797" s="3"/>
      <c r="AB797" s="3"/>
      <c r="AC797" s="3"/>
    </row>
    <row r="798" ht="15.75" customHeight="1">
      <c r="A798" s="8"/>
      <c r="B798" s="8"/>
      <c r="C798" s="8"/>
      <c r="D798" s="8"/>
      <c r="E798" s="2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  <c r="AA798" s="3"/>
      <c r="AB798" s="3"/>
      <c r="AC798" s="3"/>
    </row>
    <row r="799" ht="15.75" customHeight="1">
      <c r="A799" s="8"/>
      <c r="B799" s="8"/>
      <c r="C799" s="8"/>
      <c r="D799" s="8"/>
      <c r="E799" s="2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  <c r="AA799" s="3"/>
      <c r="AB799" s="3"/>
      <c r="AC799" s="3"/>
    </row>
    <row r="800" ht="15.75" customHeight="1">
      <c r="A800" s="8"/>
      <c r="B800" s="8"/>
      <c r="C800" s="8"/>
      <c r="D800" s="8"/>
      <c r="E800" s="2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  <c r="AA800" s="3"/>
      <c r="AB800" s="3"/>
      <c r="AC800" s="3"/>
    </row>
    <row r="801" ht="15.75" customHeight="1">
      <c r="A801" s="8"/>
      <c r="B801" s="8"/>
      <c r="C801" s="8"/>
      <c r="D801" s="8"/>
      <c r="E801" s="2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  <c r="AA801" s="3"/>
      <c r="AB801" s="3"/>
      <c r="AC801" s="3"/>
    </row>
    <row r="802" ht="15.75" customHeight="1">
      <c r="A802" s="8"/>
      <c r="B802" s="8"/>
      <c r="C802" s="8"/>
      <c r="D802" s="8"/>
      <c r="E802" s="2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  <c r="AA802" s="3"/>
      <c r="AB802" s="3"/>
      <c r="AC802" s="3"/>
    </row>
    <row r="803" ht="15.75" customHeight="1">
      <c r="A803" s="8"/>
      <c r="B803" s="8"/>
      <c r="C803" s="8"/>
      <c r="D803" s="8"/>
      <c r="E803" s="2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  <c r="AA803" s="3"/>
      <c r="AB803" s="3"/>
      <c r="AC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9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9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9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9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9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9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9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9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9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9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9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9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9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9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9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9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9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9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9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9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9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9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9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9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9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9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9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9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9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9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9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9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9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9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9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9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9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9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9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9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9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9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9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9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9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9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9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9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9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9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9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9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9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9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9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9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9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9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9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9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9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9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9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9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9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9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9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9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9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9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9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9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9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9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9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9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9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9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9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9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9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9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9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9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9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9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9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9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9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9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9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9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9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9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9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9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9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9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9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9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9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9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9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9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9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9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9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9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9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9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9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9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9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9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9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9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9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9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9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9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9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9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9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9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9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9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9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9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9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9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9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9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9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9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9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9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9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9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9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9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9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9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9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9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9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9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9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9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9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9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9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9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9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9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9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9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9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9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9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9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9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9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9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9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9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9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9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9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9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9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9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9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9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9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9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9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9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9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9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9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9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9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9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9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9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9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9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9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9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9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9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9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9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9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9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9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9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9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</sheetData>
  <mergeCells count="4">
    <mergeCell ref="A5:I5"/>
    <mergeCell ref="A31:E31"/>
    <mergeCell ref="A34:C34"/>
    <mergeCell ref="A35:C35"/>
  </mergeCells>
  <conditionalFormatting sqref="A7:A29">
    <cfRule type="containsText" dxfId="0" priority="1" operator="containsText" text="PENDIENTE">
      <formula>NOT(ISERROR(SEARCH(("PENDIENTE"),(A7))))</formula>
    </cfRule>
  </conditionalFormatting>
  <conditionalFormatting sqref="A7:A29">
    <cfRule type="containsText" dxfId="1" priority="2" operator="containsText" text="PAGADO">
      <formula>NOT(ISERROR(SEARCH(("PAGADO"),(A7))))</formula>
    </cfRule>
  </conditionalFormatting>
  <printOptions horizontalCentered="1"/>
  <pageMargins bottom="0.75" footer="0.0" header="0.0" left="0.7" right="0.7" top="0.75"/>
  <pageSetup fitToHeight="0" orientation="landscape"/>
  <headerFooter>
    <oddFooter>&amp;RCTS - Estado de Resultados Grupos y Convenciones Pág. &amp;P de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F1C8"/>
    <pageSetUpPr fitToPage="1"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2" width="26.71"/>
    <col customWidth="1" min="3" max="3" width="15.29"/>
    <col customWidth="1" min="4" max="4" width="76.43"/>
    <col customWidth="1" min="5" max="5" width="54.14"/>
    <col customWidth="1" min="6" max="6" width="22.43"/>
    <col customWidth="1" min="7" max="7" width="17.29"/>
    <col customWidth="1" min="8" max="8" width="22.43"/>
    <col customWidth="1" min="9" max="9" width="28.57"/>
    <col customWidth="1" min="10" max="10" width="24.0"/>
    <col customWidth="1" min="11" max="11" width="26.29"/>
    <col customWidth="1" min="12" max="13" width="13.43"/>
    <col customWidth="1" min="14" max="15" width="11.43"/>
    <col customWidth="1" min="16" max="16" width="12.57"/>
    <col customWidth="1" min="17" max="27" width="11.43"/>
  </cols>
  <sheetData>
    <row r="1" ht="35.25" customHeight="1">
      <c r="A1" s="7"/>
      <c r="B1" s="7"/>
      <c r="C1" s="9"/>
      <c r="D1" s="9"/>
      <c r="E1" s="9"/>
      <c r="F1" s="9"/>
      <c r="G1" s="9"/>
      <c r="H1" s="9"/>
      <c r="I1" s="9"/>
      <c r="J1" s="104"/>
      <c r="K1" s="10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5.0" customHeight="1">
      <c r="A2" s="4"/>
      <c r="B2" s="4"/>
      <c r="C2" s="4"/>
      <c r="D2" s="4"/>
      <c r="E2" s="3"/>
      <c r="F2" s="7"/>
      <c r="G2" s="7"/>
      <c r="H2" s="7"/>
      <c r="I2" s="3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>
      <c r="A3" s="8"/>
      <c r="B3" s="8"/>
      <c r="C3" s="9"/>
      <c r="D3" s="9"/>
      <c r="E3" s="3"/>
      <c r="F3" s="8"/>
      <c r="G3" s="8"/>
      <c r="H3" s="8"/>
      <c r="I3" s="3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</row>
    <row r="4">
      <c r="A4" s="8"/>
      <c r="B4" s="8"/>
      <c r="C4" s="8"/>
      <c r="D4" s="8"/>
      <c r="E4" s="3"/>
      <c r="F4" s="104"/>
      <c r="G4" s="104"/>
      <c r="H4" s="104"/>
      <c r="I4" s="3"/>
      <c r="J4" s="104"/>
      <c r="K4" s="10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</row>
    <row r="5">
      <c r="A5" s="397" t="s">
        <v>293</v>
      </c>
      <c r="B5" s="315"/>
      <c r="C5" s="315"/>
      <c r="D5" s="315"/>
      <c r="E5" s="315"/>
      <c r="F5" s="315"/>
      <c r="G5" s="315"/>
      <c r="H5" s="315"/>
      <c r="I5" s="315"/>
      <c r="J5" s="315"/>
      <c r="K5" s="316"/>
      <c r="L5" s="102"/>
      <c r="M5" s="102"/>
      <c r="N5" s="102"/>
      <c r="O5" s="102"/>
      <c r="P5" s="102"/>
      <c r="Q5" s="102"/>
      <c r="R5" s="2"/>
      <c r="S5" s="2"/>
      <c r="T5" s="2"/>
      <c r="U5" s="2"/>
      <c r="V5" s="2"/>
      <c r="W5" s="2"/>
      <c r="X5" s="2"/>
      <c r="Y5" s="2"/>
      <c r="Z5" s="2"/>
      <c r="AA5" s="2"/>
      <c r="AB5" s="3"/>
    </row>
    <row r="6">
      <c r="A6" s="20" t="s">
        <v>11</v>
      </c>
      <c r="B6" s="107" t="s">
        <v>38</v>
      </c>
      <c r="C6" s="21" t="s">
        <v>12</v>
      </c>
      <c r="D6" s="21" t="s">
        <v>13</v>
      </c>
      <c r="E6" s="21" t="s">
        <v>14</v>
      </c>
      <c r="F6" s="21" t="s">
        <v>294</v>
      </c>
      <c r="G6" s="21" t="s">
        <v>295</v>
      </c>
      <c r="H6" s="21" t="s">
        <v>16</v>
      </c>
      <c r="I6" s="21" t="s">
        <v>17</v>
      </c>
      <c r="J6" s="22" t="s">
        <v>18</v>
      </c>
      <c r="K6" s="22" t="s">
        <v>39</v>
      </c>
      <c r="L6" s="109"/>
      <c r="M6" s="109"/>
      <c r="N6" s="109"/>
      <c r="O6" s="109"/>
      <c r="P6" s="109"/>
      <c r="Q6" s="109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53"/>
    </row>
    <row r="7">
      <c r="A7" s="398" t="s">
        <v>19</v>
      </c>
      <c r="B7" s="399" t="s">
        <v>42</v>
      </c>
      <c r="C7" s="26"/>
      <c r="D7" s="26"/>
      <c r="E7" s="400" t="s">
        <v>296</v>
      </c>
      <c r="F7" s="321">
        <v>50.86</v>
      </c>
      <c r="G7" s="401">
        <f>25+30+60+75</f>
        <v>190</v>
      </c>
      <c r="H7" s="30">
        <f t="shared" ref="H7:H173" si="1">F7*G7</f>
        <v>9663.4</v>
      </c>
      <c r="I7" s="402">
        <f t="shared" ref="I7:I173" si="2">H7*16%</f>
        <v>1546.144</v>
      </c>
      <c r="J7" s="323">
        <f t="shared" ref="J7:J173" si="3">SUM(H7:I7)</f>
        <v>11209.544</v>
      </c>
      <c r="K7" s="403" t="s">
        <v>297</v>
      </c>
      <c r="L7" s="325"/>
      <c r="M7" s="326"/>
      <c r="N7" s="326"/>
      <c r="O7" s="326"/>
      <c r="P7" s="32"/>
      <c r="Q7" s="32"/>
      <c r="R7" s="33"/>
      <c r="S7" s="33"/>
      <c r="T7" s="33"/>
      <c r="U7" s="33"/>
      <c r="V7" s="33"/>
      <c r="W7" s="33"/>
      <c r="X7" s="33"/>
      <c r="Y7" s="33"/>
      <c r="Z7" s="33"/>
      <c r="AA7" s="33"/>
      <c r="AB7" s="34"/>
    </row>
    <row r="8">
      <c r="A8" s="317" t="s">
        <v>19</v>
      </c>
      <c r="B8" s="318" t="s">
        <v>42</v>
      </c>
      <c r="C8" s="328"/>
      <c r="D8" s="328"/>
      <c r="E8" s="320" t="s">
        <v>298</v>
      </c>
      <c r="F8" s="329">
        <v>235.55</v>
      </c>
      <c r="G8" s="404">
        <f>50+4+7+27+2+29+5+2+16+10+23+6+7+13++6</f>
        <v>207</v>
      </c>
      <c r="H8" s="393">
        <f t="shared" si="1"/>
        <v>48758.85</v>
      </c>
      <c r="I8" s="394">
        <f t="shared" si="2"/>
        <v>7801.416</v>
      </c>
      <c r="J8" s="331">
        <f t="shared" si="3"/>
        <v>56560.266</v>
      </c>
      <c r="K8" s="405" t="s">
        <v>299</v>
      </c>
      <c r="L8" s="325"/>
      <c r="M8" s="326"/>
      <c r="N8" s="326"/>
      <c r="O8" s="326"/>
      <c r="P8" s="32"/>
      <c r="Q8" s="32"/>
      <c r="R8" s="33"/>
      <c r="S8" s="33"/>
      <c r="T8" s="33"/>
      <c r="U8" s="33"/>
      <c r="V8" s="33"/>
      <c r="W8" s="33"/>
      <c r="X8" s="33"/>
      <c r="Y8" s="33"/>
      <c r="Z8" s="33"/>
      <c r="AA8" s="33"/>
      <c r="AB8" s="34"/>
    </row>
    <row r="9">
      <c r="A9" s="317" t="s">
        <v>19</v>
      </c>
      <c r="B9" s="318" t="s">
        <v>42</v>
      </c>
      <c r="C9" s="328"/>
      <c r="D9" s="328"/>
      <c r="E9" s="320" t="s">
        <v>300</v>
      </c>
      <c r="F9" s="329">
        <v>387.07</v>
      </c>
      <c r="G9" s="404">
        <f>36+2+20+4+7+5+3+12+6+10+11+22+10+4+15+5+2+2+12+2+4+3+22+27+12+8+1</f>
        <v>267</v>
      </c>
      <c r="H9" s="393">
        <f t="shared" si="1"/>
        <v>103347.69</v>
      </c>
      <c r="I9" s="394">
        <f t="shared" si="2"/>
        <v>16535.6304</v>
      </c>
      <c r="J9" s="331">
        <f t="shared" si="3"/>
        <v>119883.3204</v>
      </c>
      <c r="K9" s="405" t="s">
        <v>301</v>
      </c>
      <c r="L9" s="325"/>
      <c r="M9" s="326"/>
      <c r="N9" s="326"/>
      <c r="O9" s="326"/>
      <c r="P9" s="32"/>
      <c r="Q9" s="32"/>
      <c r="R9" s="33"/>
      <c r="S9" s="33"/>
      <c r="T9" s="33"/>
      <c r="U9" s="33"/>
      <c r="V9" s="33"/>
      <c r="W9" s="33"/>
      <c r="X9" s="33"/>
      <c r="Y9" s="33"/>
      <c r="Z9" s="33"/>
      <c r="AA9" s="33"/>
      <c r="AB9" s="34"/>
    </row>
    <row r="10">
      <c r="A10" s="317" t="s">
        <v>19</v>
      </c>
      <c r="B10" s="318" t="s">
        <v>42</v>
      </c>
      <c r="C10" s="328"/>
      <c r="D10" s="328"/>
      <c r="E10" s="320" t="s">
        <v>302</v>
      </c>
      <c r="F10" s="329">
        <v>96.05</v>
      </c>
      <c r="G10" s="404">
        <f>1+2+1+2+1+1+2</f>
        <v>10</v>
      </c>
      <c r="H10" s="393">
        <f t="shared" si="1"/>
        <v>960.5</v>
      </c>
      <c r="I10" s="394">
        <f t="shared" si="2"/>
        <v>153.68</v>
      </c>
      <c r="J10" s="331">
        <f t="shared" si="3"/>
        <v>1114.18</v>
      </c>
      <c r="K10" s="406" t="s">
        <v>303</v>
      </c>
      <c r="L10" s="32"/>
      <c r="M10" s="32"/>
      <c r="N10" s="32"/>
      <c r="O10" s="32"/>
      <c r="P10" s="32"/>
      <c r="Q10" s="32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4"/>
    </row>
    <row r="11">
      <c r="A11" s="317" t="s">
        <v>19</v>
      </c>
      <c r="B11" s="318" t="s">
        <v>42</v>
      </c>
      <c r="C11" s="351"/>
      <c r="D11" s="351"/>
      <c r="E11" s="320" t="s">
        <v>304</v>
      </c>
      <c r="F11" s="329">
        <v>399.0</v>
      </c>
      <c r="G11" s="404">
        <f>1+2+1</f>
        <v>4</v>
      </c>
      <c r="H11" s="393">
        <f t="shared" si="1"/>
        <v>1596</v>
      </c>
      <c r="I11" s="394">
        <f t="shared" si="2"/>
        <v>255.36</v>
      </c>
      <c r="J11" s="331">
        <f t="shared" si="3"/>
        <v>1851.36</v>
      </c>
      <c r="K11" s="406" t="s">
        <v>305</v>
      </c>
      <c r="L11" s="32"/>
      <c r="M11" s="32"/>
      <c r="N11" s="32"/>
      <c r="O11" s="32"/>
      <c r="P11" s="32"/>
      <c r="Q11" s="3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4"/>
    </row>
    <row r="12">
      <c r="A12" s="317" t="s">
        <v>19</v>
      </c>
      <c r="B12" s="318" t="s">
        <v>42</v>
      </c>
      <c r="C12" s="351"/>
      <c r="D12" s="351"/>
      <c r="E12" s="320" t="s">
        <v>306</v>
      </c>
      <c r="F12" s="329">
        <v>245.77</v>
      </c>
      <c r="G12" s="404">
        <f>1+1+1+1+1+1+1+5</f>
        <v>12</v>
      </c>
      <c r="H12" s="393">
        <f t="shared" si="1"/>
        <v>2949.24</v>
      </c>
      <c r="I12" s="394">
        <f t="shared" si="2"/>
        <v>471.8784</v>
      </c>
      <c r="J12" s="331">
        <f t="shared" si="3"/>
        <v>3421.1184</v>
      </c>
      <c r="K12" s="405" t="s">
        <v>307</v>
      </c>
      <c r="L12" s="32"/>
      <c r="M12" s="32"/>
      <c r="N12" s="32"/>
      <c r="O12" s="32"/>
      <c r="P12" s="32"/>
      <c r="Q12" s="32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4"/>
    </row>
    <row r="13">
      <c r="A13" s="317" t="s">
        <v>19</v>
      </c>
      <c r="B13" s="318" t="s">
        <v>42</v>
      </c>
      <c r="C13" s="351"/>
      <c r="D13" s="351"/>
      <c r="E13" s="320" t="s">
        <v>308</v>
      </c>
      <c r="F13" s="329">
        <v>82.11</v>
      </c>
      <c r="G13" s="404">
        <f>18+20+4</f>
        <v>42</v>
      </c>
      <c r="H13" s="393">
        <f t="shared" si="1"/>
        <v>3448.62</v>
      </c>
      <c r="I13" s="394">
        <f t="shared" si="2"/>
        <v>551.7792</v>
      </c>
      <c r="J13" s="331">
        <f t="shared" si="3"/>
        <v>4000.3992</v>
      </c>
      <c r="K13" s="406" t="s">
        <v>309</v>
      </c>
      <c r="L13" s="32"/>
      <c r="M13" s="32"/>
      <c r="N13" s="32"/>
      <c r="O13" s="32"/>
      <c r="P13" s="32"/>
      <c r="Q13" s="32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4"/>
    </row>
    <row r="14">
      <c r="A14" s="317" t="s">
        <v>19</v>
      </c>
      <c r="B14" s="318" t="s">
        <v>42</v>
      </c>
      <c r="C14" s="351"/>
      <c r="D14" s="351"/>
      <c r="E14" s="320" t="s">
        <v>310</v>
      </c>
      <c r="F14" s="329">
        <v>163.52</v>
      </c>
      <c r="G14" s="404">
        <f>19+19+19</f>
        <v>57</v>
      </c>
      <c r="H14" s="393">
        <f t="shared" si="1"/>
        <v>9320.64</v>
      </c>
      <c r="I14" s="394">
        <f t="shared" si="2"/>
        <v>1491.3024</v>
      </c>
      <c r="J14" s="331">
        <f t="shared" si="3"/>
        <v>10811.9424</v>
      </c>
      <c r="K14" s="406" t="s">
        <v>311</v>
      </c>
      <c r="L14" s="32"/>
      <c r="M14" s="32"/>
      <c r="N14" s="32"/>
      <c r="O14" s="32"/>
      <c r="P14" s="32"/>
      <c r="Q14" s="32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</row>
    <row r="15">
      <c r="A15" s="317" t="s">
        <v>19</v>
      </c>
      <c r="B15" s="318" t="s">
        <v>42</v>
      </c>
      <c r="C15" s="351"/>
      <c r="D15" s="351"/>
      <c r="E15" s="320" t="s">
        <v>312</v>
      </c>
      <c r="F15" s="329">
        <v>10.77</v>
      </c>
      <c r="G15" s="404">
        <f>3+2+2+1+1+2+2+3+2+6</f>
        <v>24</v>
      </c>
      <c r="H15" s="393">
        <f t="shared" si="1"/>
        <v>258.48</v>
      </c>
      <c r="I15" s="394">
        <f t="shared" si="2"/>
        <v>41.3568</v>
      </c>
      <c r="J15" s="331">
        <f t="shared" si="3"/>
        <v>299.8368</v>
      </c>
      <c r="K15" s="405" t="s">
        <v>313</v>
      </c>
      <c r="L15" s="32"/>
      <c r="M15" s="32"/>
      <c r="N15" s="32"/>
      <c r="O15" s="32"/>
      <c r="P15" s="32"/>
      <c r="Q15" s="32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4"/>
    </row>
    <row r="16">
      <c r="A16" s="317" t="s">
        <v>19</v>
      </c>
      <c r="B16" s="318" t="s">
        <v>42</v>
      </c>
      <c r="C16" s="351"/>
      <c r="D16" s="351"/>
      <c r="E16" s="320" t="s">
        <v>314</v>
      </c>
      <c r="F16" s="329">
        <v>33.62</v>
      </c>
      <c r="G16" s="404">
        <f>3+1+2+4+10</f>
        <v>20</v>
      </c>
      <c r="H16" s="393">
        <f t="shared" si="1"/>
        <v>672.4</v>
      </c>
      <c r="I16" s="394">
        <f t="shared" si="2"/>
        <v>107.584</v>
      </c>
      <c r="J16" s="331">
        <f t="shared" si="3"/>
        <v>779.984</v>
      </c>
      <c r="K16" s="406" t="s">
        <v>315</v>
      </c>
      <c r="L16" s="325"/>
      <c r="M16" s="326"/>
      <c r="N16" s="326"/>
      <c r="O16" s="326"/>
      <c r="P16" s="32"/>
      <c r="Q16" s="32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4"/>
    </row>
    <row r="17">
      <c r="A17" s="317" t="s">
        <v>19</v>
      </c>
      <c r="B17" s="318" t="s">
        <v>42</v>
      </c>
      <c r="C17" s="351"/>
      <c r="D17" s="351"/>
      <c r="E17" s="320" t="s">
        <v>316</v>
      </c>
      <c r="F17" s="329">
        <v>32.5</v>
      </c>
      <c r="G17" s="404">
        <f>20+20+20+10</f>
        <v>70</v>
      </c>
      <c r="H17" s="393">
        <f t="shared" si="1"/>
        <v>2275</v>
      </c>
      <c r="I17" s="394">
        <f t="shared" si="2"/>
        <v>364</v>
      </c>
      <c r="J17" s="331">
        <f t="shared" si="3"/>
        <v>2639</v>
      </c>
      <c r="K17" s="406" t="s">
        <v>317</v>
      </c>
      <c r="L17" s="325"/>
      <c r="M17" s="326"/>
      <c r="N17" s="326"/>
      <c r="O17" s="326"/>
      <c r="P17" s="32"/>
      <c r="Q17" s="32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4"/>
    </row>
    <row r="18">
      <c r="A18" s="317" t="s">
        <v>19</v>
      </c>
      <c r="B18" s="318" t="s">
        <v>42</v>
      </c>
      <c r="C18" s="351"/>
      <c r="D18" s="351"/>
      <c r="E18" s="320" t="s">
        <v>318</v>
      </c>
      <c r="F18" s="329">
        <v>399.0</v>
      </c>
      <c r="G18" s="404">
        <f>1+1+1+1+1</f>
        <v>5</v>
      </c>
      <c r="H18" s="393">
        <f t="shared" si="1"/>
        <v>1995</v>
      </c>
      <c r="I18" s="394">
        <f t="shared" si="2"/>
        <v>319.2</v>
      </c>
      <c r="J18" s="331">
        <f t="shared" si="3"/>
        <v>2314.2</v>
      </c>
      <c r="K18" s="406" t="s">
        <v>319</v>
      </c>
      <c r="L18" s="325"/>
      <c r="M18" s="326"/>
      <c r="N18" s="326"/>
      <c r="O18" s="326"/>
      <c r="P18" s="32"/>
      <c r="Q18" s="32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4"/>
    </row>
    <row r="19">
      <c r="A19" s="317" t="s">
        <v>19</v>
      </c>
      <c r="B19" s="318" t="s">
        <v>42</v>
      </c>
      <c r="C19" s="351"/>
      <c r="D19" s="351"/>
      <c r="E19" s="320" t="s">
        <v>320</v>
      </c>
      <c r="F19" s="329">
        <v>318.1</v>
      </c>
      <c r="G19" s="404">
        <f>15+10+8+10+6+6+2+28</f>
        <v>85</v>
      </c>
      <c r="H19" s="393">
        <f t="shared" si="1"/>
        <v>27038.5</v>
      </c>
      <c r="I19" s="394">
        <f t="shared" si="2"/>
        <v>4326.16</v>
      </c>
      <c r="J19" s="331">
        <f t="shared" si="3"/>
        <v>31364.66</v>
      </c>
      <c r="K19" s="405" t="s">
        <v>321</v>
      </c>
      <c r="L19" s="325"/>
      <c r="M19" s="326"/>
      <c r="N19" s="326"/>
      <c r="O19" s="326"/>
      <c r="P19" s="32"/>
      <c r="Q19" s="32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/>
    </row>
    <row r="20">
      <c r="A20" s="317" t="s">
        <v>19</v>
      </c>
      <c r="B20" s="318" t="s">
        <v>42</v>
      </c>
      <c r="C20" s="351"/>
      <c r="D20" s="351"/>
      <c r="E20" s="320" t="s">
        <v>322</v>
      </c>
      <c r="F20" s="329">
        <v>80.0</v>
      </c>
      <c r="G20" s="404">
        <f>1+1</f>
        <v>2</v>
      </c>
      <c r="H20" s="393">
        <f t="shared" si="1"/>
        <v>160</v>
      </c>
      <c r="I20" s="394">
        <f t="shared" si="2"/>
        <v>25.6</v>
      </c>
      <c r="J20" s="331">
        <f t="shared" si="3"/>
        <v>185.6</v>
      </c>
      <c r="K20" s="406" t="s">
        <v>323</v>
      </c>
      <c r="L20" s="32"/>
      <c r="M20" s="32"/>
      <c r="N20" s="32"/>
      <c r="O20" s="32"/>
      <c r="P20" s="32"/>
      <c r="Q20" s="32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4"/>
    </row>
    <row r="21">
      <c r="A21" s="317" t="s">
        <v>19</v>
      </c>
      <c r="B21" s="318" t="s">
        <v>42</v>
      </c>
      <c r="C21" s="351"/>
      <c r="D21" s="351"/>
      <c r="E21" s="320" t="s">
        <v>324</v>
      </c>
      <c r="F21" s="329">
        <v>111.0</v>
      </c>
      <c r="G21" s="404">
        <f>1+2</f>
        <v>3</v>
      </c>
      <c r="H21" s="393">
        <f t="shared" si="1"/>
        <v>333</v>
      </c>
      <c r="I21" s="394">
        <f t="shared" si="2"/>
        <v>53.28</v>
      </c>
      <c r="J21" s="331">
        <f t="shared" si="3"/>
        <v>386.28</v>
      </c>
      <c r="K21" s="406" t="s">
        <v>325</v>
      </c>
      <c r="L21" s="32"/>
      <c r="M21" s="32"/>
      <c r="N21" s="32"/>
      <c r="O21" s="32"/>
      <c r="P21" s="32"/>
      <c r="Q21" s="32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4"/>
    </row>
    <row r="22">
      <c r="A22" s="317" t="s">
        <v>19</v>
      </c>
      <c r="B22" s="318" t="s">
        <v>42</v>
      </c>
      <c r="C22" s="351"/>
      <c r="D22" s="351"/>
      <c r="E22" s="320" t="s">
        <v>326</v>
      </c>
      <c r="F22" s="329">
        <v>10.3</v>
      </c>
      <c r="G22" s="404">
        <f>5+5+2+10+5+10</f>
        <v>37</v>
      </c>
      <c r="H22" s="393">
        <f t="shared" si="1"/>
        <v>381.1</v>
      </c>
      <c r="I22" s="394">
        <f t="shared" si="2"/>
        <v>60.976</v>
      </c>
      <c r="J22" s="331">
        <f t="shared" si="3"/>
        <v>442.076</v>
      </c>
      <c r="K22" s="406" t="s">
        <v>327</v>
      </c>
      <c r="L22" s="32"/>
      <c r="M22" s="32"/>
      <c r="N22" s="32"/>
      <c r="O22" s="32"/>
      <c r="P22" s="32"/>
      <c r="Q22" s="32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4"/>
    </row>
    <row r="23">
      <c r="A23" s="317" t="s">
        <v>19</v>
      </c>
      <c r="B23" s="318" t="s">
        <v>42</v>
      </c>
      <c r="C23" s="351"/>
      <c r="D23" s="351"/>
      <c r="E23" s="320" t="s">
        <v>328</v>
      </c>
      <c r="F23" s="329">
        <v>186.13</v>
      </c>
      <c r="G23" s="404">
        <f>19+19+19+19+19</f>
        <v>95</v>
      </c>
      <c r="H23" s="393">
        <f t="shared" si="1"/>
        <v>17682.35</v>
      </c>
      <c r="I23" s="394">
        <f t="shared" si="2"/>
        <v>2829.176</v>
      </c>
      <c r="J23" s="331">
        <f t="shared" si="3"/>
        <v>20511.526</v>
      </c>
      <c r="K23" s="406" t="s">
        <v>329</v>
      </c>
      <c r="L23" s="32"/>
      <c r="M23" s="32"/>
      <c r="N23" s="32"/>
      <c r="O23" s="32"/>
      <c r="P23" s="32"/>
      <c r="Q23" s="32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4"/>
    </row>
    <row r="24">
      <c r="A24" s="317" t="s">
        <v>19</v>
      </c>
      <c r="B24" s="318" t="s">
        <v>42</v>
      </c>
      <c r="C24" s="351"/>
      <c r="D24" s="351"/>
      <c r="E24" s="320" t="s">
        <v>330</v>
      </c>
      <c r="F24" s="329">
        <v>0.3</v>
      </c>
      <c r="G24" s="404">
        <f>400+300+100+700+12000</f>
        <v>13500</v>
      </c>
      <c r="H24" s="393">
        <f t="shared" si="1"/>
        <v>4050</v>
      </c>
      <c r="I24" s="394">
        <f t="shared" si="2"/>
        <v>648</v>
      </c>
      <c r="J24" s="331">
        <f t="shared" si="3"/>
        <v>4698</v>
      </c>
      <c r="K24" s="406" t="s">
        <v>331</v>
      </c>
      <c r="L24" s="32"/>
      <c r="M24" s="32"/>
      <c r="N24" s="32"/>
      <c r="O24" s="32"/>
      <c r="P24" s="32"/>
      <c r="Q24" s="32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4"/>
    </row>
    <row r="25">
      <c r="A25" s="317" t="s">
        <v>19</v>
      </c>
      <c r="B25" s="318" t="s">
        <v>42</v>
      </c>
      <c r="C25" s="351"/>
      <c r="D25" s="351"/>
      <c r="E25" s="320" t="s">
        <v>332</v>
      </c>
      <c r="F25" s="329">
        <v>10.12</v>
      </c>
      <c r="G25" s="404">
        <f>1+1+3</f>
        <v>5</v>
      </c>
      <c r="H25" s="393">
        <f t="shared" si="1"/>
        <v>50.6</v>
      </c>
      <c r="I25" s="394">
        <f t="shared" si="2"/>
        <v>8.096</v>
      </c>
      <c r="J25" s="331">
        <f t="shared" si="3"/>
        <v>58.696</v>
      </c>
      <c r="K25" s="406" t="s">
        <v>333</v>
      </c>
      <c r="L25" s="32"/>
      <c r="M25" s="32"/>
      <c r="N25" s="32"/>
      <c r="O25" s="32"/>
      <c r="P25" s="32"/>
      <c r="Q25" s="32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4"/>
    </row>
    <row r="26">
      <c r="A26" s="407" t="s">
        <v>19</v>
      </c>
      <c r="B26" s="408" t="s">
        <v>42</v>
      </c>
      <c r="C26" s="409"/>
      <c r="D26" s="410" t="s">
        <v>334</v>
      </c>
      <c r="E26" s="411" t="s">
        <v>335</v>
      </c>
      <c r="F26" s="412">
        <v>0.0</v>
      </c>
      <c r="G26" s="413">
        <f>2+2+1+3+3+1</f>
        <v>12</v>
      </c>
      <c r="H26" s="414">
        <f t="shared" si="1"/>
        <v>0</v>
      </c>
      <c r="I26" s="415">
        <f t="shared" si="2"/>
        <v>0</v>
      </c>
      <c r="J26" s="416">
        <f t="shared" si="3"/>
        <v>0</v>
      </c>
      <c r="K26" s="417" t="s">
        <v>336</v>
      </c>
      <c r="L26" s="418"/>
      <c r="M26" s="419"/>
      <c r="N26" s="419"/>
      <c r="O26" s="419"/>
      <c r="P26" s="420"/>
      <c r="Q26" s="420"/>
      <c r="R26" s="421"/>
      <c r="S26" s="421"/>
      <c r="T26" s="421"/>
      <c r="U26" s="421"/>
      <c r="V26" s="421"/>
      <c r="W26" s="421"/>
      <c r="X26" s="421"/>
      <c r="Y26" s="421"/>
      <c r="Z26" s="421"/>
      <c r="AA26" s="421"/>
      <c r="AB26" s="422"/>
    </row>
    <row r="27">
      <c r="A27" s="407" t="s">
        <v>19</v>
      </c>
      <c r="B27" s="408" t="s">
        <v>42</v>
      </c>
      <c r="C27" s="409"/>
      <c r="D27" s="410" t="s">
        <v>334</v>
      </c>
      <c r="E27" s="411" t="s">
        <v>337</v>
      </c>
      <c r="F27" s="412">
        <v>0.0</v>
      </c>
      <c r="G27" s="413">
        <f>1+2</f>
        <v>3</v>
      </c>
      <c r="H27" s="414">
        <f t="shared" si="1"/>
        <v>0</v>
      </c>
      <c r="I27" s="415">
        <f t="shared" si="2"/>
        <v>0</v>
      </c>
      <c r="J27" s="416">
        <f t="shared" si="3"/>
        <v>0</v>
      </c>
      <c r="K27" s="417" t="s">
        <v>338</v>
      </c>
      <c r="L27" s="418"/>
      <c r="M27" s="419"/>
      <c r="N27" s="419"/>
      <c r="O27" s="419"/>
      <c r="P27" s="420"/>
      <c r="Q27" s="420"/>
      <c r="R27" s="421"/>
      <c r="S27" s="421"/>
      <c r="T27" s="421"/>
      <c r="U27" s="421"/>
      <c r="V27" s="421"/>
      <c r="W27" s="421"/>
      <c r="X27" s="421"/>
      <c r="Y27" s="421"/>
      <c r="Z27" s="421"/>
      <c r="AA27" s="421"/>
      <c r="AB27" s="422"/>
    </row>
    <row r="28">
      <c r="A28" s="407" t="s">
        <v>19</v>
      </c>
      <c r="B28" s="408" t="s">
        <v>42</v>
      </c>
      <c r="C28" s="409"/>
      <c r="D28" s="410" t="s">
        <v>334</v>
      </c>
      <c r="E28" s="411" t="s">
        <v>339</v>
      </c>
      <c r="F28" s="412">
        <v>0.0</v>
      </c>
      <c r="G28" s="413">
        <v>1.0</v>
      </c>
      <c r="H28" s="414">
        <f t="shared" si="1"/>
        <v>0</v>
      </c>
      <c r="I28" s="415">
        <f t="shared" si="2"/>
        <v>0</v>
      </c>
      <c r="J28" s="416">
        <f t="shared" si="3"/>
        <v>0</v>
      </c>
      <c r="K28" s="423">
        <v>45922.0</v>
      </c>
      <c r="L28" s="418"/>
      <c r="M28" s="419"/>
      <c r="N28" s="419"/>
      <c r="O28" s="419"/>
      <c r="P28" s="420"/>
      <c r="Q28" s="420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2"/>
    </row>
    <row r="29">
      <c r="A29" s="317" t="s">
        <v>19</v>
      </c>
      <c r="B29" s="318" t="s">
        <v>42</v>
      </c>
      <c r="C29" s="351"/>
      <c r="D29" s="351"/>
      <c r="E29" s="320" t="s">
        <v>340</v>
      </c>
      <c r="F29" s="329">
        <v>11.24</v>
      </c>
      <c r="G29" s="404">
        <f>2+1+4</f>
        <v>7</v>
      </c>
      <c r="H29" s="393">
        <f t="shared" si="1"/>
        <v>78.68</v>
      </c>
      <c r="I29" s="394">
        <f t="shared" si="2"/>
        <v>12.5888</v>
      </c>
      <c r="J29" s="331">
        <f t="shared" si="3"/>
        <v>91.2688</v>
      </c>
      <c r="K29" s="406" t="s">
        <v>341</v>
      </c>
      <c r="L29" s="325"/>
      <c r="M29" s="326"/>
      <c r="N29" s="326"/>
      <c r="O29" s="326"/>
      <c r="P29" s="32"/>
      <c r="Q29" s="32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4"/>
    </row>
    <row r="30">
      <c r="A30" s="317" t="s">
        <v>19</v>
      </c>
      <c r="B30" s="318" t="s">
        <v>42</v>
      </c>
      <c r="C30" s="351"/>
      <c r="D30" s="351"/>
      <c r="E30" s="320" t="s">
        <v>342</v>
      </c>
      <c r="F30" s="329">
        <v>18.97</v>
      </c>
      <c r="G30" s="404">
        <f>1+5</f>
        <v>6</v>
      </c>
      <c r="H30" s="393">
        <f t="shared" si="1"/>
        <v>113.82</v>
      </c>
      <c r="I30" s="394">
        <f t="shared" si="2"/>
        <v>18.2112</v>
      </c>
      <c r="J30" s="331">
        <f t="shared" si="3"/>
        <v>132.0312</v>
      </c>
      <c r="K30" s="406" t="s">
        <v>343</v>
      </c>
      <c r="L30" s="325"/>
      <c r="M30" s="326"/>
      <c r="N30" s="326"/>
      <c r="O30" s="326"/>
      <c r="P30" s="32"/>
      <c r="Q30" s="32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4"/>
    </row>
    <row r="31">
      <c r="A31" s="317" t="s">
        <v>19</v>
      </c>
      <c r="B31" s="318" t="s">
        <v>42</v>
      </c>
      <c r="C31" s="351"/>
      <c r="D31" s="351"/>
      <c r="E31" s="320" t="s">
        <v>344</v>
      </c>
      <c r="F31" s="329">
        <v>6.0</v>
      </c>
      <c r="G31" s="404">
        <f>5+5+10</f>
        <v>20</v>
      </c>
      <c r="H31" s="393">
        <f t="shared" si="1"/>
        <v>120</v>
      </c>
      <c r="I31" s="394">
        <f t="shared" si="2"/>
        <v>19.2</v>
      </c>
      <c r="J31" s="331">
        <f t="shared" si="3"/>
        <v>139.2</v>
      </c>
      <c r="K31" s="406" t="s">
        <v>345</v>
      </c>
      <c r="L31" s="325"/>
      <c r="M31" s="326"/>
      <c r="N31" s="326"/>
      <c r="O31" s="326"/>
      <c r="P31" s="32"/>
      <c r="Q31" s="32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4"/>
    </row>
    <row r="32">
      <c r="A32" s="317" t="s">
        <v>19</v>
      </c>
      <c r="B32" s="318" t="s">
        <v>42</v>
      </c>
      <c r="C32" s="351"/>
      <c r="D32" s="351"/>
      <c r="E32" s="320" t="s">
        <v>346</v>
      </c>
      <c r="F32" s="329">
        <v>11.02</v>
      </c>
      <c r="G32" s="404">
        <f>40+40</f>
        <v>80</v>
      </c>
      <c r="H32" s="393">
        <f t="shared" si="1"/>
        <v>881.6</v>
      </c>
      <c r="I32" s="394">
        <f t="shared" si="2"/>
        <v>141.056</v>
      </c>
      <c r="J32" s="331">
        <f t="shared" si="3"/>
        <v>1022.656</v>
      </c>
      <c r="K32" s="406" t="s">
        <v>347</v>
      </c>
      <c r="L32" s="325"/>
      <c r="M32" s="326"/>
      <c r="N32" s="326"/>
      <c r="O32" s="326"/>
      <c r="P32" s="32"/>
      <c r="Q32" s="32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4"/>
    </row>
    <row r="33">
      <c r="A33" s="317" t="s">
        <v>19</v>
      </c>
      <c r="B33" s="318" t="s">
        <v>42</v>
      </c>
      <c r="C33" s="351"/>
      <c r="D33" s="351"/>
      <c r="E33" s="320" t="s">
        <v>348</v>
      </c>
      <c r="F33" s="329">
        <v>49.9</v>
      </c>
      <c r="G33" s="404">
        <v>1.0</v>
      </c>
      <c r="H33" s="393">
        <f t="shared" si="1"/>
        <v>49.9</v>
      </c>
      <c r="I33" s="394">
        <f t="shared" si="2"/>
        <v>7.984</v>
      </c>
      <c r="J33" s="331">
        <f t="shared" si="3"/>
        <v>57.884</v>
      </c>
      <c r="K33" s="332">
        <v>45923.0</v>
      </c>
      <c r="L33" s="325"/>
      <c r="M33" s="326"/>
      <c r="N33" s="326"/>
      <c r="O33" s="326"/>
      <c r="P33" s="32"/>
      <c r="Q33" s="32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4"/>
    </row>
    <row r="34">
      <c r="A34" s="317" t="s">
        <v>19</v>
      </c>
      <c r="B34" s="318" t="s">
        <v>42</v>
      </c>
      <c r="C34" s="351"/>
      <c r="D34" s="351"/>
      <c r="E34" s="320" t="s">
        <v>349</v>
      </c>
      <c r="F34" s="329">
        <v>190.23</v>
      </c>
      <c r="G34" s="404">
        <f>1+1+1+4</f>
        <v>7</v>
      </c>
      <c r="H34" s="393">
        <f t="shared" si="1"/>
        <v>1331.61</v>
      </c>
      <c r="I34" s="394">
        <f t="shared" si="2"/>
        <v>213.0576</v>
      </c>
      <c r="J34" s="331">
        <f t="shared" si="3"/>
        <v>1544.6676</v>
      </c>
      <c r="K34" s="406" t="s">
        <v>350</v>
      </c>
      <c r="L34" s="325"/>
      <c r="M34" s="326"/>
      <c r="N34" s="326"/>
      <c r="O34" s="326"/>
      <c r="P34" s="32"/>
      <c r="Q34" s="32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4"/>
    </row>
    <row r="35">
      <c r="A35" s="317" t="s">
        <v>19</v>
      </c>
      <c r="B35" s="318" t="s">
        <v>42</v>
      </c>
      <c r="C35" s="351"/>
      <c r="D35" s="351"/>
      <c r="E35" s="320" t="s">
        <v>351</v>
      </c>
      <c r="F35" s="329">
        <v>52.2</v>
      </c>
      <c r="G35" s="404">
        <f>1+1+1+1</f>
        <v>4</v>
      </c>
      <c r="H35" s="393">
        <f t="shared" si="1"/>
        <v>208.8</v>
      </c>
      <c r="I35" s="394">
        <f t="shared" si="2"/>
        <v>33.408</v>
      </c>
      <c r="J35" s="331">
        <f t="shared" si="3"/>
        <v>242.208</v>
      </c>
      <c r="K35" s="406" t="s">
        <v>352</v>
      </c>
      <c r="L35" s="325"/>
      <c r="M35" s="326"/>
      <c r="N35" s="326"/>
      <c r="O35" s="326"/>
      <c r="P35" s="32"/>
      <c r="Q35" s="32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4"/>
    </row>
    <row r="36">
      <c r="A36" s="317" t="s">
        <v>19</v>
      </c>
      <c r="B36" s="318" t="s">
        <v>42</v>
      </c>
      <c r="C36" s="351"/>
      <c r="D36" s="351"/>
      <c r="E36" s="320" t="s">
        <v>353</v>
      </c>
      <c r="F36" s="329">
        <v>91.38</v>
      </c>
      <c r="G36" s="404">
        <v>2.0</v>
      </c>
      <c r="H36" s="393">
        <f t="shared" si="1"/>
        <v>182.76</v>
      </c>
      <c r="I36" s="394">
        <f t="shared" si="2"/>
        <v>29.2416</v>
      </c>
      <c r="J36" s="331">
        <f t="shared" si="3"/>
        <v>212.0016</v>
      </c>
      <c r="K36" s="406" t="s">
        <v>354</v>
      </c>
      <c r="L36" s="325"/>
      <c r="M36" s="326"/>
      <c r="N36" s="326"/>
      <c r="O36" s="326"/>
      <c r="P36" s="32"/>
      <c r="Q36" s="32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4"/>
    </row>
    <row r="37">
      <c r="A37" s="317" t="s">
        <v>19</v>
      </c>
      <c r="B37" s="318" t="s">
        <v>42</v>
      </c>
      <c r="C37" s="351"/>
      <c r="D37" s="351"/>
      <c r="E37" s="320" t="s">
        <v>355</v>
      </c>
      <c r="F37" s="329">
        <v>18.0</v>
      </c>
      <c r="G37" s="404">
        <v>16.0</v>
      </c>
      <c r="H37" s="393">
        <f t="shared" si="1"/>
        <v>288</v>
      </c>
      <c r="I37" s="394">
        <f t="shared" si="2"/>
        <v>46.08</v>
      </c>
      <c r="J37" s="331">
        <f t="shared" si="3"/>
        <v>334.08</v>
      </c>
      <c r="K37" s="406" t="s">
        <v>354</v>
      </c>
      <c r="L37" s="325"/>
      <c r="M37" s="326"/>
      <c r="N37" s="326"/>
      <c r="O37" s="326"/>
      <c r="P37" s="32"/>
      <c r="Q37" s="32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4"/>
    </row>
    <row r="38">
      <c r="A38" s="317" t="s">
        <v>19</v>
      </c>
      <c r="B38" s="318" t="s">
        <v>42</v>
      </c>
      <c r="C38" s="351"/>
      <c r="D38" s="351"/>
      <c r="E38" s="320" t="s">
        <v>356</v>
      </c>
      <c r="F38" s="329">
        <v>10.2</v>
      </c>
      <c r="G38" s="404">
        <f>5+3+5</f>
        <v>13</v>
      </c>
      <c r="H38" s="393">
        <f t="shared" si="1"/>
        <v>132.6</v>
      </c>
      <c r="I38" s="394">
        <f t="shared" si="2"/>
        <v>21.216</v>
      </c>
      <c r="J38" s="331">
        <f t="shared" si="3"/>
        <v>153.816</v>
      </c>
      <c r="K38" s="406" t="s">
        <v>357</v>
      </c>
      <c r="L38" s="325"/>
      <c r="M38" s="326"/>
      <c r="N38" s="326"/>
      <c r="O38" s="326"/>
      <c r="P38" s="32"/>
      <c r="Q38" s="32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4"/>
    </row>
    <row r="39">
      <c r="A39" s="317" t="s">
        <v>19</v>
      </c>
      <c r="B39" s="318" t="s">
        <v>42</v>
      </c>
      <c r="C39" s="351"/>
      <c r="D39" s="351"/>
      <c r="E39" s="320" t="s">
        <v>358</v>
      </c>
      <c r="F39" s="329">
        <v>98.0</v>
      </c>
      <c r="G39" s="404">
        <v>15.0</v>
      </c>
      <c r="H39" s="393">
        <f t="shared" si="1"/>
        <v>1470</v>
      </c>
      <c r="I39" s="394">
        <f t="shared" si="2"/>
        <v>235.2</v>
      </c>
      <c r="J39" s="331">
        <f t="shared" si="3"/>
        <v>1705.2</v>
      </c>
      <c r="K39" s="406" t="s">
        <v>354</v>
      </c>
      <c r="L39" s="325"/>
      <c r="M39" s="326"/>
      <c r="N39" s="326"/>
      <c r="O39" s="326"/>
      <c r="P39" s="32"/>
      <c r="Q39" s="32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4"/>
    </row>
    <row r="40">
      <c r="A40" s="317" t="s">
        <v>19</v>
      </c>
      <c r="B40" s="318" t="s">
        <v>42</v>
      </c>
      <c r="C40" s="351"/>
      <c r="D40" s="351"/>
      <c r="E40" s="320" t="s">
        <v>359</v>
      </c>
      <c r="F40" s="329">
        <v>10.0</v>
      </c>
      <c r="G40" s="404">
        <f>5+3</f>
        <v>8</v>
      </c>
      <c r="H40" s="393">
        <f t="shared" si="1"/>
        <v>80</v>
      </c>
      <c r="I40" s="394">
        <f t="shared" si="2"/>
        <v>12.8</v>
      </c>
      <c r="J40" s="331">
        <f t="shared" si="3"/>
        <v>92.8</v>
      </c>
      <c r="K40" s="406" t="s">
        <v>360</v>
      </c>
      <c r="L40" s="325"/>
      <c r="M40" s="326"/>
      <c r="N40" s="326"/>
      <c r="O40" s="326"/>
      <c r="P40" s="32"/>
      <c r="Q40" s="32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4"/>
    </row>
    <row r="41">
      <c r="A41" s="317" t="s">
        <v>19</v>
      </c>
      <c r="B41" s="318" t="s">
        <v>42</v>
      </c>
      <c r="C41" s="351"/>
      <c r="D41" s="351"/>
      <c r="E41" s="320" t="s">
        <v>361</v>
      </c>
      <c r="F41" s="329">
        <v>10.5</v>
      </c>
      <c r="G41" s="404">
        <f t="shared" ref="G41:G42" si="4">5+20</f>
        <v>25</v>
      </c>
      <c r="H41" s="393">
        <f t="shared" si="1"/>
        <v>262.5</v>
      </c>
      <c r="I41" s="394">
        <f t="shared" si="2"/>
        <v>42</v>
      </c>
      <c r="J41" s="331">
        <f t="shared" si="3"/>
        <v>304.5</v>
      </c>
      <c r="K41" s="406" t="s">
        <v>362</v>
      </c>
      <c r="L41" s="325"/>
      <c r="M41" s="326"/>
      <c r="N41" s="326"/>
      <c r="O41" s="326"/>
      <c r="P41" s="32"/>
      <c r="Q41" s="32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4"/>
    </row>
    <row r="42">
      <c r="A42" s="317" t="s">
        <v>19</v>
      </c>
      <c r="B42" s="318" t="s">
        <v>42</v>
      </c>
      <c r="C42" s="351"/>
      <c r="D42" s="351"/>
      <c r="E42" s="320" t="s">
        <v>363</v>
      </c>
      <c r="F42" s="329">
        <v>10.0</v>
      </c>
      <c r="G42" s="404">
        <f t="shared" si="4"/>
        <v>25</v>
      </c>
      <c r="H42" s="393">
        <f t="shared" si="1"/>
        <v>250</v>
      </c>
      <c r="I42" s="394">
        <f t="shared" si="2"/>
        <v>40</v>
      </c>
      <c r="J42" s="331">
        <f t="shared" si="3"/>
        <v>290</v>
      </c>
      <c r="K42" s="406" t="s">
        <v>364</v>
      </c>
      <c r="L42" s="325"/>
      <c r="M42" s="326"/>
      <c r="N42" s="326"/>
      <c r="O42" s="326"/>
      <c r="P42" s="32"/>
      <c r="Q42" s="32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4"/>
    </row>
    <row r="43">
      <c r="A43" s="317" t="s">
        <v>19</v>
      </c>
      <c r="B43" s="318" t="s">
        <v>42</v>
      </c>
      <c r="C43" s="351"/>
      <c r="D43" s="351"/>
      <c r="E43" s="320" t="s">
        <v>365</v>
      </c>
      <c r="F43" s="329">
        <v>12.93</v>
      </c>
      <c r="G43" s="404">
        <v>3.0</v>
      </c>
      <c r="H43" s="393">
        <f t="shared" si="1"/>
        <v>38.79</v>
      </c>
      <c r="I43" s="394">
        <f t="shared" si="2"/>
        <v>6.2064</v>
      </c>
      <c r="J43" s="331">
        <f t="shared" si="3"/>
        <v>44.9964</v>
      </c>
      <c r="K43" s="332">
        <v>45925.0</v>
      </c>
      <c r="L43" s="325"/>
      <c r="M43" s="326"/>
      <c r="N43" s="326"/>
      <c r="O43" s="326"/>
      <c r="P43" s="32"/>
      <c r="Q43" s="32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4"/>
    </row>
    <row r="44">
      <c r="A44" s="317" t="s">
        <v>19</v>
      </c>
      <c r="B44" s="318" t="s">
        <v>42</v>
      </c>
      <c r="C44" s="351"/>
      <c r="D44" s="351"/>
      <c r="E44" s="320" t="s">
        <v>366</v>
      </c>
      <c r="F44" s="329">
        <v>204.53</v>
      </c>
      <c r="G44" s="404">
        <v>19.0</v>
      </c>
      <c r="H44" s="393">
        <f t="shared" si="1"/>
        <v>3886.07</v>
      </c>
      <c r="I44" s="394">
        <f t="shared" si="2"/>
        <v>621.7712</v>
      </c>
      <c r="J44" s="331">
        <f t="shared" si="3"/>
        <v>4507.8412</v>
      </c>
      <c r="K44" s="332">
        <v>45925.0</v>
      </c>
      <c r="L44" s="325"/>
      <c r="M44" s="326"/>
      <c r="N44" s="326"/>
      <c r="O44" s="326"/>
      <c r="P44" s="32"/>
      <c r="Q44" s="32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4"/>
    </row>
    <row r="45">
      <c r="A45" s="317" t="s">
        <v>19</v>
      </c>
      <c r="B45" s="318" t="s">
        <v>42</v>
      </c>
      <c r="C45" s="351"/>
      <c r="D45" s="351"/>
      <c r="E45" s="320" t="s">
        <v>367</v>
      </c>
      <c r="F45" s="329">
        <v>1554.31</v>
      </c>
      <c r="G45" s="404">
        <v>4.0</v>
      </c>
      <c r="H45" s="393">
        <f t="shared" si="1"/>
        <v>6217.24</v>
      </c>
      <c r="I45" s="394">
        <f t="shared" si="2"/>
        <v>994.7584</v>
      </c>
      <c r="J45" s="331">
        <f t="shared" si="3"/>
        <v>7211.9984</v>
      </c>
      <c r="K45" s="332">
        <v>45925.0</v>
      </c>
      <c r="L45" s="325"/>
      <c r="M45" s="326"/>
      <c r="N45" s="326"/>
      <c r="O45" s="326"/>
      <c r="P45" s="32"/>
      <c r="Q45" s="32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4"/>
    </row>
    <row r="46">
      <c r="A46" s="317" t="s">
        <v>19</v>
      </c>
      <c r="B46" s="318" t="s">
        <v>42</v>
      </c>
      <c r="C46" s="351"/>
      <c r="D46" s="351"/>
      <c r="E46" s="320" t="s">
        <v>368</v>
      </c>
      <c r="F46" s="329">
        <v>249.14</v>
      </c>
      <c r="G46" s="404">
        <f>6+4+6+8+2</f>
        <v>26</v>
      </c>
      <c r="H46" s="393">
        <f t="shared" si="1"/>
        <v>6477.64</v>
      </c>
      <c r="I46" s="394">
        <f t="shared" si="2"/>
        <v>1036.4224</v>
      </c>
      <c r="J46" s="331">
        <f t="shared" si="3"/>
        <v>7514.0624</v>
      </c>
      <c r="K46" s="406" t="s">
        <v>369</v>
      </c>
      <c r="L46" s="325"/>
      <c r="M46" s="326"/>
      <c r="N46" s="326"/>
      <c r="O46" s="326"/>
      <c r="P46" s="32"/>
      <c r="Q46" s="32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4"/>
    </row>
    <row r="47">
      <c r="A47" s="407" t="s">
        <v>19</v>
      </c>
      <c r="B47" s="408" t="s">
        <v>42</v>
      </c>
      <c r="C47" s="409"/>
      <c r="D47" s="410" t="s">
        <v>334</v>
      </c>
      <c r="E47" s="411" t="s">
        <v>370</v>
      </c>
      <c r="F47" s="412">
        <v>0.0</v>
      </c>
      <c r="G47" s="413">
        <f>1+1+1</f>
        <v>3</v>
      </c>
      <c r="H47" s="414">
        <f t="shared" si="1"/>
        <v>0</v>
      </c>
      <c r="I47" s="415">
        <f t="shared" si="2"/>
        <v>0</v>
      </c>
      <c r="J47" s="416">
        <f t="shared" si="3"/>
        <v>0</v>
      </c>
      <c r="K47" s="417" t="s">
        <v>371</v>
      </c>
      <c r="L47" s="418"/>
      <c r="M47" s="419"/>
      <c r="N47" s="419"/>
      <c r="O47" s="419"/>
      <c r="P47" s="420"/>
      <c r="Q47" s="420"/>
      <c r="R47" s="421"/>
      <c r="S47" s="421"/>
      <c r="T47" s="421"/>
      <c r="U47" s="421"/>
      <c r="V47" s="421"/>
      <c r="W47" s="421"/>
      <c r="X47" s="421"/>
      <c r="Y47" s="421"/>
      <c r="Z47" s="421"/>
      <c r="AA47" s="421"/>
      <c r="AB47" s="422"/>
    </row>
    <row r="48">
      <c r="A48" s="407" t="s">
        <v>19</v>
      </c>
      <c r="B48" s="408" t="s">
        <v>42</v>
      </c>
      <c r="C48" s="409"/>
      <c r="D48" s="410" t="s">
        <v>334</v>
      </c>
      <c r="E48" s="411" t="s">
        <v>372</v>
      </c>
      <c r="F48" s="412">
        <v>0.0</v>
      </c>
      <c r="G48" s="413">
        <f>1+1</f>
        <v>2</v>
      </c>
      <c r="H48" s="414">
        <f t="shared" si="1"/>
        <v>0</v>
      </c>
      <c r="I48" s="415">
        <f t="shared" si="2"/>
        <v>0</v>
      </c>
      <c r="J48" s="416">
        <f t="shared" si="3"/>
        <v>0</v>
      </c>
      <c r="K48" s="417" t="s">
        <v>373</v>
      </c>
      <c r="L48" s="418"/>
      <c r="M48" s="419"/>
      <c r="N48" s="419"/>
      <c r="O48" s="419"/>
      <c r="P48" s="420"/>
      <c r="Q48" s="420"/>
      <c r="R48" s="421"/>
      <c r="S48" s="421"/>
      <c r="T48" s="421"/>
      <c r="U48" s="421"/>
      <c r="V48" s="421"/>
      <c r="W48" s="421"/>
      <c r="X48" s="421"/>
      <c r="Y48" s="421"/>
      <c r="Z48" s="421"/>
      <c r="AA48" s="421"/>
      <c r="AB48" s="422"/>
    </row>
    <row r="49">
      <c r="A49" s="317" t="s">
        <v>19</v>
      </c>
      <c r="B49" s="318" t="s">
        <v>42</v>
      </c>
      <c r="C49" s="351"/>
      <c r="D49" s="351"/>
      <c r="E49" s="320" t="s">
        <v>374</v>
      </c>
      <c r="F49" s="329">
        <v>150.0</v>
      </c>
      <c r="G49" s="404">
        <f>2+3+2+1+2+3+6</f>
        <v>19</v>
      </c>
      <c r="H49" s="393">
        <f t="shared" si="1"/>
        <v>2850</v>
      </c>
      <c r="I49" s="394">
        <f t="shared" si="2"/>
        <v>456</v>
      </c>
      <c r="J49" s="331">
        <f t="shared" si="3"/>
        <v>3306</v>
      </c>
      <c r="K49" s="405" t="s">
        <v>375</v>
      </c>
      <c r="L49" s="325"/>
      <c r="M49" s="326"/>
      <c r="N49" s="326"/>
      <c r="O49" s="326"/>
      <c r="P49" s="32"/>
      <c r="Q49" s="32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4"/>
    </row>
    <row r="50">
      <c r="A50" s="317" t="s">
        <v>19</v>
      </c>
      <c r="B50" s="318" t="s">
        <v>42</v>
      </c>
      <c r="C50" s="351"/>
      <c r="D50" s="351"/>
      <c r="E50" s="320" t="s">
        <v>376</v>
      </c>
      <c r="F50" s="329">
        <v>80.0</v>
      </c>
      <c r="G50" s="404">
        <f>2+1+2</f>
        <v>5</v>
      </c>
      <c r="H50" s="393">
        <f t="shared" si="1"/>
        <v>400</v>
      </c>
      <c r="I50" s="394">
        <f t="shared" si="2"/>
        <v>64</v>
      </c>
      <c r="J50" s="331">
        <f t="shared" si="3"/>
        <v>464</v>
      </c>
      <c r="K50" s="406" t="s">
        <v>377</v>
      </c>
      <c r="L50" s="325"/>
      <c r="M50" s="326"/>
      <c r="N50" s="326"/>
      <c r="O50" s="326"/>
      <c r="P50" s="32"/>
      <c r="Q50" s="32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4"/>
    </row>
    <row r="51">
      <c r="A51" s="317" t="s">
        <v>19</v>
      </c>
      <c r="B51" s="318" t="s">
        <v>42</v>
      </c>
      <c r="C51" s="351"/>
      <c r="D51" s="351"/>
      <c r="E51" s="320" t="s">
        <v>378</v>
      </c>
      <c r="F51" s="329">
        <v>148.0</v>
      </c>
      <c r="G51" s="404">
        <f>8+20</f>
        <v>28</v>
      </c>
      <c r="H51" s="393">
        <f t="shared" si="1"/>
        <v>4144</v>
      </c>
      <c r="I51" s="394">
        <f t="shared" si="2"/>
        <v>663.04</v>
      </c>
      <c r="J51" s="331">
        <f t="shared" si="3"/>
        <v>4807.04</v>
      </c>
      <c r="K51" s="406" t="s">
        <v>379</v>
      </c>
      <c r="L51" s="325"/>
      <c r="M51" s="326"/>
      <c r="N51" s="326"/>
      <c r="O51" s="326"/>
      <c r="P51" s="32"/>
      <c r="Q51" s="32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4"/>
    </row>
    <row r="52">
      <c r="A52" s="317" t="s">
        <v>19</v>
      </c>
      <c r="B52" s="318" t="s">
        <v>42</v>
      </c>
      <c r="C52" s="351"/>
      <c r="D52" s="351"/>
      <c r="E52" s="320" t="s">
        <v>380</v>
      </c>
      <c r="F52" s="329">
        <v>274.14</v>
      </c>
      <c r="G52" s="404">
        <f>4+4+4</f>
        <v>12</v>
      </c>
      <c r="H52" s="393">
        <f t="shared" si="1"/>
        <v>3289.68</v>
      </c>
      <c r="I52" s="394">
        <f t="shared" si="2"/>
        <v>526.3488</v>
      </c>
      <c r="J52" s="331">
        <f t="shared" si="3"/>
        <v>3816.0288</v>
      </c>
      <c r="K52" s="406" t="s">
        <v>381</v>
      </c>
      <c r="L52" s="325"/>
      <c r="M52" s="326"/>
      <c r="N52" s="326"/>
      <c r="O52" s="326"/>
      <c r="P52" s="32"/>
      <c r="Q52" s="32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4"/>
    </row>
    <row r="53">
      <c r="A53" s="317" t="s">
        <v>19</v>
      </c>
      <c r="B53" s="318" t="s">
        <v>42</v>
      </c>
      <c r="C53" s="351"/>
      <c r="D53" s="351"/>
      <c r="E53" s="320" t="s">
        <v>382</v>
      </c>
      <c r="F53" s="329">
        <v>257.32</v>
      </c>
      <c r="G53" s="404">
        <v>4.0</v>
      </c>
      <c r="H53" s="393">
        <f t="shared" si="1"/>
        <v>1029.28</v>
      </c>
      <c r="I53" s="394">
        <f t="shared" si="2"/>
        <v>164.6848</v>
      </c>
      <c r="J53" s="331">
        <f t="shared" si="3"/>
        <v>1193.9648</v>
      </c>
      <c r="K53" s="424">
        <v>45946.0</v>
      </c>
      <c r="L53" s="325"/>
      <c r="M53" s="326"/>
      <c r="N53" s="326"/>
      <c r="O53" s="326"/>
      <c r="P53" s="32"/>
      <c r="Q53" s="32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4"/>
    </row>
    <row r="54">
      <c r="A54" s="317" t="s">
        <v>19</v>
      </c>
      <c r="B54" s="318" t="s">
        <v>42</v>
      </c>
      <c r="C54" s="351"/>
      <c r="D54" s="351"/>
      <c r="E54" s="320" t="s">
        <v>383</v>
      </c>
      <c r="F54" s="329">
        <v>195.86</v>
      </c>
      <c r="G54" s="404">
        <f>1+1+2</f>
        <v>4</v>
      </c>
      <c r="H54" s="393">
        <f t="shared" si="1"/>
        <v>783.44</v>
      </c>
      <c r="I54" s="394">
        <f t="shared" si="2"/>
        <v>125.3504</v>
      </c>
      <c r="J54" s="331">
        <f t="shared" si="3"/>
        <v>908.7904</v>
      </c>
      <c r="K54" s="406" t="s">
        <v>384</v>
      </c>
      <c r="L54" s="325"/>
      <c r="M54" s="326"/>
      <c r="N54" s="326"/>
      <c r="O54" s="326"/>
      <c r="P54" s="32"/>
      <c r="Q54" s="32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4"/>
    </row>
    <row r="55">
      <c r="A55" s="317" t="s">
        <v>19</v>
      </c>
      <c r="B55" s="318" t="s">
        <v>42</v>
      </c>
      <c r="C55" s="351"/>
      <c r="D55" s="351"/>
      <c r="E55" s="320" t="s">
        <v>385</v>
      </c>
      <c r="F55" s="329">
        <v>188.15</v>
      </c>
      <c r="G55" s="404">
        <f>20+8</f>
        <v>28</v>
      </c>
      <c r="H55" s="393">
        <f t="shared" si="1"/>
        <v>5268.2</v>
      </c>
      <c r="I55" s="394">
        <f t="shared" si="2"/>
        <v>842.912</v>
      </c>
      <c r="J55" s="331">
        <f t="shared" si="3"/>
        <v>6111.112</v>
      </c>
      <c r="K55" s="406" t="s">
        <v>386</v>
      </c>
      <c r="L55" s="325"/>
      <c r="M55" s="326"/>
      <c r="N55" s="326"/>
      <c r="O55" s="326"/>
      <c r="P55" s="32"/>
      <c r="Q55" s="32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4"/>
    </row>
    <row r="56">
      <c r="A56" s="407" t="s">
        <v>19</v>
      </c>
      <c r="B56" s="408" t="s">
        <v>42</v>
      </c>
      <c r="C56" s="409"/>
      <c r="D56" s="410" t="s">
        <v>334</v>
      </c>
      <c r="E56" s="411" t="s">
        <v>387</v>
      </c>
      <c r="F56" s="412">
        <v>0.0</v>
      </c>
      <c r="G56" s="413">
        <v>1.0</v>
      </c>
      <c r="H56" s="414">
        <f t="shared" si="1"/>
        <v>0</v>
      </c>
      <c r="I56" s="415">
        <f t="shared" si="2"/>
        <v>0</v>
      </c>
      <c r="J56" s="416">
        <f t="shared" si="3"/>
        <v>0</v>
      </c>
      <c r="K56" s="423">
        <v>45931.0</v>
      </c>
      <c r="L56" s="418"/>
      <c r="M56" s="419"/>
      <c r="N56" s="419"/>
      <c r="O56" s="419"/>
      <c r="P56" s="420"/>
      <c r="Q56" s="420"/>
      <c r="R56" s="421"/>
      <c r="S56" s="421"/>
      <c r="T56" s="421"/>
      <c r="U56" s="421"/>
      <c r="V56" s="421"/>
      <c r="W56" s="421"/>
      <c r="X56" s="421"/>
      <c r="Y56" s="421"/>
      <c r="Z56" s="421"/>
      <c r="AA56" s="421"/>
      <c r="AB56" s="422"/>
    </row>
    <row r="57">
      <c r="A57" s="407" t="s">
        <v>19</v>
      </c>
      <c r="B57" s="408" t="s">
        <v>42</v>
      </c>
      <c r="C57" s="409"/>
      <c r="D57" s="410" t="s">
        <v>334</v>
      </c>
      <c r="E57" s="411" t="s">
        <v>388</v>
      </c>
      <c r="F57" s="412">
        <v>0.0</v>
      </c>
      <c r="G57" s="413">
        <v>1.0</v>
      </c>
      <c r="H57" s="414">
        <f t="shared" si="1"/>
        <v>0</v>
      </c>
      <c r="I57" s="415">
        <f t="shared" si="2"/>
        <v>0</v>
      </c>
      <c r="J57" s="416">
        <f t="shared" si="3"/>
        <v>0</v>
      </c>
      <c r="K57" s="423">
        <v>45931.0</v>
      </c>
      <c r="L57" s="418"/>
      <c r="M57" s="419"/>
      <c r="N57" s="419"/>
      <c r="O57" s="419"/>
      <c r="P57" s="420"/>
      <c r="Q57" s="420"/>
      <c r="R57" s="421"/>
      <c r="S57" s="421"/>
      <c r="T57" s="421"/>
      <c r="U57" s="421"/>
      <c r="V57" s="421"/>
      <c r="W57" s="421"/>
      <c r="X57" s="421"/>
      <c r="Y57" s="421"/>
      <c r="Z57" s="421"/>
      <c r="AA57" s="421"/>
      <c r="AB57" s="422"/>
    </row>
    <row r="58">
      <c r="A58" s="317" t="s">
        <v>19</v>
      </c>
      <c r="B58" s="318" t="s">
        <v>42</v>
      </c>
      <c r="C58" s="351"/>
      <c r="D58" s="351"/>
      <c r="E58" s="320" t="s">
        <v>389</v>
      </c>
      <c r="F58" s="329">
        <v>85.0</v>
      </c>
      <c r="G58" s="404">
        <f>16+8</f>
        <v>24</v>
      </c>
      <c r="H58" s="393">
        <f t="shared" si="1"/>
        <v>2040</v>
      </c>
      <c r="I58" s="394">
        <f t="shared" si="2"/>
        <v>326.4</v>
      </c>
      <c r="J58" s="331">
        <f t="shared" si="3"/>
        <v>2366.4</v>
      </c>
      <c r="K58" s="406" t="s">
        <v>390</v>
      </c>
      <c r="L58" s="325"/>
      <c r="M58" s="326"/>
      <c r="N58" s="326"/>
      <c r="O58" s="326"/>
      <c r="P58" s="32"/>
      <c r="Q58" s="32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4"/>
    </row>
    <row r="59">
      <c r="A59" s="317" t="s">
        <v>19</v>
      </c>
      <c r="B59" s="318" t="s">
        <v>42</v>
      </c>
      <c r="C59" s="351"/>
      <c r="D59" s="351"/>
      <c r="E59" s="320" t="s">
        <v>391</v>
      </c>
      <c r="F59" s="329">
        <v>1900.0</v>
      </c>
      <c r="G59" s="404">
        <v>1.0</v>
      </c>
      <c r="H59" s="393">
        <f t="shared" si="1"/>
        <v>1900</v>
      </c>
      <c r="I59" s="394">
        <f t="shared" si="2"/>
        <v>304</v>
      </c>
      <c r="J59" s="331">
        <f t="shared" si="3"/>
        <v>2204</v>
      </c>
      <c r="K59" s="332">
        <v>45931.0</v>
      </c>
      <c r="L59" s="325"/>
      <c r="M59" s="326"/>
      <c r="N59" s="326"/>
      <c r="O59" s="326"/>
      <c r="P59" s="32"/>
      <c r="Q59" s="32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4"/>
    </row>
    <row r="60">
      <c r="A60" s="317" t="s">
        <v>19</v>
      </c>
      <c r="B60" s="318" t="s">
        <v>42</v>
      </c>
      <c r="C60" s="351"/>
      <c r="D60" s="351"/>
      <c r="E60" s="320" t="s">
        <v>392</v>
      </c>
      <c r="F60" s="329">
        <v>58.0</v>
      </c>
      <c r="G60" s="404">
        <v>2.0</v>
      </c>
      <c r="H60" s="393">
        <f t="shared" si="1"/>
        <v>116</v>
      </c>
      <c r="I60" s="394">
        <f t="shared" si="2"/>
        <v>18.56</v>
      </c>
      <c r="J60" s="331">
        <f t="shared" si="3"/>
        <v>134.56</v>
      </c>
      <c r="K60" s="332">
        <v>45931.0</v>
      </c>
      <c r="L60" s="325"/>
      <c r="M60" s="326"/>
      <c r="N60" s="326"/>
      <c r="O60" s="326"/>
      <c r="P60" s="32"/>
      <c r="Q60" s="32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4"/>
    </row>
    <row r="61">
      <c r="A61" s="317" t="s">
        <v>19</v>
      </c>
      <c r="B61" s="318" t="s">
        <v>42</v>
      </c>
      <c r="C61" s="351"/>
      <c r="D61" s="351"/>
      <c r="E61" s="320" t="s">
        <v>393</v>
      </c>
      <c r="F61" s="329">
        <v>41.81</v>
      </c>
      <c r="G61" s="404">
        <v>1.0</v>
      </c>
      <c r="H61" s="393">
        <f t="shared" si="1"/>
        <v>41.81</v>
      </c>
      <c r="I61" s="394">
        <f t="shared" si="2"/>
        <v>6.6896</v>
      </c>
      <c r="J61" s="331">
        <f t="shared" si="3"/>
        <v>48.4996</v>
      </c>
      <c r="K61" s="332">
        <v>45931.0</v>
      </c>
      <c r="L61" s="325"/>
      <c r="M61" s="326"/>
      <c r="N61" s="326"/>
      <c r="O61" s="326"/>
      <c r="P61" s="32"/>
      <c r="Q61" s="32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4"/>
    </row>
    <row r="62">
      <c r="A62" s="317" t="s">
        <v>19</v>
      </c>
      <c r="B62" s="318" t="s">
        <v>42</v>
      </c>
      <c r="C62" s="351"/>
      <c r="D62" s="351"/>
      <c r="E62" s="320" t="s">
        <v>394</v>
      </c>
      <c r="F62" s="329">
        <v>99.0</v>
      </c>
      <c r="G62" s="404">
        <f>1+3</f>
        <v>4</v>
      </c>
      <c r="H62" s="393">
        <f t="shared" si="1"/>
        <v>396</v>
      </c>
      <c r="I62" s="394">
        <f t="shared" si="2"/>
        <v>63.36</v>
      </c>
      <c r="J62" s="331">
        <f t="shared" si="3"/>
        <v>459.36</v>
      </c>
      <c r="K62" s="406" t="s">
        <v>395</v>
      </c>
      <c r="L62" s="325"/>
      <c r="M62" s="326"/>
      <c r="N62" s="326"/>
      <c r="O62" s="326"/>
      <c r="P62" s="32"/>
      <c r="Q62" s="32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4"/>
    </row>
    <row r="63">
      <c r="A63" s="317" t="s">
        <v>19</v>
      </c>
      <c r="B63" s="318" t="s">
        <v>42</v>
      </c>
      <c r="C63" s="351"/>
      <c r="D63" s="351"/>
      <c r="E63" s="320" t="s">
        <v>396</v>
      </c>
      <c r="F63" s="329">
        <v>249.0</v>
      </c>
      <c r="G63" s="404">
        <v>3.0</v>
      </c>
      <c r="H63" s="393">
        <f t="shared" si="1"/>
        <v>747</v>
      </c>
      <c r="I63" s="394">
        <f t="shared" si="2"/>
        <v>119.52</v>
      </c>
      <c r="J63" s="331">
        <f t="shared" si="3"/>
        <v>866.52</v>
      </c>
      <c r="K63" s="332">
        <v>45932.0</v>
      </c>
      <c r="L63" s="325"/>
      <c r="M63" s="326"/>
      <c r="N63" s="326"/>
      <c r="O63" s="326"/>
      <c r="P63" s="32"/>
      <c r="Q63" s="32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4"/>
    </row>
    <row r="64">
      <c r="A64" s="407" t="s">
        <v>19</v>
      </c>
      <c r="B64" s="408" t="s">
        <v>42</v>
      </c>
      <c r="C64" s="409"/>
      <c r="D64" s="410" t="s">
        <v>334</v>
      </c>
      <c r="E64" s="411" t="s">
        <v>397</v>
      </c>
      <c r="F64" s="412">
        <v>0.0</v>
      </c>
      <c r="G64" s="413">
        <v>1.0</v>
      </c>
      <c r="H64" s="414">
        <f t="shared" si="1"/>
        <v>0</v>
      </c>
      <c r="I64" s="415">
        <f t="shared" si="2"/>
        <v>0</v>
      </c>
      <c r="J64" s="416">
        <f t="shared" si="3"/>
        <v>0</v>
      </c>
      <c r="K64" s="423">
        <v>45933.0</v>
      </c>
      <c r="L64" s="418"/>
      <c r="M64" s="419"/>
      <c r="N64" s="419"/>
      <c r="O64" s="419"/>
      <c r="P64" s="420"/>
      <c r="Q64" s="420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422"/>
    </row>
    <row r="65">
      <c r="A65" s="317" t="s">
        <v>19</v>
      </c>
      <c r="B65" s="318" t="s">
        <v>42</v>
      </c>
      <c r="C65" s="351"/>
      <c r="D65" s="351"/>
      <c r="E65" s="320" t="s">
        <v>398</v>
      </c>
      <c r="F65" s="329">
        <v>0.31</v>
      </c>
      <c r="G65" s="404">
        <f>100+500</f>
        <v>600</v>
      </c>
      <c r="H65" s="393">
        <f t="shared" si="1"/>
        <v>186</v>
      </c>
      <c r="I65" s="394">
        <f t="shared" si="2"/>
        <v>29.76</v>
      </c>
      <c r="J65" s="331">
        <f t="shared" si="3"/>
        <v>215.76</v>
      </c>
      <c r="K65" s="406" t="s">
        <v>399</v>
      </c>
      <c r="L65" s="325"/>
      <c r="M65" s="326"/>
      <c r="N65" s="326"/>
      <c r="O65" s="326"/>
      <c r="P65" s="32"/>
      <c r="Q65" s="32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4"/>
    </row>
    <row r="66">
      <c r="A66" s="317" t="s">
        <v>19</v>
      </c>
      <c r="B66" s="318" t="s">
        <v>42</v>
      </c>
      <c r="C66" s="351"/>
      <c r="D66" s="351"/>
      <c r="E66" s="320" t="s">
        <v>400</v>
      </c>
      <c r="F66" s="329">
        <v>28.0</v>
      </c>
      <c r="G66" s="404">
        <f>2+2+3+8+3</f>
        <v>18</v>
      </c>
      <c r="H66" s="393">
        <f t="shared" si="1"/>
        <v>504</v>
      </c>
      <c r="I66" s="394">
        <f t="shared" si="2"/>
        <v>80.64</v>
      </c>
      <c r="J66" s="331">
        <f t="shared" si="3"/>
        <v>584.64</v>
      </c>
      <c r="K66" s="406" t="s">
        <v>401</v>
      </c>
      <c r="L66" s="325"/>
      <c r="M66" s="326"/>
      <c r="N66" s="326"/>
      <c r="O66" s="326"/>
      <c r="P66" s="32"/>
      <c r="Q66" s="32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4"/>
    </row>
    <row r="67">
      <c r="A67" s="317" t="s">
        <v>19</v>
      </c>
      <c r="B67" s="318" t="s">
        <v>42</v>
      </c>
      <c r="C67" s="351"/>
      <c r="D67" s="351"/>
      <c r="E67" s="320" t="s">
        <v>402</v>
      </c>
      <c r="F67" s="329">
        <v>85.5</v>
      </c>
      <c r="G67" s="404">
        <v>1.0</v>
      </c>
      <c r="H67" s="393">
        <f t="shared" si="1"/>
        <v>85.5</v>
      </c>
      <c r="I67" s="394">
        <f t="shared" si="2"/>
        <v>13.68</v>
      </c>
      <c r="J67" s="331">
        <f t="shared" si="3"/>
        <v>99.18</v>
      </c>
      <c r="K67" s="332">
        <v>45936.0</v>
      </c>
      <c r="L67" s="325"/>
      <c r="M67" s="326"/>
      <c r="N67" s="326"/>
      <c r="O67" s="326"/>
      <c r="P67" s="32"/>
      <c r="Q67" s="32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4"/>
    </row>
    <row r="68">
      <c r="A68" s="317" t="s">
        <v>19</v>
      </c>
      <c r="B68" s="318" t="s">
        <v>42</v>
      </c>
      <c r="C68" s="351"/>
      <c r="D68" s="351"/>
      <c r="E68" s="320" t="s">
        <v>403</v>
      </c>
      <c r="F68" s="329">
        <v>35.0</v>
      </c>
      <c r="G68" s="404">
        <f>1+1</f>
        <v>2</v>
      </c>
      <c r="H68" s="393">
        <f t="shared" si="1"/>
        <v>70</v>
      </c>
      <c r="I68" s="394">
        <f t="shared" si="2"/>
        <v>11.2</v>
      </c>
      <c r="J68" s="331">
        <f t="shared" si="3"/>
        <v>81.2</v>
      </c>
      <c r="K68" s="406" t="s">
        <v>404</v>
      </c>
      <c r="L68" s="325"/>
      <c r="M68" s="326"/>
      <c r="N68" s="326"/>
      <c r="O68" s="326"/>
      <c r="P68" s="32"/>
      <c r="Q68" s="32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4"/>
    </row>
    <row r="69">
      <c r="A69" s="317" t="s">
        <v>19</v>
      </c>
      <c r="B69" s="318" t="s">
        <v>42</v>
      </c>
      <c r="C69" s="351"/>
      <c r="D69" s="351"/>
      <c r="E69" s="320" t="s">
        <v>405</v>
      </c>
      <c r="F69" s="329">
        <v>2.93</v>
      </c>
      <c r="G69" s="404">
        <f>10+10+20</f>
        <v>40</v>
      </c>
      <c r="H69" s="393">
        <f t="shared" si="1"/>
        <v>117.2</v>
      </c>
      <c r="I69" s="394">
        <f t="shared" si="2"/>
        <v>18.752</v>
      </c>
      <c r="J69" s="331">
        <f t="shared" si="3"/>
        <v>135.952</v>
      </c>
      <c r="K69" s="406" t="s">
        <v>406</v>
      </c>
      <c r="L69" s="325"/>
      <c r="M69" s="326"/>
      <c r="N69" s="326"/>
      <c r="O69" s="326"/>
      <c r="P69" s="32"/>
      <c r="Q69" s="32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4"/>
    </row>
    <row r="70">
      <c r="A70" s="317" t="s">
        <v>19</v>
      </c>
      <c r="B70" s="318" t="s">
        <v>42</v>
      </c>
      <c r="C70" s="351"/>
      <c r="D70" s="351"/>
      <c r="E70" s="320" t="s">
        <v>407</v>
      </c>
      <c r="F70" s="329">
        <v>75.0</v>
      </c>
      <c r="G70" s="404">
        <f>2+6</f>
        <v>8</v>
      </c>
      <c r="H70" s="393">
        <f t="shared" si="1"/>
        <v>600</v>
      </c>
      <c r="I70" s="394">
        <f t="shared" si="2"/>
        <v>96</v>
      </c>
      <c r="J70" s="331">
        <f t="shared" si="3"/>
        <v>696</v>
      </c>
      <c r="K70" s="406" t="s">
        <v>408</v>
      </c>
      <c r="L70" s="325"/>
      <c r="M70" s="326"/>
      <c r="N70" s="326"/>
      <c r="O70" s="326"/>
      <c r="P70" s="32"/>
      <c r="Q70" s="32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4"/>
    </row>
    <row r="71">
      <c r="A71" s="317" t="s">
        <v>19</v>
      </c>
      <c r="B71" s="318" t="s">
        <v>42</v>
      </c>
      <c r="C71" s="351"/>
      <c r="D71" s="351"/>
      <c r="E71" s="320" t="s">
        <v>409</v>
      </c>
      <c r="F71" s="329">
        <v>16.5</v>
      </c>
      <c r="G71" s="404">
        <f>1+3</f>
        <v>4</v>
      </c>
      <c r="H71" s="393">
        <f t="shared" si="1"/>
        <v>66</v>
      </c>
      <c r="I71" s="394">
        <f t="shared" si="2"/>
        <v>10.56</v>
      </c>
      <c r="J71" s="331">
        <f t="shared" si="3"/>
        <v>76.56</v>
      </c>
      <c r="K71" s="406" t="s">
        <v>410</v>
      </c>
      <c r="L71" s="325"/>
      <c r="M71" s="326"/>
      <c r="N71" s="326"/>
      <c r="O71" s="326"/>
      <c r="P71" s="32"/>
      <c r="Q71" s="32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4"/>
    </row>
    <row r="72">
      <c r="A72" s="317" t="s">
        <v>19</v>
      </c>
      <c r="B72" s="318" t="s">
        <v>42</v>
      </c>
      <c r="C72" s="351"/>
      <c r="D72" s="351"/>
      <c r="E72" s="320" t="s">
        <v>411</v>
      </c>
      <c r="F72" s="329">
        <v>19.72</v>
      </c>
      <c r="G72" s="404">
        <v>1.0</v>
      </c>
      <c r="H72" s="393">
        <f t="shared" si="1"/>
        <v>19.72</v>
      </c>
      <c r="I72" s="394">
        <f t="shared" si="2"/>
        <v>3.1552</v>
      </c>
      <c r="J72" s="331">
        <f t="shared" si="3"/>
        <v>22.8752</v>
      </c>
      <c r="K72" s="332">
        <v>45938.0</v>
      </c>
      <c r="L72" s="325"/>
      <c r="M72" s="326"/>
      <c r="N72" s="326"/>
      <c r="O72" s="326"/>
      <c r="P72" s="32"/>
      <c r="Q72" s="32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4"/>
    </row>
    <row r="73">
      <c r="A73" s="317" t="s">
        <v>19</v>
      </c>
      <c r="B73" s="318" t="s">
        <v>42</v>
      </c>
      <c r="C73" s="351"/>
      <c r="D73" s="351"/>
      <c r="E73" s="320" t="s">
        <v>412</v>
      </c>
      <c r="F73" s="329">
        <v>7.5</v>
      </c>
      <c r="G73" s="404">
        <v>70.0</v>
      </c>
      <c r="H73" s="393">
        <f t="shared" si="1"/>
        <v>525</v>
      </c>
      <c r="I73" s="394">
        <f t="shared" si="2"/>
        <v>84</v>
      </c>
      <c r="J73" s="331">
        <f t="shared" si="3"/>
        <v>609</v>
      </c>
      <c r="K73" s="332">
        <v>45938.0</v>
      </c>
      <c r="L73" s="325"/>
      <c r="M73" s="326"/>
      <c r="N73" s="326"/>
      <c r="O73" s="326"/>
      <c r="P73" s="32"/>
      <c r="Q73" s="32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4"/>
    </row>
    <row r="74">
      <c r="A74" s="317" t="s">
        <v>19</v>
      </c>
      <c r="B74" s="318" t="s">
        <v>42</v>
      </c>
      <c r="C74" s="351"/>
      <c r="D74" s="351"/>
      <c r="E74" s="320" t="s">
        <v>413</v>
      </c>
      <c r="F74" s="329">
        <v>7.5</v>
      </c>
      <c r="G74" s="404">
        <v>70.0</v>
      </c>
      <c r="H74" s="393">
        <f t="shared" si="1"/>
        <v>525</v>
      </c>
      <c r="I74" s="394">
        <f t="shared" si="2"/>
        <v>84</v>
      </c>
      <c r="J74" s="331">
        <f t="shared" si="3"/>
        <v>609</v>
      </c>
      <c r="K74" s="332">
        <v>45938.0</v>
      </c>
      <c r="L74" s="325"/>
      <c r="M74" s="326"/>
      <c r="N74" s="326"/>
      <c r="O74" s="326"/>
      <c r="P74" s="32"/>
      <c r="Q74" s="32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4"/>
    </row>
    <row r="75">
      <c r="A75" s="407" t="s">
        <v>19</v>
      </c>
      <c r="B75" s="408" t="s">
        <v>42</v>
      </c>
      <c r="C75" s="409"/>
      <c r="D75" s="410" t="s">
        <v>334</v>
      </c>
      <c r="E75" s="411" t="s">
        <v>414</v>
      </c>
      <c r="F75" s="412">
        <v>0.0</v>
      </c>
      <c r="G75" s="413">
        <v>1.0</v>
      </c>
      <c r="H75" s="414">
        <f t="shared" si="1"/>
        <v>0</v>
      </c>
      <c r="I75" s="415">
        <f t="shared" si="2"/>
        <v>0</v>
      </c>
      <c r="J75" s="416">
        <f t="shared" si="3"/>
        <v>0</v>
      </c>
      <c r="K75" s="423">
        <v>45944.0</v>
      </c>
      <c r="L75" s="418"/>
      <c r="M75" s="419"/>
      <c r="N75" s="419"/>
      <c r="O75" s="419"/>
      <c r="P75" s="420"/>
      <c r="Q75" s="420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2"/>
    </row>
    <row r="76">
      <c r="A76" s="317" t="s">
        <v>19</v>
      </c>
      <c r="B76" s="318" t="s">
        <v>42</v>
      </c>
      <c r="C76" s="351"/>
      <c r="D76" s="351"/>
      <c r="E76" s="320" t="s">
        <v>415</v>
      </c>
      <c r="F76" s="329">
        <v>20.68</v>
      </c>
      <c r="G76" s="404">
        <f>2+5</f>
        <v>7</v>
      </c>
      <c r="H76" s="393">
        <f t="shared" si="1"/>
        <v>144.76</v>
      </c>
      <c r="I76" s="394">
        <f t="shared" si="2"/>
        <v>23.1616</v>
      </c>
      <c r="J76" s="331">
        <f t="shared" si="3"/>
        <v>167.9216</v>
      </c>
      <c r="K76" s="406" t="s">
        <v>416</v>
      </c>
      <c r="L76" s="325"/>
      <c r="M76" s="326"/>
      <c r="N76" s="326"/>
      <c r="O76" s="326"/>
      <c r="P76" s="32"/>
      <c r="Q76" s="32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4"/>
    </row>
    <row r="77">
      <c r="A77" s="407" t="s">
        <v>19</v>
      </c>
      <c r="B77" s="408" t="s">
        <v>42</v>
      </c>
      <c r="C77" s="409"/>
      <c r="D77" s="410" t="s">
        <v>334</v>
      </c>
      <c r="E77" s="411" t="s">
        <v>417</v>
      </c>
      <c r="F77" s="412">
        <v>0.0</v>
      </c>
      <c r="G77" s="413">
        <v>1.0</v>
      </c>
      <c r="H77" s="414">
        <f t="shared" si="1"/>
        <v>0</v>
      </c>
      <c r="I77" s="415">
        <f t="shared" si="2"/>
        <v>0</v>
      </c>
      <c r="J77" s="416">
        <f t="shared" si="3"/>
        <v>0</v>
      </c>
      <c r="K77" s="423">
        <v>45945.0</v>
      </c>
      <c r="L77" s="418"/>
      <c r="M77" s="419"/>
      <c r="N77" s="419"/>
      <c r="O77" s="419"/>
      <c r="P77" s="420"/>
      <c r="Q77" s="420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2"/>
    </row>
    <row r="78">
      <c r="A78" s="317" t="s">
        <v>19</v>
      </c>
      <c r="B78" s="318" t="s">
        <v>42</v>
      </c>
      <c r="C78" s="351"/>
      <c r="D78" s="351"/>
      <c r="E78" s="320" t="s">
        <v>418</v>
      </c>
      <c r="F78" s="329">
        <v>413.79</v>
      </c>
      <c r="G78" s="404">
        <f>4+1+1</f>
        <v>6</v>
      </c>
      <c r="H78" s="393">
        <f t="shared" si="1"/>
        <v>2482.74</v>
      </c>
      <c r="I78" s="394">
        <f t="shared" si="2"/>
        <v>397.2384</v>
      </c>
      <c r="J78" s="331">
        <f t="shared" si="3"/>
        <v>2879.9784</v>
      </c>
      <c r="K78" s="406" t="s">
        <v>419</v>
      </c>
      <c r="L78" s="325"/>
      <c r="M78" s="326"/>
      <c r="N78" s="326"/>
      <c r="O78" s="326"/>
      <c r="P78" s="32"/>
      <c r="Q78" s="32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4"/>
    </row>
    <row r="79">
      <c r="A79" s="317" t="s">
        <v>19</v>
      </c>
      <c r="B79" s="318" t="s">
        <v>42</v>
      </c>
      <c r="C79" s="352"/>
      <c r="D79" s="351"/>
      <c r="E79" s="320" t="s">
        <v>420</v>
      </c>
      <c r="F79" s="329">
        <v>128.44</v>
      </c>
      <c r="G79" s="404">
        <v>1.0</v>
      </c>
      <c r="H79" s="393">
        <f t="shared" si="1"/>
        <v>128.44</v>
      </c>
      <c r="I79" s="394">
        <f t="shared" si="2"/>
        <v>20.5504</v>
      </c>
      <c r="J79" s="331">
        <f t="shared" si="3"/>
        <v>148.9904</v>
      </c>
      <c r="K79" s="332">
        <v>45946.0</v>
      </c>
      <c r="L79" s="325"/>
      <c r="M79" s="326"/>
      <c r="N79" s="326"/>
      <c r="O79" s="326"/>
      <c r="P79" s="32"/>
      <c r="Q79" s="32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4"/>
    </row>
    <row r="80">
      <c r="A80" s="317" t="s">
        <v>19</v>
      </c>
      <c r="B80" s="318" t="s">
        <v>42</v>
      </c>
      <c r="C80" s="352"/>
      <c r="D80" s="351"/>
      <c r="E80" s="320" t="s">
        <v>421</v>
      </c>
      <c r="F80" s="329">
        <v>6.41</v>
      </c>
      <c r="G80" s="404">
        <v>3.0</v>
      </c>
      <c r="H80" s="393">
        <f t="shared" si="1"/>
        <v>19.23</v>
      </c>
      <c r="I80" s="394">
        <f t="shared" si="2"/>
        <v>3.0768</v>
      </c>
      <c r="J80" s="331">
        <f t="shared" si="3"/>
        <v>22.3068</v>
      </c>
      <c r="K80" s="332">
        <v>45946.0</v>
      </c>
      <c r="L80" s="325"/>
      <c r="M80" s="326"/>
      <c r="N80" s="326"/>
      <c r="O80" s="326"/>
      <c r="P80" s="32"/>
      <c r="Q80" s="32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4"/>
    </row>
    <row r="81">
      <c r="A81" s="317" t="s">
        <v>19</v>
      </c>
      <c r="B81" s="318" t="s">
        <v>42</v>
      </c>
      <c r="C81" s="352"/>
      <c r="D81" s="351"/>
      <c r="E81" s="320" t="s">
        <v>422</v>
      </c>
      <c r="F81" s="329">
        <v>11.0</v>
      </c>
      <c r="G81" s="404">
        <f>3+5+10</f>
        <v>18</v>
      </c>
      <c r="H81" s="393">
        <f t="shared" si="1"/>
        <v>198</v>
      </c>
      <c r="I81" s="394">
        <f t="shared" si="2"/>
        <v>31.68</v>
      </c>
      <c r="J81" s="331">
        <f t="shared" si="3"/>
        <v>229.68</v>
      </c>
      <c r="K81" s="406" t="s">
        <v>423</v>
      </c>
      <c r="L81" s="325"/>
      <c r="M81" s="326"/>
      <c r="N81" s="326"/>
      <c r="O81" s="326"/>
      <c r="P81" s="32"/>
      <c r="Q81" s="32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4"/>
    </row>
    <row r="82">
      <c r="A82" s="317" t="s">
        <v>19</v>
      </c>
      <c r="B82" s="318" t="s">
        <v>42</v>
      </c>
      <c r="C82" s="352"/>
      <c r="D82" s="351"/>
      <c r="E82" s="320" t="s">
        <v>424</v>
      </c>
      <c r="F82" s="329">
        <v>8.7</v>
      </c>
      <c r="G82" s="404">
        <f>6+5+10</f>
        <v>21</v>
      </c>
      <c r="H82" s="393">
        <f t="shared" si="1"/>
        <v>182.7</v>
      </c>
      <c r="I82" s="394">
        <f t="shared" si="2"/>
        <v>29.232</v>
      </c>
      <c r="J82" s="331">
        <f t="shared" si="3"/>
        <v>211.932</v>
      </c>
      <c r="K82" s="406" t="s">
        <v>425</v>
      </c>
      <c r="L82" s="325"/>
      <c r="M82" s="326"/>
      <c r="N82" s="326"/>
      <c r="O82" s="326"/>
      <c r="P82" s="32"/>
      <c r="Q82" s="32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4"/>
    </row>
    <row r="83">
      <c r="A83" s="317" t="s">
        <v>19</v>
      </c>
      <c r="B83" s="318" t="s">
        <v>42</v>
      </c>
      <c r="C83" s="352"/>
      <c r="D83" s="351"/>
      <c r="E83" s="320" t="s">
        <v>426</v>
      </c>
      <c r="F83" s="329">
        <v>163.52</v>
      </c>
      <c r="G83" s="404">
        <v>4.0</v>
      </c>
      <c r="H83" s="393">
        <f t="shared" si="1"/>
        <v>654.08</v>
      </c>
      <c r="I83" s="394">
        <f t="shared" si="2"/>
        <v>104.6528</v>
      </c>
      <c r="J83" s="331">
        <f t="shared" si="3"/>
        <v>758.7328</v>
      </c>
      <c r="K83" s="332">
        <v>45946.0</v>
      </c>
      <c r="L83" s="325"/>
      <c r="M83" s="326"/>
      <c r="N83" s="326"/>
      <c r="O83" s="326"/>
      <c r="P83" s="32"/>
      <c r="Q83" s="32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4"/>
    </row>
    <row r="84">
      <c r="A84" s="317" t="s">
        <v>19</v>
      </c>
      <c r="B84" s="318" t="s">
        <v>42</v>
      </c>
      <c r="C84" s="352"/>
      <c r="D84" s="351" t="s">
        <v>427</v>
      </c>
      <c r="E84" s="320" t="s">
        <v>428</v>
      </c>
      <c r="F84" s="329">
        <v>150.0</v>
      </c>
      <c r="G84" s="404">
        <v>1.0</v>
      </c>
      <c r="H84" s="393">
        <f t="shared" si="1"/>
        <v>150</v>
      </c>
      <c r="I84" s="394">
        <f t="shared" si="2"/>
        <v>24</v>
      </c>
      <c r="J84" s="331">
        <f t="shared" si="3"/>
        <v>174</v>
      </c>
      <c r="K84" s="332">
        <v>45911.0</v>
      </c>
      <c r="L84" s="325"/>
      <c r="M84" s="326"/>
      <c r="N84" s="326"/>
      <c r="O84" s="326"/>
      <c r="P84" s="32"/>
      <c r="Q84" s="32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4"/>
    </row>
    <row r="85">
      <c r="A85" s="317" t="s">
        <v>19</v>
      </c>
      <c r="B85" s="318" t="s">
        <v>42</v>
      </c>
      <c r="C85" s="352"/>
      <c r="D85" s="351" t="s">
        <v>429</v>
      </c>
      <c r="E85" s="320" t="s">
        <v>430</v>
      </c>
      <c r="F85" s="329">
        <v>150.0</v>
      </c>
      <c r="G85" s="404">
        <v>2.0</v>
      </c>
      <c r="H85" s="393">
        <f t="shared" si="1"/>
        <v>300</v>
      </c>
      <c r="I85" s="394">
        <f t="shared" si="2"/>
        <v>48</v>
      </c>
      <c r="J85" s="331">
        <f t="shared" si="3"/>
        <v>348</v>
      </c>
      <c r="K85" s="332">
        <v>45918.0</v>
      </c>
      <c r="L85" s="325"/>
      <c r="M85" s="326"/>
      <c r="N85" s="326"/>
      <c r="O85" s="326"/>
      <c r="P85" s="32"/>
      <c r="Q85" s="32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4"/>
    </row>
    <row r="86">
      <c r="A86" s="317" t="s">
        <v>19</v>
      </c>
      <c r="B86" s="318" t="s">
        <v>42</v>
      </c>
      <c r="C86" s="352"/>
      <c r="D86" s="351" t="s">
        <v>431</v>
      </c>
      <c r="E86" s="320" t="s">
        <v>432</v>
      </c>
      <c r="F86" s="329">
        <v>150.0</v>
      </c>
      <c r="G86" s="404">
        <v>35.0</v>
      </c>
      <c r="H86" s="393">
        <f t="shared" si="1"/>
        <v>5250</v>
      </c>
      <c r="I86" s="394">
        <f t="shared" si="2"/>
        <v>840</v>
      </c>
      <c r="J86" s="331">
        <f t="shared" si="3"/>
        <v>6090</v>
      </c>
      <c r="K86" s="332">
        <v>45922.0</v>
      </c>
      <c r="L86" s="325"/>
      <c r="M86" s="326"/>
      <c r="N86" s="326"/>
      <c r="O86" s="326"/>
      <c r="P86" s="32"/>
      <c r="Q86" s="32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>
      <c r="A87" s="317" t="s">
        <v>19</v>
      </c>
      <c r="B87" s="318" t="s">
        <v>42</v>
      </c>
      <c r="C87" s="352"/>
      <c r="D87" s="351" t="s">
        <v>433</v>
      </c>
      <c r="E87" s="320" t="s">
        <v>434</v>
      </c>
      <c r="F87" s="329">
        <v>150.0</v>
      </c>
      <c r="G87" s="404">
        <v>6.0</v>
      </c>
      <c r="H87" s="393">
        <f t="shared" si="1"/>
        <v>900</v>
      </c>
      <c r="I87" s="394">
        <f t="shared" si="2"/>
        <v>144</v>
      </c>
      <c r="J87" s="331">
        <f t="shared" si="3"/>
        <v>1044</v>
      </c>
      <c r="K87" s="332">
        <v>45922.0</v>
      </c>
      <c r="L87" s="325"/>
      <c r="M87" s="326"/>
      <c r="N87" s="326"/>
      <c r="O87" s="326"/>
      <c r="P87" s="32"/>
      <c r="Q87" s="32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4"/>
    </row>
    <row r="88">
      <c r="A88" s="317" t="s">
        <v>19</v>
      </c>
      <c r="B88" s="318" t="s">
        <v>42</v>
      </c>
      <c r="C88" s="352"/>
      <c r="D88" s="351" t="s">
        <v>435</v>
      </c>
      <c r="E88" s="320" t="s">
        <v>436</v>
      </c>
      <c r="F88" s="329">
        <v>150.0</v>
      </c>
      <c r="G88" s="404">
        <v>26.0</v>
      </c>
      <c r="H88" s="393">
        <f t="shared" si="1"/>
        <v>3900</v>
      </c>
      <c r="I88" s="394">
        <f t="shared" si="2"/>
        <v>624</v>
      </c>
      <c r="J88" s="331">
        <f t="shared" si="3"/>
        <v>4524</v>
      </c>
      <c r="K88" s="332">
        <v>45929.0</v>
      </c>
      <c r="L88" s="325"/>
      <c r="M88" s="326"/>
      <c r="N88" s="326"/>
      <c r="O88" s="326"/>
      <c r="P88" s="32"/>
      <c r="Q88" s="32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4"/>
    </row>
    <row r="89">
      <c r="A89" s="317" t="s">
        <v>19</v>
      </c>
      <c r="B89" s="318" t="s">
        <v>42</v>
      </c>
      <c r="C89" s="352"/>
      <c r="D89" s="351" t="s">
        <v>437</v>
      </c>
      <c r="E89" s="320" t="s">
        <v>438</v>
      </c>
      <c r="F89" s="329">
        <v>150.0</v>
      </c>
      <c r="G89" s="404">
        <v>44.0</v>
      </c>
      <c r="H89" s="393">
        <f t="shared" si="1"/>
        <v>6600</v>
      </c>
      <c r="I89" s="394">
        <f t="shared" si="2"/>
        <v>1056</v>
      </c>
      <c r="J89" s="331">
        <f t="shared" si="3"/>
        <v>7656</v>
      </c>
      <c r="K89" s="332">
        <v>45931.0</v>
      </c>
      <c r="L89" s="325"/>
      <c r="M89" s="326"/>
      <c r="N89" s="326"/>
      <c r="O89" s="326"/>
      <c r="P89" s="32"/>
      <c r="Q89" s="32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4"/>
    </row>
    <row r="90">
      <c r="A90" s="317" t="s">
        <v>19</v>
      </c>
      <c r="B90" s="318" t="s">
        <v>42</v>
      </c>
      <c r="C90" s="352"/>
      <c r="D90" s="351" t="s">
        <v>439</v>
      </c>
      <c r="E90" s="320" t="s">
        <v>440</v>
      </c>
      <c r="F90" s="329">
        <v>150.0</v>
      </c>
      <c r="G90" s="404">
        <v>21.0</v>
      </c>
      <c r="H90" s="393">
        <f t="shared" si="1"/>
        <v>3150</v>
      </c>
      <c r="I90" s="394">
        <f t="shared" si="2"/>
        <v>504</v>
      </c>
      <c r="J90" s="331">
        <f t="shared" si="3"/>
        <v>3654</v>
      </c>
      <c r="K90" s="332">
        <v>45932.0</v>
      </c>
      <c r="L90" s="325"/>
      <c r="M90" s="326"/>
      <c r="N90" s="326"/>
      <c r="O90" s="326"/>
      <c r="P90" s="32"/>
      <c r="Q90" s="32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4"/>
    </row>
    <row r="91">
      <c r="A91" s="317" t="s">
        <v>19</v>
      </c>
      <c r="B91" s="318" t="s">
        <v>42</v>
      </c>
      <c r="C91" s="352"/>
      <c r="D91" s="351" t="s">
        <v>439</v>
      </c>
      <c r="E91" s="320" t="s">
        <v>441</v>
      </c>
      <c r="F91" s="329">
        <v>150.0</v>
      </c>
      <c r="G91" s="404">
        <v>23.0</v>
      </c>
      <c r="H91" s="393">
        <f t="shared" si="1"/>
        <v>3450</v>
      </c>
      <c r="I91" s="394">
        <f t="shared" si="2"/>
        <v>552</v>
      </c>
      <c r="J91" s="331">
        <f t="shared" si="3"/>
        <v>4002</v>
      </c>
      <c r="K91" s="332">
        <v>45933.0</v>
      </c>
      <c r="L91" s="325"/>
      <c r="M91" s="326"/>
      <c r="N91" s="326"/>
      <c r="O91" s="326"/>
      <c r="P91" s="32"/>
      <c r="Q91" s="32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4"/>
    </row>
    <row r="92">
      <c r="A92" s="317" t="s">
        <v>19</v>
      </c>
      <c r="B92" s="318" t="s">
        <v>42</v>
      </c>
      <c r="C92" s="352"/>
      <c r="D92" s="351" t="s">
        <v>442</v>
      </c>
      <c r="E92" s="320" t="s">
        <v>443</v>
      </c>
      <c r="F92" s="329">
        <v>150.0</v>
      </c>
      <c r="G92" s="404">
        <v>14.0</v>
      </c>
      <c r="H92" s="393">
        <f t="shared" si="1"/>
        <v>2100</v>
      </c>
      <c r="I92" s="394">
        <f t="shared" si="2"/>
        <v>336</v>
      </c>
      <c r="J92" s="331">
        <f t="shared" si="3"/>
        <v>2436</v>
      </c>
      <c r="K92" s="332">
        <v>45936.0</v>
      </c>
      <c r="L92" s="325"/>
      <c r="M92" s="326"/>
      <c r="N92" s="326"/>
      <c r="O92" s="326"/>
      <c r="P92" s="32"/>
      <c r="Q92" s="32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4"/>
    </row>
    <row r="93">
      <c r="A93" s="317" t="s">
        <v>19</v>
      </c>
      <c r="B93" s="318" t="s">
        <v>42</v>
      </c>
      <c r="C93" s="352"/>
      <c r="D93" s="351" t="s">
        <v>439</v>
      </c>
      <c r="E93" s="320" t="s">
        <v>444</v>
      </c>
      <c r="F93" s="329">
        <v>150.0</v>
      </c>
      <c r="G93" s="404">
        <v>1.0</v>
      </c>
      <c r="H93" s="393">
        <f t="shared" si="1"/>
        <v>150</v>
      </c>
      <c r="I93" s="394">
        <f t="shared" si="2"/>
        <v>24</v>
      </c>
      <c r="J93" s="331">
        <f t="shared" si="3"/>
        <v>174</v>
      </c>
      <c r="K93" s="332">
        <v>45937.0</v>
      </c>
      <c r="L93" s="325"/>
      <c r="M93" s="326"/>
      <c r="N93" s="326"/>
      <c r="O93" s="326"/>
      <c r="P93" s="32"/>
      <c r="Q93" s="32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4"/>
    </row>
    <row r="94">
      <c r="A94" s="317" t="s">
        <v>19</v>
      </c>
      <c r="B94" s="318" t="s">
        <v>42</v>
      </c>
      <c r="C94" s="352"/>
      <c r="D94" s="351" t="s">
        <v>439</v>
      </c>
      <c r="E94" s="320" t="s">
        <v>445</v>
      </c>
      <c r="F94" s="329">
        <v>150.0</v>
      </c>
      <c r="G94" s="404">
        <v>55.0</v>
      </c>
      <c r="H94" s="393">
        <f t="shared" si="1"/>
        <v>8250</v>
      </c>
      <c r="I94" s="394">
        <f t="shared" si="2"/>
        <v>1320</v>
      </c>
      <c r="J94" s="331">
        <f t="shared" si="3"/>
        <v>9570</v>
      </c>
      <c r="K94" s="332">
        <v>45938.0</v>
      </c>
      <c r="L94" s="325"/>
      <c r="M94" s="326"/>
      <c r="N94" s="326"/>
      <c r="O94" s="326"/>
      <c r="P94" s="32"/>
      <c r="Q94" s="32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4"/>
    </row>
    <row r="95">
      <c r="A95" s="317" t="s">
        <v>19</v>
      </c>
      <c r="B95" s="318" t="s">
        <v>42</v>
      </c>
      <c r="C95" s="352"/>
      <c r="D95" s="351" t="s">
        <v>446</v>
      </c>
      <c r="E95" s="320" t="s">
        <v>447</v>
      </c>
      <c r="F95" s="329">
        <v>150.0</v>
      </c>
      <c r="G95" s="404">
        <v>17.0</v>
      </c>
      <c r="H95" s="393">
        <f t="shared" si="1"/>
        <v>2550</v>
      </c>
      <c r="I95" s="394">
        <f t="shared" si="2"/>
        <v>408</v>
      </c>
      <c r="J95" s="331">
        <f t="shared" si="3"/>
        <v>2958</v>
      </c>
      <c r="K95" s="332">
        <v>45939.0</v>
      </c>
      <c r="L95" s="325"/>
      <c r="M95" s="326"/>
      <c r="N95" s="326"/>
      <c r="O95" s="326"/>
      <c r="P95" s="32"/>
      <c r="Q95" s="32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4"/>
    </row>
    <row r="96">
      <c r="A96" s="317" t="s">
        <v>19</v>
      </c>
      <c r="B96" s="318" t="s">
        <v>42</v>
      </c>
      <c r="C96" s="352"/>
      <c r="D96" s="351" t="s">
        <v>446</v>
      </c>
      <c r="E96" s="320" t="s">
        <v>445</v>
      </c>
      <c r="F96" s="329">
        <v>150.0</v>
      </c>
      <c r="G96" s="404">
        <v>55.0</v>
      </c>
      <c r="H96" s="393">
        <f t="shared" si="1"/>
        <v>8250</v>
      </c>
      <c r="I96" s="394">
        <f t="shared" si="2"/>
        <v>1320</v>
      </c>
      <c r="J96" s="331">
        <f t="shared" si="3"/>
        <v>9570</v>
      </c>
      <c r="K96" s="332">
        <v>45944.0</v>
      </c>
      <c r="L96" s="325"/>
      <c r="M96" s="326"/>
      <c r="N96" s="326"/>
      <c r="O96" s="326"/>
      <c r="P96" s="32"/>
      <c r="Q96" s="32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4"/>
    </row>
    <row r="97">
      <c r="A97" s="317" t="s">
        <v>19</v>
      </c>
      <c r="B97" s="318" t="s">
        <v>42</v>
      </c>
      <c r="C97" s="352"/>
      <c r="D97" s="351" t="s">
        <v>439</v>
      </c>
      <c r="E97" s="320" t="s">
        <v>448</v>
      </c>
      <c r="F97" s="329">
        <v>150.0</v>
      </c>
      <c r="G97" s="404">
        <v>20.0</v>
      </c>
      <c r="H97" s="393">
        <f t="shared" si="1"/>
        <v>3000</v>
      </c>
      <c r="I97" s="394">
        <f t="shared" si="2"/>
        <v>480</v>
      </c>
      <c r="J97" s="331">
        <f t="shared" si="3"/>
        <v>3480</v>
      </c>
      <c r="K97" s="332">
        <v>45945.0</v>
      </c>
      <c r="L97" s="325"/>
      <c r="M97" s="326"/>
      <c r="N97" s="326"/>
      <c r="O97" s="326"/>
      <c r="P97" s="32"/>
      <c r="Q97" s="32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4"/>
    </row>
    <row r="98">
      <c r="A98" s="317" t="s">
        <v>19</v>
      </c>
      <c r="B98" s="318" t="s">
        <v>42</v>
      </c>
      <c r="C98" s="352"/>
      <c r="D98" s="410" t="s">
        <v>334</v>
      </c>
      <c r="E98" s="425" t="s">
        <v>335</v>
      </c>
      <c r="F98" s="412">
        <v>0.0</v>
      </c>
      <c r="G98" s="413">
        <f>25*50</f>
        <v>1250</v>
      </c>
      <c r="H98" s="414">
        <f t="shared" si="1"/>
        <v>0</v>
      </c>
      <c r="I98" s="415">
        <f t="shared" si="2"/>
        <v>0</v>
      </c>
      <c r="J98" s="416">
        <f t="shared" si="3"/>
        <v>0</v>
      </c>
      <c r="K98" s="417" t="s">
        <v>449</v>
      </c>
      <c r="L98" s="325"/>
      <c r="M98" s="326"/>
      <c r="N98" s="326"/>
      <c r="O98" s="326"/>
      <c r="P98" s="32"/>
      <c r="Q98" s="32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4"/>
    </row>
    <row r="99">
      <c r="A99" s="317" t="s">
        <v>19</v>
      </c>
      <c r="B99" s="318" t="s">
        <v>42</v>
      </c>
      <c r="C99" s="352"/>
      <c r="D99" s="426"/>
      <c r="E99" s="328" t="s">
        <v>450</v>
      </c>
      <c r="F99" s="329">
        <v>1114.22</v>
      </c>
      <c r="G99" s="404">
        <v>2.0</v>
      </c>
      <c r="H99" s="393">
        <f t="shared" si="1"/>
        <v>2228.44</v>
      </c>
      <c r="I99" s="394">
        <f t="shared" si="2"/>
        <v>356.5504</v>
      </c>
      <c r="J99" s="331">
        <f t="shared" si="3"/>
        <v>2584.9904</v>
      </c>
      <c r="K99" s="332">
        <v>45947.0</v>
      </c>
      <c r="L99" s="325"/>
      <c r="M99" s="326"/>
      <c r="N99" s="326"/>
      <c r="O99" s="326"/>
      <c r="P99" s="32"/>
      <c r="Q99" s="32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4"/>
    </row>
    <row r="100">
      <c r="A100" s="317" t="s">
        <v>19</v>
      </c>
      <c r="B100" s="318" t="s">
        <v>42</v>
      </c>
      <c r="C100" s="352"/>
      <c r="D100" s="426"/>
      <c r="E100" s="328" t="s">
        <v>451</v>
      </c>
      <c r="F100" s="329">
        <v>230.49</v>
      </c>
      <c r="G100" s="404">
        <v>1.0</v>
      </c>
      <c r="H100" s="393">
        <f t="shared" si="1"/>
        <v>230.49</v>
      </c>
      <c r="I100" s="394">
        <f t="shared" si="2"/>
        <v>36.8784</v>
      </c>
      <c r="J100" s="331">
        <f t="shared" si="3"/>
        <v>267.3684</v>
      </c>
      <c r="K100" s="332">
        <v>45947.0</v>
      </c>
      <c r="L100" s="325"/>
      <c r="M100" s="326"/>
      <c r="N100" s="326"/>
      <c r="O100" s="326"/>
      <c r="P100" s="32"/>
      <c r="Q100" s="32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4"/>
    </row>
    <row r="101">
      <c r="A101" s="317" t="s">
        <v>19</v>
      </c>
      <c r="B101" s="318" t="s">
        <v>42</v>
      </c>
      <c r="C101" s="352"/>
      <c r="D101" s="426"/>
      <c r="E101" s="328" t="s">
        <v>452</v>
      </c>
      <c r="F101" s="329">
        <v>27.0</v>
      </c>
      <c r="G101" s="404">
        <f>2+6</f>
        <v>8</v>
      </c>
      <c r="H101" s="393">
        <f t="shared" si="1"/>
        <v>216</v>
      </c>
      <c r="I101" s="394">
        <f t="shared" si="2"/>
        <v>34.56</v>
      </c>
      <c r="J101" s="331">
        <f t="shared" si="3"/>
        <v>250.56</v>
      </c>
      <c r="K101" s="406" t="s">
        <v>453</v>
      </c>
      <c r="L101" s="325"/>
      <c r="M101" s="326"/>
      <c r="N101" s="326"/>
      <c r="O101" s="326"/>
      <c r="P101" s="32"/>
      <c r="Q101" s="32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4"/>
    </row>
    <row r="102">
      <c r="A102" s="317" t="s">
        <v>19</v>
      </c>
      <c r="B102" s="318" t="s">
        <v>42</v>
      </c>
      <c r="C102" s="352"/>
      <c r="D102" s="426"/>
      <c r="E102" s="328" t="s">
        <v>454</v>
      </c>
      <c r="F102" s="329">
        <v>2.07</v>
      </c>
      <c r="G102" s="404">
        <f>10+20</f>
        <v>30</v>
      </c>
      <c r="H102" s="393">
        <f t="shared" si="1"/>
        <v>62.1</v>
      </c>
      <c r="I102" s="394">
        <f t="shared" si="2"/>
        <v>9.936</v>
      </c>
      <c r="J102" s="331">
        <f t="shared" si="3"/>
        <v>72.036</v>
      </c>
      <c r="K102" s="406" t="s">
        <v>453</v>
      </c>
      <c r="L102" s="325"/>
      <c r="M102" s="326"/>
      <c r="N102" s="326"/>
      <c r="O102" s="326"/>
      <c r="P102" s="32"/>
      <c r="Q102" s="32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4"/>
    </row>
    <row r="103">
      <c r="A103" s="317" t="s">
        <v>19</v>
      </c>
      <c r="B103" s="318" t="s">
        <v>42</v>
      </c>
      <c r="C103" s="352"/>
      <c r="D103" s="426"/>
      <c r="E103" s="328" t="s">
        <v>455</v>
      </c>
      <c r="F103" s="329">
        <v>10.0</v>
      </c>
      <c r="G103" s="404">
        <f>4+20</f>
        <v>24</v>
      </c>
      <c r="H103" s="393">
        <f t="shared" si="1"/>
        <v>240</v>
      </c>
      <c r="I103" s="394">
        <f t="shared" si="2"/>
        <v>38.4</v>
      </c>
      <c r="J103" s="331">
        <f t="shared" si="3"/>
        <v>278.4</v>
      </c>
      <c r="K103" s="406" t="s">
        <v>449</v>
      </c>
      <c r="L103" s="325"/>
      <c r="M103" s="326"/>
      <c r="N103" s="326"/>
      <c r="O103" s="326"/>
      <c r="P103" s="32"/>
      <c r="Q103" s="32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4"/>
    </row>
    <row r="104">
      <c r="A104" s="317" t="s">
        <v>19</v>
      </c>
      <c r="B104" s="318" t="s">
        <v>42</v>
      </c>
      <c r="C104" s="352"/>
      <c r="D104" s="352"/>
      <c r="E104" s="427" t="s">
        <v>456</v>
      </c>
      <c r="F104" s="428">
        <v>239.36</v>
      </c>
      <c r="G104" s="429">
        <v>3.0</v>
      </c>
      <c r="H104" s="393">
        <f t="shared" si="1"/>
        <v>718.08</v>
      </c>
      <c r="I104" s="394">
        <f t="shared" si="2"/>
        <v>114.8928</v>
      </c>
      <c r="J104" s="331">
        <f t="shared" si="3"/>
        <v>832.9728</v>
      </c>
      <c r="K104" s="430">
        <v>45951.0</v>
      </c>
      <c r="L104" s="325"/>
      <c r="M104" s="326"/>
      <c r="N104" s="326"/>
      <c r="O104" s="326"/>
      <c r="P104" s="32"/>
      <c r="Q104" s="32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4"/>
    </row>
    <row r="105">
      <c r="A105" s="317" t="s">
        <v>19</v>
      </c>
      <c r="B105" s="318" t="s">
        <v>42</v>
      </c>
      <c r="C105" s="352"/>
      <c r="D105" s="352"/>
      <c r="E105" s="427" t="s">
        <v>457</v>
      </c>
      <c r="F105" s="428">
        <v>435.34</v>
      </c>
      <c r="G105" s="429">
        <v>3.0</v>
      </c>
      <c r="H105" s="393">
        <f t="shared" si="1"/>
        <v>1306.02</v>
      </c>
      <c r="I105" s="394">
        <f t="shared" si="2"/>
        <v>208.9632</v>
      </c>
      <c r="J105" s="331">
        <f t="shared" si="3"/>
        <v>1514.9832</v>
      </c>
      <c r="K105" s="430">
        <v>45951.0</v>
      </c>
      <c r="L105" s="325"/>
      <c r="M105" s="326"/>
      <c r="N105" s="326"/>
      <c r="O105" s="326"/>
      <c r="P105" s="32"/>
      <c r="Q105" s="32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4"/>
    </row>
    <row r="106">
      <c r="A106" s="317" t="s">
        <v>19</v>
      </c>
      <c r="B106" s="318" t="s">
        <v>42</v>
      </c>
      <c r="C106" s="352"/>
      <c r="D106" s="352"/>
      <c r="E106" s="427" t="s">
        <v>458</v>
      </c>
      <c r="F106" s="428">
        <v>45.63</v>
      </c>
      <c r="G106" s="429">
        <f>4+4</f>
        <v>8</v>
      </c>
      <c r="H106" s="393">
        <f t="shared" si="1"/>
        <v>365.04</v>
      </c>
      <c r="I106" s="394">
        <f t="shared" si="2"/>
        <v>58.4064</v>
      </c>
      <c r="J106" s="331">
        <f t="shared" si="3"/>
        <v>423.4464</v>
      </c>
      <c r="K106" s="406" t="s">
        <v>459</v>
      </c>
      <c r="L106" s="325"/>
      <c r="M106" s="326"/>
      <c r="N106" s="326"/>
      <c r="O106" s="326"/>
      <c r="P106" s="32"/>
      <c r="Q106" s="32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4"/>
    </row>
    <row r="107">
      <c r="A107" s="317" t="s">
        <v>19</v>
      </c>
      <c r="B107" s="318" t="s">
        <v>42</v>
      </c>
      <c r="C107" s="352"/>
      <c r="D107" s="410" t="s">
        <v>334</v>
      </c>
      <c r="E107" s="431" t="s">
        <v>370</v>
      </c>
      <c r="F107" s="432">
        <v>0.0</v>
      </c>
      <c r="G107" s="433">
        <v>2.0</v>
      </c>
      <c r="H107" s="414">
        <f t="shared" si="1"/>
        <v>0</v>
      </c>
      <c r="I107" s="415">
        <f t="shared" si="2"/>
        <v>0</v>
      </c>
      <c r="J107" s="416">
        <f t="shared" si="3"/>
        <v>0</v>
      </c>
      <c r="K107" s="434">
        <v>45951.0</v>
      </c>
      <c r="L107" s="325"/>
      <c r="M107" s="326"/>
      <c r="N107" s="326"/>
      <c r="O107" s="326"/>
      <c r="P107" s="32"/>
      <c r="Q107" s="32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4"/>
    </row>
    <row r="108">
      <c r="A108" s="317" t="s">
        <v>19</v>
      </c>
      <c r="B108" s="318" t="s">
        <v>42</v>
      </c>
      <c r="C108" s="352"/>
      <c r="D108" s="410" t="s">
        <v>334</v>
      </c>
      <c r="E108" s="431" t="s">
        <v>460</v>
      </c>
      <c r="F108" s="432">
        <v>0.0</v>
      </c>
      <c r="G108" s="433">
        <v>2.0</v>
      </c>
      <c r="H108" s="414">
        <f t="shared" si="1"/>
        <v>0</v>
      </c>
      <c r="I108" s="415">
        <f t="shared" si="2"/>
        <v>0</v>
      </c>
      <c r="J108" s="416">
        <f t="shared" si="3"/>
        <v>0</v>
      </c>
      <c r="K108" s="434">
        <v>45951.0</v>
      </c>
      <c r="L108" s="325"/>
      <c r="M108" s="326"/>
      <c r="N108" s="326"/>
      <c r="O108" s="326"/>
      <c r="P108" s="32"/>
      <c r="Q108" s="32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4"/>
    </row>
    <row r="109">
      <c r="A109" s="317" t="s">
        <v>19</v>
      </c>
      <c r="B109" s="318" t="s">
        <v>42</v>
      </c>
      <c r="C109" s="352"/>
      <c r="D109" s="410" t="s">
        <v>334</v>
      </c>
      <c r="E109" s="431" t="s">
        <v>461</v>
      </c>
      <c r="F109" s="432">
        <v>0.0</v>
      </c>
      <c r="G109" s="433">
        <v>2.0</v>
      </c>
      <c r="H109" s="414">
        <f t="shared" si="1"/>
        <v>0</v>
      </c>
      <c r="I109" s="415">
        <f t="shared" si="2"/>
        <v>0</v>
      </c>
      <c r="J109" s="416">
        <f t="shared" si="3"/>
        <v>0</v>
      </c>
      <c r="K109" s="434">
        <v>45951.0</v>
      </c>
      <c r="L109" s="325"/>
      <c r="M109" s="326"/>
      <c r="N109" s="326"/>
      <c r="O109" s="326"/>
      <c r="P109" s="32"/>
      <c r="Q109" s="32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4"/>
    </row>
    <row r="110">
      <c r="A110" s="317" t="s">
        <v>19</v>
      </c>
      <c r="B110" s="318" t="s">
        <v>42</v>
      </c>
      <c r="C110" s="352"/>
      <c r="D110" s="410" t="s">
        <v>334</v>
      </c>
      <c r="E110" s="431" t="s">
        <v>462</v>
      </c>
      <c r="F110" s="432">
        <v>0.0</v>
      </c>
      <c r="G110" s="433">
        <v>2.0</v>
      </c>
      <c r="H110" s="414">
        <f t="shared" si="1"/>
        <v>0</v>
      </c>
      <c r="I110" s="415">
        <f t="shared" si="2"/>
        <v>0</v>
      </c>
      <c r="J110" s="416">
        <f t="shared" si="3"/>
        <v>0</v>
      </c>
      <c r="K110" s="434">
        <v>45951.0</v>
      </c>
      <c r="L110" s="325"/>
      <c r="M110" s="326"/>
      <c r="N110" s="326"/>
      <c r="O110" s="326"/>
      <c r="P110" s="32"/>
      <c r="Q110" s="32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4"/>
    </row>
    <row r="111">
      <c r="A111" s="317" t="s">
        <v>19</v>
      </c>
      <c r="B111" s="318" t="s">
        <v>42</v>
      </c>
      <c r="C111" s="352"/>
      <c r="D111" s="410" t="s">
        <v>334</v>
      </c>
      <c r="E111" s="431" t="s">
        <v>463</v>
      </c>
      <c r="F111" s="432">
        <v>0.0</v>
      </c>
      <c r="G111" s="433">
        <v>1.0</v>
      </c>
      <c r="H111" s="414">
        <f t="shared" si="1"/>
        <v>0</v>
      </c>
      <c r="I111" s="415">
        <f t="shared" si="2"/>
        <v>0</v>
      </c>
      <c r="J111" s="416">
        <f t="shared" si="3"/>
        <v>0</v>
      </c>
      <c r="K111" s="434">
        <v>45951.0</v>
      </c>
      <c r="L111" s="325"/>
      <c r="M111" s="326"/>
      <c r="N111" s="326"/>
      <c r="O111" s="326"/>
      <c r="P111" s="32"/>
      <c r="Q111" s="32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4"/>
    </row>
    <row r="112">
      <c r="A112" s="317" t="s">
        <v>19</v>
      </c>
      <c r="B112" s="318" t="s">
        <v>42</v>
      </c>
      <c r="C112" s="352"/>
      <c r="D112" s="410" t="s">
        <v>334</v>
      </c>
      <c r="E112" s="431" t="s">
        <v>464</v>
      </c>
      <c r="F112" s="432">
        <v>0.0</v>
      </c>
      <c r="G112" s="433">
        <v>1.0</v>
      </c>
      <c r="H112" s="414">
        <f t="shared" si="1"/>
        <v>0</v>
      </c>
      <c r="I112" s="415">
        <f t="shared" si="2"/>
        <v>0</v>
      </c>
      <c r="J112" s="416">
        <f t="shared" si="3"/>
        <v>0</v>
      </c>
      <c r="K112" s="434">
        <v>45951.0</v>
      </c>
      <c r="L112" s="325"/>
      <c r="M112" s="326"/>
      <c r="N112" s="326"/>
      <c r="O112" s="326"/>
      <c r="P112" s="32"/>
      <c r="Q112" s="32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4"/>
    </row>
    <row r="113">
      <c r="A113" s="317" t="s">
        <v>19</v>
      </c>
      <c r="B113" s="318" t="s">
        <v>42</v>
      </c>
      <c r="C113" s="352"/>
      <c r="D113" s="410" t="s">
        <v>334</v>
      </c>
      <c r="E113" s="431" t="s">
        <v>465</v>
      </c>
      <c r="F113" s="432">
        <v>0.0</v>
      </c>
      <c r="G113" s="433">
        <v>1.0</v>
      </c>
      <c r="H113" s="414">
        <f t="shared" si="1"/>
        <v>0</v>
      </c>
      <c r="I113" s="415">
        <f t="shared" si="2"/>
        <v>0</v>
      </c>
      <c r="J113" s="416">
        <f t="shared" si="3"/>
        <v>0</v>
      </c>
      <c r="K113" s="434">
        <v>45951.0</v>
      </c>
      <c r="L113" s="325"/>
      <c r="M113" s="326"/>
      <c r="N113" s="326"/>
      <c r="O113" s="326"/>
      <c r="P113" s="32"/>
      <c r="Q113" s="32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4"/>
    </row>
    <row r="114">
      <c r="A114" s="317" t="s">
        <v>19</v>
      </c>
      <c r="B114" s="318" t="s">
        <v>42</v>
      </c>
      <c r="C114" s="352"/>
      <c r="D114" s="410" t="s">
        <v>334</v>
      </c>
      <c r="E114" s="431" t="s">
        <v>466</v>
      </c>
      <c r="F114" s="432">
        <v>0.0</v>
      </c>
      <c r="G114" s="433">
        <v>1.0</v>
      </c>
      <c r="H114" s="414">
        <f t="shared" si="1"/>
        <v>0</v>
      </c>
      <c r="I114" s="415">
        <f t="shared" si="2"/>
        <v>0</v>
      </c>
      <c r="J114" s="416">
        <f t="shared" si="3"/>
        <v>0</v>
      </c>
      <c r="K114" s="434">
        <v>45951.0</v>
      </c>
      <c r="L114" s="325"/>
      <c r="M114" s="326"/>
      <c r="N114" s="326"/>
      <c r="O114" s="326"/>
      <c r="P114" s="32"/>
      <c r="Q114" s="32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4"/>
    </row>
    <row r="115">
      <c r="A115" s="317" t="s">
        <v>19</v>
      </c>
      <c r="B115" s="318" t="s">
        <v>42</v>
      </c>
      <c r="C115" s="352"/>
      <c r="D115" s="410" t="s">
        <v>334</v>
      </c>
      <c r="E115" s="431" t="s">
        <v>467</v>
      </c>
      <c r="F115" s="432">
        <v>0.0</v>
      </c>
      <c r="G115" s="433">
        <v>3.0</v>
      </c>
      <c r="H115" s="414">
        <f t="shared" si="1"/>
        <v>0</v>
      </c>
      <c r="I115" s="415">
        <f t="shared" si="2"/>
        <v>0</v>
      </c>
      <c r="J115" s="416">
        <f t="shared" si="3"/>
        <v>0</v>
      </c>
      <c r="K115" s="434">
        <v>45951.0</v>
      </c>
      <c r="L115" s="325"/>
      <c r="M115" s="326"/>
      <c r="N115" s="326"/>
      <c r="O115" s="326"/>
      <c r="P115" s="32"/>
      <c r="Q115" s="32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4"/>
    </row>
    <row r="116">
      <c r="A116" s="317" t="s">
        <v>19</v>
      </c>
      <c r="B116" s="318" t="s">
        <v>42</v>
      </c>
      <c r="C116" s="352"/>
      <c r="D116" s="410" t="s">
        <v>334</v>
      </c>
      <c r="E116" s="431" t="s">
        <v>468</v>
      </c>
      <c r="F116" s="432">
        <v>0.0</v>
      </c>
      <c r="G116" s="433">
        <v>3.0</v>
      </c>
      <c r="H116" s="414">
        <f t="shared" si="1"/>
        <v>0</v>
      </c>
      <c r="I116" s="415">
        <f t="shared" si="2"/>
        <v>0</v>
      </c>
      <c r="J116" s="416">
        <f t="shared" si="3"/>
        <v>0</v>
      </c>
      <c r="K116" s="434">
        <v>45951.0</v>
      </c>
      <c r="L116" s="325"/>
      <c r="M116" s="326"/>
      <c r="N116" s="326"/>
      <c r="O116" s="326"/>
      <c r="P116" s="32"/>
      <c r="Q116" s="32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4"/>
    </row>
    <row r="117">
      <c r="A117" s="317" t="s">
        <v>19</v>
      </c>
      <c r="B117" s="318" t="s">
        <v>42</v>
      </c>
      <c r="C117" s="352"/>
      <c r="D117" s="410" t="s">
        <v>334</v>
      </c>
      <c r="E117" s="431" t="s">
        <v>469</v>
      </c>
      <c r="F117" s="432">
        <v>0.0</v>
      </c>
      <c r="G117" s="433">
        <v>3.0</v>
      </c>
      <c r="H117" s="414">
        <f t="shared" si="1"/>
        <v>0</v>
      </c>
      <c r="I117" s="415">
        <f t="shared" si="2"/>
        <v>0</v>
      </c>
      <c r="J117" s="416">
        <f t="shared" si="3"/>
        <v>0</v>
      </c>
      <c r="K117" s="434">
        <v>45951.0</v>
      </c>
      <c r="L117" s="325"/>
      <c r="M117" s="326"/>
      <c r="N117" s="326"/>
      <c r="O117" s="326"/>
      <c r="P117" s="32"/>
      <c r="Q117" s="32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4"/>
    </row>
    <row r="118">
      <c r="A118" s="317" t="s">
        <v>19</v>
      </c>
      <c r="B118" s="318" t="s">
        <v>42</v>
      </c>
      <c r="C118" s="352"/>
      <c r="D118" s="410" t="s">
        <v>334</v>
      </c>
      <c r="E118" s="431" t="s">
        <v>470</v>
      </c>
      <c r="F118" s="432">
        <v>0.0</v>
      </c>
      <c r="G118" s="433">
        <v>3.0</v>
      </c>
      <c r="H118" s="414">
        <f t="shared" si="1"/>
        <v>0</v>
      </c>
      <c r="I118" s="415">
        <f t="shared" si="2"/>
        <v>0</v>
      </c>
      <c r="J118" s="416">
        <f t="shared" si="3"/>
        <v>0</v>
      </c>
      <c r="K118" s="434">
        <v>45951.0</v>
      </c>
      <c r="L118" s="325"/>
      <c r="M118" s="326"/>
      <c r="N118" s="326"/>
      <c r="O118" s="326"/>
      <c r="P118" s="32"/>
      <c r="Q118" s="32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4"/>
    </row>
    <row r="119">
      <c r="A119" s="317" t="s">
        <v>19</v>
      </c>
      <c r="B119" s="318" t="s">
        <v>42</v>
      </c>
      <c r="C119" s="352"/>
      <c r="D119" s="410" t="s">
        <v>334</v>
      </c>
      <c r="E119" s="431" t="s">
        <v>471</v>
      </c>
      <c r="F119" s="432">
        <v>0.0</v>
      </c>
      <c r="G119" s="433">
        <v>1.0</v>
      </c>
      <c r="H119" s="414">
        <f t="shared" si="1"/>
        <v>0</v>
      </c>
      <c r="I119" s="415">
        <f t="shared" si="2"/>
        <v>0</v>
      </c>
      <c r="J119" s="416">
        <f t="shared" si="3"/>
        <v>0</v>
      </c>
      <c r="K119" s="434">
        <v>45951.0</v>
      </c>
      <c r="L119" s="325"/>
      <c r="M119" s="326"/>
      <c r="N119" s="326"/>
      <c r="O119" s="326"/>
      <c r="P119" s="32"/>
      <c r="Q119" s="32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4"/>
    </row>
    <row r="120">
      <c r="A120" s="317" t="s">
        <v>19</v>
      </c>
      <c r="B120" s="318" t="s">
        <v>42</v>
      </c>
      <c r="C120" s="352"/>
      <c r="D120" s="410" t="s">
        <v>334</v>
      </c>
      <c r="E120" s="431" t="s">
        <v>472</v>
      </c>
      <c r="F120" s="432">
        <v>0.0</v>
      </c>
      <c r="G120" s="433">
        <v>1.0</v>
      </c>
      <c r="H120" s="414">
        <f t="shared" si="1"/>
        <v>0</v>
      </c>
      <c r="I120" s="415">
        <f t="shared" si="2"/>
        <v>0</v>
      </c>
      <c r="J120" s="416">
        <f t="shared" si="3"/>
        <v>0</v>
      </c>
      <c r="K120" s="434">
        <v>45951.0</v>
      </c>
      <c r="L120" s="325"/>
      <c r="M120" s="326"/>
      <c r="N120" s="326"/>
      <c r="O120" s="326"/>
      <c r="P120" s="32"/>
      <c r="Q120" s="32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4"/>
    </row>
    <row r="121">
      <c r="A121" s="317" t="s">
        <v>19</v>
      </c>
      <c r="B121" s="318" t="s">
        <v>42</v>
      </c>
      <c r="C121" s="352"/>
      <c r="D121" s="410" t="s">
        <v>334</v>
      </c>
      <c r="E121" s="431" t="s">
        <v>469</v>
      </c>
      <c r="F121" s="432">
        <v>0.0</v>
      </c>
      <c r="G121" s="433">
        <v>1.0</v>
      </c>
      <c r="H121" s="414">
        <f t="shared" si="1"/>
        <v>0</v>
      </c>
      <c r="I121" s="415">
        <f t="shared" si="2"/>
        <v>0</v>
      </c>
      <c r="J121" s="416">
        <f t="shared" si="3"/>
        <v>0</v>
      </c>
      <c r="K121" s="434">
        <v>45951.0</v>
      </c>
      <c r="L121" s="325"/>
      <c r="M121" s="326"/>
      <c r="N121" s="326"/>
      <c r="O121" s="326"/>
      <c r="P121" s="32"/>
      <c r="Q121" s="32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4"/>
    </row>
    <row r="122">
      <c r="A122" s="317" t="s">
        <v>19</v>
      </c>
      <c r="B122" s="318" t="s">
        <v>42</v>
      </c>
      <c r="C122" s="352"/>
      <c r="D122" s="410" t="s">
        <v>334</v>
      </c>
      <c r="E122" s="431" t="s">
        <v>470</v>
      </c>
      <c r="F122" s="432">
        <v>0.0</v>
      </c>
      <c r="G122" s="433">
        <v>1.0</v>
      </c>
      <c r="H122" s="414">
        <f t="shared" si="1"/>
        <v>0</v>
      </c>
      <c r="I122" s="415">
        <f t="shared" si="2"/>
        <v>0</v>
      </c>
      <c r="J122" s="416">
        <f t="shared" si="3"/>
        <v>0</v>
      </c>
      <c r="K122" s="434">
        <v>45951.0</v>
      </c>
      <c r="L122" s="325"/>
      <c r="M122" s="326"/>
      <c r="N122" s="326"/>
      <c r="O122" s="326"/>
      <c r="P122" s="32"/>
      <c r="Q122" s="32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4"/>
    </row>
    <row r="123">
      <c r="A123" s="317" t="s">
        <v>19</v>
      </c>
      <c r="B123" s="318" t="s">
        <v>42</v>
      </c>
      <c r="C123" s="352"/>
      <c r="D123" s="410"/>
      <c r="E123" s="427" t="s">
        <v>473</v>
      </c>
      <c r="F123" s="428">
        <v>85.34</v>
      </c>
      <c r="G123" s="429">
        <v>3.0</v>
      </c>
      <c r="H123" s="393">
        <f t="shared" si="1"/>
        <v>256.02</v>
      </c>
      <c r="I123" s="394">
        <f t="shared" si="2"/>
        <v>40.9632</v>
      </c>
      <c r="J123" s="331">
        <f t="shared" si="3"/>
        <v>296.9832</v>
      </c>
      <c r="K123" s="430">
        <v>45951.0</v>
      </c>
      <c r="L123" s="325"/>
      <c r="M123" s="326"/>
      <c r="N123" s="326"/>
      <c r="O123" s="326"/>
      <c r="P123" s="32"/>
      <c r="Q123" s="32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4"/>
    </row>
    <row r="124">
      <c r="A124" s="317" t="s">
        <v>19</v>
      </c>
      <c r="B124" s="318" t="s">
        <v>42</v>
      </c>
      <c r="C124" s="352"/>
      <c r="D124" s="352"/>
      <c r="E124" s="427" t="s">
        <v>474</v>
      </c>
      <c r="F124" s="428">
        <v>0.3</v>
      </c>
      <c r="G124" s="429">
        <v>200.0</v>
      </c>
      <c r="H124" s="393">
        <f t="shared" si="1"/>
        <v>60</v>
      </c>
      <c r="I124" s="394">
        <f t="shared" si="2"/>
        <v>9.6</v>
      </c>
      <c r="J124" s="331">
        <f t="shared" si="3"/>
        <v>69.6</v>
      </c>
      <c r="K124" s="430">
        <v>45951.0</v>
      </c>
      <c r="L124" s="325"/>
      <c r="M124" s="326"/>
      <c r="N124" s="326"/>
      <c r="O124" s="326"/>
      <c r="P124" s="32"/>
      <c r="Q124" s="32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4"/>
    </row>
    <row r="125">
      <c r="A125" s="317" t="s">
        <v>19</v>
      </c>
      <c r="B125" s="318" t="s">
        <v>42</v>
      </c>
      <c r="C125" s="352"/>
      <c r="D125" s="352"/>
      <c r="E125" s="427" t="s">
        <v>475</v>
      </c>
      <c r="F125" s="428">
        <v>0.53</v>
      </c>
      <c r="G125" s="429">
        <v>200.0</v>
      </c>
      <c r="H125" s="393">
        <f t="shared" si="1"/>
        <v>106</v>
      </c>
      <c r="I125" s="394">
        <f t="shared" si="2"/>
        <v>16.96</v>
      </c>
      <c r="J125" s="331">
        <f t="shared" si="3"/>
        <v>122.96</v>
      </c>
      <c r="K125" s="430">
        <v>45951.0</v>
      </c>
      <c r="L125" s="325"/>
      <c r="M125" s="326"/>
      <c r="N125" s="326"/>
      <c r="O125" s="326"/>
      <c r="P125" s="32"/>
      <c r="Q125" s="32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4"/>
    </row>
    <row r="126">
      <c r="A126" s="317" t="s">
        <v>19</v>
      </c>
      <c r="B126" s="318" t="s">
        <v>42</v>
      </c>
      <c r="C126" s="352"/>
      <c r="D126" s="352"/>
      <c r="E126" s="427" t="s">
        <v>476</v>
      </c>
      <c r="F126" s="428">
        <v>0.14</v>
      </c>
      <c r="G126" s="429">
        <v>400.0</v>
      </c>
      <c r="H126" s="393">
        <f t="shared" si="1"/>
        <v>56</v>
      </c>
      <c r="I126" s="394">
        <f t="shared" si="2"/>
        <v>8.96</v>
      </c>
      <c r="J126" s="331">
        <f t="shared" si="3"/>
        <v>64.96</v>
      </c>
      <c r="K126" s="430">
        <v>45951.0</v>
      </c>
      <c r="L126" s="325"/>
      <c r="M126" s="326"/>
      <c r="N126" s="326"/>
      <c r="O126" s="326"/>
      <c r="P126" s="32"/>
      <c r="Q126" s="32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4"/>
    </row>
    <row r="127">
      <c r="A127" s="317" t="s">
        <v>19</v>
      </c>
      <c r="B127" s="318" t="s">
        <v>42</v>
      </c>
      <c r="C127" s="352"/>
      <c r="D127" s="352"/>
      <c r="E127" s="427" t="s">
        <v>477</v>
      </c>
      <c r="F127" s="428">
        <v>13.0</v>
      </c>
      <c r="G127" s="429">
        <v>5.0</v>
      </c>
      <c r="H127" s="393">
        <f t="shared" si="1"/>
        <v>65</v>
      </c>
      <c r="I127" s="394">
        <f t="shared" si="2"/>
        <v>10.4</v>
      </c>
      <c r="J127" s="331">
        <f t="shared" si="3"/>
        <v>75.4</v>
      </c>
      <c r="K127" s="430">
        <v>45951.0</v>
      </c>
      <c r="L127" s="325"/>
      <c r="M127" s="326"/>
      <c r="N127" s="326"/>
      <c r="O127" s="326"/>
      <c r="P127" s="32"/>
      <c r="Q127" s="32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4"/>
    </row>
    <row r="128">
      <c r="A128" s="317" t="s">
        <v>19</v>
      </c>
      <c r="B128" s="318" t="s">
        <v>42</v>
      </c>
      <c r="C128" s="352"/>
      <c r="D128" s="352"/>
      <c r="E128" s="427" t="s">
        <v>478</v>
      </c>
      <c r="F128" s="428">
        <v>8.54</v>
      </c>
      <c r="G128" s="429">
        <v>20.0</v>
      </c>
      <c r="H128" s="393">
        <f t="shared" si="1"/>
        <v>170.8</v>
      </c>
      <c r="I128" s="394">
        <f t="shared" si="2"/>
        <v>27.328</v>
      </c>
      <c r="J128" s="331">
        <f t="shared" si="3"/>
        <v>198.128</v>
      </c>
      <c r="K128" s="430">
        <v>45951.0</v>
      </c>
      <c r="L128" s="325"/>
      <c r="M128" s="326"/>
      <c r="N128" s="326"/>
      <c r="O128" s="326"/>
      <c r="P128" s="32"/>
      <c r="Q128" s="32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4"/>
    </row>
    <row r="129">
      <c r="A129" s="317" t="s">
        <v>19</v>
      </c>
      <c r="B129" s="318" t="s">
        <v>42</v>
      </c>
      <c r="C129" s="352"/>
      <c r="D129" s="352"/>
      <c r="E129" s="427" t="s">
        <v>479</v>
      </c>
      <c r="F129" s="428">
        <v>6.51</v>
      </c>
      <c r="G129" s="429">
        <v>30.0</v>
      </c>
      <c r="H129" s="393">
        <f t="shared" si="1"/>
        <v>195.3</v>
      </c>
      <c r="I129" s="394">
        <f t="shared" si="2"/>
        <v>31.248</v>
      </c>
      <c r="J129" s="331">
        <f t="shared" si="3"/>
        <v>226.548</v>
      </c>
      <c r="K129" s="430">
        <v>45951.0</v>
      </c>
      <c r="L129" s="325"/>
      <c r="M129" s="326"/>
      <c r="N129" s="326"/>
      <c r="O129" s="326"/>
      <c r="P129" s="32"/>
      <c r="Q129" s="32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4"/>
    </row>
    <row r="130">
      <c r="A130" s="317" t="s">
        <v>19</v>
      </c>
      <c r="B130" s="318" t="s">
        <v>42</v>
      </c>
      <c r="C130" s="352"/>
      <c r="D130" s="352"/>
      <c r="E130" s="427" t="s">
        <v>480</v>
      </c>
      <c r="F130" s="428">
        <v>53.01</v>
      </c>
      <c r="G130" s="429">
        <v>5.0</v>
      </c>
      <c r="H130" s="393">
        <f t="shared" si="1"/>
        <v>265.05</v>
      </c>
      <c r="I130" s="394">
        <f t="shared" si="2"/>
        <v>42.408</v>
      </c>
      <c r="J130" s="331">
        <f t="shared" si="3"/>
        <v>307.458</v>
      </c>
      <c r="K130" s="430">
        <v>45951.0</v>
      </c>
      <c r="L130" s="325"/>
      <c r="M130" s="326"/>
      <c r="N130" s="326"/>
      <c r="O130" s="326"/>
      <c r="P130" s="32"/>
      <c r="Q130" s="32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4"/>
    </row>
    <row r="131">
      <c r="A131" s="317" t="s">
        <v>19</v>
      </c>
      <c r="B131" s="318" t="s">
        <v>42</v>
      </c>
      <c r="C131" s="352"/>
      <c r="D131" s="352"/>
      <c r="E131" s="427" t="s">
        <v>481</v>
      </c>
      <c r="F131" s="428">
        <v>142.0</v>
      </c>
      <c r="G131" s="429">
        <v>5.0</v>
      </c>
      <c r="H131" s="393">
        <f t="shared" si="1"/>
        <v>710</v>
      </c>
      <c r="I131" s="394">
        <f t="shared" si="2"/>
        <v>113.6</v>
      </c>
      <c r="J131" s="331">
        <f t="shared" si="3"/>
        <v>823.6</v>
      </c>
      <c r="K131" s="430">
        <v>45951.0</v>
      </c>
      <c r="L131" s="325"/>
      <c r="M131" s="326"/>
      <c r="N131" s="326"/>
      <c r="O131" s="326"/>
      <c r="P131" s="32"/>
      <c r="Q131" s="32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4"/>
    </row>
    <row r="132">
      <c r="A132" s="317" t="s">
        <v>19</v>
      </c>
      <c r="B132" s="318" t="s">
        <v>42</v>
      </c>
      <c r="C132" s="352"/>
      <c r="D132" s="352"/>
      <c r="E132" s="427" t="s">
        <v>482</v>
      </c>
      <c r="F132" s="428">
        <v>23.27</v>
      </c>
      <c r="G132" s="429">
        <v>5.0</v>
      </c>
      <c r="H132" s="393">
        <f t="shared" si="1"/>
        <v>116.35</v>
      </c>
      <c r="I132" s="394">
        <f t="shared" si="2"/>
        <v>18.616</v>
      </c>
      <c r="J132" s="331">
        <f t="shared" si="3"/>
        <v>134.966</v>
      </c>
      <c r="K132" s="430">
        <v>45951.0</v>
      </c>
      <c r="L132" s="325"/>
      <c r="M132" s="326"/>
      <c r="N132" s="326"/>
      <c r="O132" s="326"/>
      <c r="P132" s="32"/>
      <c r="Q132" s="32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4"/>
    </row>
    <row r="133">
      <c r="A133" s="317" t="s">
        <v>19</v>
      </c>
      <c r="B133" s="318" t="s">
        <v>42</v>
      </c>
      <c r="C133" s="352"/>
      <c r="D133" s="352"/>
      <c r="E133" s="427" t="s">
        <v>483</v>
      </c>
      <c r="F133" s="428">
        <v>220.0</v>
      </c>
      <c r="G133" s="429">
        <v>10.0</v>
      </c>
      <c r="H133" s="393">
        <f t="shared" si="1"/>
        <v>2200</v>
      </c>
      <c r="I133" s="394">
        <f t="shared" si="2"/>
        <v>352</v>
      </c>
      <c r="J133" s="331">
        <f t="shared" si="3"/>
        <v>2552</v>
      </c>
      <c r="K133" s="430">
        <v>45951.0</v>
      </c>
      <c r="L133" s="325"/>
      <c r="M133" s="326"/>
      <c r="N133" s="326"/>
      <c r="O133" s="326"/>
      <c r="P133" s="32"/>
      <c r="Q133" s="32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4"/>
    </row>
    <row r="134">
      <c r="A134" s="317" t="s">
        <v>19</v>
      </c>
      <c r="B134" s="318" t="s">
        <v>42</v>
      </c>
      <c r="C134" s="352"/>
      <c r="D134" s="352"/>
      <c r="E134" s="427" t="s">
        <v>484</v>
      </c>
      <c r="F134" s="428">
        <v>350.0</v>
      </c>
      <c r="G134" s="429">
        <v>8.0</v>
      </c>
      <c r="H134" s="393">
        <f t="shared" si="1"/>
        <v>2800</v>
      </c>
      <c r="I134" s="394">
        <f t="shared" si="2"/>
        <v>448</v>
      </c>
      <c r="J134" s="331">
        <f t="shared" si="3"/>
        <v>3248</v>
      </c>
      <c r="K134" s="430">
        <v>45951.0</v>
      </c>
      <c r="L134" s="325"/>
      <c r="M134" s="326"/>
      <c r="N134" s="326"/>
      <c r="O134" s="326"/>
      <c r="P134" s="32"/>
      <c r="Q134" s="32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4"/>
    </row>
    <row r="135">
      <c r="A135" s="317" t="s">
        <v>19</v>
      </c>
      <c r="B135" s="318" t="s">
        <v>42</v>
      </c>
      <c r="C135" s="352"/>
      <c r="D135" s="352"/>
      <c r="E135" s="427" t="s">
        <v>485</v>
      </c>
      <c r="F135" s="428">
        <v>17.75</v>
      </c>
      <c r="G135" s="429">
        <v>5.0</v>
      </c>
      <c r="H135" s="393">
        <f t="shared" si="1"/>
        <v>88.75</v>
      </c>
      <c r="I135" s="394">
        <f t="shared" si="2"/>
        <v>14.2</v>
      </c>
      <c r="J135" s="331">
        <f t="shared" si="3"/>
        <v>102.95</v>
      </c>
      <c r="K135" s="430">
        <v>45951.0</v>
      </c>
      <c r="L135" s="325"/>
      <c r="M135" s="326"/>
      <c r="N135" s="326"/>
      <c r="O135" s="326"/>
      <c r="P135" s="32"/>
      <c r="Q135" s="32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4"/>
    </row>
    <row r="136">
      <c r="A136" s="317" t="s">
        <v>19</v>
      </c>
      <c r="B136" s="318" t="s">
        <v>42</v>
      </c>
      <c r="C136" s="352"/>
      <c r="D136" s="352"/>
      <c r="E136" s="427" t="s">
        <v>486</v>
      </c>
      <c r="F136" s="428">
        <v>1100.0</v>
      </c>
      <c r="G136" s="429">
        <v>2.0</v>
      </c>
      <c r="H136" s="393">
        <f t="shared" si="1"/>
        <v>2200</v>
      </c>
      <c r="I136" s="394">
        <f t="shared" si="2"/>
        <v>352</v>
      </c>
      <c r="J136" s="331">
        <f t="shared" si="3"/>
        <v>2552</v>
      </c>
      <c r="K136" s="430">
        <v>45952.0</v>
      </c>
      <c r="L136" s="325"/>
      <c r="M136" s="326"/>
      <c r="N136" s="326"/>
      <c r="O136" s="326"/>
      <c r="P136" s="32"/>
      <c r="Q136" s="32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4"/>
    </row>
    <row r="137">
      <c r="A137" s="317" t="s">
        <v>19</v>
      </c>
      <c r="B137" s="318" t="s">
        <v>42</v>
      </c>
      <c r="C137" s="352"/>
      <c r="D137" s="352"/>
      <c r="E137" s="427" t="s">
        <v>487</v>
      </c>
      <c r="F137" s="428">
        <v>71.55</v>
      </c>
      <c r="G137" s="429">
        <v>4.0</v>
      </c>
      <c r="H137" s="393">
        <f t="shared" si="1"/>
        <v>286.2</v>
      </c>
      <c r="I137" s="394">
        <f t="shared" si="2"/>
        <v>45.792</v>
      </c>
      <c r="J137" s="331">
        <f t="shared" si="3"/>
        <v>331.992</v>
      </c>
      <c r="K137" s="430">
        <v>45952.0</v>
      </c>
      <c r="L137" s="325"/>
      <c r="M137" s="326"/>
      <c r="N137" s="326"/>
      <c r="O137" s="326"/>
      <c r="P137" s="32"/>
      <c r="Q137" s="32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4"/>
    </row>
    <row r="138">
      <c r="A138" s="317" t="s">
        <v>19</v>
      </c>
      <c r="B138" s="318" t="s">
        <v>42</v>
      </c>
      <c r="C138" s="352"/>
      <c r="D138" s="352"/>
      <c r="E138" s="427" t="s">
        <v>488</v>
      </c>
      <c r="F138" s="428">
        <v>123.28</v>
      </c>
      <c r="G138" s="429">
        <v>4.0</v>
      </c>
      <c r="H138" s="393">
        <f t="shared" si="1"/>
        <v>493.12</v>
      </c>
      <c r="I138" s="394">
        <f t="shared" si="2"/>
        <v>78.8992</v>
      </c>
      <c r="J138" s="331">
        <f t="shared" si="3"/>
        <v>572.0192</v>
      </c>
      <c r="K138" s="430">
        <v>45952.0</v>
      </c>
      <c r="L138" s="325"/>
      <c r="M138" s="326"/>
      <c r="N138" s="326"/>
      <c r="O138" s="326"/>
      <c r="P138" s="32"/>
      <c r="Q138" s="32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4"/>
    </row>
    <row r="139">
      <c r="A139" s="317" t="s">
        <v>19</v>
      </c>
      <c r="B139" s="318" t="s">
        <v>42</v>
      </c>
      <c r="C139" s="352"/>
      <c r="D139" s="352"/>
      <c r="E139" s="427" t="s">
        <v>489</v>
      </c>
      <c r="F139" s="428">
        <v>128.08</v>
      </c>
      <c r="G139" s="429">
        <v>2.0</v>
      </c>
      <c r="H139" s="393">
        <f t="shared" si="1"/>
        <v>256.16</v>
      </c>
      <c r="I139" s="394">
        <f t="shared" si="2"/>
        <v>40.9856</v>
      </c>
      <c r="J139" s="331">
        <f t="shared" si="3"/>
        <v>297.1456</v>
      </c>
      <c r="K139" s="430">
        <v>45952.0</v>
      </c>
      <c r="L139" s="325"/>
      <c r="M139" s="326"/>
      <c r="N139" s="326"/>
      <c r="O139" s="326"/>
      <c r="P139" s="32"/>
      <c r="Q139" s="32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4"/>
    </row>
    <row r="140">
      <c r="A140" s="317" t="s">
        <v>19</v>
      </c>
      <c r="B140" s="318" t="s">
        <v>42</v>
      </c>
      <c r="C140" s="352"/>
      <c r="D140" s="352"/>
      <c r="E140" s="427" t="s">
        <v>490</v>
      </c>
      <c r="F140" s="428">
        <v>25.2</v>
      </c>
      <c r="G140" s="429">
        <v>5.0</v>
      </c>
      <c r="H140" s="393">
        <f t="shared" si="1"/>
        <v>126</v>
      </c>
      <c r="I140" s="394">
        <f t="shared" si="2"/>
        <v>20.16</v>
      </c>
      <c r="J140" s="331">
        <f t="shared" si="3"/>
        <v>146.16</v>
      </c>
      <c r="K140" s="430">
        <v>45952.0</v>
      </c>
      <c r="L140" s="325"/>
      <c r="M140" s="326"/>
      <c r="N140" s="326"/>
      <c r="O140" s="326"/>
      <c r="P140" s="32"/>
      <c r="Q140" s="32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4"/>
    </row>
    <row r="141">
      <c r="A141" s="317" t="s">
        <v>19</v>
      </c>
      <c r="B141" s="318" t="s">
        <v>42</v>
      </c>
      <c r="C141" s="352"/>
      <c r="D141" s="352"/>
      <c r="E141" s="427" t="s">
        <v>491</v>
      </c>
      <c r="F141" s="428">
        <v>4.6</v>
      </c>
      <c r="G141" s="429">
        <v>50.0</v>
      </c>
      <c r="H141" s="393">
        <f t="shared" si="1"/>
        <v>230</v>
      </c>
      <c r="I141" s="394">
        <f t="shared" si="2"/>
        <v>36.8</v>
      </c>
      <c r="J141" s="331">
        <f t="shared" si="3"/>
        <v>266.8</v>
      </c>
      <c r="K141" s="430">
        <v>45952.0</v>
      </c>
      <c r="L141" s="325"/>
      <c r="M141" s="326"/>
      <c r="N141" s="326"/>
      <c r="O141" s="326"/>
      <c r="P141" s="32"/>
      <c r="Q141" s="32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4"/>
    </row>
    <row r="142">
      <c r="A142" s="317" t="s">
        <v>19</v>
      </c>
      <c r="B142" s="318" t="s">
        <v>42</v>
      </c>
      <c r="C142" s="352"/>
      <c r="D142" s="352"/>
      <c r="E142" s="427" t="s">
        <v>492</v>
      </c>
      <c r="F142" s="428">
        <v>360.0</v>
      </c>
      <c r="G142" s="429">
        <v>5.0</v>
      </c>
      <c r="H142" s="393">
        <f t="shared" si="1"/>
        <v>1800</v>
      </c>
      <c r="I142" s="394">
        <f t="shared" si="2"/>
        <v>288</v>
      </c>
      <c r="J142" s="331">
        <f t="shared" si="3"/>
        <v>2088</v>
      </c>
      <c r="K142" s="430">
        <v>45952.0</v>
      </c>
      <c r="L142" s="325"/>
      <c r="M142" s="326"/>
      <c r="N142" s="326"/>
      <c r="O142" s="326"/>
      <c r="P142" s="32"/>
      <c r="Q142" s="32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4"/>
    </row>
    <row r="143">
      <c r="A143" s="317" t="s">
        <v>19</v>
      </c>
      <c r="B143" s="318" t="s">
        <v>42</v>
      </c>
      <c r="C143" s="352"/>
      <c r="D143" s="352"/>
      <c r="E143" s="427" t="s">
        <v>493</v>
      </c>
      <c r="F143" s="428">
        <v>12.07</v>
      </c>
      <c r="G143" s="429">
        <v>3.0</v>
      </c>
      <c r="H143" s="393">
        <f t="shared" si="1"/>
        <v>36.21</v>
      </c>
      <c r="I143" s="394">
        <f t="shared" si="2"/>
        <v>5.7936</v>
      </c>
      <c r="J143" s="331">
        <f t="shared" si="3"/>
        <v>42.0036</v>
      </c>
      <c r="K143" s="430">
        <v>45952.0</v>
      </c>
      <c r="L143" s="325"/>
      <c r="M143" s="326"/>
      <c r="N143" s="326"/>
      <c r="O143" s="326"/>
      <c r="P143" s="32"/>
      <c r="Q143" s="32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4"/>
    </row>
    <row r="144">
      <c r="A144" s="317" t="s">
        <v>19</v>
      </c>
      <c r="B144" s="318" t="s">
        <v>42</v>
      </c>
      <c r="C144" s="352"/>
      <c r="D144" s="352"/>
      <c r="E144" s="427" t="s">
        <v>494</v>
      </c>
      <c r="F144" s="428">
        <v>38.74</v>
      </c>
      <c r="G144" s="429">
        <v>3.0</v>
      </c>
      <c r="H144" s="393">
        <f t="shared" si="1"/>
        <v>116.22</v>
      </c>
      <c r="I144" s="394">
        <f t="shared" si="2"/>
        <v>18.5952</v>
      </c>
      <c r="J144" s="331">
        <f t="shared" si="3"/>
        <v>134.8152</v>
      </c>
      <c r="K144" s="430">
        <v>45952.0</v>
      </c>
      <c r="L144" s="325"/>
      <c r="M144" s="326"/>
      <c r="N144" s="326"/>
      <c r="O144" s="326"/>
      <c r="P144" s="32"/>
      <c r="Q144" s="32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4"/>
    </row>
    <row r="145">
      <c r="A145" s="317" t="s">
        <v>19</v>
      </c>
      <c r="B145" s="318" t="s">
        <v>42</v>
      </c>
      <c r="C145" s="352"/>
      <c r="D145" s="352"/>
      <c r="E145" s="427" t="s">
        <v>495</v>
      </c>
      <c r="F145" s="428">
        <v>3017.24</v>
      </c>
      <c r="G145" s="429">
        <v>1.0</v>
      </c>
      <c r="H145" s="393">
        <f t="shared" si="1"/>
        <v>3017.24</v>
      </c>
      <c r="I145" s="394">
        <f t="shared" si="2"/>
        <v>482.7584</v>
      </c>
      <c r="J145" s="331">
        <f t="shared" si="3"/>
        <v>3499.9984</v>
      </c>
      <c r="K145" s="430">
        <v>45952.0</v>
      </c>
      <c r="L145" s="325"/>
      <c r="M145" s="326"/>
      <c r="N145" s="326"/>
      <c r="O145" s="326"/>
      <c r="P145" s="32"/>
      <c r="Q145" s="32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4"/>
    </row>
    <row r="146">
      <c r="A146" s="317" t="s">
        <v>19</v>
      </c>
      <c r="B146" s="318" t="s">
        <v>42</v>
      </c>
      <c r="C146" s="352"/>
      <c r="D146" s="352"/>
      <c r="E146" s="427" t="s">
        <v>496</v>
      </c>
      <c r="F146" s="428">
        <v>592.24</v>
      </c>
      <c r="G146" s="429">
        <v>1.0</v>
      </c>
      <c r="H146" s="393">
        <f t="shared" si="1"/>
        <v>592.24</v>
      </c>
      <c r="I146" s="394">
        <f t="shared" si="2"/>
        <v>94.7584</v>
      </c>
      <c r="J146" s="331">
        <f t="shared" si="3"/>
        <v>686.9984</v>
      </c>
      <c r="K146" s="430">
        <v>45954.0</v>
      </c>
      <c r="L146" s="325"/>
      <c r="M146" s="326"/>
      <c r="N146" s="326"/>
      <c r="O146" s="326"/>
      <c r="P146" s="32"/>
      <c r="Q146" s="32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4"/>
    </row>
    <row r="147">
      <c r="A147" s="317" t="s">
        <v>19</v>
      </c>
      <c r="B147" s="318" t="s">
        <v>42</v>
      </c>
      <c r="C147" s="352"/>
      <c r="D147" s="352"/>
      <c r="E147" s="427" t="s">
        <v>497</v>
      </c>
      <c r="F147" s="428">
        <v>66.14</v>
      </c>
      <c r="G147" s="429">
        <v>3.0</v>
      </c>
      <c r="H147" s="393">
        <f t="shared" si="1"/>
        <v>198.42</v>
      </c>
      <c r="I147" s="394">
        <f t="shared" si="2"/>
        <v>31.7472</v>
      </c>
      <c r="J147" s="331">
        <f t="shared" si="3"/>
        <v>230.1672</v>
      </c>
      <c r="K147" s="430">
        <v>45954.0</v>
      </c>
      <c r="L147" s="325"/>
      <c r="M147" s="326"/>
      <c r="N147" s="326"/>
      <c r="O147" s="326"/>
      <c r="P147" s="32"/>
      <c r="Q147" s="32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4"/>
    </row>
    <row r="148">
      <c r="A148" s="317" t="s">
        <v>19</v>
      </c>
      <c r="B148" s="318" t="s">
        <v>42</v>
      </c>
      <c r="C148" s="352"/>
      <c r="D148" s="352"/>
      <c r="E148" s="427" t="s">
        <v>498</v>
      </c>
      <c r="F148" s="428">
        <v>10.0</v>
      </c>
      <c r="G148" s="429">
        <v>10.0</v>
      </c>
      <c r="H148" s="393">
        <f t="shared" si="1"/>
        <v>100</v>
      </c>
      <c r="I148" s="394">
        <f t="shared" si="2"/>
        <v>16</v>
      </c>
      <c r="J148" s="331">
        <f t="shared" si="3"/>
        <v>116</v>
      </c>
      <c r="K148" s="430">
        <v>45954.0</v>
      </c>
      <c r="L148" s="325"/>
      <c r="M148" s="326"/>
      <c r="N148" s="326"/>
      <c r="O148" s="326"/>
      <c r="P148" s="32"/>
      <c r="Q148" s="32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4"/>
    </row>
    <row r="149">
      <c r="A149" s="317" t="s">
        <v>19</v>
      </c>
      <c r="B149" s="318" t="s">
        <v>42</v>
      </c>
      <c r="C149" s="352"/>
      <c r="D149" s="435" t="s">
        <v>499</v>
      </c>
      <c r="E149" s="431" t="s">
        <v>363</v>
      </c>
      <c r="F149" s="432">
        <v>-10.0</v>
      </c>
      <c r="G149" s="433">
        <v>10.0</v>
      </c>
      <c r="H149" s="414">
        <f t="shared" si="1"/>
        <v>-100</v>
      </c>
      <c r="I149" s="415">
        <f t="shared" si="2"/>
        <v>-16</v>
      </c>
      <c r="J149" s="416">
        <f t="shared" si="3"/>
        <v>-116</v>
      </c>
      <c r="K149" s="434">
        <v>45959.45694444444</v>
      </c>
      <c r="L149" s="325"/>
      <c r="M149" s="326"/>
      <c r="N149" s="326"/>
      <c r="O149" s="326"/>
      <c r="P149" s="32"/>
      <c r="Q149" s="32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4"/>
    </row>
    <row r="150">
      <c r="A150" s="317" t="s">
        <v>19</v>
      </c>
      <c r="B150" s="318" t="s">
        <v>42</v>
      </c>
      <c r="C150" s="352"/>
      <c r="D150" s="435" t="s">
        <v>499</v>
      </c>
      <c r="E150" s="431" t="s">
        <v>361</v>
      </c>
      <c r="F150" s="432">
        <v>-10.5</v>
      </c>
      <c r="G150" s="433">
        <v>10.0</v>
      </c>
      <c r="H150" s="414">
        <f t="shared" si="1"/>
        <v>-105</v>
      </c>
      <c r="I150" s="415">
        <f t="shared" si="2"/>
        <v>-16.8</v>
      </c>
      <c r="J150" s="416">
        <f t="shared" si="3"/>
        <v>-121.8</v>
      </c>
      <c r="K150" s="434">
        <v>45959.45694444444</v>
      </c>
      <c r="L150" s="325"/>
      <c r="M150" s="326"/>
      <c r="N150" s="326"/>
      <c r="O150" s="326"/>
      <c r="P150" s="32"/>
      <c r="Q150" s="32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4"/>
    </row>
    <row r="151">
      <c r="A151" s="317" t="s">
        <v>19</v>
      </c>
      <c r="B151" s="318" t="s">
        <v>42</v>
      </c>
      <c r="C151" s="352"/>
      <c r="D151" s="435" t="s">
        <v>499</v>
      </c>
      <c r="E151" s="431" t="s">
        <v>422</v>
      </c>
      <c r="F151" s="432">
        <v>-11.0</v>
      </c>
      <c r="G151" s="433">
        <v>12.0</v>
      </c>
      <c r="H151" s="414">
        <f t="shared" si="1"/>
        <v>-132</v>
      </c>
      <c r="I151" s="415">
        <f t="shared" si="2"/>
        <v>-21.12</v>
      </c>
      <c r="J151" s="416">
        <f t="shared" si="3"/>
        <v>-153.12</v>
      </c>
      <c r="K151" s="434">
        <v>45959.45694444444</v>
      </c>
      <c r="L151" s="325"/>
      <c r="M151" s="326"/>
      <c r="N151" s="326"/>
      <c r="O151" s="326"/>
      <c r="P151" s="32"/>
      <c r="Q151" s="32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4"/>
    </row>
    <row r="152">
      <c r="A152" s="317" t="s">
        <v>19</v>
      </c>
      <c r="B152" s="318" t="s">
        <v>42</v>
      </c>
      <c r="C152" s="352"/>
      <c r="D152" s="435" t="s">
        <v>499</v>
      </c>
      <c r="E152" s="431" t="s">
        <v>480</v>
      </c>
      <c r="F152" s="432">
        <v>-53.01</v>
      </c>
      <c r="G152" s="433">
        <v>4.0</v>
      </c>
      <c r="H152" s="414">
        <f t="shared" si="1"/>
        <v>-212.04</v>
      </c>
      <c r="I152" s="415">
        <f t="shared" si="2"/>
        <v>-33.9264</v>
      </c>
      <c r="J152" s="416">
        <f t="shared" si="3"/>
        <v>-245.9664</v>
      </c>
      <c r="K152" s="434">
        <v>45959.45694444444</v>
      </c>
      <c r="L152" s="325"/>
      <c r="M152" s="326"/>
      <c r="N152" s="326"/>
      <c r="O152" s="326"/>
      <c r="P152" s="32"/>
      <c r="Q152" s="32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4"/>
    </row>
    <row r="153">
      <c r="A153" s="317" t="s">
        <v>19</v>
      </c>
      <c r="B153" s="318" t="s">
        <v>42</v>
      </c>
      <c r="C153" s="352"/>
      <c r="D153" s="435" t="s">
        <v>499</v>
      </c>
      <c r="E153" s="431" t="s">
        <v>314</v>
      </c>
      <c r="F153" s="432">
        <v>-33.62</v>
      </c>
      <c r="G153" s="433">
        <v>1.0</v>
      </c>
      <c r="H153" s="414">
        <f t="shared" si="1"/>
        <v>-33.62</v>
      </c>
      <c r="I153" s="415">
        <f t="shared" si="2"/>
        <v>-5.3792</v>
      </c>
      <c r="J153" s="416">
        <f t="shared" si="3"/>
        <v>-38.9992</v>
      </c>
      <c r="K153" s="434">
        <v>45959.45694444444</v>
      </c>
      <c r="L153" s="325"/>
      <c r="M153" s="326"/>
      <c r="N153" s="326"/>
      <c r="O153" s="326"/>
      <c r="P153" s="32"/>
      <c r="Q153" s="32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4"/>
    </row>
    <row r="154">
      <c r="A154" s="317" t="s">
        <v>19</v>
      </c>
      <c r="B154" s="318" t="s">
        <v>42</v>
      </c>
      <c r="C154" s="352"/>
      <c r="D154" s="435" t="s">
        <v>499</v>
      </c>
      <c r="E154" s="431" t="s">
        <v>349</v>
      </c>
      <c r="F154" s="432">
        <v>-163.99</v>
      </c>
      <c r="G154" s="433">
        <v>2.0</v>
      </c>
      <c r="H154" s="414">
        <f t="shared" si="1"/>
        <v>-327.98</v>
      </c>
      <c r="I154" s="415">
        <f t="shared" si="2"/>
        <v>-52.4768</v>
      </c>
      <c r="J154" s="416">
        <f t="shared" si="3"/>
        <v>-380.4568</v>
      </c>
      <c r="K154" s="434">
        <v>45959.45694444444</v>
      </c>
      <c r="L154" s="325"/>
      <c r="M154" s="326"/>
      <c r="N154" s="326"/>
      <c r="O154" s="326"/>
      <c r="P154" s="32"/>
      <c r="Q154" s="32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4"/>
    </row>
    <row r="155">
      <c r="A155" s="317" t="s">
        <v>19</v>
      </c>
      <c r="B155" s="318" t="s">
        <v>42</v>
      </c>
      <c r="C155" s="352"/>
      <c r="D155" s="435" t="s">
        <v>499</v>
      </c>
      <c r="E155" s="431" t="s">
        <v>383</v>
      </c>
      <c r="F155" s="432">
        <v>-195.86</v>
      </c>
      <c r="G155" s="433">
        <v>1.0</v>
      </c>
      <c r="H155" s="414">
        <f t="shared" si="1"/>
        <v>-195.86</v>
      </c>
      <c r="I155" s="415">
        <f t="shared" si="2"/>
        <v>-31.3376</v>
      </c>
      <c r="J155" s="416">
        <f t="shared" si="3"/>
        <v>-227.1976</v>
      </c>
      <c r="K155" s="434">
        <v>45959.45694444444</v>
      </c>
      <c r="L155" s="325"/>
      <c r="M155" s="326"/>
      <c r="N155" s="326"/>
      <c r="O155" s="326"/>
      <c r="P155" s="32"/>
      <c r="Q155" s="32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4"/>
    </row>
    <row r="156">
      <c r="A156" s="317" t="s">
        <v>19</v>
      </c>
      <c r="B156" s="318" t="s">
        <v>42</v>
      </c>
      <c r="C156" s="352"/>
      <c r="D156" s="435" t="s">
        <v>499</v>
      </c>
      <c r="E156" s="431" t="s">
        <v>330</v>
      </c>
      <c r="F156" s="432">
        <v>-0.3</v>
      </c>
      <c r="G156" s="433">
        <v>8000.0</v>
      </c>
      <c r="H156" s="414">
        <f t="shared" si="1"/>
        <v>-2400</v>
      </c>
      <c r="I156" s="415">
        <f t="shared" si="2"/>
        <v>-384</v>
      </c>
      <c r="J156" s="416">
        <f t="shared" si="3"/>
        <v>-2784</v>
      </c>
      <c r="K156" s="434">
        <v>45959.45694444444</v>
      </c>
      <c r="L156" s="325"/>
      <c r="M156" s="326"/>
      <c r="N156" s="326"/>
      <c r="O156" s="326"/>
      <c r="P156" s="32"/>
      <c r="Q156" s="32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4"/>
    </row>
    <row r="157">
      <c r="A157" s="317" t="s">
        <v>19</v>
      </c>
      <c r="B157" s="318" t="s">
        <v>42</v>
      </c>
      <c r="C157" s="352"/>
      <c r="D157" s="435" t="s">
        <v>499</v>
      </c>
      <c r="E157" s="431" t="s">
        <v>481</v>
      </c>
      <c r="F157" s="432">
        <v>-142.0</v>
      </c>
      <c r="G157" s="433">
        <v>1.0</v>
      </c>
      <c r="H157" s="414">
        <f t="shared" si="1"/>
        <v>-142</v>
      </c>
      <c r="I157" s="415">
        <f t="shared" si="2"/>
        <v>-22.72</v>
      </c>
      <c r="J157" s="416">
        <f t="shared" si="3"/>
        <v>-164.72</v>
      </c>
      <c r="K157" s="434">
        <v>45959.45694444444</v>
      </c>
      <c r="L157" s="325"/>
      <c r="M157" s="326"/>
      <c r="N157" s="326"/>
      <c r="O157" s="326"/>
      <c r="P157" s="32"/>
      <c r="Q157" s="32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4"/>
    </row>
    <row r="158">
      <c r="A158" s="317" t="s">
        <v>19</v>
      </c>
      <c r="B158" s="318" t="s">
        <v>42</v>
      </c>
      <c r="C158" s="352"/>
      <c r="D158" s="435" t="s">
        <v>499</v>
      </c>
      <c r="E158" s="431" t="s">
        <v>500</v>
      </c>
      <c r="F158" s="432">
        <v>-27.0</v>
      </c>
      <c r="G158" s="433">
        <v>2.0</v>
      </c>
      <c r="H158" s="414">
        <f t="shared" si="1"/>
        <v>-54</v>
      </c>
      <c r="I158" s="415">
        <f t="shared" si="2"/>
        <v>-8.64</v>
      </c>
      <c r="J158" s="416">
        <f t="shared" si="3"/>
        <v>-62.64</v>
      </c>
      <c r="K158" s="434">
        <v>45959.45694444444</v>
      </c>
      <c r="L158" s="325"/>
      <c r="M158" s="326"/>
      <c r="N158" s="326"/>
      <c r="O158" s="326"/>
      <c r="P158" s="32"/>
      <c r="Q158" s="32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4"/>
    </row>
    <row r="159">
      <c r="A159" s="317" t="s">
        <v>19</v>
      </c>
      <c r="B159" s="318" t="s">
        <v>42</v>
      </c>
      <c r="C159" s="352"/>
      <c r="D159" s="435" t="s">
        <v>499</v>
      </c>
      <c r="E159" s="431" t="s">
        <v>324</v>
      </c>
      <c r="F159" s="432">
        <v>-111.0</v>
      </c>
      <c r="G159" s="433">
        <v>1.0</v>
      </c>
      <c r="H159" s="414">
        <f t="shared" si="1"/>
        <v>-111</v>
      </c>
      <c r="I159" s="415">
        <f t="shared" si="2"/>
        <v>-17.76</v>
      </c>
      <c r="J159" s="416">
        <f t="shared" si="3"/>
        <v>-128.76</v>
      </c>
      <c r="K159" s="434">
        <v>45959.45694444444</v>
      </c>
      <c r="L159" s="325"/>
      <c r="M159" s="326"/>
      <c r="N159" s="326"/>
      <c r="O159" s="326"/>
      <c r="P159" s="32"/>
      <c r="Q159" s="32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4"/>
    </row>
    <row r="160">
      <c r="A160" s="317" t="s">
        <v>19</v>
      </c>
      <c r="B160" s="318" t="s">
        <v>42</v>
      </c>
      <c r="C160" s="352"/>
      <c r="D160" s="435" t="s">
        <v>499</v>
      </c>
      <c r="E160" s="431" t="s">
        <v>484</v>
      </c>
      <c r="F160" s="432">
        <v>-350.0</v>
      </c>
      <c r="G160" s="433">
        <v>4.0</v>
      </c>
      <c r="H160" s="414">
        <f t="shared" si="1"/>
        <v>-1400</v>
      </c>
      <c r="I160" s="415">
        <f t="shared" si="2"/>
        <v>-224</v>
      </c>
      <c r="J160" s="416">
        <f t="shared" si="3"/>
        <v>-1624</v>
      </c>
      <c r="K160" s="434">
        <v>45959.45694444444</v>
      </c>
      <c r="L160" s="325"/>
      <c r="M160" s="326"/>
      <c r="N160" s="326"/>
      <c r="O160" s="326"/>
      <c r="P160" s="32"/>
      <c r="Q160" s="32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4"/>
    </row>
    <row r="161">
      <c r="A161" s="317" t="s">
        <v>19</v>
      </c>
      <c r="B161" s="318" t="s">
        <v>42</v>
      </c>
      <c r="C161" s="352"/>
      <c r="D161" s="436" t="s">
        <v>501</v>
      </c>
      <c r="E161" s="427" t="s">
        <v>502</v>
      </c>
      <c r="F161" s="428">
        <v>150.0</v>
      </c>
      <c r="G161" s="429">
        <v>50.0</v>
      </c>
      <c r="H161" s="393">
        <f t="shared" si="1"/>
        <v>7500</v>
      </c>
      <c r="I161" s="394">
        <f t="shared" si="2"/>
        <v>1200</v>
      </c>
      <c r="J161" s="331">
        <f t="shared" si="3"/>
        <v>8700</v>
      </c>
      <c r="K161" s="430">
        <v>45947.0</v>
      </c>
      <c r="L161" s="325"/>
      <c r="M161" s="326"/>
      <c r="N161" s="326"/>
      <c r="O161" s="326"/>
      <c r="P161" s="32"/>
      <c r="Q161" s="32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4"/>
    </row>
    <row r="162">
      <c r="A162" s="317" t="s">
        <v>19</v>
      </c>
      <c r="B162" s="318" t="s">
        <v>42</v>
      </c>
      <c r="C162" s="352"/>
      <c r="D162" s="436" t="s">
        <v>501</v>
      </c>
      <c r="E162" s="427" t="s">
        <v>503</v>
      </c>
      <c r="F162" s="428">
        <v>150.0</v>
      </c>
      <c r="G162" s="429">
        <v>200.0</v>
      </c>
      <c r="H162" s="393">
        <f t="shared" si="1"/>
        <v>30000</v>
      </c>
      <c r="I162" s="394">
        <f t="shared" si="2"/>
        <v>4800</v>
      </c>
      <c r="J162" s="331">
        <f t="shared" si="3"/>
        <v>34800</v>
      </c>
      <c r="K162" s="430">
        <v>45948.0</v>
      </c>
      <c r="L162" s="325"/>
      <c r="M162" s="326"/>
      <c r="N162" s="326"/>
      <c r="O162" s="326"/>
      <c r="P162" s="32"/>
      <c r="Q162" s="32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4"/>
    </row>
    <row r="163">
      <c r="A163" s="317" t="s">
        <v>19</v>
      </c>
      <c r="B163" s="318" t="s">
        <v>42</v>
      </c>
      <c r="C163" s="352"/>
      <c r="D163" s="436" t="s">
        <v>501</v>
      </c>
      <c r="E163" s="427" t="s">
        <v>502</v>
      </c>
      <c r="F163" s="428">
        <v>15.0</v>
      </c>
      <c r="G163" s="429">
        <v>50.0</v>
      </c>
      <c r="H163" s="393">
        <f t="shared" si="1"/>
        <v>750</v>
      </c>
      <c r="I163" s="394">
        <f t="shared" si="2"/>
        <v>120</v>
      </c>
      <c r="J163" s="331">
        <f t="shared" si="3"/>
        <v>870</v>
      </c>
      <c r="K163" s="430">
        <v>45950.0</v>
      </c>
      <c r="L163" s="325"/>
      <c r="M163" s="326"/>
      <c r="N163" s="326"/>
      <c r="O163" s="326"/>
      <c r="P163" s="32"/>
      <c r="Q163" s="32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4"/>
    </row>
    <row r="164">
      <c r="A164" s="317" t="s">
        <v>19</v>
      </c>
      <c r="B164" s="318" t="s">
        <v>42</v>
      </c>
      <c r="C164" s="352"/>
      <c r="D164" s="436" t="s">
        <v>501</v>
      </c>
      <c r="E164" s="427" t="s">
        <v>504</v>
      </c>
      <c r="F164" s="428">
        <v>150.0</v>
      </c>
      <c r="G164" s="429">
        <v>100.0</v>
      </c>
      <c r="H164" s="393">
        <f t="shared" si="1"/>
        <v>15000</v>
      </c>
      <c r="I164" s="394">
        <f t="shared" si="2"/>
        <v>2400</v>
      </c>
      <c r="J164" s="331">
        <f t="shared" si="3"/>
        <v>17400</v>
      </c>
      <c r="K164" s="430">
        <v>45949.0</v>
      </c>
      <c r="L164" s="325"/>
      <c r="M164" s="326"/>
      <c r="N164" s="326"/>
      <c r="O164" s="326"/>
      <c r="P164" s="32"/>
      <c r="Q164" s="32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4"/>
    </row>
    <row r="165">
      <c r="A165" s="317" t="s">
        <v>19</v>
      </c>
      <c r="B165" s="318" t="s">
        <v>42</v>
      </c>
      <c r="C165" s="352"/>
      <c r="D165" s="436" t="s">
        <v>501</v>
      </c>
      <c r="E165" s="427" t="s">
        <v>502</v>
      </c>
      <c r="F165" s="428">
        <v>150.0</v>
      </c>
      <c r="G165" s="429">
        <v>50.0</v>
      </c>
      <c r="H165" s="393">
        <f t="shared" si="1"/>
        <v>7500</v>
      </c>
      <c r="I165" s="394">
        <f t="shared" si="2"/>
        <v>1200</v>
      </c>
      <c r="J165" s="331">
        <f t="shared" si="3"/>
        <v>8700</v>
      </c>
      <c r="K165" s="430">
        <v>45951.0</v>
      </c>
      <c r="L165" s="325"/>
      <c r="M165" s="326"/>
      <c r="N165" s="326"/>
      <c r="O165" s="326"/>
      <c r="P165" s="32"/>
      <c r="Q165" s="32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4"/>
    </row>
    <row r="166">
      <c r="A166" s="352"/>
      <c r="B166" s="352"/>
      <c r="C166" s="352"/>
      <c r="D166" s="352"/>
      <c r="E166" s="427"/>
      <c r="F166" s="428"/>
      <c r="G166" s="429"/>
      <c r="H166" s="393">
        <f t="shared" si="1"/>
        <v>0</v>
      </c>
      <c r="I166" s="394">
        <f t="shared" si="2"/>
        <v>0</v>
      </c>
      <c r="J166" s="331">
        <f t="shared" si="3"/>
        <v>0</v>
      </c>
      <c r="K166" s="430"/>
      <c r="L166" s="325"/>
      <c r="M166" s="326"/>
      <c r="N166" s="326"/>
      <c r="O166" s="326"/>
      <c r="P166" s="32"/>
      <c r="Q166" s="32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4"/>
    </row>
    <row r="167">
      <c r="A167" s="352"/>
      <c r="B167" s="352"/>
      <c r="C167" s="352"/>
      <c r="D167" s="352"/>
      <c r="E167" s="427"/>
      <c r="F167" s="428"/>
      <c r="G167" s="429"/>
      <c r="H167" s="393">
        <f t="shared" si="1"/>
        <v>0</v>
      </c>
      <c r="I167" s="394">
        <f t="shared" si="2"/>
        <v>0</v>
      </c>
      <c r="J167" s="331">
        <f t="shared" si="3"/>
        <v>0</v>
      </c>
      <c r="K167" s="430"/>
      <c r="L167" s="325"/>
      <c r="M167" s="326"/>
      <c r="N167" s="326"/>
      <c r="O167" s="326"/>
      <c r="P167" s="32"/>
      <c r="Q167" s="32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4"/>
    </row>
    <row r="168">
      <c r="A168" s="352"/>
      <c r="B168" s="352"/>
      <c r="C168" s="352"/>
      <c r="D168" s="352"/>
      <c r="E168" s="427"/>
      <c r="F168" s="428"/>
      <c r="G168" s="429"/>
      <c r="H168" s="393">
        <f t="shared" si="1"/>
        <v>0</v>
      </c>
      <c r="I168" s="394">
        <f t="shared" si="2"/>
        <v>0</v>
      </c>
      <c r="J168" s="331">
        <f t="shared" si="3"/>
        <v>0</v>
      </c>
      <c r="K168" s="430"/>
      <c r="L168" s="325"/>
      <c r="M168" s="326"/>
      <c r="N168" s="326"/>
      <c r="O168" s="326"/>
      <c r="P168" s="32"/>
      <c r="Q168" s="32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4"/>
    </row>
    <row r="169">
      <c r="A169" s="352"/>
      <c r="B169" s="352"/>
      <c r="C169" s="352"/>
      <c r="D169" s="352"/>
      <c r="E169" s="427"/>
      <c r="F169" s="428"/>
      <c r="G169" s="429"/>
      <c r="H169" s="393">
        <f t="shared" si="1"/>
        <v>0</v>
      </c>
      <c r="I169" s="394">
        <f t="shared" si="2"/>
        <v>0</v>
      </c>
      <c r="J169" s="331">
        <f t="shared" si="3"/>
        <v>0</v>
      </c>
      <c r="K169" s="430"/>
      <c r="L169" s="325"/>
      <c r="M169" s="326"/>
      <c r="N169" s="326"/>
      <c r="O169" s="326"/>
      <c r="P169" s="32"/>
      <c r="Q169" s="32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4"/>
    </row>
    <row r="170">
      <c r="A170" s="352"/>
      <c r="B170" s="352"/>
      <c r="C170" s="352"/>
      <c r="D170" s="352"/>
      <c r="E170" s="427"/>
      <c r="F170" s="428"/>
      <c r="G170" s="429"/>
      <c r="H170" s="393">
        <f t="shared" si="1"/>
        <v>0</v>
      </c>
      <c r="I170" s="394">
        <f t="shared" si="2"/>
        <v>0</v>
      </c>
      <c r="J170" s="331">
        <f t="shared" si="3"/>
        <v>0</v>
      </c>
      <c r="K170" s="430"/>
      <c r="L170" s="325"/>
      <c r="M170" s="326"/>
      <c r="N170" s="326"/>
      <c r="O170" s="326"/>
      <c r="P170" s="32"/>
      <c r="Q170" s="32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4"/>
    </row>
    <row r="171">
      <c r="A171" s="352"/>
      <c r="B171" s="352"/>
      <c r="C171" s="352"/>
      <c r="D171" s="352"/>
      <c r="E171" s="427"/>
      <c r="F171" s="428"/>
      <c r="G171" s="429"/>
      <c r="H171" s="393">
        <f t="shared" si="1"/>
        <v>0</v>
      </c>
      <c r="I171" s="394">
        <f t="shared" si="2"/>
        <v>0</v>
      </c>
      <c r="J171" s="331">
        <f t="shared" si="3"/>
        <v>0</v>
      </c>
      <c r="K171" s="430"/>
      <c r="L171" s="325"/>
      <c r="M171" s="326"/>
      <c r="N171" s="326"/>
      <c r="O171" s="326"/>
      <c r="P171" s="32"/>
      <c r="Q171" s="32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4"/>
    </row>
    <row r="172">
      <c r="A172" s="352"/>
      <c r="B172" s="352"/>
      <c r="C172" s="352"/>
      <c r="D172" s="352"/>
      <c r="E172" s="427"/>
      <c r="F172" s="428"/>
      <c r="G172" s="429"/>
      <c r="H172" s="393">
        <f t="shared" si="1"/>
        <v>0</v>
      </c>
      <c r="I172" s="394">
        <f t="shared" si="2"/>
        <v>0</v>
      </c>
      <c r="J172" s="331">
        <f t="shared" si="3"/>
        <v>0</v>
      </c>
      <c r="K172" s="430"/>
      <c r="L172" s="325"/>
      <c r="M172" s="326"/>
      <c r="N172" s="326"/>
      <c r="O172" s="326"/>
      <c r="P172" s="32"/>
      <c r="Q172" s="32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4"/>
    </row>
    <row r="173">
      <c r="A173" s="360"/>
      <c r="B173" s="360"/>
      <c r="C173" s="360"/>
      <c r="D173" s="360"/>
      <c r="E173" s="437"/>
      <c r="F173" s="438"/>
      <c r="G173" s="439"/>
      <c r="H173" s="362">
        <f t="shared" si="1"/>
        <v>0</v>
      </c>
      <c r="I173" s="363">
        <f t="shared" si="2"/>
        <v>0</v>
      </c>
      <c r="J173" s="440">
        <f t="shared" si="3"/>
        <v>0</v>
      </c>
      <c r="K173" s="430"/>
      <c r="L173" s="325"/>
      <c r="M173" s="326"/>
      <c r="N173" s="326"/>
      <c r="O173" s="326"/>
      <c r="P173" s="32"/>
      <c r="Q173" s="32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4"/>
    </row>
    <row r="174" ht="10.5" customHeight="1">
      <c r="A174" s="51"/>
      <c r="B174" s="51"/>
      <c r="C174" s="51"/>
      <c r="D174" s="51"/>
      <c r="E174" s="51"/>
      <c r="F174" s="51"/>
      <c r="G174" s="51"/>
      <c r="H174" s="52"/>
      <c r="I174" s="52"/>
      <c r="J174" s="52"/>
      <c r="K174" s="52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ht="26.25" customHeight="1">
      <c r="A175" s="308" t="s">
        <v>505</v>
      </c>
      <c r="B175" s="55"/>
      <c r="C175" s="55"/>
      <c r="D175" s="55"/>
      <c r="E175" s="55"/>
      <c r="F175" s="55"/>
      <c r="G175" s="106"/>
      <c r="H175" s="441">
        <f>SUM($H$7:$H$174)</f>
        <v>411968.91</v>
      </c>
      <c r="I175" s="441">
        <f>SUM($I$7:$I$174)</f>
        <v>65915.0256</v>
      </c>
      <c r="J175" s="441">
        <f>SUM($J$7:$J$174)</f>
        <v>477883.9356</v>
      </c>
      <c r="K175" s="441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ht="15.75" customHeight="1">
      <c r="A176" s="8"/>
      <c r="B176" s="8"/>
      <c r="C176" s="8"/>
      <c r="D176" s="8"/>
      <c r="E176" s="2"/>
      <c r="F176" s="101"/>
      <c r="G176" s="101"/>
      <c r="H176" s="101"/>
      <c r="I176" s="101"/>
      <c r="J176" s="101"/>
      <c r="K176" s="10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"/>
    </row>
    <row r="177" ht="15.75" customHeight="1">
      <c r="A177" s="2"/>
      <c r="B177" s="2"/>
      <c r="C177" s="8"/>
      <c r="D177" s="8"/>
      <c r="E177" s="2"/>
      <c r="F177" s="101"/>
      <c r="G177" s="101"/>
      <c r="H177" s="101"/>
      <c r="I177" s="101"/>
      <c r="J177" s="101"/>
      <c r="K177" s="10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"/>
    </row>
    <row r="178">
      <c r="A178" s="2"/>
      <c r="B178" s="311" t="s">
        <v>19</v>
      </c>
      <c r="C178" s="106"/>
      <c r="D178" s="312">
        <f>SUMIFS($J7:J$173,$A7:A$173,"PAGADO")</f>
        <v>477883.9356</v>
      </c>
      <c r="E178" s="2"/>
      <c r="F178" s="101"/>
      <c r="G178" s="101"/>
      <c r="H178" s="101"/>
      <c r="I178" s="101"/>
      <c r="J178" s="101"/>
      <c r="K178" s="10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"/>
    </row>
    <row r="179">
      <c r="A179" s="8"/>
      <c r="B179" s="311" t="s">
        <v>227</v>
      </c>
      <c r="C179" s="106"/>
      <c r="D179" s="313">
        <f>SUMIFS($J7:J$173,$A7:A$173,"PENDIENTE")</f>
        <v>0</v>
      </c>
      <c r="E179" s="2"/>
      <c r="F179" s="8"/>
      <c r="G179" s="8"/>
      <c r="H179" s="8"/>
      <c r="I179" s="8"/>
      <c r="J179" s="8"/>
      <c r="K179" s="8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"/>
    </row>
    <row r="180" ht="15.75" customHeight="1">
      <c r="A180" s="8"/>
      <c r="B180" s="8"/>
      <c r="C180" s="8"/>
      <c r="D180" s="8"/>
      <c r="E180" s="2"/>
      <c r="F180" s="8"/>
      <c r="G180" s="8"/>
      <c r="H180" s="8"/>
      <c r="I180" s="8"/>
      <c r="J180" s="8"/>
      <c r="K180" s="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"/>
    </row>
    <row r="181" ht="15.75" customHeight="1">
      <c r="A181" s="8"/>
      <c r="B181" s="8"/>
      <c r="C181" s="8"/>
      <c r="D181" s="8"/>
      <c r="E181" s="2"/>
      <c r="F181" s="8"/>
      <c r="G181" s="8"/>
      <c r="H181" s="8"/>
      <c r="I181" s="8"/>
      <c r="J181" s="8"/>
      <c r="K181" s="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/>
    </row>
    <row r="182" ht="15.75" customHeight="1">
      <c r="A182" s="8"/>
      <c r="B182" s="8"/>
      <c r="C182" s="8"/>
      <c r="D182" s="8"/>
      <c r="E182" s="2"/>
      <c r="F182" s="8"/>
      <c r="G182" s="8"/>
      <c r="H182" s="8"/>
      <c r="I182" s="8"/>
      <c r="J182" s="8"/>
      <c r="K182" s="8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"/>
    </row>
    <row r="183" ht="15.75" customHeight="1">
      <c r="A183" s="8"/>
      <c r="B183" s="8"/>
      <c r="C183" s="8"/>
      <c r="D183" s="8"/>
      <c r="E183" s="2"/>
      <c r="F183" s="8"/>
      <c r="G183" s="8"/>
      <c r="H183" s="8"/>
      <c r="I183" s="8"/>
      <c r="J183" s="8"/>
      <c r="K183" s="8"/>
      <c r="L183" s="2"/>
      <c r="M183" s="2"/>
      <c r="N183" s="3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"/>
    </row>
    <row r="184" ht="15.75" customHeight="1">
      <c r="A184" s="8"/>
      <c r="B184" s="8"/>
      <c r="C184" s="8"/>
      <c r="D184" s="8"/>
      <c r="E184" s="2"/>
      <c r="F184" s="8"/>
      <c r="G184" s="8"/>
      <c r="H184" s="8"/>
      <c r="I184" s="8"/>
      <c r="J184" s="8"/>
      <c r="K184" s="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"/>
    </row>
    <row r="185" ht="15.75" customHeight="1">
      <c r="A185" s="8"/>
      <c r="B185" s="8"/>
      <c r="C185" s="8"/>
      <c r="D185" s="8"/>
      <c r="E185" s="2"/>
      <c r="F185" s="8"/>
      <c r="G185" s="8"/>
      <c r="H185" s="8"/>
      <c r="I185" s="8"/>
      <c r="J185" s="8"/>
      <c r="K185" s="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"/>
    </row>
    <row r="186" ht="15.75" customHeight="1">
      <c r="A186" s="8"/>
      <c r="B186" s="8"/>
      <c r="C186" s="8"/>
      <c r="D186" s="8"/>
      <c r="E186" s="2"/>
      <c r="F186" s="8"/>
      <c r="G186" s="8"/>
      <c r="H186" s="8"/>
      <c r="I186" s="8"/>
      <c r="J186" s="8"/>
      <c r="K186" s="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"/>
    </row>
    <row r="187" ht="15.75" customHeight="1">
      <c r="A187" s="8"/>
      <c r="B187" s="8"/>
      <c r="C187" s="8"/>
      <c r="D187" s="8"/>
      <c r="E187" s="2"/>
      <c r="F187" s="8"/>
      <c r="G187" s="8"/>
      <c r="H187" s="8"/>
      <c r="I187" s="8"/>
      <c r="J187" s="8"/>
      <c r="K187" s="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"/>
    </row>
    <row r="188" ht="15.75" customHeight="1">
      <c r="A188" s="8"/>
      <c r="B188" s="8"/>
      <c r="C188" s="8"/>
      <c r="D188" s="8"/>
      <c r="E188" s="2"/>
      <c r="F188" s="8"/>
      <c r="G188" s="8"/>
      <c r="H188" s="8"/>
      <c r="I188" s="8"/>
      <c r="J188" s="8"/>
      <c r="K188" s="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"/>
    </row>
    <row r="189" ht="15.75" customHeight="1">
      <c r="A189" s="8"/>
      <c r="B189" s="8"/>
      <c r="C189" s="8"/>
      <c r="D189" s="8"/>
      <c r="E189" s="2"/>
      <c r="F189" s="8"/>
      <c r="G189" s="8"/>
      <c r="H189" s="8"/>
      <c r="I189" s="8"/>
      <c r="J189" s="8"/>
      <c r="K189" s="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"/>
    </row>
    <row r="190" ht="15.75" customHeight="1">
      <c r="A190" s="8"/>
      <c r="B190" s="8"/>
      <c r="C190" s="8"/>
      <c r="D190" s="8"/>
      <c r="E190" s="2"/>
      <c r="F190" s="8"/>
      <c r="G190" s="8"/>
      <c r="H190" s="8"/>
      <c r="I190" s="8"/>
      <c r="J190" s="8"/>
      <c r="K190" s="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"/>
    </row>
    <row r="191" ht="15.75" customHeight="1">
      <c r="A191" s="8"/>
      <c r="B191" s="8"/>
      <c r="C191" s="8"/>
      <c r="D191" s="8"/>
      <c r="E191" s="2"/>
      <c r="F191" s="8"/>
      <c r="G191" s="8"/>
      <c r="H191" s="8"/>
      <c r="I191" s="8"/>
      <c r="J191" s="8"/>
      <c r="K191" s="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"/>
    </row>
    <row r="192" ht="15.75" customHeight="1">
      <c r="A192" s="8"/>
      <c r="B192" s="8"/>
      <c r="C192" s="8"/>
      <c r="D192" s="8"/>
      <c r="E192" s="2"/>
      <c r="F192" s="8"/>
      <c r="G192" s="8"/>
      <c r="H192" s="8"/>
      <c r="I192" s="8"/>
      <c r="J192" s="8"/>
      <c r="K192" s="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"/>
    </row>
    <row r="193" ht="15.75" customHeight="1">
      <c r="A193" s="8"/>
      <c r="B193" s="8"/>
      <c r="C193" s="8"/>
      <c r="D193" s="8"/>
      <c r="E193" s="2"/>
      <c r="F193" s="8"/>
      <c r="G193" s="8"/>
      <c r="H193" s="8"/>
      <c r="I193" s="8"/>
      <c r="J193" s="8"/>
      <c r="K193" s="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"/>
    </row>
    <row r="194" ht="15.75" customHeight="1">
      <c r="A194" s="8"/>
      <c r="B194" s="8"/>
      <c r="C194" s="8"/>
      <c r="D194" s="8"/>
      <c r="E194" s="2"/>
      <c r="F194" s="8"/>
      <c r="G194" s="8"/>
      <c r="H194" s="8"/>
      <c r="I194" s="8"/>
      <c r="J194" s="8"/>
      <c r="K194" s="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"/>
    </row>
    <row r="195" ht="15.75" customHeight="1">
      <c r="A195" s="8"/>
      <c r="B195" s="8"/>
      <c r="C195" s="8"/>
      <c r="D195" s="8"/>
      <c r="E195" s="2"/>
      <c r="F195" s="8"/>
      <c r="G195" s="8"/>
      <c r="H195" s="8"/>
      <c r="I195" s="8"/>
      <c r="J195" s="8"/>
      <c r="K195" s="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"/>
    </row>
    <row r="196" ht="15.75" customHeight="1">
      <c r="A196" s="8"/>
      <c r="B196" s="8"/>
      <c r="C196" s="8"/>
      <c r="D196" s="8"/>
      <c r="E196" s="2"/>
      <c r="F196" s="8"/>
      <c r="G196" s="8"/>
      <c r="H196" s="8"/>
      <c r="I196" s="8"/>
      <c r="J196" s="8"/>
      <c r="K196" s="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"/>
    </row>
    <row r="197" ht="15.75" customHeight="1">
      <c r="A197" s="8"/>
      <c r="B197" s="8"/>
      <c r="C197" s="8"/>
      <c r="D197" s="8"/>
      <c r="E197" s="2"/>
      <c r="F197" s="8"/>
      <c r="G197" s="8"/>
      <c r="H197" s="8"/>
      <c r="I197" s="8"/>
      <c r="J197" s="8"/>
      <c r="K197" s="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"/>
    </row>
    <row r="198" ht="15.75" customHeight="1">
      <c r="A198" s="8"/>
      <c r="B198" s="8"/>
      <c r="C198" s="8"/>
      <c r="D198" s="8"/>
      <c r="E198" s="2"/>
      <c r="F198" s="8"/>
      <c r="G198" s="8"/>
      <c r="H198" s="8"/>
      <c r="I198" s="8"/>
      <c r="J198" s="8"/>
      <c r="K198" s="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"/>
    </row>
    <row r="199" ht="15.75" customHeight="1">
      <c r="A199" s="8"/>
      <c r="B199" s="8"/>
      <c r="C199" s="8"/>
      <c r="D199" s="8"/>
      <c r="E199" s="2"/>
      <c r="F199" s="8"/>
      <c r="G199" s="8"/>
      <c r="H199" s="8"/>
      <c r="I199" s="8"/>
      <c r="J199" s="8"/>
      <c r="K199" s="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"/>
    </row>
    <row r="200" ht="15.75" customHeight="1">
      <c r="A200" s="8"/>
      <c r="B200" s="8"/>
      <c r="C200" s="8"/>
      <c r="D200" s="8"/>
      <c r="E200" s="2"/>
      <c r="F200" s="8"/>
      <c r="G200" s="8"/>
      <c r="H200" s="8"/>
      <c r="I200" s="8"/>
      <c r="J200" s="8"/>
      <c r="K200" s="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/>
    </row>
    <row r="201" ht="15.75" customHeight="1">
      <c r="A201" s="8"/>
      <c r="B201" s="8"/>
      <c r="C201" s="8"/>
      <c r="D201" s="8"/>
      <c r="E201" s="2"/>
      <c r="F201" s="8"/>
      <c r="G201" s="8"/>
      <c r="H201" s="8"/>
      <c r="I201" s="8"/>
      <c r="J201" s="8"/>
      <c r="K201" s="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"/>
    </row>
    <row r="202" ht="15.75" customHeight="1">
      <c r="A202" s="8"/>
      <c r="B202" s="8"/>
      <c r="C202" s="8"/>
      <c r="D202" s="8"/>
      <c r="E202" s="2"/>
      <c r="F202" s="8"/>
      <c r="G202" s="8"/>
      <c r="H202" s="8"/>
      <c r="I202" s="8"/>
      <c r="J202" s="8"/>
      <c r="K202" s="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"/>
    </row>
    <row r="203" ht="15.75" customHeight="1">
      <c r="A203" s="8"/>
      <c r="B203" s="8"/>
      <c r="C203" s="8"/>
      <c r="D203" s="8"/>
      <c r="E203" s="2"/>
      <c r="F203" s="8"/>
      <c r="G203" s="8"/>
      <c r="H203" s="8"/>
      <c r="I203" s="8"/>
      <c r="J203" s="8"/>
      <c r="K203" s="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"/>
    </row>
    <row r="204" ht="15.75" customHeight="1">
      <c r="A204" s="8"/>
      <c r="B204" s="8"/>
      <c r="C204" s="8"/>
      <c r="D204" s="8"/>
      <c r="E204" s="2"/>
      <c r="F204" s="8"/>
      <c r="G204" s="8"/>
      <c r="H204" s="8"/>
      <c r="I204" s="8"/>
      <c r="J204" s="8"/>
      <c r="K204" s="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"/>
    </row>
    <row r="205" ht="15.75" customHeight="1">
      <c r="A205" s="8"/>
      <c r="B205" s="8"/>
      <c r="C205" s="8"/>
      <c r="D205" s="8"/>
      <c r="E205" s="2"/>
      <c r="F205" s="8"/>
      <c r="G205" s="8"/>
      <c r="H205" s="8"/>
      <c r="I205" s="8"/>
      <c r="J205" s="8"/>
      <c r="K205" s="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"/>
    </row>
    <row r="206" ht="15.75" customHeight="1">
      <c r="A206" s="8"/>
      <c r="B206" s="8"/>
      <c r="C206" s="8"/>
      <c r="D206" s="8"/>
      <c r="E206" s="2"/>
      <c r="F206" s="8"/>
      <c r="G206" s="8"/>
      <c r="H206" s="8"/>
      <c r="I206" s="8"/>
      <c r="J206" s="8"/>
      <c r="K206" s="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/>
    </row>
    <row r="207" ht="15.75" customHeight="1">
      <c r="A207" s="8"/>
      <c r="B207" s="8"/>
      <c r="C207" s="8"/>
      <c r="D207" s="8"/>
      <c r="E207" s="2"/>
      <c r="F207" s="8"/>
      <c r="G207" s="8"/>
      <c r="H207" s="8"/>
      <c r="I207" s="8"/>
      <c r="J207" s="8"/>
      <c r="K207" s="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"/>
    </row>
    <row r="208" ht="15.75" customHeight="1">
      <c r="A208" s="8"/>
      <c r="B208" s="8"/>
      <c r="C208" s="8"/>
      <c r="D208" s="8"/>
      <c r="E208" s="2"/>
      <c r="F208" s="8"/>
      <c r="G208" s="8"/>
      <c r="H208" s="8"/>
      <c r="I208" s="8"/>
      <c r="J208" s="8"/>
      <c r="K208" s="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"/>
    </row>
    <row r="209" ht="15.75" customHeight="1">
      <c r="A209" s="8"/>
      <c r="B209" s="8"/>
      <c r="C209" s="8"/>
      <c r="D209" s="8"/>
      <c r="E209" s="2"/>
      <c r="F209" s="8"/>
      <c r="G209" s="8"/>
      <c r="H209" s="8"/>
      <c r="I209" s="8"/>
      <c r="J209" s="8"/>
      <c r="K209" s="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"/>
    </row>
    <row r="210" ht="15.75" customHeight="1">
      <c r="A210" s="8"/>
      <c r="B210" s="8"/>
      <c r="C210" s="8"/>
      <c r="D210" s="8"/>
      <c r="E210" s="2"/>
      <c r="F210" s="8"/>
      <c r="G210" s="8"/>
      <c r="H210" s="8"/>
      <c r="I210" s="8"/>
      <c r="J210" s="8"/>
      <c r="K210" s="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"/>
    </row>
    <row r="211" ht="15.75" customHeight="1">
      <c r="A211" s="8"/>
      <c r="B211" s="8"/>
      <c r="C211" s="8"/>
      <c r="D211" s="8"/>
      <c r="E211" s="2"/>
      <c r="F211" s="8"/>
      <c r="G211" s="8"/>
      <c r="H211" s="8"/>
      <c r="I211" s="8"/>
      <c r="J211" s="8"/>
      <c r="K211" s="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"/>
    </row>
    <row r="212" ht="15.75" customHeight="1">
      <c r="A212" s="8"/>
      <c r="B212" s="8"/>
      <c r="C212" s="8"/>
      <c r="D212" s="8"/>
      <c r="E212" s="2"/>
      <c r="F212" s="8"/>
      <c r="G212" s="8"/>
      <c r="H212" s="8"/>
      <c r="I212" s="8"/>
      <c r="J212" s="8"/>
      <c r="K212" s="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/>
    </row>
    <row r="213" ht="15.75" customHeight="1">
      <c r="A213" s="8"/>
      <c r="B213" s="8"/>
      <c r="C213" s="8"/>
      <c r="D213" s="8"/>
      <c r="E213" s="2"/>
      <c r="F213" s="8"/>
      <c r="G213" s="8"/>
      <c r="H213" s="8"/>
      <c r="I213" s="8"/>
      <c r="J213" s="8"/>
      <c r="K213" s="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"/>
    </row>
    <row r="214" ht="15.75" customHeight="1">
      <c r="A214" s="8"/>
      <c r="B214" s="8"/>
      <c r="C214" s="8"/>
      <c r="D214" s="8"/>
      <c r="E214" s="2"/>
      <c r="F214" s="8"/>
      <c r="G214" s="8"/>
      <c r="H214" s="8"/>
      <c r="I214" s="8"/>
      <c r="J214" s="8"/>
      <c r="K214" s="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/>
    </row>
    <row r="215" ht="15.75" customHeight="1">
      <c r="A215" s="8"/>
      <c r="B215" s="8"/>
      <c r="C215" s="8"/>
      <c r="D215" s="8"/>
      <c r="E215" s="2"/>
      <c r="F215" s="8"/>
      <c r="G215" s="8"/>
      <c r="H215" s="8"/>
      <c r="I215" s="8"/>
      <c r="J215" s="8"/>
      <c r="K215" s="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"/>
    </row>
    <row r="216" ht="15.75" customHeight="1">
      <c r="A216" s="8"/>
      <c r="B216" s="8"/>
      <c r="C216" s="8"/>
      <c r="D216" s="8"/>
      <c r="E216" s="2"/>
      <c r="F216" s="8"/>
      <c r="G216" s="8"/>
      <c r="H216" s="8"/>
      <c r="I216" s="8"/>
      <c r="J216" s="8"/>
      <c r="K216" s="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"/>
    </row>
    <row r="217" ht="15.75" customHeight="1">
      <c r="A217" s="8"/>
      <c r="B217" s="8"/>
      <c r="C217" s="8"/>
      <c r="D217" s="8"/>
      <c r="E217" s="2"/>
      <c r="F217" s="8"/>
      <c r="G217" s="8"/>
      <c r="H217" s="8"/>
      <c r="I217" s="8"/>
      <c r="J217" s="8"/>
      <c r="K217" s="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"/>
    </row>
    <row r="218" ht="15.75" customHeight="1">
      <c r="A218" s="8"/>
      <c r="B218" s="8"/>
      <c r="C218" s="8"/>
      <c r="D218" s="8"/>
      <c r="E218" s="2"/>
      <c r="F218" s="8"/>
      <c r="G218" s="8"/>
      <c r="H218" s="8"/>
      <c r="I218" s="8"/>
      <c r="J218" s="8"/>
      <c r="K218" s="8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"/>
    </row>
    <row r="219" ht="15.75" customHeight="1">
      <c r="A219" s="8"/>
      <c r="B219" s="8"/>
      <c r="C219" s="8"/>
      <c r="D219" s="8"/>
      <c r="E219" s="2"/>
      <c r="F219" s="8"/>
      <c r="G219" s="8"/>
      <c r="H219" s="8"/>
      <c r="I219" s="8"/>
      <c r="J219" s="8"/>
      <c r="K219" s="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"/>
    </row>
    <row r="220" ht="15.75" customHeight="1">
      <c r="A220" s="8"/>
      <c r="B220" s="8"/>
      <c r="C220" s="8"/>
      <c r="D220" s="8"/>
      <c r="E220" s="2"/>
      <c r="F220" s="8"/>
      <c r="G220" s="8"/>
      <c r="H220" s="8"/>
      <c r="I220" s="8"/>
      <c r="J220" s="8"/>
      <c r="K220" s="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/>
    </row>
    <row r="221" ht="15.75" customHeight="1">
      <c r="A221" s="8"/>
      <c r="B221" s="8"/>
      <c r="C221" s="8"/>
      <c r="D221" s="8"/>
      <c r="E221" s="2"/>
      <c r="F221" s="8"/>
      <c r="G221" s="8"/>
      <c r="H221" s="8"/>
      <c r="I221" s="8"/>
      <c r="J221" s="8"/>
      <c r="K221" s="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"/>
    </row>
    <row r="222" ht="15.75" customHeight="1">
      <c r="A222" s="8"/>
      <c r="B222" s="8"/>
      <c r="C222" s="8"/>
      <c r="D222" s="8"/>
      <c r="E222" s="2"/>
      <c r="F222" s="8"/>
      <c r="G222" s="8"/>
      <c r="H222" s="8"/>
      <c r="I222" s="8"/>
      <c r="J222" s="8"/>
      <c r="K222" s="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/>
    </row>
    <row r="223" ht="15.75" customHeight="1">
      <c r="A223" s="8"/>
      <c r="B223" s="8"/>
      <c r="C223" s="8"/>
      <c r="D223" s="8"/>
      <c r="E223" s="2"/>
      <c r="F223" s="8"/>
      <c r="G223" s="8"/>
      <c r="H223" s="8"/>
      <c r="I223" s="8"/>
      <c r="J223" s="8"/>
      <c r="K223" s="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"/>
    </row>
    <row r="224" ht="15.75" customHeight="1">
      <c r="A224" s="8"/>
      <c r="B224" s="8"/>
      <c r="C224" s="8"/>
      <c r="D224" s="8"/>
      <c r="E224" s="2"/>
      <c r="F224" s="8"/>
      <c r="G224" s="8"/>
      <c r="H224" s="8"/>
      <c r="I224" s="8"/>
      <c r="J224" s="8"/>
      <c r="K224" s="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"/>
    </row>
    <row r="225" ht="15.75" customHeight="1">
      <c r="A225" s="8"/>
      <c r="B225" s="8"/>
      <c r="C225" s="8"/>
      <c r="D225" s="8"/>
      <c r="E225" s="2"/>
      <c r="F225" s="8"/>
      <c r="G225" s="8"/>
      <c r="H225" s="8"/>
      <c r="I225" s="8"/>
      <c r="J225" s="8"/>
      <c r="K225" s="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/>
    </row>
    <row r="226" ht="15.75" customHeight="1">
      <c r="A226" s="8"/>
      <c r="B226" s="8"/>
      <c r="C226" s="8"/>
      <c r="D226" s="8"/>
      <c r="E226" s="2"/>
      <c r="F226" s="8"/>
      <c r="G226" s="8"/>
      <c r="H226" s="8"/>
      <c r="I226" s="8"/>
      <c r="J226" s="8"/>
      <c r="K226" s="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"/>
    </row>
    <row r="227" ht="15.75" customHeight="1">
      <c r="A227" s="8"/>
      <c r="B227" s="8"/>
      <c r="C227" s="8"/>
      <c r="D227" s="8"/>
      <c r="E227" s="2"/>
      <c r="F227" s="8"/>
      <c r="G227" s="8"/>
      <c r="H227" s="8"/>
      <c r="I227" s="8"/>
      <c r="J227" s="8"/>
      <c r="K227" s="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"/>
    </row>
    <row r="228" ht="15.75" customHeight="1">
      <c r="A228" s="8"/>
      <c r="B228" s="8"/>
      <c r="C228" s="8"/>
      <c r="D228" s="8"/>
      <c r="E228" s="2"/>
      <c r="F228" s="8"/>
      <c r="G228" s="8"/>
      <c r="H228" s="8"/>
      <c r="I228" s="8"/>
      <c r="J228" s="8"/>
      <c r="K228" s="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"/>
    </row>
    <row r="229" ht="15.75" customHeight="1">
      <c r="A229" s="8"/>
      <c r="B229" s="8"/>
      <c r="C229" s="8"/>
      <c r="D229" s="8"/>
      <c r="E229" s="2"/>
      <c r="F229" s="8"/>
      <c r="G229" s="8"/>
      <c r="H229" s="8"/>
      <c r="I229" s="8"/>
      <c r="J229" s="8"/>
      <c r="K229" s="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/>
    </row>
    <row r="230" ht="15.75" customHeight="1">
      <c r="A230" s="8"/>
      <c r="B230" s="8"/>
      <c r="C230" s="8"/>
      <c r="D230" s="8"/>
      <c r="E230" s="2"/>
      <c r="F230" s="8"/>
      <c r="G230" s="8"/>
      <c r="H230" s="8"/>
      <c r="I230" s="8"/>
      <c r="J230" s="8"/>
      <c r="K230" s="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"/>
    </row>
    <row r="231" ht="15.75" customHeight="1">
      <c r="A231" s="8"/>
      <c r="B231" s="8"/>
      <c r="C231" s="8"/>
      <c r="D231" s="8"/>
      <c r="E231" s="2"/>
      <c r="F231" s="8"/>
      <c r="G231" s="8"/>
      <c r="H231" s="8"/>
      <c r="I231" s="8"/>
      <c r="J231" s="8"/>
      <c r="K231" s="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"/>
    </row>
    <row r="232" ht="15.75" customHeight="1">
      <c r="A232" s="8"/>
      <c r="B232" s="8"/>
      <c r="C232" s="8"/>
      <c r="D232" s="8"/>
      <c r="E232" s="2"/>
      <c r="F232" s="8"/>
      <c r="G232" s="8"/>
      <c r="H232" s="8"/>
      <c r="I232" s="8"/>
      <c r="J232" s="8"/>
      <c r="K232" s="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"/>
    </row>
    <row r="233" ht="15.75" customHeight="1">
      <c r="A233" s="8"/>
      <c r="B233" s="8"/>
      <c r="C233" s="8"/>
      <c r="D233" s="8"/>
      <c r="E233" s="2"/>
      <c r="F233" s="8"/>
      <c r="G233" s="8"/>
      <c r="H233" s="8"/>
      <c r="I233" s="8"/>
      <c r="J233" s="8"/>
      <c r="K233" s="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/>
    </row>
    <row r="234" ht="15.75" customHeight="1">
      <c r="A234" s="8"/>
      <c r="B234" s="8"/>
      <c r="C234" s="8"/>
      <c r="D234" s="8"/>
      <c r="E234" s="2"/>
      <c r="F234" s="8"/>
      <c r="G234" s="8"/>
      <c r="H234" s="8"/>
      <c r="I234" s="8"/>
      <c r="J234" s="8"/>
      <c r="K234" s="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"/>
    </row>
    <row r="235" ht="15.75" customHeight="1">
      <c r="A235" s="8"/>
      <c r="B235" s="8"/>
      <c r="C235" s="8"/>
      <c r="D235" s="8"/>
      <c r="E235" s="2"/>
      <c r="F235" s="8"/>
      <c r="G235" s="8"/>
      <c r="H235" s="8"/>
      <c r="I235" s="8"/>
      <c r="J235" s="8"/>
      <c r="K235" s="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"/>
    </row>
    <row r="236" ht="15.75" customHeight="1">
      <c r="A236" s="8"/>
      <c r="B236" s="8"/>
      <c r="C236" s="8"/>
      <c r="D236" s="8"/>
      <c r="E236" s="2"/>
      <c r="F236" s="8"/>
      <c r="G236" s="8"/>
      <c r="H236" s="8"/>
      <c r="I236" s="8"/>
      <c r="J236" s="8"/>
      <c r="K236" s="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/>
    </row>
    <row r="237" ht="15.75" customHeight="1">
      <c r="A237" s="8"/>
      <c r="B237" s="8"/>
      <c r="C237" s="8"/>
      <c r="D237" s="8"/>
      <c r="E237" s="2"/>
      <c r="F237" s="8"/>
      <c r="G237" s="8"/>
      <c r="H237" s="8"/>
      <c r="I237" s="8"/>
      <c r="J237" s="8"/>
      <c r="K237" s="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"/>
    </row>
    <row r="238" ht="15.75" customHeight="1">
      <c r="A238" s="8"/>
      <c r="B238" s="8"/>
      <c r="C238" s="8"/>
      <c r="D238" s="8"/>
      <c r="E238" s="2"/>
      <c r="F238" s="8"/>
      <c r="G238" s="8"/>
      <c r="H238" s="8"/>
      <c r="I238" s="8"/>
      <c r="J238" s="8"/>
      <c r="K238" s="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/>
    </row>
    <row r="239" ht="15.75" customHeight="1">
      <c r="A239" s="8"/>
      <c r="B239" s="8"/>
      <c r="C239" s="8"/>
      <c r="D239" s="8"/>
      <c r="E239" s="2"/>
      <c r="F239" s="8"/>
      <c r="G239" s="8"/>
      <c r="H239" s="8"/>
      <c r="I239" s="8"/>
      <c r="J239" s="8"/>
      <c r="K239" s="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"/>
    </row>
    <row r="240" ht="15.75" customHeight="1">
      <c r="A240" s="8"/>
      <c r="B240" s="8"/>
      <c r="C240" s="8"/>
      <c r="D240" s="8"/>
      <c r="E240" s="2"/>
      <c r="F240" s="8"/>
      <c r="G240" s="8"/>
      <c r="H240" s="8"/>
      <c r="I240" s="8"/>
      <c r="J240" s="8"/>
      <c r="K240" s="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"/>
    </row>
    <row r="241" ht="15.75" customHeight="1">
      <c r="A241" s="8"/>
      <c r="B241" s="8"/>
      <c r="C241" s="8"/>
      <c r="D241" s="8"/>
      <c r="E241" s="2"/>
      <c r="F241" s="8"/>
      <c r="G241" s="8"/>
      <c r="H241" s="8"/>
      <c r="I241" s="8"/>
      <c r="J241" s="8"/>
      <c r="K241" s="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"/>
    </row>
    <row r="242" ht="15.75" customHeight="1">
      <c r="A242" s="8"/>
      <c r="B242" s="8"/>
      <c r="C242" s="8"/>
      <c r="D242" s="8"/>
      <c r="E242" s="2"/>
      <c r="F242" s="8"/>
      <c r="G242" s="8"/>
      <c r="H242" s="8"/>
      <c r="I242" s="8"/>
      <c r="J242" s="8"/>
      <c r="K242" s="8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"/>
    </row>
    <row r="243" ht="15.75" customHeight="1">
      <c r="A243" s="8"/>
      <c r="B243" s="8"/>
      <c r="C243" s="8"/>
      <c r="D243" s="8"/>
      <c r="E243" s="2"/>
      <c r="F243" s="8"/>
      <c r="G243" s="8"/>
      <c r="H243" s="8"/>
      <c r="I243" s="8"/>
      <c r="J243" s="8"/>
      <c r="K243" s="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/>
    </row>
    <row r="244" ht="15.75" customHeight="1">
      <c r="A244" s="8"/>
      <c r="B244" s="8"/>
      <c r="C244" s="8"/>
      <c r="D244" s="8"/>
      <c r="E244" s="2"/>
      <c r="F244" s="8"/>
      <c r="G244" s="8"/>
      <c r="H244" s="8"/>
      <c r="I244" s="8"/>
      <c r="J244" s="8"/>
      <c r="K244" s="8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"/>
    </row>
    <row r="245" ht="15.75" customHeight="1">
      <c r="A245" s="8"/>
      <c r="B245" s="8"/>
      <c r="C245" s="8"/>
      <c r="D245" s="8"/>
      <c r="E245" s="2"/>
      <c r="F245" s="8"/>
      <c r="G245" s="8"/>
      <c r="H245" s="8"/>
      <c r="I245" s="8"/>
      <c r="J245" s="8"/>
      <c r="K245" s="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/>
    </row>
    <row r="246" ht="15.75" customHeight="1">
      <c r="A246" s="8"/>
      <c r="B246" s="8"/>
      <c r="C246" s="8"/>
      <c r="D246" s="8"/>
      <c r="E246" s="2"/>
      <c r="F246" s="8"/>
      <c r="G246" s="8"/>
      <c r="H246" s="8"/>
      <c r="I246" s="8"/>
      <c r="J246" s="8"/>
      <c r="K246" s="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"/>
    </row>
    <row r="247" ht="15.75" customHeight="1">
      <c r="A247" s="8"/>
      <c r="B247" s="8"/>
      <c r="C247" s="8"/>
      <c r="D247" s="8"/>
      <c r="E247" s="2"/>
      <c r="F247" s="8"/>
      <c r="G247" s="8"/>
      <c r="H247" s="8"/>
      <c r="I247" s="8"/>
      <c r="J247" s="8"/>
      <c r="K247" s="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"/>
    </row>
    <row r="248" ht="15.75" customHeight="1">
      <c r="A248" s="8"/>
      <c r="B248" s="8"/>
      <c r="C248" s="8"/>
      <c r="D248" s="8"/>
      <c r="E248" s="2"/>
      <c r="F248" s="8"/>
      <c r="G248" s="8"/>
      <c r="H248" s="8"/>
      <c r="I248" s="8"/>
      <c r="J248" s="8"/>
      <c r="K248" s="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/>
    </row>
    <row r="249" ht="15.75" customHeight="1">
      <c r="A249" s="8"/>
      <c r="B249" s="8"/>
      <c r="C249" s="8"/>
      <c r="D249" s="8"/>
      <c r="E249" s="2"/>
      <c r="F249" s="8"/>
      <c r="G249" s="8"/>
      <c r="H249" s="8"/>
      <c r="I249" s="8"/>
      <c r="J249" s="8"/>
      <c r="K249" s="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"/>
    </row>
    <row r="250" ht="15.75" customHeight="1">
      <c r="A250" s="8"/>
      <c r="B250" s="8"/>
      <c r="C250" s="8"/>
      <c r="D250" s="8"/>
      <c r="E250" s="2"/>
      <c r="F250" s="8"/>
      <c r="G250" s="8"/>
      <c r="H250" s="8"/>
      <c r="I250" s="8"/>
      <c r="J250" s="8"/>
      <c r="K250" s="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"/>
    </row>
    <row r="251" ht="15.75" customHeight="1">
      <c r="A251" s="8"/>
      <c r="B251" s="8"/>
      <c r="C251" s="8"/>
      <c r="D251" s="8"/>
      <c r="E251" s="2"/>
      <c r="F251" s="8"/>
      <c r="G251" s="8"/>
      <c r="H251" s="8"/>
      <c r="I251" s="8"/>
      <c r="J251" s="8"/>
      <c r="K251" s="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/>
    </row>
    <row r="252" ht="15.75" customHeight="1">
      <c r="A252" s="8"/>
      <c r="B252" s="8"/>
      <c r="C252" s="8"/>
      <c r="D252" s="8"/>
      <c r="E252" s="2"/>
      <c r="F252" s="8"/>
      <c r="G252" s="8"/>
      <c r="H252" s="8"/>
      <c r="I252" s="8"/>
      <c r="J252" s="8"/>
      <c r="K252" s="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/>
    </row>
    <row r="253" ht="15.75" customHeight="1">
      <c r="A253" s="8"/>
      <c r="B253" s="8"/>
      <c r="C253" s="8"/>
      <c r="D253" s="8"/>
      <c r="E253" s="2"/>
      <c r="F253" s="8"/>
      <c r="G253" s="8"/>
      <c r="H253" s="8"/>
      <c r="I253" s="8"/>
      <c r="J253" s="8"/>
      <c r="K253" s="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"/>
    </row>
    <row r="254" ht="15.75" customHeight="1">
      <c r="A254" s="8"/>
      <c r="B254" s="8"/>
      <c r="C254" s="8"/>
      <c r="D254" s="8"/>
      <c r="E254" s="2"/>
      <c r="F254" s="8"/>
      <c r="G254" s="8"/>
      <c r="H254" s="8"/>
      <c r="I254" s="8"/>
      <c r="J254" s="8"/>
      <c r="K254" s="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"/>
    </row>
    <row r="255" ht="15.75" customHeight="1">
      <c r="A255" s="8"/>
      <c r="B255" s="8"/>
      <c r="C255" s="8"/>
      <c r="D255" s="8"/>
      <c r="E255" s="2"/>
      <c r="F255" s="8"/>
      <c r="G255" s="8"/>
      <c r="H255" s="8"/>
      <c r="I255" s="8"/>
      <c r="J255" s="8"/>
      <c r="K255" s="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"/>
    </row>
    <row r="256" ht="15.75" customHeight="1">
      <c r="A256" s="8"/>
      <c r="B256" s="8"/>
      <c r="C256" s="8"/>
      <c r="D256" s="8"/>
      <c r="E256" s="2"/>
      <c r="F256" s="8"/>
      <c r="G256" s="8"/>
      <c r="H256" s="8"/>
      <c r="I256" s="8"/>
      <c r="J256" s="8"/>
      <c r="K256" s="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"/>
    </row>
    <row r="257" ht="15.75" customHeight="1">
      <c r="A257" s="8"/>
      <c r="B257" s="8"/>
      <c r="C257" s="8"/>
      <c r="D257" s="8"/>
      <c r="E257" s="2"/>
      <c r="F257" s="8"/>
      <c r="G257" s="8"/>
      <c r="H257" s="8"/>
      <c r="I257" s="8"/>
      <c r="J257" s="8"/>
      <c r="K257" s="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"/>
    </row>
    <row r="258" ht="15.75" customHeight="1">
      <c r="A258" s="8"/>
      <c r="B258" s="8"/>
      <c r="C258" s="8"/>
      <c r="D258" s="8"/>
      <c r="E258" s="2"/>
      <c r="F258" s="8"/>
      <c r="G258" s="8"/>
      <c r="H258" s="8"/>
      <c r="I258" s="8"/>
      <c r="J258" s="8"/>
      <c r="K258" s="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"/>
    </row>
    <row r="259" ht="15.75" customHeight="1">
      <c r="A259" s="8"/>
      <c r="B259" s="8"/>
      <c r="C259" s="8"/>
      <c r="D259" s="8"/>
      <c r="E259" s="2"/>
      <c r="F259" s="8"/>
      <c r="G259" s="8"/>
      <c r="H259" s="8"/>
      <c r="I259" s="8"/>
      <c r="J259" s="8"/>
      <c r="K259" s="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"/>
    </row>
    <row r="260" ht="15.75" customHeight="1">
      <c r="A260" s="8"/>
      <c r="B260" s="8"/>
      <c r="C260" s="8"/>
      <c r="D260" s="8"/>
      <c r="E260" s="2"/>
      <c r="F260" s="8"/>
      <c r="G260" s="8"/>
      <c r="H260" s="8"/>
      <c r="I260" s="8"/>
      <c r="J260" s="8"/>
      <c r="K260" s="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"/>
    </row>
    <row r="261" ht="15.75" customHeight="1">
      <c r="A261" s="8"/>
      <c r="B261" s="8"/>
      <c r="C261" s="8"/>
      <c r="D261" s="8"/>
      <c r="E261" s="2"/>
      <c r="F261" s="8"/>
      <c r="G261" s="8"/>
      <c r="H261" s="8"/>
      <c r="I261" s="8"/>
      <c r="J261" s="8"/>
      <c r="K261" s="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"/>
    </row>
    <row r="262" ht="15.75" customHeight="1">
      <c r="A262" s="8"/>
      <c r="B262" s="8"/>
      <c r="C262" s="8"/>
      <c r="D262" s="8"/>
      <c r="E262" s="2"/>
      <c r="F262" s="8"/>
      <c r="G262" s="8"/>
      <c r="H262" s="8"/>
      <c r="I262" s="8"/>
      <c r="J262" s="8"/>
      <c r="K262" s="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/>
    </row>
    <row r="263" ht="15.75" customHeight="1">
      <c r="A263" s="8"/>
      <c r="B263" s="8"/>
      <c r="C263" s="8"/>
      <c r="D263" s="8"/>
      <c r="E263" s="2"/>
      <c r="F263" s="8"/>
      <c r="G263" s="8"/>
      <c r="H263" s="8"/>
      <c r="I263" s="8"/>
      <c r="J263" s="8"/>
      <c r="K263" s="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"/>
    </row>
    <row r="264" ht="15.75" customHeight="1">
      <c r="A264" s="8"/>
      <c r="B264" s="8"/>
      <c r="C264" s="8"/>
      <c r="D264" s="8"/>
      <c r="E264" s="2"/>
      <c r="F264" s="8"/>
      <c r="G264" s="8"/>
      <c r="H264" s="8"/>
      <c r="I264" s="8"/>
      <c r="J264" s="8"/>
      <c r="K264" s="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"/>
    </row>
    <row r="265" ht="15.75" customHeight="1">
      <c r="A265" s="8"/>
      <c r="B265" s="8"/>
      <c r="C265" s="8"/>
      <c r="D265" s="8"/>
      <c r="E265" s="2"/>
      <c r="F265" s="8"/>
      <c r="G265" s="8"/>
      <c r="H265" s="8"/>
      <c r="I265" s="8"/>
      <c r="J265" s="8"/>
      <c r="K265" s="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"/>
    </row>
    <row r="266" ht="15.75" customHeight="1">
      <c r="A266" s="8"/>
      <c r="B266" s="8"/>
      <c r="C266" s="8"/>
      <c r="D266" s="8"/>
      <c r="E266" s="2"/>
      <c r="F266" s="8"/>
      <c r="G266" s="8"/>
      <c r="H266" s="8"/>
      <c r="I266" s="8"/>
      <c r="J266" s="8"/>
      <c r="K266" s="8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"/>
    </row>
    <row r="267" ht="15.75" customHeight="1">
      <c r="A267" s="8"/>
      <c r="B267" s="8"/>
      <c r="C267" s="8"/>
      <c r="D267" s="8"/>
      <c r="E267" s="2"/>
      <c r="F267" s="8"/>
      <c r="G267" s="8"/>
      <c r="H267" s="8"/>
      <c r="I267" s="8"/>
      <c r="J267" s="8"/>
      <c r="K267" s="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"/>
    </row>
    <row r="268" ht="15.75" customHeight="1">
      <c r="A268" s="8"/>
      <c r="B268" s="8"/>
      <c r="C268" s="8"/>
      <c r="D268" s="8"/>
      <c r="E268" s="2"/>
      <c r="F268" s="8"/>
      <c r="G268" s="8"/>
      <c r="H268" s="8"/>
      <c r="I268" s="8"/>
      <c r="J268" s="8"/>
      <c r="K268" s="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"/>
    </row>
    <row r="269" ht="15.75" customHeight="1">
      <c r="A269" s="8"/>
      <c r="B269" s="8"/>
      <c r="C269" s="8"/>
      <c r="D269" s="8"/>
      <c r="E269" s="2"/>
      <c r="F269" s="8"/>
      <c r="G269" s="8"/>
      <c r="H269" s="8"/>
      <c r="I269" s="8"/>
      <c r="J269" s="8"/>
      <c r="K269" s="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"/>
    </row>
    <row r="270" ht="15.75" customHeight="1">
      <c r="A270" s="8"/>
      <c r="B270" s="8"/>
      <c r="C270" s="8"/>
      <c r="D270" s="8"/>
      <c r="E270" s="2"/>
      <c r="F270" s="8"/>
      <c r="G270" s="8"/>
      <c r="H270" s="8"/>
      <c r="I270" s="8"/>
      <c r="J270" s="8"/>
      <c r="K270" s="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"/>
    </row>
    <row r="271" ht="15.75" customHeight="1">
      <c r="A271" s="8"/>
      <c r="B271" s="8"/>
      <c r="C271" s="8"/>
      <c r="D271" s="8"/>
      <c r="E271" s="2"/>
      <c r="F271" s="8"/>
      <c r="G271" s="8"/>
      <c r="H271" s="8"/>
      <c r="I271" s="8"/>
      <c r="J271" s="8"/>
      <c r="K271" s="8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"/>
    </row>
    <row r="272" ht="15.75" customHeight="1">
      <c r="A272" s="8"/>
      <c r="B272" s="8"/>
      <c r="C272" s="8"/>
      <c r="D272" s="8"/>
      <c r="E272" s="2"/>
      <c r="F272" s="8"/>
      <c r="G272" s="8"/>
      <c r="H272" s="8"/>
      <c r="I272" s="8"/>
      <c r="J272" s="8"/>
      <c r="K272" s="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"/>
    </row>
    <row r="273" ht="15.75" customHeight="1">
      <c r="A273" s="8"/>
      <c r="B273" s="8"/>
      <c r="C273" s="8"/>
      <c r="D273" s="8"/>
      <c r="E273" s="2"/>
      <c r="F273" s="8"/>
      <c r="G273" s="8"/>
      <c r="H273" s="8"/>
      <c r="I273" s="8"/>
      <c r="J273" s="8"/>
      <c r="K273" s="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"/>
    </row>
    <row r="274" ht="15.75" customHeight="1">
      <c r="A274" s="8"/>
      <c r="B274" s="8"/>
      <c r="C274" s="8"/>
      <c r="D274" s="8"/>
      <c r="E274" s="2"/>
      <c r="F274" s="8"/>
      <c r="G274" s="8"/>
      <c r="H274" s="8"/>
      <c r="I274" s="8"/>
      <c r="J274" s="8"/>
      <c r="K274" s="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"/>
    </row>
    <row r="275" ht="15.75" customHeight="1">
      <c r="A275" s="8"/>
      <c r="B275" s="8"/>
      <c r="C275" s="8"/>
      <c r="D275" s="8"/>
      <c r="E275" s="2"/>
      <c r="F275" s="8"/>
      <c r="G275" s="8"/>
      <c r="H275" s="8"/>
      <c r="I275" s="8"/>
      <c r="J275" s="8"/>
      <c r="K275" s="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"/>
    </row>
    <row r="276" ht="15.75" customHeight="1">
      <c r="A276" s="8"/>
      <c r="B276" s="8"/>
      <c r="C276" s="8"/>
      <c r="D276" s="8"/>
      <c r="E276" s="2"/>
      <c r="F276" s="8"/>
      <c r="G276" s="8"/>
      <c r="H276" s="8"/>
      <c r="I276" s="8"/>
      <c r="J276" s="8"/>
      <c r="K276" s="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"/>
    </row>
    <row r="277" ht="15.75" customHeight="1">
      <c r="A277" s="8"/>
      <c r="B277" s="8"/>
      <c r="C277" s="8"/>
      <c r="D277" s="8"/>
      <c r="E277" s="2"/>
      <c r="F277" s="8"/>
      <c r="G277" s="8"/>
      <c r="H277" s="8"/>
      <c r="I277" s="8"/>
      <c r="J277" s="8"/>
      <c r="K277" s="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"/>
    </row>
    <row r="278" ht="15.75" customHeight="1">
      <c r="A278" s="8"/>
      <c r="B278" s="8"/>
      <c r="C278" s="8"/>
      <c r="D278" s="8"/>
      <c r="E278" s="2"/>
      <c r="F278" s="8"/>
      <c r="G278" s="8"/>
      <c r="H278" s="8"/>
      <c r="I278" s="8"/>
      <c r="J278" s="8"/>
      <c r="K278" s="8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"/>
    </row>
    <row r="279" ht="15.75" customHeight="1">
      <c r="A279" s="8"/>
      <c r="B279" s="8"/>
      <c r="C279" s="8"/>
      <c r="D279" s="8"/>
      <c r="E279" s="2"/>
      <c r="F279" s="8"/>
      <c r="G279" s="8"/>
      <c r="H279" s="8"/>
      <c r="I279" s="8"/>
      <c r="J279" s="8"/>
      <c r="K279" s="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"/>
    </row>
    <row r="280" ht="15.75" customHeight="1">
      <c r="A280" s="8"/>
      <c r="B280" s="8"/>
      <c r="C280" s="8"/>
      <c r="D280" s="8"/>
      <c r="E280" s="2"/>
      <c r="F280" s="8"/>
      <c r="G280" s="8"/>
      <c r="H280" s="8"/>
      <c r="I280" s="8"/>
      <c r="J280" s="8"/>
      <c r="K280" s="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"/>
    </row>
    <row r="281" ht="15.75" customHeight="1">
      <c r="A281" s="8"/>
      <c r="B281" s="8"/>
      <c r="C281" s="8"/>
      <c r="D281" s="8"/>
      <c r="E281" s="2"/>
      <c r="F281" s="8"/>
      <c r="G281" s="8"/>
      <c r="H281" s="8"/>
      <c r="I281" s="8"/>
      <c r="J281" s="8"/>
      <c r="K281" s="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"/>
    </row>
    <row r="282" ht="15.75" customHeight="1">
      <c r="A282" s="8"/>
      <c r="B282" s="8"/>
      <c r="C282" s="8"/>
      <c r="D282" s="8"/>
      <c r="E282" s="2"/>
      <c r="F282" s="8"/>
      <c r="G282" s="8"/>
      <c r="H282" s="8"/>
      <c r="I282" s="8"/>
      <c r="J282" s="8"/>
      <c r="K282" s="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"/>
    </row>
    <row r="283" ht="15.75" customHeight="1">
      <c r="A283" s="8"/>
      <c r="B283" s="8"/>
      <c r="C283" s="8"/>
      <c r="D283" s="8"/>
      <c r="E283" s="2"/>
      <c r="F283" s="8"/>
      <c r="G283" s="8"/>
      <c r="H283" s="8"/>
      <c r="I283" s="8"/>
      <c r="J283" s="8"/>
      <c r="K283" s="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"/>
    </row>
    <row r="284" ht="15.75" customHeight="1">
      <c r="A284" s="8"/>
      <c r="B284" s="8"/>
      <c r="C284" s="8"/>
      <c r="D284" s="8"/>
      <c r="E284" s="2"/>
      <c r="F284" s="8"/>
      <c r="G284" s="8"/>
      <c r="H284" s="8"/>
      <c r="I284" s="8"/>
      <c r="J284" s="8"/>
      <c r="K284" s="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"/>
    </row>
    <row r="285" ht="15.75" customHeight="1">
      <c r="A285" s="8"/>
      <c r="B285" s="8"/>
      <c r="C285" s="8"/>
      <c r="D285" s="8"/>
      <c r="E285" s="2"/>
      <c r="F285" s="8"/>
      <c r="G285" s="8"/>
      <c r="H285" s="8"/>
      <c r="I285" s="8"/>
      <c r="J285" s="8"/>
      <c r="K285" s="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"/>
    </row>
    <row r="286" ht="15.75" customHeight="1">
      <c r="A286" s="8"/>
      <c r="B286" s="8"/>
      <c r="C286" s="8"/>
      <c r="D286" s="8"/>
      <c r="E286" s="2"/>
      <c r="F286" s="8"/>
      <c r="G286" s="8"/>
      <c r="H286" s="8"/>
      <c r="I286" s="8"/>
      <c r="J286" s="8"/>
      <c r="K286" s="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"/>
    </row>
    <row r="287" ht="15.75" customHeight="1">
      <c r="A287" s="8"/>
      <c r="B287" s="8"/>
      <c r="C287" s="8"/>
      <c r="D287" s="8"/>
      <c r="E287" s="2"/>
      <c r="F287" s="8"/>
      <c r="G287" s="8"/>
      <c r="H287" s="8"/>
      <c r="I287" s="8"/>
      <c r="J287" s="8"/>
      <c r="K287" s="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"/>
    </row>
    <row r="288" ht="15.75" customHeight="1">
      <c r="A288" s="8"/>
      <c r="B288" s="8"/>
      <c r="C288" s="8"/>
      <c r="D288" s="8"/>
      <c r="E288" s="2"/>
      <c r="F288" s="8"/>
      <c r="G288" s="8"/>
      <c r="H288" s="8"/>
      <c r="I288" s="8"/>
      <c r="J288" s="8"/>
      <c r="K288" s="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"/>
    </row>
    <row r="289" ht="15.75" customHeight="1">
      <c r="A289" s="8"/>
      <c r="B289" s="8"/>
      <c r="C289" s="8"/>
      <c r="D289" s="8"/>
      <c r="E289" s="2"/>
      <c r="F289" s="8"/>
      <c r="G289" s="8"/>
      <c r="H289" s="8"/>
      <c r="I289" s="8"/>
      <c r="J289" s="8"/>
      <c r="K289" s="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"/>
    </row>
    <row r="290" ht="15.75" customHeight="1">
      <c r="A290" s="8"/>
      <c r="B290" s="8"/>
      <c r="C290" s="8"/>
      <c r="D290" s="8"/>
      <c r="E290" s="2"/>
      <c r="F290" s="8"/>
      <c r="G290" s="8"/>
      <c r="H290" s="8"/>
      <c r="I290" s="8"/>
      <c r="J290" s="8"/>
      <c r="K290" s="8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"/>
    </row>
    <row r="291" ht="15.75" customHeight="1">
      <c r="A291" s="8"/>
      <c r="B291" s="8"/>
      <c r="C291" s="8"/>
      <c r="D291" s="8"/>
      <c r="E291" s="2"/>
      <c r="F291" s="8"/>
      <c r="G291" s="8"/>
      <c r="H291" s="8"/>
      <c r="I291" s="8"/>
      <c r="J291" s="8"/>
      <c r="K291" s="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"/>
    </row>
    <row r="292" ht="15.75" customHeight="1">
      <c r="A292" s="8"/>
      <c r="B292" s="8"/>
      <c r="C292" s="8"/>
      <c r="D292" s="8"/>
      <c r="E292" s="2"/>
      <c r="F292" s="8"/>
      <c r="G292" s="8"/>
      <c r="H292" s="8"/>
      <c r="I292" s="8"/>
      <c r="J292" s="8"/>
      <c r="K292" s="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"/>
    </row>
    <row r="293" ht="15.75" customHeight="1">
      <c r="A293" s="8"/>
      <c r="B293" s="8"/>
      <c r="C293" s="8"/>
      <c r="D293" s="8"/>
      <c r="E293" s="2"/>
      <c r="F293" s="8"/>
      <c r="G293" s="8"/>
      <c r="H293" s="8"/>
      <c r="I293" s="8"/>
      <c r="J293" s="8"/>
      <c r="K293" s="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"/>
    </row>
    <row r="294" ht="15.75" customHeight="1">
      <c r="A294" s="8"/>
      <c r="B294" s="8"/>
      <c r="C294" s="8"/>
      <c r="D294" s="8"/>
      <c r="E294" s="2"/>
      <c r="F294" s="8"/>
      <c r="G294" s="8"/>
      <c r="H294" s="8"/>
      <c r="I294" s="8"/>
      <c r="J294" s="8"/>
      <c r="K294" s="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"/>
    </row>
    <row r="295" ht="15.75" customHeight="1">
      <c r="A295" s="8"/>
      <c r="B295" s="8"/>
      <c r="C295" s="8"/>
      <c r="D295" s="8"/>
      <c r="E295" s="2"/>
      <c r="F295" s="8"/>
      <c r="G295" s="8"/>
      <c r="H295" s="8"/>
      <c r="I295" s="8"/>
      <c r="J295" s="8"/>
      <c r="K295" s="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"/>
    </row>
    <row r="296" ht="15.75" customHeight="1">
      <c r="A296" s="8"/>
      <c r="B296" s="8"/>
      <c r="C296" s="8"/>
      <c r="D296" s="8"/>
      <c r="E296" s="2"/>
      <c r="F296" s="8"/>
      <c r="G296" s="8"/>
      <c r="H296" s="8"/>
      <c r="I296" s="8"/>
      <c r="J296" s="8"/>
      <c r="K296" s="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"/>
    </row>
    <row r="297" ht="15.75" customHeight="1">
      <c r="A297" s="8"/>
      <c r="B297" s="8"/>
      <c r="C297" s="8"/>
      <c r="D297" s="8"/>
      <c r="E297" s="2"/>
      <c r="F297" s="8"/>
      <c r="G297" s="8"/>
      <c r="H297" s="8"/>
      <c r="I297" s="8"/>
      <c r="J297" s="8"/>
      <c r="K297" s="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"/>
    </row>
    <row r="298" ht="15.75" customHeight="1">
      <c r="A298" s="8"/>
      <c r="B298" s="8"/>
      <c r="C298" s="8"/>
      <c r="D298" s="8"/>
      <c r="E298" s="2"/>
      <c r="F298" s="8"/>
      <c r="G298" s="8"/>
      <c r="H298" s="8"/>
      <c r="I298" s="8"/>
      <c r="J298" s="8"/>
      <c r="K298" s="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"/>
    </row>
    <row r="299" ht="15.75" customHeight="1">
      <c r="A299" s="8"/>
      <c r="B299" s="8"/>
      <c r="C299" s="8"/>
      <c r="D299" s="8"/>
      <c r="E299" s="2"/>
      <c r="F299" s="8"/>
      <c r="G299" s="8"/>
      <c r="H299" s="8"/>
      <c r="I299" s="8"/>
      <c r="J299" s="8"/>
      <c r="K299" s="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"/>
    </row>
    <row r="300" ht="15.75" customHeight="1">
      <c r="A300" s="8"/>
      <c r="B300" s="8"/>
      <c r="C300" s="8"/>
      <c r="D300" s="8"/>
      <c r="E300" s="2"/>
      <c r="F300" s="8"/>
      <c r="G300" s="8"/>
      <c r="H300" s="8"/>
      <c r="I300" s="8"/>
      <c r="J300" s="8"/>
      <c r="K300" s="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"/>
    </row>
    <row r="301" ht="15.75" customHeight="1">
      <c r="A301" s="8"/>
      <c r="B301" s="8"/>
      <c r="C301" s="8"/>
      <c r="D301" s="8"/>
      <c r="E301" s="2"/>
      <c r="F301" s="8"/>
      <c r="G301" s="8"/>
      <c r="H301" s="8"/>
      <c r="I301" s="8"/>
      <c r="J301" s="8"/>
      <c r="K301" s="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"/>
    </row>
    <row r="302" ht="15.75" customHeight="1">
      <c r="A302" s="8"/>
      <c r="B302" s="8"/>
      <c r="C302" s="8"/>
      <c r="D302" s="8"/>
      <c r="E302" s="2"/>
      <c r="F302" s="8"/>
      <c r="G302" s="8"/>
      <c r="H302" s="8"/>
      <c r="I302" s="8"/>
      <c r="J302" s="8"/>
      <c r="K302" s="8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"/>
    </row>
    <row r="303" ht="15.75" customHeight="1">
      <c r="A303" s="8"/>
      <c r="B303" s="8"/>
      <c r="C303" s="8"/>
      <c r="D303" s="8"/>
      <c r="E303" s="2"/>
      <c r="F303" s="8"/>
      <c r="G303" s="8"/>
      <c r="H303" s="8"/>
      <c r="I303" s="8"/>
      <c r="J303" s="8"/>
      <c r="K303" s="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"/>
    </row>
    <row r="304" ht="15.75" customHeight="1">
      <c r="A304" s="8"/>
      <c r="B304" s="8"/>
      <c r="C304" s="8"/>
      <c r="D304" s="8"/>
      <c r="E304" s="2"/>
      <c r="F304" s="8"/>
      <c r="G304" s="8"/>
      <c r="H304" s="8"/>
      <c r="I304" s="8"/>
      <c r="J304" s="8"/>
      <c r="K304" s="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"/>
    </row>
    <row r="305" ht="15.75" customHeight="1">
      <c r="A305" s="8"/>
      <c r="B305" s="8"/>
      <c r="C305" s="8"/>
      <c r="D305" s="8"/>
      <c r="E305" s="2"/>
      <c r="F305" s="8"/>
      <c r="G305" s="8"/>
      <c r="H305" s="8"/>
      <c r="I305" s="8"/>
      <c r="J305" s="8"/>
      <c r="K305" s="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"/>
    </row>
    <row r="306" ht="15.75" customHeight="1">
      <c r="A306" s="8"/>
      <c r="B306" s="8"/>
      <c r="C306" s="8"/>
      <c r="D306" s="8"/>
      <c r="E306" s="2"/>
      <c r="F306" s="8"/>
      <c r="G306" s="8"/>
      <c r="H306" s="8"/>
      <c r="I306" s="8"/>
      <c r="J306" s="8"/>
      <c r="K306" s="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"/>
    </row>
    <row r="307" ht="15.75" customHeight="1">
      <c r="A307" s="8"/>
      <c r="B307" s="8"/>
      <c r="C307" s="8"/>
      <c r="D307" s="8"/>
      <c r="E307" s="2"/>
      <c r="F307" s="8"/>
      <c r="G307" s="8"/>
      <c r="H307" s="8"/>
      <c r="I307" s="8"/>
      <c r="J307" s="8"/>
      <c r="K307" s="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"/>
    </row>
    <row r="308" ht="15.75" customHeight="1">
      <c r="A308" s="8"/>
      <c r="B308" s="8"/>
      <c r="C308" s="8"/>
      <c r="D308" s="8"/>
      <c r="E308" s="2"/>
      <c r="F308" s="8"/>
      <c r="G308" s="8"/>
      <c r="H308" s="8"/>
      <c r="I308" s="8"/>
      <c r="J308" s="8"/>
      <c r="K308" s="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"/>
    </row>
    <row r="309" ht="15.75" customHeight="1">
      <c r="A309" s="8"/>
      <c r="B309" s="8"/>
      <c r="C309" s="8"/>
      <c r="D309" s="8"/>
      <c r="E309" s="2"/>
      <c r="F309" s="8"/>
      <c r="G309" s="8"/>
      <c r="H309" s="8"/>
      <c r="I309" s="8"/>
      <c r="J309" s="8"/>
      <c r="K309" s="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"/>
    </row>
    <row r="310" ht="15.75" customHeight="1">
      <c r="A310" s="8"/>
      <c r="B310" s="8"/>
      <c r="C310" s="8"/>
      <c r="D310" s="8"/>
      <c r="E310" s="2"/>
      <c r="F310" s="8"/>
      <c r="G310" s="8"/>
      <c r="H310" s="8"/>
      <c r="I310" s="8"/>
      <c r="J310" s="8"/>
      <c r="K310" s="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"/>
    </row>
    <row r="311" ht="15.75" customHeight="1">
      <c r="A311" s="8"/>
      <c r="B311" s="8"/>
      <c r="C311" s="8"/>
      <c r="D311" s="8"/>
      <c r="E311" s="2"/>
      <c r="F311" s="8"/>
      <c r="G311" s="8"/>
      <c r="H311" s="8"/>
      <c r="I311" s="8"/>
      <c r="J311" s="8"/>
      <c r="K311" s="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"/>
    </row>
    <row r="312" ht="15.75" customHeight="1">
      <c r="A312" s="8"/>
      <c r="B312" s="8"/>
      <c r="C312" s="8"/>
      <c r="D312" s="8"/>
      <c r="E312" s="2"/>
      <c r="F312" s="8"/>
      <c r="G312" s="8"/>
      <c r="H312" s="8"/>
      <c r="I312" s="8"/>
      <c r="J312" s="8"/>
      <c r="K312" s="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"/>
    </row>
    <row r="313" ht="15.75" customHeight="1">
      <c r="A313" s="8"/>
      <c r="B313" s="8"/>
      <c r="C313" s="8"/>
      <c r="D313" s="8"/>
      <c r="E313" s="2"/>
      <c r="F313" s="8"/>
      <c r="G313" s="8"/>
      <c r="H313" s="8"/>
      <c r="I313" s="8"/>
      <c r="J313" s="8"/>
      <c r="K313" s="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"/>
    </row>
    <row r="314" ht="15.75" customHeight="1">
      <c r="A314" s="8"/>
      <c r="B314" s="8"/>
      <c r="C314" s="8"/>
      <c r="D314" s="8"/>
      <c r="E314" s="2"/>
      <c r="F314" s="8"/>
      <c r="G314" s="8"/>
      <c r="H314" s="8"/>
      <c r="I314" s="8"/>
      <c r="J314" s="8"/>
      <c r="K314" s="8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"/>
    </row>
    <row r="315" ht="15.75" customHeight="1">
      <c r="A315" s="8"/>
      <c r="B315" s="8"/>
      <c r="C315" s="8"/>
      <c r="D315" s="8"/>
      <c r="E315" s="2"/>
      <c r="F315" s="8"/>
      <c r="G315" s="8"/>
      <c r="H315" s="8"/>
      <c r="I315" s="8"/>
      <c r="J315" s="8"/>
      <c r="K315" s="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"/>
    </row>
    <row r="316" ht="15.75" customHeight="1">
      <c r="A316" s="8"/>
      <c r="B316" s="8"/>
      <c r="C316" s="8"/>
      <c r="D316" s="8"/>
      <c r="E316" s="2"/>
      <c r="F316" s="8"/>
      <c r="G316" s="8"/>
      <c r="H316" s="8"/>
      <c r="I316" s="8"/>
      <c r="J316" s="8"/>
      <c r="K316" s="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"/>
    </row>
    <row r="317" ht="15.75" customHeight="1">
      <c r="A317" s="8"/>
      <c r="B317" s="8"/>
      <c r="C317" s="8"/>
      <c r="D317" s="8"/>
      <c r="E317" s="2"/>
      <c r="F317" s="8"/>
      <c r="G317" s="8"/>
      <c r="H317" s="8"/>
      <c r="I317" s="8"/>
      <c r="J317" s="8"/>
      <c r="K317" s="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"/>
    </row>
    <row r="318" ht="15.75" customHeight="1">
      <c r="A318" s="8"/>
      <c r="B318" s="8"/>
      <c r="C318" s="8"/>
      <c r="D318" s="8"/>
      <c r="E318" s="2"/>
      <c r="F318" s="8"/>
      <c r="G318" s="8"/>
      <c r="H318" s="8"/>
      <c r="I318" s="8"/>
      <c r="J318" s="8"/>
      <c r="K318" s="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"/>
    </row>
    <row r="319" ht="15.75" customHeight="1">
      <c r="A319" s="8"/>
      <c r="B319" s="8"/>
      <c r="C319" s="8"/>
      <c r="D319" s="8"/>
      <c r="E319" s="2"/>
      <c r="F319" s="8"/>
      <c r="G319" s="8"/>
      <c r="H319" s="8"/>
      <c r="I319" s="8"/>
      <c r="J319" s="8"/>
      <c r="K319" s="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"/>
    </row>
    <row r="320" ht="15.75" customHeight="1">
      <c r="A320" s="8"/>
      <c r="B320" s="8"/>
      <c r="C320" s="8"/>
      <c r="D320" s="8"/>
      <c r="E320" s="2"/>
      <c r="F320" s="8"/>
      <c r="G320" s="8"/>
      <c r="H320" s="8"/>
      <c r="I320" s="8"/>
      <c r="J320" s="8"/>
      <c r="K320" s="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"/>
    </row>
    <row r="321" ht="15.75" customHeight="1">
      <c r="A321" s="8"/>
      <c r="B321" s="8"/>
      <c r="C321" s="8"/>
      <c r="D321" s="8"/>
      <c r="E321" s="2"/>
      <c r="F321" s="8"/>
      <c r="G321" s="8"/>
      <c r="H321" s="8"/>
      <c r="I321" s="8"/>
      <c r="J321" s="8"/>
      <c r="K321" s="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"/>
    </row>
    <row r="322" ht="15.75" customHeight="1">
      <c r="A322" s="8"/>
      <c r="B322" s="8"/>
      <c r="C322" s="8"/>
      <c r="D322" s="8"/>
      <c r="E322" s="2"/>
      <c r="F322" s="8"/>
      <c r="G322" s="8"/>
      <c r="H322" s="8"/>
      <c r="I322" s="8"/>
      <c r="J322" s="8"/>
      <c r="K322" s="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"/>
    </row>
    <row r="323" ht="15.75" customHeight="1">
      <c r="A323" s="8"/>
      <c r="B323" s="8"/>
      <c r="C323" s="8"/>
      <c r="D323" s="8"/>
      <c r="E323" s="2"/>
      <c r="F323" s="8"/>
      <c r="G323" s="8"/>
      <c r="H323" s="8"/>
      <c r="I323" s="8"/>
      <c r="J323" s="8"/>
      <c r="K323" s="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"/>
    </row>
    <row r="324" ht="15.75" customHeight="1">
      <c r="A324" s="8"/>
      <c r="B324" s="8"/>
      <c r="C324" s="8"/>
      <c r="D324" s="8"/>
      <c r="E324" s="2"/>
      <c r="F324" s="8"/>
      <c r="G324" s="8"/>
      <c r="H324" s="8"/>
      <c r="I324" s="8"/>
      <c r="J324" s="8"/>
      <c r="K324" s="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"/>
    </row>
    <row r="325" ht="15.75" customHeight="1">
      <c r="A325" s="8"/>
      <c r="B325" s="8"/>
      <c r="C325" s="8"/>
      <c r="D325" s="8"/>
      <c r="E325" s="2"/>
      <c r="F325" s="8"/>
      <c r="G325" s="8"/>
      <c r="H325" s="8"/>
      <c r="I325" s="8"/>
      <c r="J325" s="8"/>
      <c r="K325" s="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"/>
    </row>
    <row r="326" ht="15.75" customHeight="1">
      <c r="A326" s="8"/>
      <c r="B326" s="8"/>
      <c r="C326" s="8"/>
      <c r="D326" s="8"/>
      <c r="E326" s="2"/>
      <c r="F326" s="8"/>
      <c r="G326" s="8"/>
      <c r="H326" s="8"/>
      <c r="I326" s="8"/>
      <c r="J326" s="8"/>
      <c r="K326" s="8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"/>
    </row>
    <row r="327" ht="15.75" customHeight="1">
      <c r="A327" s="8"/>
      <c r="B327" s="8"/>
      <c r="C327" s="8"/>
      <c r="D327" s="8"/>
      <c r="E327" s="2"/>
      <c r="F327" s="8"/>
      <c r="G327" s="8"/>
      <c r="H327" s="8"/>
      <c r="I327" s="8"/>
      <c r="J327" s="8"/>
      <c r="K327" s="8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"/>
    </row>
    <row r="328" ht="15.75" customHeight="1">
      <c r="A328" s="8"/>
      <c r="B328" s="8"/>
      <c r="C328" s="8"/>
      <c r="D328" s="8"/>
      <c r="E328" s="2"/>
      <c r="F328" s="8"/>
      <c r="G328" s="8"/>
      <c r="H328" s="8"/>
      <c r="I328" s="8"/>
      <c r="J328" s="8"/>
      <c r="K328" s="8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"/>
    </row>
    <row r="329" ht="15.75" customHeight="1">
      <c r="A329" s="8"/>
      <c r="B329" s="8"/>
      <c r="C329" s="8"/>
      <c r="D329" s="8"/>
      <c r="E329" s="2"/>
      <c r="F329" s="8"/>
      <c r="G329" s="8"/>
      <c r="H329" s="8"/>
      <c r="I329" s="8"/>
      <c r="J329" s="8"/>
      <c r="K329" s="8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"/>
    </row>
    <row r="330" ht="15.75" customHeight="1">
      <c r="A330" s="8"/>
      <c r="B330" s="8"/>
      <c r="C330" s="8"/>
      <c r="D330" s="8"/>
      <c r="E330" s="2"/>
      <c r="F330" s="8"/>
      <c r="G330" s="8"/>
      <c r="H330" s="8"/>
      <c r="I330" s="8"/>
      <c r="J330" s="8"/>
      <c r="K330" s="8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"/>
    </row>
    <row r="331" ht="15.75" customHeight="1">
      <c r="A331" s="8"/>
      <c r="B331" s="8"/>
      <c r="C331" s="8"/>
      <c r="D331" s="8"/>
      <c r="E331" s="2"/>
      <c r="F331" s="8"/>
      <c r="G331" s="8"/>
      <c r="H331" s="8"/>
      <c r="I331" s="8"/>
      <c r="J331" s="8"/>
      <c r="K331" s="8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"/>
    </row>
    <row r="332" ht="15.75" customHeight="1">
      <c r="A332" s="8"/>
      <c r="B332" s="8"/>
      <c r="C332" s="8"/>
      <c r="D332" s="8"/>
      <c r="E332" s="2"/>
      <c r="F332" s="8"/>
      <c r="G332" s="8"/>
      <c r="H332" s="8"/>
      <c r="I332" s="8"/>
      <c r="J332" s="8"/>
      <c r="K332" s="8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"/>
    </row>
    <row r="333" ht="15.75" customHeight="1">
      <c r="A333" s="8"/>
      <c r="B333" s="8"/>
      <c r="C333" s="8"/>
      <c r="D333" s="8"/>
      <c r="E333" s="2"/>
      <c r="F333" s="8"/>
      <c r="G333" s="8"/>
      <c r="H333" s="8"/>
      <c r="I333" s="8"/>
      <c r="J333" s="8"/>
      <c r="K333" s="8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"/>
    </row>
    <row r="334" ht="15.75" customHeight="1">
      <c r="A334" s="8"/>
      <c r="B334" s="8"/>
      <c r="C334" s="8"/>
      <c r="D334" s="8"/>
      <c r="E334" s="2"/>
      <c r="F334" s="8"/>
      <c r="G334" s="8"/>
      <c r="H334" s="8"/>
      <c r="I334" s="8"/>
      <c r="J334" s="8"/>
      <c r="K334" s="8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"/>
    </row>
    <row r="335" ht="15.75" customHeight="1">
      <c r="A335" s="8"/>
      <c r="B335" s="8"/>
      <c r="C335" s="8"/>
      <c r="D335" s="8"/>
      <c r="E335" s="2"/>
      <c r="F335" s="8"/>
      <c r="G335" s="8"/>
      <c r="H335" s="8"/>
      <c r="I335" s="8"/>
      <c r="J335" s="8"/>
      <c r="K335" s="8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"/>
    </row>
    <row r="336" ht="15.75" customHeight="1">
      <c r="A336" s="8"/>
      <c r="B336" s="8"/>
      <c r="C336" s="8"/>
      <c r="D336" s="8"/>
      <c r="E336" s="2"/>
      <c r="F336" s="8"/>
      <c r="G336" s="8"/>
      <c r="H336" s="8"/>
      <c r="I336" s="8"/>
      <c r="J336" s="8"/>
      <c r="K336" s="8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"/>
    </row>
    <row r="337" ht="15.75" customHeight="1">
      <c r="A337" s="8"/>
      <c r="B337" s="8"/>
      <c r="C337" s="8"/>
      <c r="D337" s="8"/>
      <c r="E337" s="2"/>
      <c r="F337" s="8"/>
      <c r="G337" s="8"/>
      <c r="H337" s="8"/>
      <c r="I337" s="8"/>
      <c r="J337" s="8"/>
      <c r="K337" s="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"/>
    </row>
    <row r="338" ht="15.75" customHeight="1">
      <c r="A338" s="8"/>
      <c r="B338" s="8"/>
      <c r="C338" s="8"/>
      <c r="D338" s="8"/>
      <c r="E338" s="2"/>
      <c r="F338" s="8"/>
      <c r="G338" s="8"/>
      <c r="H338" s="8"/>
      <c r="I338" s="8"/>
      <c r="J338" s="8"/>
      <c r="K338" s="8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"/>
    </row>
    <row r="339" ht="15.75" customHeight="1">
      <c r="A339" s="8"/>
      <c r="B339" s="8"/>
      <c r="C339" s="8"/>
      <c r="D339" s="8"/>
      <c r="E339" s="2"/>
      <c r="F339" s="8"/>
      <c r="G339" s="8"/>
      <c r="H339" s="8"/>
      <c r="I339" s="8"/>
      <c r="J339" s="8"/>
      <c r="K339" s="8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"/>
    </row>
    <row r="340" ht="15.75" customHeight="1">
      <c r="A340" s="8"/>
      <c r="B340" s="8"/>
      <c r="C340" s="8"/>
      <c r="D340" s="8"/>
      <c r="E340" s="2"/>
      <c r="F340" s="8"/>
      <c r="G340" s="8"/>
      <c r="H340" s="8"/>
      <c r="I340" s="8"/>
      <c r="J340" s="8"/>
      <c r="K340" s="8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"/>
    </row>
    <row r="341" ht="15.75" customHeight="1">
      <c r="A341" s="8"/>
      <c r="B341" s="8"/>
      <c r="C341" s="8"/>
      <c r="D341" s="8"/>
      <c r="E341" s="2"/>
      <c r="F341" s="8"/>
      <c r="G341" s="8"/>
      <c r="H341" s="8"/>
      <c r="I341" s="8"/>
      <c r="J341" s="8"/>
      <c r="K341" s="8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"/>
    </row>
    <row r="342" ht="15.75" customHeight="1">
      <c r="A342" s="8"/>
      <c r="B342" s="8"/>
      <c r="C342" s="8"/>
      <c r="D342" s="8"/>
      <c r="E342" s="2"/>
      <c r="F342" s="8"/>
      <c r="G342" s="8"/>
      <c r="H342" s="8"/>
      <c r="I342" s="8"/>
      <c r="J342" s="8"/>
      <c r="K342" s="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"/>
    </row>
    <row r="343" ht="15.75" customHeight="1">
      <c r="A343" s="8"/>
      <c r="B343" s="8"/>
      <c r="C343" s="8"/>
      <c r="D343" s="8"/>
      <c r="E343" s="2"/>
      <c r="F343" s="8"/>
      <c r="G343" s="8"/>
      <c r="H343" s="8"/>
      <c r="I343" s="8"/>
      <c r="J343" s="8"/>
      <c r="K343" s="8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/>
    </row>
    <row r="344" ht="15.75" customHeight="1">
      <c r="A344" s="8"/>
      <c r="B344" s="8"/>
      <c r="C344" s="8"/>
      <c r="D344" s="8"/>
      <c r="E344" s="2"/>
      <c r="F344" s="8"/>
      <c r="G344" s="8"/>
      <c r="H344" s="8"/>
      <c r="I344" s="8"/>
      <c r="J344" s="8"/>
      <c r="K344" s="8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"/>
    </row>
    <row r="345" ht="15.75" customHeight="1">
      <c r="A345" s="8"/>
      <c r="B345" s="8"/>
      <c r="C345" s="8"/>
      <c r="D345" s="8"/>
      <c r="E345" s="2"/>
      <c r="F345" s="8"/>
      <c r="G345" s="8"/>
      <c r="H345" s="8"/>
      <c r="I345" s="8"/>
      <c r="J345" s="8"/>
      <c r="K345" s="8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"/>
    </row>
    <row r="346" ht="15.75" customHeight="1">
      <c r="A346" s="8"/>
      <c r="B346" s="8"/>
      <c r="C346" s="8"/>
      <c r="D346" s="8"/>
      <c r="E346" s="2"/>
      <c r="F346" s="8"/>
      <c r="G346" s="8"/>
      <c r="H346" s="8"/>
      <c r="I346" s="8"/>
      <c r="J346" s="8"/>
      <c r="K346" s="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"/>
    </row>
    <row r="347" ht="15.75" customHeight="1">
      <c r="A347" s="8"/>
      <c r="B347" s="8"/>
      <c r="C347" s="8"/>
      <c r="D347" s="8"/>
      <c r="E347" s="2"/>
      <c r="F347" s="8"/>
      <c r="G347" s="8"/>
      <c r="H347" s="8"/>
      <c r="I347" s="8"/>
      <c r="J347" s="8"/>
      <c r="K347" s="8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"/>
    </row>
    <row r="348" ht="15.75" customHeight="1">
      <c r="A348" s="8"/>
      <c r="B348" s="8"/>
      <c r="C348" s="8"/>
      <c r="D348" s="8"/>
      <c r="E348" s="2"/>
      <c r="F348" s="8"/>
      <c r="G348" s="8"/>
      <c r="H348" s="8"/>
      <c r="I348" s="8"/>
      <c r="J348" s="8"/>
      <c r="K348" s="8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"/>
    </row>
    <row r="349" ht="15.75" customHeight="1">
      <c r="A349" s="8"/>
      <c r="B349" s="8"/>
      <c r="C349" s="8"/>
      <c r="D349" s="8"/>
      <c r="E349" s="2"/>
      <c r="F349" s="8"/>
      <c r="G349" s="8"/>
      <c r="H349" s="8"/>
      <c r="I349" s="8"/>
      <c r="J349" s="8"/>
      <c r="K349" s="8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"/>
    </row>
    <row r="350" ht="15.75" customHeight="1">
      <c r="A350" s="8"/>
      <c r="B350" s="8"/>
      <c r="C350" s="8"/>
      <c r="D350" s="8"/>
      <c r="E350" s="2"/>
      <c r="F350" s="8"/>
      <c r="G350" s="8"/>
      <c r="H350" s="8"/>
      <c r="I350" s="8"/>
      <c r="J350" s="8"/>
      <c r="K350" s="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"/>
    </row>
    <row r="351" ht="15.75" customHeight="1">
      <c r="A351" s="8"/>
      <c r="B351" s="8"/>
      <c r="C351" s="8"/>
      <c r="D351" s="8"/>
      <c r="E351" s="2"/>
      <c r="F351" s="8"/>
      <c r="G351" s="8"/>
      <c r="H351" s="8"/>
      <c r="I351" s="8"/>
      <c r="J351" s="8"/>
      <c r="K351" s="8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"/>
    </row>
    <row r="352" ht="15.75" customHeight="1">
      <c r="A352" s="8"/>
      <c r="B352" s="8"/>
      <c r="C352" s="8"/>
      <c r="D352" s="8"/>
      <c r="E352" s="2"/>
      <c r="F352" s="8"/>
      <c r="G352" s="8"/>
      <c r="H352" s="8"/>
      <c r="I352" s="8"/>
      <c r="J352" s="8"/>
      <c r="K352" s="8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"/>
    </row>
    <row r="353" ht="15.75" customHeight="1">
      <c r="A353" s="8"/>
      <c r="B353" s="8"/>
      <c r="C353" s="8"/>
      <c r="D353" s="8"/>
      <c r="E353" s="2"/>
      <c r="F353" s="8"/>
      <c r="G353" s="8"/>
      <c r="H353" s="8"/>
      <c r="I353" s="8"/>
      <c r="J353" s="8"/>
      <c r="K353" s="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"/>
    </row>
    <row r="354" ht="15.75" customHeight="1">
      <c r="A354" s="8"/>
      <c r="B354" s="8"/>
      <c r="C354" s="8"/>
      <c r="D354" s="8"/>
      <c r="E354" s="2"/>
      <c r="F354" s="8"/>
      <c r="G354" s="8"/>
      <c r="H354" s="8"/>
      <c r="I354" s="8"/>
      <c r="J354" s="8"/>
      <c r="K354" s="8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"/>
    </row>
    <row r="355" ht="15.75" customHeight="1">
      <c r="A355" s="8"/>
      <c r="B355" s="8"/>
      <c r="C355" s="8"/>
      <c r="D355" s="8"/>
      <c r="E355" s="2"/>
      <c r="F355" s="8"/>
      <c r="G355" s="8"/>
      <c r="H355" s="8"/>
      <c r="I355" s="8"/>
      <c r="J355" s="8"/>
      <c r="K355" s="8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"/>
    </row>
    <row r="356" ht="15.75" customHeight="1">
      <c r="A356" s="8"/>
      <c r="B356" s="8"/>
      <c r="C356" s="8"/>
      <c r="D356" s="8"/>
      <c r="E356" s="2"/>
      <c r="F356" s="8"/>
      <c r="G356" s="8"/>
      <c r="H356" s="8"/>
      <c r="I356" s="8"/>
      <c r="J356" s="8"/>
      <c r="K356" s="8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"/>
    </row>
    <row r="357" ht="15.75" customHeight="1">
      <c r="A357" s="8"/>
      <c r="B357" s="8"/>
      <c r="C357" s="8"/>
      <c r="D357" s="8"/>
      <c r="E357" s="2"/>
      <c r="F357" s="8"/>
      <c r="G357" s="8"/>
      <c r="H357" s="8"/>
      <c r="I357" s="8"/>
      <c r="J357" s="8"/>
      <c r="K357" s="8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"/>
    </row>
    <row r="358" ht="15.75" customHeight="1">
      <c r="A358" s="8"/>
      <c r="B358" s="8"/>
      <c r="C358" s="8"/>
      <c r="D358" s="8"/>
      <c r="E358" s="2"/>
      <c r="F358" s="8"/>
      <c r="G358" s="8"/>
      <c r="H358" s="8"/>
      <c r="I358" s="8"/>
      <c r="J358" s="8"/>
      <c r="K358" s="8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"/>
    </row>
    <row r="359" ht="15.75" customHeight="1">
      <c r="A359" s="8"/>
      <c r="B359" s="8"/>
      <c r="C359" s="8"/>
      <c r="D359" s="8"/>
      <c r="E359" s="2"/>
      <c r="F359" s="8"/>
      <c r="G359" s="8"/>
      <c r="H359" s="8"/>
      <c r="I359" s="8"/>
      <c r="J359" s="8"/>
      <c r="K359" s="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"/>
    </row>
    <row r="360" ht="15.75" customHeight="1">
      <c r="A360" s="8"/>
      <c r="B360" s="8"/>
      <c r="C360" s="8"/>
      <c r="D360" s="8"/>
      <c r="E360" s="2"/>
      <c r="F360" s="8"/>
      <c r="G360" s="8"/>
      <c r="H360" s="8"/>
      <c r="I360" s="8"/>
      <c r="J360" s="8"/>
      <c r="K360" s="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"/>
    </row>
    <row r="361" ht="15.75" customHeight="1">
      <c r="A361" s="8"/>
      <c r="B361" s="8"/>
      <c r="C361" s="8"/>
      <c r="D361" s="8"/>
      <c r="E361" s="2"/>
      <c r="F361" s="8"/>
      <c r="G361" s="8"/>
      <c r="H361" s="8"/>
      <c r="I361" s="8"/>
      <c r="J361" s="8"/>
      <c r="K361" s="8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"/>
    </row>
    <row r="362" ht="15.75" customHeight="1">
      <c r="A362" s="8"/>
      <c r="B362" s="8"/>
      <c r="C362" s="8"/>
      <c r="D362" s="8"/>
      <c r="E362" s="2"/>
      <c r="F362" s="8"/>
      <c r="G362" s="8"/>
      <c r="H362" s="8"/>
      <c r="I362" s="8"/>
      <c r="J362" s="8"/>
      <c r="K362" s="8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"/>
    </row>
    <row r="363" ht="15.75" customHeight="1">
      <c r="A363" s="8"/>
      <c r="B363" s="8"/>
      <c r="C363" s="8"/>
      <c r="D363" s="8"/>
      <c r="E363" s="2"/>
      <c r="F363" s="8"/>
      <c r="G363" s="8"/>
      <c r="H363" s="8"/>
      <c r="I363" s="8"/>
      <c r="J363" s="8"/>
      <c r="K363" s="8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"/>
    </row>
    <row r="364" ht="15.75" customHeight="1">
      <c r="A364" s="8"/>
      <c r="B364" s="8"/>
      <c r="C364" s="8"/>
      <c r="D364" s="8"/>
      <c r="E364" s="2"/>
      <c r="F364" s="8"/>
      <c r="G364" s="8"/>
      <c r="H364" s="8"/>
      <c r="I364" s="8"/>
      <c r="J364" s="8"/>
      <c r="K364" s="8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"/>
    </row>
    <row r="365" ht="15.75" customHeight="1">
      <c r="A365" s="8"/>
      <c r="B365" s="8"/>
      <c r="C365" s="8"/>
      <c r="D365" s="8"/>
      <c r="E365" s="2"/>
      <c r="F365" s="8"/>
      <c r="G365" s="8"/>
      <c r="H365" s="8"/>
      <c r="I365" s="8"/>
      <c r="J365" s="8"/>
      <c r="K365" s="8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"/>
    </row>
    <row r="366" ht="15.75" customHeight="1">
      <c r="A366" s="8"/>
      <c r="B366" s="8"/>
      <c r="C366" s="8"/>
      <c r="D366" s="8"/>
      <c r="E366" s="2"/>
      <c r="F366" s="8"/>
      <c r="G366" s="8"/>
      <c r="H366" s="8"/>
      <c r="I366" s="8"/>
      <c r="J366" s="8"/>
      <c r="K366" s="8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"/>
    </row>
    <row r="367" ht="15.75" customHeight="1">
      <c r="A367" s="8"/>
      <c r="B367" s="8"/>
      <c r="C367" s="8"/>
      <c r="D367" s="8"/>
      <c r="E367" s="2"/>
      <c r="F367" s="8"/>
      <c r="G367" s="8"/>
      <c r="H367" s="8"/>
      <c r="I367" s="8"/>
      <c r="J367" s="8"/>
      <c r="K367" s="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"/>
    </row>
    <row r="368" ht="15.75" customHeight="1">
      <c r="A368" s="8"/>
      <c r="B368" s="8"/>
      <c r="C368" s="8"/>
      <c r="D368" s="8"/>
      <c r="E368" s="2"/>
      <c r="F368" s="8"/>
      <c r="G368" s="8"/>
      <c r="H368" s="8"/>
      <c r="I368" s="8"/>
      <c r="J368" s="8"/>
      <c r="K368" s="8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"/>
    </row>
    <row r="369" ht="15.75" customHeight="1">
      <c r="A369" s="8"/>
      <c r="B369" s="8"/>
      <c r="C369" s="8"/>
      <c r="D369" s="8"/>
      <c r="E369" s="2"/>
      <c r="F369" s="8"/>
      <c r="G369" s="8"/>
      <c r="H369" s="8"/>
      <c r="I369" s="8"/>
      <c r="J369" s="8"/>
      <c r="K369" s="8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"/>
    </row>
    <row r="370" ht="15.75" customHeight="1">
      <c r="A370" s="8"/>
      <c r="B370" s="8"/>
      <c r="C370" s="8"/>
      <c r="D370" s="8"/>
      <c r="E370" s="2"/>
      <c r="F370" s="8"/>
      <c r="G370" s="8"/>
      <c r="H370" s="8"/>
      <c r="I370" s="8"/>
      <c r="J370" s="8"/>
      <c r="K370" s="8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"/>
    </row>
    <row r="371" ht="15.75" customHeight="1">
      <c r="A371" s="8"/>
      <c r="B371" s="8"/>
      <c r="C371" s="8"/>
      <c r="D371" s="8"/>
      <c r="E371" s="2"/>
      <c r="F371" s="8"/>
      <c r="G371" s="8"/>
      <c r="H371" s="8"/>
      <c r="I371" s="8"/>
      <c r="J371" s="8"/>
      <c r="K371" s="8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"/>
    </row>
    <row r="372" ht="15.75" customHeight="1">
      <c r="A372" s="8"/>
      <c r="B372" s="8"/>
      <c r="C372" s="8"/>
      <c r="D372" s="8"/>
      <c r="E372" s="2"/>
      <c r="F372" s="8"/>
      <c r="G372" s="8"/>
      <c r="H372" s="8"/>
      <c r="I372" s="8"/>
      <c r="J372" s="8"/>
      <c r="K372" s="8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"/>
    </row>
    <row r="373" ht="15.75" customHeight="1">
      <c r="A373" s="8"/>
      <c r="B373" s="8"/>
      <c r="C373" s="8"/>
      <c r="D373" s="8"/>
      <c r="E373" s="2"/>
      <c r="F373" s="8"/>
      <c r="G373" s="8"/>
      <c r="H373" s="8"/>
      <c r="I373" s="8"/>
      <c r="J373" s="8"/>
      <c r="K373" s="8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"/>
    </row>
    <row r="374" ht="15.75" customHeight="1">
      <c r="A374" s="8"/>
      <c r="B374" s="8"/>
      <c r="C374" s="8"/>
      <c r="D374" s="8"/>
      <c r="E374" s="2"/>
      <c r="F374" s="8"/>
      <c r="G374" s="8"/>
      <c r="H374" s="8"/>
      <c r="I374" s="8"/>
      <c r="J374" s="8"/>
      <c r="K374" s="8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"/>
    </row>
    <row r="375" ht="15.75" customHeight="1">
      <c r="A375" s="8"/>
      <c r="B375" s="8"/>
      <c r="C375" s="8"/>
      <c r="D375" s="8"/>
      <c r="E375" s="2"/>
      <c r="F375" s="8"/>
      <c r="G375" s="8"/>
      <c r="H375" s="8"/>
      <c r="I375" s="8"/>
      <c r="J375" s="8"/>
      <c r="K375" s="8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"/>
    </row>
    <row r="376" ht="15.75" customHeight="1">
      <c r="A376" s="8"/>
      <c r="B376" s="8"/>
      <c r="C376" s="8"/>
      <c r="D376" s="8"/>
      <c r="E376" s="2"/>
      <c r="F376" s="8"/>
      <c r="G376" s="8"/>
      <c r="H376" s="8"/>
      <c r="I376" s="8"/>
      <c r="J376" s="8"/>
      <c r="K376" s="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"/>
    </row>
    <row r="377" ht="15.75" customHeight="1">
      <c r="A377" s="8"/>
      <c r="B377" s="8"/>
      <c r="C377" s="8"/>
      <c r="D377" s="8"/>
      <c r="E377" s="2"/>
      <c r="F377" s="8"/>
      <c r="G377" s="8"/>
      <c r="H377" s="8"/>
      <c r="I377" s="8"/>
      <c r="J377" s="8"/>
      <c r="K377" s="8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"/>
    </row>
    <row r="378" ht="15.75" customHeight="1">
      <c r="A378" s="8"/>
      <c r="B378" s="8"/>
      <c r="C378" s="8"/>
      <c r="D378" s="8"/>
      <c r="E378" s="2"/>
      <c r="F378" s="8"/>
      <c r="G378" s="8"/>
      <c r="H378" s="8"/>
      <c r="I378" s="8"/>
      <c r="J378" s="8"/>
      <c r="K378" s="8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"/>
    </row>
    <row r="379" ht="15.75" customHeight="1">
      <c r="A379" s="8"/>
      <c r="B379" s="8"/>
      <c r="C379" s="8"/>
      <c r="D379" s="8"/>
      <c r="E379" s="2"/>
      <c r="F379" s="8"/>
      <c r="G379" s="8"/>
      <c r="H379" s="8"/>
      <c r="I379" s="8"/>
      <c r="J379" s="8"/>
      <c r="K379" s="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"/>
    </row>
    <row r="380" ht="15.75" customHeight="1">
      <c r="A380" s="8"/>
      <c r="B380" s="8"/>
      <c r="C380" s="8"/>
      <c r="D380" s="8"/>
      <c r="E380" s="2"/>
      <c r="F380" s="8"/>
      <c r="G380" s="8"/>
      <c r="H380" s="8"/>
      <c r="I380" s="8"/>
      <c r="J380" s="8"/>
      <c r="K380" s="8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"/>
    </row>
    <row r="381" ht="15.75" customHeight="1">
      <c r="A381" s="8"/>
      <c r="B381" s="8"/>
      <c r="C381" s="8"/>
      <c r="D381" s="8"/>
      <c r="E381" s="2"/>
      <c r="F381" s="8"/>
      <c r="G381" s="8"/>
      <c r="H381" s="8"/>
      <c r="I381" s="8"/>
      <c r="J381" s="8"/>
      <c r="K381" s="8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"/>
    </row>
    <row r="382" ht="15.75" customHeight="1">
      <c r="A382" s="8"/>
      <c r="B382" s="8"/>
      <c r="C382" s="8"/>
      <c r="D382" s="8"/>
      <c r="E382" s="2"/>
      <c r="F382" s="8"/>
      <c r="G382" s="8"/>
      <c r="H382" s="8"/>
      <c r="I382" s="8"/>
      <c r="J382" s="8"/>
      <c r="K382" s="8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"/>
    </row>
    <row r="383" ht="15.75" customHeight="1">
      <c r="A383" s="8"/>
      <c r="B383" s="8"/>
      <c r="C383" s="8"/>
      <c r="D383" s="8"/>
      <c r="E383" s="2"/>
      <c r="F383" s="8"/>
      <c r="G383" s="8"/>
      <c r="H383" s="8"/>
      <c r="I383" s="8"/>
      <c r="J383" s="8"/>
      <c r="K383" s="8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"/>
    </row>
    <row r="384" ht="15.75" customHeight="1">
      <c r="A384" s="8"/>
      <c r="B384" s="8"/>
      <c r="C384" s="8"/>
      <c r="D384" s="8"/>
      <c r="E384" s="2"/>
      <c r="F384" s="8"/>
      <c r="G384" s="8"/>
      <c r="H384" s="8"/>
      <c r="I384" s="8"/>
      <c r="J384" s="8"/>
      <c r="K384" s="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"/>
    </row>
    <row r="385" ht="15.75" customHeight="1">
      <c r="A385" s="8"/>
      <c r="B385" s="8"/>
      <c r="C385" s="8"/>
      <c r="D385" s="8"/>
      <c r="E385" s="2"/>
      <c r="F385" s="8"/>
      <c r="G385" s="8"/>
      <c r="H385" s="8"/>
      <c r="I385" s="8"/>
      <c r="J385" s="8"/>
      <c r="K385" s="8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"/>
    </row>
    <row r="386" ht="15.75" customHeight="1">
      <c r="A386" s="8"/>
      <c r="B386" s="8"/>
      <c r="C386" s="8"/>
      <c r="D386" s="8"/>
      <c r="E386" s="2"/>
      <c r="F386" s="8"/>
      <c r="G386" s="8"/>
      <c r="H386" s="8"/>
      <c r="I386" s="8"/>
      <c r="J386" s="8"/>
      <c r="K386" s="8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"/>
    </row>
    <row r="387" ht="15.75" customHeight="1">
      <c r="A387" s="8"/>
      <c r="B387" s="8"/>
      <c r="C387" s="8"/>
      <c r="D387" s="8"/>
      <c r="E387" s="2"/>
      <c r="F387" s="8"/>
      <c r="G387" s="8"/>
      <c r="H387" s="8"/>
      <c r="I387" s="8"/>
      <c r="J387" s="8"/>
      <c r="K387" s="8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"/>
    </row>
    <row r="388" ht="15.75" customHeight="1">
      <c r="A388" s="8"/>
      <c r="B388" s="8"/>
      <c r="C388" s="8"/>
      <c r="D388" s="8"/>
      <c r="E388" s="2"/>
      <c r="F388" s="8"/>
      <c r="G388" s="8"/>
      <c r="H388" s="8"/>
      <c r="I388" s="8"/>
      <c r="J388" s="8"/>
      <c r="K388" s="8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"/>
    </row>
    <row r="389" ht="15.75" customHeight="1">
      <c r="A389" s="8"/>
      <c r="B389" s="8"/>
      <c r="C389" s="8"/>
      <c r="D389" s="8"/>
      <c r="E389" s="2"/>
      <c r="F389" s="8"/>
      <c r="G389" s="8"/>
      <c r="H389" s="8"/>
      <c r="I389" s="8"/>
      <c r="J389" s="8"/>
      <c r="K389" s="8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"/>
    </row>
    <row r="390" ht="15.75" customHeight="1">
      <c r="A390" s="8"/>
      <c r="B390" s="8"/>
      <c r="C390" s="8"/>
      <c r="D390" s="8"/>
      <c r="E390" s="2"/>
      <c r="F390" s="8"/>
      <c r="G390" s="8"/>
      <c r="H390" s="8"/>
      <c r="I390" s="8"/>
      <c r="J390" s="8"/>
      <c r="K390" s="8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"/>
    </row>
    <row r="391" ht="15.75" customHeight="1">
      <c r="A391" s="8"/>
      <c r="B391" s="8"/>
      <c r="C391" s="8"/>
      <c r="D391" s="8"/>
      <c r="E391" s="2"/>
      <c r="F391" s="8"/>
      <c r="G391" s="8"/>
      <c r="H391" s="8"/>
      <c r="I391" s="8"/>
      <c r="J391" s="8"/>
      <c r="K391" s="8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"/>
    </row>
    <row r="392" ht="15.75" customHeight="1">
      <c r="A392" s="8"/>
      <c r="B392" s="8"/>
      <c r="C392" s="8"/>
      <c r="D392" s="8"/>
      <c r="E392" s="2"/>
      <c r="F392" s="8"/>
      <c r="G392" s="8"/>
      <c r="H392" s="8"/>
      <c r="I392" s="8"/>
      <c r="J392" s="8"/>
      <c r="K392" s="8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"/>
    </row>
    <row r="393" ht="15.75" customHeight="1">
      <c r="A393" s="8"/>
      <c r="B393" s="8"/>
      <c r="C393" s="8"/>
      <c r="D393" s="8"/>
      <c r="E393" s="2"/>
      <c r="F393" s="8"/>
      <c r="G393" s="8"/>
      <c r="H393" s="8"/>
      <c r="I393" s="8"/>
      <c r="J393" s="8"/>
      <c r="K393" s="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"/>
    </row>
    <row r="394" ht="15.75" customHeight="1">
      <c r="A394" s="8"/>
      <c r="B394" s="8"/>
      <c r="C394" s="8"/>
      <c r="D394" s="8"/>
      <c r="E394" s="2"/>
      <c r="F394" s="8"/>
      <c r="G394" s="8"/>
      <c r="H394" s="8"/>
      <c r="I394" s="8"/>
      <c r="J394" s="8"/>
      <c r="K394" s="8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"/>
    </row>
    <row r="395" ht="15.75" customHeight="1">
      <c r="A395" s="8"/>
      <c r="B395" s="8"/>
      <c r="C395" s="8"/>
      <c r="D395" s="8"/>
      <c r="E395" s="2"/>
      <c r="F395" s="8"/>
      <c r="G395" s="8"/>
      <c r="H395" s="8"/>
      <c r="I395" s="8"/>
      <c r="J395" s="8"/>
      <c r="K395" s="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"/>
    </row>
    <row r="396" ht="15.75" customHeight="1">
      <c r="A396" s="8"/>
      <c r="B396" s="8"/>
      <c r="C396" s="8"/>
      <c r="D396" s="8"/>
      <c r="E396" s="2"/>
      <c r="F396" s="8"/>
      <c r="G396" s="8"/>
      <c r="H396" s="8"/>
      <c r="I396" s="8"/>
      <c r="J396" s="8"/>
      <c r="K396" s="8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"/>
    </row>
    <row r="397" ht="15.75" customHeight="1">
      <c r="A397" s="8"/>
      <c r="B397" s="8"/>
      <c r="C397" s="8"/>
      <c r="D397" s="8"/>
      <c r="E397" s="2"/>
      <c r="F397" s="8"/>
      <c r="G397" s="8"/>
      <c r="H397" s="8"/>
      <c r="I397" s="8"/>
      <c r="J397" s="8"/>
      <c r="K397" s="8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"/>
    </row>
    <row r="398" ht="15.75" customHeight="1">
      <c r="A398" s="8"/>
      <c r="B398" s="8"/>
      <c r="C398" s="8"/>
      <c r="D398" s="8"/>
      <c r="E398" s="2"/>
      <c r="F398" s="8"/>
      <c r="G398" s="8"/>
      <c r="H398" s="8"/>
      <c r="I398" s="8"/>
      <c r="J398" s="8"/>
      <c r="K398" s="8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"/>
    </row>
    <row r="399" ht="15.75" customHeight="1">
      <c r="A399" s="8"/>
      <c r="B399" s="8"/>
      <c r="C399" s="8"/>
      <c r="D399" s="8"/>
      <c r="E399" s="2"/>
      <c r="F399" s="8"/>
      <c r="G399" s="8"/>
      <c r="H399" s="8"/>
      <c r="I399" s="8"/>
      <c r="J399" s="8"/>
      <c r="K399" s="8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"/>
    </row>
    <row r="400" ht="15.75" customHeight="1">
      <c r="A400" s="8"/>
      <c r="B400" s="8"/>
      <c r="C400" s="8"/>
      <c r="D400" s="8"/>
      <c r="E400" s="2"/>
      <c r="F400" s="8"/>
      <c r="G400" s="8"/>
      <c r="H400" s="8"/>
      <c r="I400" s="8"/>
      <c r="J400" s="8"/>
      <c r="K400" s="8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"/>
    </row>
    <row r="401" ht="15.75" customHeight="1">
      <c r="A401" s="8"/>
      <c r="B401" s="8"/>
      <c r="C401" s="8"/>
      <c r="D401" s="8"/>
      <c r="E401" s="2"/>
      <c r="F401" s="8"/>
      <c r="G401" s="8"/>
      <c r="H401" s="8"/>
      <c r="I401" s="8"/>
      <c r="J401" s="8"/>
      <c r="K401" s="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"/>
    </row>
    <row r="402" ht="15.75" customHeight="1">
      <c r="A402" s="8"/>
      <c r="B402" s="8"/>
      <c r="C402" s="8"/>
      <c r="D402" s="8"/>
      <c r="E402" s="2"/>
      <c r="F402" s="8"/>
      <c r="G402" s="8"/>
      <c r="H402" s="8"/>
      <c r="I402" s="8"/>
      <c r="J402" s="8"/>
      <c r="K402" s="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"/>
    </row>
    <row r="403" ht="15.75" customHeight="1">
      <c r="A403" s="8"/>
      <c r="B403" s="8"/>
      <c r="C403" s="8"/>
      <c r="D403" s="8"/>
      <c r="E403" s="2"/>
      <c r="F403" s="8"/>
      <c r="G403" s="8"/>
      <c r="H403" s="8"/>
      <c r="I403" s="8"/>
      <c r="J403" s="8"/>
      <c r="K403" s="8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"/>
    </row>
    <row r="404" ht="15.75" customHeight="1">
      <c r="A404" s="8"/>
      <c r="B404" s="8"/>
      <c r="C404" s="8"/>
      <c r="D404" s="8"/>
      <c r="E404" s="2"/>
      <c r="F404" s="8"/>
      <c r="G404" s="8"/>
      <c r="H404" s="8"/>
      <c r="I404" s="8"/>
      <c r="J404" s="8"/>
      <c r="K404" s="8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"/>
    </row>
    <row r="405" ht="15.75" customHeight="1">
      <c r="A405" s="8"/>
      <c r="B405" s="8"/>
      <c r="C405" s="8"/>
      <c r="D405" s="8"/>
      <c r="E405" s="2"/>
      <c r="F405" s="8"/>
      <c r="G405" s="8"/>
      <c r="H405" s="8"/>
      <c r="I405" s="8"/>
      <c r="J405" s="8"/>
      <c r="K405" s="8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"/>
    </row>
    <row r="406" ht="15.75" customHeight="1">
      <c r="A406" s="8"/>
      <c r="B406" s="8"/>
      <c r="C406" s="8"/>
      <c r="D406" s="8"/>
      <c r="E406" s="2"/>
      <c r="F406" s="8"/>
      <c r="G406" s="8"/>
      <c r="H406" s="8"/>
      <c r="I406" s="8"/>
      <c r="J406" s="8"/>
      <c r="K406" s="8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"/>
    </row>
    <row r="407" ht="15.75" customHeight="1">
      <c r="A407" s="8"/>
      <c r="B407" s="8"/>
      <c r="C407" s="8"/>
      <c r="D407" s="8"/>
      <c r="E407" s="2"/>
      <c r="F407" s="8"/>
      <c r="G407" s="8"/>
      <c r="H407" s="8"/>
      <c r="I407" s="8"/>
      <c r="J407" s="8"/>
      <c r="K407" s="8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"/>
    </row>
    <row r="408" ht="15.75" customHeight="1">
      <c r="A408" s="8"/>
      <c r="B408" s="8"/>
      <c r="C408" s="8"/>
      <c r="D408" s="8"/>
      <c r="E408" s="2"/>
      <c r="F408" s="8"/>
      <c r="G408" s="8"/>
      <c r="H408" s="8"/>
      <c r="I408" s="8"/>
      <c r="J408" s="8"/>
      <c r="K408" s="8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"/>
    </row>
    <row r="409" ht="15.75" customHeight="1">
      <c r="A409" s="8"/>
      <c r="B409" s="8"/>
      <c r="C409" s="8"/>
      <c r="D409" s="8"/>
      <c r="E409" s="2"/>
      <c r="F409" s="8"/>
      <c r="G409" s="8"/>
      <c r="H409" s="8"/>
      <c r="I409" s="8"/>
      <c r="J409" s="8"/>
      <c r="K409" s="8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"/>
    </row>
    <row r="410" ht="15.75" customHeight="1">
      <c r="A410" s="8"/>
      <c r="B410" s="8"/>
      <c r="C410" s="8"/>
      <c r="D410" s="8"/>
      <c r="E410" s="2"/>
      <c r="F410" s="8"/>
      <c r="G410" s="8"/>
      <c r="H410" s="8"/>
      <c r="I410" s="8"/>
      <c r="J410" s="8"/>
      <c r="K410" s="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"/>
    </row>
    <row r="411" ht="15.75" customHeight="1">
      <c r="A411" s="8"/>
      <c r="B411" s="8"/>
      <c r="C411" s="8"/>
      <c r="D411" s="8"/>
      <c r="E411" s="2"/>
      <c r="F411" s="8"/>
      <c r="G411" s="8"/>
      <c r="H411" s="8"/>
      <c r="I411" s="8"/>
      <c r="J411" s="8"/>
      <c r="K411" s="8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"/>
    </row>
    <row r="412" ht="15.75" customHeight="1">
      <c r="A412" s="8"/>
      <c r="B412" s="8"/>
      <c r="C412" s="8"/>
      <c r="D412" s="8"/>
      <c r="E412" s="2"/>
      <c r="F412" s="8"/>
      <c r="G412" s="8"/>
      <c r="H412" s="8"/>
      <c r="I412" s="8"/>
      <c r="J412" s="8"/>
      <c r="K412" s="8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"/>
    </row>
    <row r="413" ht="15.75" customHeight="1">
      <c r="A413" s="8"/>
      <c r="B413" s="8"/>
      <c r="C413" s="8"/>
      <c r="D413" s="8"/>
      <c r="E413" s="2"/>
      <c r="F413" s="8"/>
      <c r="G413" s="8"/>
      <c r="H413" s="8"/>
      <c r="I413" s="8"/>
      <c r="J413" s="8"/>
      <c r="K413" s="8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"/>
    </row>
    <row r="414" ht="15.75" customHeight="1">
      <c r="A414" s="8"/>
      <c r="B414" s="8"/>
      <c r="C414" s="8"/>
      <c r="D414" s="8"/>
      <c r="E414" s="2"/>
      <c r="F414" s="8"/>
      <c r="G414" s="8"/>
      <c r="H414" s="8"/>
      <c r="I414" s="8"/>
      <c r="J414" s="8"/>
      <c r="K414" s="8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"/>
    </row>
    <row r="415" ht="15.75" customHeight="1">
      <c r="A415" s="8"/>
      <c r="B415" s="8"/>
      <c r="C415" s="8"/>
      <c r="D415" s="8"/>
      <c r="E415" s="2"/>
      <c r="F415" s="8"/>
      <c r="G415" s="8"/>
      <c r="H415" s="8"/>
      <c r="I415" s="8"/>
      <c r="J415" s="8"/>
      <c r="K415" s="8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"/>
    </row>
    <row r="416" ht="15.75" customHeight="1">
      <c r="A416" s="8"/>
      <c r="B416" s="8"/>
      <c r="C416" s="8"/>
      <c r="D416" s="8"/>
      <c r="E416" s="2"/>
      <c r="F416" s="8"/>
      <c r="G416" s="8"/>
      <c r="H416" s="8"/>
      <c r="I416" s="8"/>
      <c r="J416" s="8"/>
      <c r="K416" s="8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"/>
    </row>
    <row r="417" ht="15.75" customHeight="1">
      <c r="A417" s="8"/>
      <c r="B417" s="8"/>
      <c r="C417" s="8"/>
      <c r="D417" s="8"/>
      <c r="E417" s="2"/>
      <c r="F417" s="8"/>
      <c r="G417" s="8"/>
      <c r="H417" s="8"/>
      <c r="I417" s="8"/>
      <c r="J417" s="8"/>
      <c r="K417" s="8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"/>
    </row>
    <row r="418" ht="15.75" customHeight="1">
      <c r="A418" s="8"/>
      <c r="B418" s="8"/>
      <c r="C418" s="8"/>
      <c r="D418" s="8"/>
      <c r="E418" s="2"/>
      <c r="F418" s="8"/>
      <c r="G418" s="8"/>
      <c r="H418" s="8"/>
      <c r="I418" s="8"/>
      <c r="J418" s="8"/>
      <c r="K418" s="8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"/>
    </row>
    <row r="419" ht="15.75" customHeight="1">
      <c r="A419" s="8"/>
      <c r="B419" s="8"/>
      <c r="C419" s="8"/>
      <c r="D419" s="8"/>
      <c r="E419" s="2"/>
      <c r="F419" s="8"/>
      <c r="G419" s="8"/>
      <c r="H419" s="8"/>
      <c r="I419" s="8"/>
      <c r="J419" s="8"/>
      <c r="K419" s="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"/>
    </row>
    <row r="420" ht="15.75" customHeight="1">
      <c r="A420" s="8"/>
      <c r="B420" s="8"/>
      <c r="C420" s="8"/>
      <c r="D420" s="8"/>
      <c r="E420" s="2"/>
      <c r="F420" s="8"/>
      <c r="G420" s="8"/>
      <c r="H420" s="8"/>
      <c r="I420" s="8"/>
      <c r="J420" s="8"/>
      <c r="K420" s="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"/>
    </row>
    <row r="421" ht="15.75" customHeight="1">
      <c r="A421" s="8"/>
      <c r="B421" s="8"/>
      <c r="C421" s="8"/>
      <c r="D421" s="8"/>
      <c r="E421" s="2"/>
      <c r="F421" s="8"/>
      <c r="G421" s="8"/>
      <c r="H421" s="8"/>
      <c r="I421" s="8"/>
      <c r="J421" s="8"/>
      <c r="K421" s="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"/>
    </row>
    <row r="422" ht="15.75" customHeight="1">
      <c r="A422" s="8"/>
      <c r="B422" s="8"/>
      <c r="C422" s="8"/>
      <c r="D422" s="8"/>
      <c r="E422" s="2"/>
      <c r="F422" s="8"/>
      <c r="G422" s="8"/>
      <c r="H422" s="8"/>
      <c r="I422" s="8"/>
      <c r="J422" s="8"/>
      <c r="K422" s="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"/>
    </row>
    <row r="423" ht="15.75" customHeight="1">
      <c r="A423" s="8"/>
      <c r="B423" s="8"/>
      <c r="C423" s="8"/>
      <c r="D423" s="8"/>
      <c r="E423" s="2"/>
      <c r="F423" s="8"/>
      <c r="G423" s="8"/>
      <c r="H423" s="8"/>
      <c r="I423" s="8"/>
      <c r="J423" s="8"/>
      <c r="K423" s="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"/>
    </row>
    <row r="424" ht="15.75" customHeight="1">
      <c r="A424" s="8"/>
      <c r="B424" s="8"/>
      <c r="C424" s="8"/>
      <c r="D424" s="8"/>
      <c r="E424" s="2"/>
      <c r="F424" s="8"/>
      <c r="G424" s="8"/>
      <c r="H424" s="8"/>
      <c r="I424" s="8"/>
      <c r="J424" s="8"/>
      <c r="K424" s="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"/>
    </row>
    <row r="425" ht="15.75" customHeight="1">
      <c r="A425" s="8"/>
      <c r="B425" s="8"/>
      <c r="C425" s="8"/>
      <c r="D425" s="8"/>
      <c r="E425" s="2"/>
      <c r="F425" s="8"/>
      <c r="G425" s="8"/>
      <c r="H425" s="8"/>
      <c r="I425" s="8"/>
      <c r="J425" s="8"/>
      <c r="K425" s="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"/>
    </row>
    <row r="426" ht="15.75" customHeight="1">
      <c r="A426" s="8"/>
      <c r="B426" s="8"/>
      <c r="C426" s="8"/>
      <c r="D426" s="8"/>
      <c r="E426" s="2"/>
      <c r="F426" s="8"/>
      <c r="G426" s="8"/>
      <c r="H426" s="8"/>
      <c r="I426" s="8"/>
      <c r="J426" s="8"/>
      <c r="K426" s="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"/>
    </row>
    <row r="427" ht="15.75" customHeight="1">
      <c r="A427" s="8"/>
      <c r="B427" s="8"/>
      <c r="C427" s="8"/>
      <c r="D427" s="8"/>
      <c r="E427" s="2"/>
      <c r="F427" s="8"/>
      <c r="G427" s="8"/>
      <c r="H427" s="8"/>
      <c r="I427" s="8"/>
      <c r="J427" s="8"/>
      <c r="K427" s="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"/>
    </row>
    <row r="428" ht="15.75" customHeight="1">
      <c r="A428" s="8"/>
      <c r="B428" s="8"/>
      <c r="C428" s="8"/>
      <c r="D428" s="8"/>
      <c r="E428" s="2"/>
      <c r="F428" s="8"/>
      <c r="G428" s="8"/>
      <c r="H428" s="8"/>
      <c r="I428" s="8"/>
      <c r="J428" s="8"/>
      <c r="K428" s="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"/>
    </row>
    <row r="429" ht="15.75" customHeight="1">
      <c r="A429" s="8"/>
      <c r="B429" s="8"/>
      <c r="C429" s="8"/>
      <c r="D429" s="8"/>
      <c r="E429" s="2"/>
      <c r="F429" s="8"/>
      <c r="G429" s="8"/>
      <c r="H429" s="8"/>
      <c r="I429" s="8"/>
      <c r="J429" s="8"/>
      <c r="K429" s="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"/>
    </row>
    <row r="430" ht="15.75" customHeight="1">
      <c r="A430" s="8"/>
      <c r="B430" s="8"/>
      <c r="C430" s="8"/>
      <c r="D430" s="8"/>
      <c r="E430" s="2"/>
      <c r="F430" s="8"/>
      <c r="G430" s="8"/>
      <c r="H430" s="8"/>
      <c r="I430" s="8"/>
      <c r="J430" s="8"/>
      <c r="K430" s="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"/>
    </row>
    <row r="431" ht="15.75" customHeight="1">
      <c r="A431" s="8"/>
      <c r="B431" s="8"/>
      <c r="C431" s="8"/>
      <c r="D431" s="8"/>
      <c r="E431" s="2"/>
      <c r="F431" s="8"/>
      <c r="G431" s="8"/>
      <c r="H431" s="8"/>
      <c r="I431" s="8"/>
      <c r="J431" s="8"/>
      <c r="K431" s="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"/>
    </row>
    <row r="432" ht="15.75" customHeight="1">
      <c r="A432" s="8"/>
      <c r="B432" s="8"/>
      <c r="C432" s="8"/>
      <c r="D432" s="8"/>
      <c r="E432" s="2"/>
      <c r="F432" s="8"/>
      <c r="G432" s="8"/>
      <c r="H432" s="8"/>
      <c r="I432" s="8"/>
      <c r="J432" s="8"/>
      <c r="K432" s="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"/>
    </row>
    <row r="433" ht="15.75" customHeight="1">
      <c r="A433" s="8"/>
      <c r="B433" s="8"/>
      <c r="C433" s="8"/>
      <c r="D433" s="8"/>
      <c r="E433" s="2"/>
      <c r="F433" s="8"/>
      <c r="G433" s="8"/>
      <c r="H433" s="8"/>
      <c r="I433" s="8"/>
      <c r="J433" s="8"/>
      <c r="K433" s="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"/>
    </row>
    <row r="434" ht="15.75" customHeight="1">
      <c r="A434" s="8"/>
      <c r="B434" s="8"/>
      <c r="C434" s="8"/>
      <c r="D434" s="8"/>
      <c r="E434" s="2"/>
      <c r="F434" s="8"/>
      <c r="G434" s="8"/>
      <c r="H434" s="8"/>
      <c r="I434" s="8"/>
      <c r="J434" s="8"/>
      <c r="K434" s="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"/>
    </row>
    <row r="435" ht="15.75" customHeight="1">
      <c r="A435" s="8"/>
      <c r="B435" s="8"/>
      <c r="C435" s="8"/>
      <c r="D435" s="8"/>
      <c r="E435" s="2"/>
      <c r="F435" s="8"/>
      <c r="G435" s="8"/>
      <c r="H435" s="8"/>
      <c r="I435" s="8"/>
      <c r="J435" s="8"/>
      <c r="K435" s="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"/>
    </row>
    <row r="436" ht="15.75" customHeight="1">
      <c r="A436" s="8"/>
      <c r="B436" s="8"/>
      <c r="C436" s="8"/>
      <c r="D436" s="8"/>
      <c r="E436" s="2"/>
      <c r="F436" s="8"/>
      <c r="G436" s="8"/>
      <c r="H436" s="8"/>
      <c r="I436" s="8"/>
      <c r="J436" s="8"/>
      <c r="K436" s="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"/>
    </row>
    <row r="437" ht="15.75" customHeight="1">
      <c r="A437" s="8"/>
      <c r="B437" s="8"/>
      <c r="C437" s="8"/>
      <c r="D437" s="8"/>
      <c r="E437" s="2"/>
      <c r="F437" s="8"/>
      <c r="G437" s="8"/>
      <c r="H437" s="8"/>
      <c r="I437" s="8"/>
      <c r="J437" s="8"/>
      <c r="K437" s="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"/>
    </row>
    <row r="438" ht="15.75" customHeight="1">
      <c r="A438" s="8"/>
      <c r="B438" s="8"/>
      <c r="C438" s="8"/>
      <c r="D438" s="8"/>
      <c r="E438" s="2"/>
      <c r="F438" s="8"/>
      <c r="G438" s="8"/>
      <c r="H438" s="8"/>
      <c r="I438" s="8"/>
      <c r="J438" s="8"/>
      <c r="K438" s="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"/>
    </row>
    <row r="439" ht="15.75" customHeight="1">
      <c r="A439" s="8"/>
      <c r="B439" s="8"/>
      <c r="C439" s="8"/>
      <c r="D439" s="8"/>
      <c r="E439" s="2"/>
      <c r="F439" s="8"/>
      <c r="G439" s="8"/>
      <c r="H439" s="8"/>
      <c r="I439" s="8"/>
      <c r="J439" s="8"/>
      <c r="K439" s="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"/>
    </row>
    <row r="440" ht="15.75" customHeight="1">
      <c r="A440" s="8"/>
      <c r="B440" s="8"/>
      <c r="C440" s="8"/>
      <c r="D440" s="8"/>
      <c r="E440" s="2"/>
      <c r="F440" s="8"/>
      <c r="G440" s="8"/>
      <c r="H440" s="8"/>
      <c r="I440" s="8"/>
      <c r="J440" s="8"/>
      <c r="K440" s="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"/>
    </row>
    <row r="441" ht="15.75" customHeight="1">
      <c r="A441" s="8"/>
      <c r="B441" s="8"/>
      <c r="C441" s="8"/>
      <c r="D441" s="8"/>
      <c r="E441" s="2"/>
      <c r="F441" s="8"/>
      <c r="G441" s="8"/>
      <c r="H441" s="8"/>
      <c r="I441" s="8"/>
      <c r="J441" s="8"/>
      <c r="K441" s="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"/>
    </row>
    <row r="442" ht="15.75" customHeight="1">
      <c r="A442" s="8"/>
      <c r="B442" s="8"/>
      <c r="C442" s="8"/>
      <c r="D442" s="8"/>
      <c r="E442" s="2"/>
      <c r="F442" s="8"/>
      <c r="G442" s="8"/>
      <c r="H442" s="8"/>
      <c r="I442" s="8"/>
      <c r="J442" s="8"/>
      <c r="K442" s="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"/>
    </row>
    <row r="443" ht="15.75" customHeight="1">
      <c r="A443" s="8"/>
      <c r="B443" s="8"/>
      <c r="C443" s="8"/>
      <c r="D443" s="8"/>
      <c r="E443" s="2"/>
      <c r="F443" s="8"/>
      <c r="G443" s="8"/>
      <c r="H443" s="8"/>
      <c r="I443" s="8"/>
      <c r="J443" s="8"/>
      <c r="K443" s="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"/>
    </row>
    <row r="444" ht="15.75" customHeight="1">
      <c r="A444" s="8"/>
      <c r="B444" s="8"/>
      <c r="C444" s="8"/>
      <c r="D444" s="8"/>
      <c r="E444" s="2"/>
      <c r="F444" s="8"/>
      <c r="G444" s="8"/>
      <c r="H444" s="8"/>
      <c r="I444" s="8"/>
      <c r="J444" s="8"/>
      <c r="K444" s="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"/>
    </row>
    <row r="445" ht="15.75" customHeight="1">
      <c r="A445" s="8"/>
      <c r="B445" s="8"/>
      <c r="C445" s="8"/>
      <c r="D445" s="8"/>
      <c r="E445" s="2"/>
      <c r="F445" s="8"/>
      <c r="G445" s="8"/>
      <c r="H445" s="8"/>
      <c r="I445" s="8"/>
      <c r="J445" s="8"/>
      <c r="K445" s="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"/>
    </row>
    <row r="446" ht="15.75" customHeight="1">
      <c r="A446" s="8"/>
      <c r="B446" s="8"/>
      <c r="C446" s="8"/>
      <c r="D446" s="8"/>
      <c r="E446" s="2"/>
      <c r="F446" s="8"/>
      <c r="G446" s="8"/>
      <c r="H446" s="8"/>
      <c r="I446" s="8"/>
      <c r="J446" s="8"/>
      <c r="K446" s="8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"/>
    </row>
    <row r="447" ht="15.75" customHeight="1">
      <c r="A447" s="8"/>
      <c r="B447" s="8"/>
      <c r="C447" s="8"/>
      <c r="D447" s="8"/>
      <c r="E447" s="2"/>
      <c r="F447" s="8"/>
      <c r="G447" s="8"/>
      <c r="H447" s="8"/>
      <c r="I447" s="8"/>
      <c r="J447" s="8"/>
      <c r="K447" s="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"/>
    </row>
    <row r="448" ht="15.75" customHeight="1">
      <c r="A448" s="8"/>
      <c r="B448" s="8"/>
      <c r="C448" s="8"/>
      <c r="D448" s="8"/>
      <c r="E448" s="2"/>
      <c r="F448" s="8"/>
      <c r="G448" s="8"/>
      <c r="H448" s="8"/>
      <c r="I448" s="8"/>
      <c r="J448" s="8"/>
      <c r="K448" s="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"/>
    </row>
    <row r="449" ht="15.75" customHeight="1">
      <c r="A449" s="8"/>
      <c r="B449" s="8"/>
      <c r="C449" s="8"/>
      <c r="D449" s="8"/>
      <c r="E449" s="2"/>
      <c r="F449" s="8"/>
      <c r="G449" s="8"/>
      <c r="H449" s="8"/>
      <c r="I449" s="8"/>
      <c r="J449" s="8"/>
      <c r="K449" s="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"/>
    </row>
    <row r="450" ht="15.75" customHeight="1">
      <c r="A450" s="8"/>
      <c r="B450" s="8"/>
      <c r="C450" s="8"/>
      <c r="D450" s="8"/>
      <c r="E450" s="2"/>
      <c r="F450" s="8"/>
      <c r="G450" s="8"/>
      <c r="H450" s="8"/>
      <c r="I450" s="8"/>
      <c r="J450" s="8"/>
      <c r="K450" s="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"/>
    </row>
    <row r="451" ht="15.75" customHeight="1">
      <c r="A451" s="8"/>
      <c r="B451" s="8"/>
      <c r="C451" s="8"/>
      <c r="D451" s="8"/>
      <c r="E451" s="2"/>
      <c r="F451" s="8"/>
      <c r="G451" s="8"/>
      <c r="H451" s="8"/>
      <c r="I451" s="8"/>
      <c r="J451" s="8"/>
      <c r="K451" s="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"/>
    </row>
    <row r="452" ht="15.75" customHeight="1">
      <c r="A452" s="8"/>
      <c r="B452" s="8"/>
      <c r="C452" s="8"/>
      <c r="D452" s="8"/>
      <c r="E452" s="2"/>
      <c r="F452" s="8"/>
      <c r="G452" s="8"/>
      <c r="H452" s="8"/>
      <c r="I452" s="8"/>
      <c r="J452" s="8"/>
      <c r="K452" s="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"/>
    </row>
    <row r="453" ht="15.75" customHeight="1">
      <c r="A453" s="8"/>
      <c r="B453" s="8"/>
      <c r="C453" s="8"/>
      <c r="D453" s="8"/>
      <c r="E453" s="2"/>
      <c r="F453" s="8"/>
      <c r="G453" s="8"/>
      <c r="H453" s="8"/>
      <c r="I453" s="8"/>
      <c r="J453" s="8"/>
      <c r="K453" s="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"/>
    </row>
    <row r="454" ht="15.75" customHeight="1">
      <c r="A454" s="8"/>
      <c r="B454" s="8"/>
      <c r="C454" s="8"/>
      <c r="D454" s="8"/>
      <c r="E454" s="2"/>
      <c r="F454" s="8"/>
      <c r="G454" s="8"/>
      <c r="H454" s="8"/>
      <c r="I454" s="8"/>
      <c r="J454" s="8"/>
      <c r="K454" s="8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"/>
    </row>
    <row r="455" ht="15.75" customHeight="1">
      <c r="A455" s="8"/>
      <c r="B455" s="8"/>
      <c r="C455" s="8"/>
      <c r="D455" s="8"/>
      <c r="E455" s="2"/>
      <c r="F455" s="8"/>
      <c r="G455" s="8"/>
      <c r="H455" s="8"/>
      <c r="I455" s="8"/>
      <c r="J455" s="8"/>
      <c r="K455" s="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"/>
    </row>
    <row r="456" ht="15.75" customHeight="1">
      <c r="A456" s="8"/>
      <c r="B456" s="8"/>
      <c r="C456" s="8"/>
      <c r="D456" s="8"/>
      <c r="E456" s="2"/>
      <c r="F456" s="8"/>
      <c r="G456" s="8"/>
      <c r="H456" s="8"/>
      <c r="I456" s="8"/>
      <c r="J456" s="8"/>
      <c r="K456" s="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"/>
    </row>
    <row r="457" ht="15.75" customHeight="1">
      <c r="A457" s="8"/>
      <c r="B457" s="8"/>
      <c r="C457" s="8"/>
      <c r="D457" s="8"/>
      <c r="E457" s="2"/>
      <c r="F457" s="8"/>
      <c r="G457" s="8"/>
      <c r="H457" s="8"/>
      <c r="I457" s="8"/>
      <c r="J457" s="8"/>
      <c r="K457" s="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"/>
    </row>
    <row r="458" ht="15.75" customHeight="1">
      <c r="A458" s="8"/>
      <c r="B458" s="8"/>
      <c r="C458" s="8"/>
      <c r="D458" s="8"/>
      <c r="E458" s="2"/>
      <c r="F458" s="8"/>
      <c r="G458" s="8"/>
      <c r="H458" s="8"/>
      <c r="I458" s="8"/>
      <c r="J458" s="8"/>
      <c r="K458" s="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"/>
    </row>
    <row r="459" ht="15.75" customHeight="1">
      <c r="A459" s="8"/>
      <c r="B459" s="8"/>
      <c r="C459" s="8"/>
      <c r="D459" s="8"/>
      <c r="E459" s="2"/>
      <c r="F459" s="8"/>
      <c r="G459" s="8"/>
      <c r="H459" s="8"/>
      <c r="I459" s="8"/>
      <c r="J459" s="8"/>
      <c r="K459" s="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"/>
    </row>
    <row r="460" ht="15.75" customHeight="1">
      <c r="A460" s="8"/>
      <c r="B460" s="8"/>
      <c r="C460" s="8"/>
      <c r="D460" s="8"/>
      <c r="E460" s="2"/>
      <c r="F460" s="8"/>
      <c r="G460" s="8"/>
      <c r="H460" s="8"/>
      <c r="I460" s="8"/>
      <c r="J460" s="8"/>
      <c r="K460" s="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"/>
    </row>
    <row r="461" ht="15.75" customHeight="1">
      <c r="A461" s="8"/>
      <c r="B461" s="8"/>
      <c r="C461" s="8"/>
      <c r="D461" s="8"/>
      <c r="E461" s="2"/>
      <c r="F461" s="8"/>
      <c r="G461" s="8"/>
      <c r="H461" s="8"/>
      <c r="I461" s="8"/>
      <c r="J461" s="8"/>
      <c r="K461" s="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"/>
    </row>
    <row r="462" ht="15.75" customHeight="1">
      <c r="A462" s="8"/>
      <c r="B462" s="8"/>
      <c r="C462" s="8"/>
      <c r="D462" s="8"/>
      <c r="E462" s="2"/>
      <c r="F462" s="8"/>
      <c r="G462" s="8"/>
      <c r="H462" s="8"/>
      <c r="I462" s="8"/>
      <c r="J462" s="8"/>
      <c r="K462" s="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"/>
    </row>
    <row r="463" ht="15.75" customHeight="1">
      <c r="A463" s="8"/>
      <c r="B463" s="8"/>
      <c r="C463" s="8"/>
      <c r="D463" s="8"/>
      <c r="E463" s="2"/>
      <c r="F463" s="8"/>
      <c r="G463" s="8"/>
      <c r="H463" s="8"/>
      <c r="I463" s="8"/>
      <c r="J463" s="8"/>
      <c r="K463" s="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"/>
    </row>
    <row r="464" ht="15.75" customHeight="1">
      <c r="A464" s="8"/>
      <c r="B464" s="8"/>
      <c r="C464" s="8"/>
      <c r="D464" s="8"/>
      <c r="E464" s="2"/>
      <c r="F464" s="8"/>
      <c r="G464" s="8"/>
      <c r="H464" s="8"/>
      <c r="I464" s="8"/>
      <c r="J464" s="8"/>
      <c r="K464" s="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"/>
    </row>
    <row r="465" ht="15.75" customHeight="1">
      <c r="A465" s="8"/>
      <c r="B465" s="8"/>
      <c r="C465" s="8"/>
      <c r="D465" s="8"/>
      <c r="E465" s="2"/>
      <c r="F465" s="8"/>
      <c r="G465" s="8"/>
      <c r="H465" s="8"/>
      <c r="I465" s="8"/>
      <c r="J465" s="8"/>
      <c r="K465" s="8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"/>
    </row>
    <row r="466" ht="15.75" customHeight="1">
      <c r="A466" s="8"/>
      <c r="B466" s="8"/>
      <c r="C466" s="8"/>
      <c r="D466" s="8"/>
      <c r="E466" s="2"/>
      <c r="F466" s="8"/>
      <c r="G466" s="8"/>
      <c r="H466" s="8"/>
      <c r="I466" s="8"/>
      <c r="J466" s="8"/>
      <c r="K466" s="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"/>
    </row>
    <row r="467" ht="15.75" customHeight="1">
      <c r="A467" s="8"/>
      <c r="B467" s="8"/>
      <c r="C467" s="8"/>
      <c r="D467" s="8"/>
      <c r="E467" s="2"/>
      <c r="F467" s="8"/>
      <c r="G467" s="8"/>
      <c r="H467" s="8"/>
      <c r="I467" s="8"/>
      <c r="J467" s="8"/>
      <c r="K467" s="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"/>
    </row>
    <row r="468" ht="15.75" customHeight="1">
      <c r="A468" s="8"/>
      <c r="B468" s="8"/>
      <c r="C468" s="8"/>
      <c r="D468" s="8"/>
      <c r="E468" s="2"/>
      <c r="F468" s="8"/>
      <c r="G468" s="8"/>
      <c r="H468" s="8"/>
      <c r="I468" s="8"/>
      <c r="J468" s="8"/>
      <c r="K468" s="8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"/>
    </row>
    <row r="469" ht="15.75" customHeight="1">
      <c r="A469" s="8"/>
      <c r="B469" s="8"/>
      <c r="C469" s="8"/>
      <c r="D469" s="8"/>
      <c r="E469" s="2"/>
      <c r="F469" s="8"/>
      <c r="G469" s="8"/>
      <c r="H469" s="8"/>
      <c r="I469" s="8"/>
      <c r="J469" s="8"/>
      <c r="K469" s="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"/>
    </row>
    <row r="470" ht="15.75" customHeight="1">
      <c r="A470" s="8"/>
      <c r="B470" s="8"/>
      <c r="C470" s="8"/>
      <c r="D470" s="8"/>
      <c r="E470" s="2"/>
      <c r="F470" s="8"/>
      <c r="G470" s="8"/>
      <c r="H470" s="8"/>
      <c r="I470" s="8"/>
      <c r="J470" s="8"/>
      <c r="K470" s="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"/>
    </row>
    <row r="471" ht="15.75" customHeight="1">
      <c r="A471" s="8"/>
      <c r="B471" s="8"/>
      <c r="C471" s="8"/>
      <c r="D471" s="8"/>
      <c r="E471" s="2"/>
      <c r="F471" s="8"/>
      <c r="G471" s="8"/>
      <c r="H471" s="8"/>
      <c r="I471" s="8"/>
      <c r="J471" s="8"/>
      <c r="K471" s="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"/>
    </row>
    <row r="472" ht="15.75" customHeight="1">
      <c r="A472" s="8"/>
      <c r="B472" s="8"/>
      <c r="C472" s="8"/>
      <c r="D472" s="8"/>
      <c r="E472" s="2"/>
      <c r="F472" s="8"/>
      <c r="G472" s="8"/>
      <c r="H472" s="8"/>
      <c r="I472" s="8"/>
      <c r="J472" s="8"/>
      <c r="K472" s="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"/>
    </row>
    <row r="473" ht="15.75" customHeight="1">
      <c r="A473" s="8"/>
      <c r="B473" s="8"/>
      <c r="C473" s="8"/>
      <c r="D473" s="8"/>
      <c r="E473" s="2"/>
      <c r="F473" s="8"/>
      <c r="G473" s="8"/>
      <c r="H473" s="8"/>
      <c r="I473" s="8"/>
      <c r="J473" s="8"/>
      <c r="K473" s="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"/>
    </row>
    <row r="474" ht="15.75" customHeight="1">
      <c r="A474" s="8"/>
      <c r="B474" s="8"/>
      <c r="C474" s="8"/>
      <c r="D474" s="8"/>
      <c r="E474" s="2"/>
      <c r="F474" s="8"/>
      <c r="G474" s="8"/>
      <c r="H474" s="8"/>
      <c r="I474" s="8"/>
      <c r="J474" s="8"/>
      <c r="K474" s="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"/>
    </row>
    <row r="475" ht="15.75" customHeight="1">
      <c r="A475" s="8"/>
      <c r="B475" s="8"/>
      <c r="C475" s="8"/>
      <c r="D475" s="8"/>
      <c r="E475" s="2"/>
      <c r="F475" s="8"/>
      <c r="G475" s="8"/>
      <c r="H475" s="8"/>
      <c r="I475" s="8"/>
      <c r="J475" s="8"/>
      <c r="K475" s="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"/>
    </row>
    <row r="476" ht="15.75" customHeight="1">
      <c r="A476" s="8"/>
      <c r="B476" s="8"/>
      <c r="C476" s="8"/>
      <c r="D476" s="8"/>
      <c r="E476" s="2"/>
      <c r="F476" s="8"/>
      <c r="G476" s="8"/>
      <c r="H476" s="8"/>
      <c r="I476" s="8"/>
      <c r="J476" s="8"/>
      <c r="K476" s="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"/>
    </row>
    <row r="477" ht="15.75" customHeight="1">
      <c r="A477" s="8"/>
      <c r="B477" s="8"/>
      <c r="C477" s="8"/>
      <c r="D477" s="8"/>
      <c r="E477" s="2"/>
      <c r="F477" s="8"/>
      <c r="G477" s="8"/>
      <c r="H477" s="8"/>
      <c r="I477" s="8"/>
      <c r="J477" s="8"/>
      <c r="K477" s="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"/>
    </row>
    <row r="478" ht="15.75" customHeight="1">
      <c r="A478" s="8"/>
      <c r="B478" s="8"/>
      <c r="C478" s="8"/>
      <c r="D478" s="8"/>
      <c r="E478" s="2"/>
      <c r="F478" s="8"/>
      <c r="G478" s="8"/>
      <c r="H478" s="8"/>
      <c r="I478" s="8"/>
      <c r="J478" s="8"/>
      <c r="K478" s="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"/>
    </row>
    <row r="479" ht="15.75" customHeight="1">
      <c r="A479" s="8"/>
      <c r="B479" s="8"/>
      <c r="C479" s="8"/>
      <c r="D479" s="8"/>
      <c r="E479" s="2"/>
      <c r="F479" s="8"/>
      <c r="G479" s="8"/>
      <c r="H479" s="8"/>
      <c r="I479" s="8"/>
      <c r="J479" s="8"/>
      <c r="K479" s="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"/>
    </row>
    <row r="480" ht="15.75" customHeight="1">
      <c r="A480" s="8"/>
      <c r="B480" s="8"/>
      <c r="C480" s="8"/>
      <c r="D480" s="8"/>
      <c r="E480" s="2"/>
      <c r="F480" s="8"/>
      <c r="G480" s="8"/>
      <c r="H480" s="8"/>
      <c r="I480" s="8"/>
      <c r="J480" s="8"/>
      <c r="K480" s="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"/>
    </row>
    <row r="481" ht="15.75" customHeight="1">
      <c r="A481" s="8"/>
      <c r="B481" s="8"/>
      <c r="C481" s="8"/>
      <c r="D481" s="8"/>
      <c r="E481" s="2"/>
      <c r="F481" s="8"/>
      <c r="G481" s="8"/>
      <c r="H481" s="8"/>
      <c r="I481" s="8"/>
      <c r="J481" s="8"/>
      <c r="K481" s="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"/>
    </row>
    <row r="482" ht="15.75" customHeight="1">
      <c r="A482" s="8"/>
      <c r="B482" s="8"/>
      <c r="C482" s="8"/>
      <c r="D482" s="8"/>
      <c r="E482" s="2"/>
      <c r="F482" s="8"/>
      <c r="G482" s="8"/>
      <c r="H482" s="8"/>
      <c r="I482" s="8"/>
      <c r="J482" s="8"/>
      <c r="K482" s="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"/>
    </row>
    <row r="483" ht="15.75" customHeight="1">
      <c r="A483" s="8"/>
      <c r="B483" s="8"/>
      <c r="C483" s="8"/>
      <c r="D483" s="8"/>
      <c r="E483" s="2"/>
      <c r="F483" s="8"/>
      <c r="G483" s="8"/>
      <c r="H483" s="8"/>
      <c r="I483" s="8"/>
      <c r="J483" s="8"/>
      <c r="K483" s="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"/>
    </row>
    <row r="484" ht="15.75" customHeight="1">
      <c r="A484" s="8"/>
      <c r="B484" s="8"/>
      <c r="C484" s="8"/>
      <c r="D484" s="8"/>
      <c r="E484" s="2"/>
      <c r="F484" s="8"/>
      <c r="G484" s="8"/>
      <c r="H484" s="8"/>
      <c r="I484" s="8"/>
      <c r="J484" s="8"/>
      <c r="K484" s="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"/>
    </row>
    <row r="485" ht="15.75" customHeight="1">
      <c r="A485" s="8"/>
      <c r="B485" s="8"/>
      <c r="C485" s="8"/>
      <c r="D485" s="8"/>
      <c r="E485" s="2"/>
      <c r="F485" s="8"/>
      <c r="G485" s="8"/>
      <c r="H485" s="8"/>
      <c r="I485" s="8"/>
      <c r="J485" s="8"/>
      <c r="K485" s="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"/>
    </row>
    <row r="486" ht="15.75" customHeight="1">
      <c r="A486" s="8"/>
      <c r="B486" s="8"/>
      <c r="C486" s="8"/>
      <c r="D486" s="8"/>
      <c r="E486" s="2"/>
      <c r="F486" s="8"/>
      <c r="G486" s="8"/>
      <c r="H486" s="8"/>
      <c r="I486" s="8"/>
      <c r="J486" s="8"/>
      <c r="K486" s="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"/>
    </row>
    <row r="487" ht="15.75" customHeight="1">
      <c r="A487" s="8"/>
      <c r="B487" s="8"/>
      <c r="C487" s="8"/>
      <c r="D487" s="8"/>
      <c r="E487" s="2"/>
      <c r="F487" s="8"/>
      <c r="G487" s="8"/>
      <c r="H487" s="8"/>
      <c r="I487" s="8"/>
      <c r="J487" s="8"/>
      <c r="K487" s="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"/>
    </row>
    <row r="488" ht="15.75" customHeight="1">
      <c r="A488" s="8"/>
      <c r="B488" s="8"/>
      <c r="C488" s="8"/>
      <c r="D488" s="8"/>
      <c r="E488" s="2"/>
      <c r="F488" s="8"/>
      <c r="G488" s="8"/>
      <c r="H488" s="8"/>
      <c r="I488" s="8"/>
      <c r="J488" s="8"/>
      <c r="K488" s="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"/>
    </row>
    <row r="489" ht="15.75" customHeight="1">
      <c r="A489" s="8"/>
      <c r="B489" s="8"/>
      <c r="C489" s="8"/>
      <c r="D489" s="8"/>
      <c r="E489" s="2"/>
      <c r="F489" s="8"/>
      <c r="G489" s="8"/>
      <c r="H489" s="8"/>
      <c r="I489" s="8"/>
      <c r="J489" s="8"/>
      <c r="K489" s="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"/>
    </row>
    <row r="490" ht="15.75" customHeight="1">
      <c r="A490" s="8"/>
      <c r="B490" s="8"/>
      <c r="C490" s="8"/>
      <c r="D490" s="8"/>
      <c r="E490" s="2"/>
      <c r="F490" s="8"/>
      <c r="G490" s="8"/>
      <c r="H490" s="8"/>
      <c r="I490" s="8"/>
      <c r="J490" s="8"/>
      <c r="K490" s="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"/>
    </row>
    <row r="491" ht="15.75" customHeight="1">
      <c r="A491" s="8"/>
      <c r="B491" s="8"/>
      <c r="C491" s="8"/>
      <c r="D491" s="8"/>
      <c r="E491" s="2"/>
      <c r="F491" s="8"/>
      <c r="G491" s="8"/>
      <c r="H491" s="8"/>
      <c r="I491" s="8"/>
      <c r="J491" s="8"/>
      <c r="K491" s="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"/>
    </row>
    <row r="492" ht="15.75" customHeight="1">
      <c r="A492" s="8"/>
      <c r="B492" s="8"/>
      <c r="C492" s="8"/>
      <c r="D492" s="8"/>
      <c r="E492" s="2"/>
      <c r="F492" s="8"/>
      <c r="G492" s="8"/>
      <c r="H492" s="8"/>
      <c r="I492" s="8"/>
      <c r="J492" s="8"/>
      <c r="K492" s="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"/>
    </row>
    <row r="493" ht="15.75" customHeight="1">
      <c r="A493" s="8"/>
      <c r="B493" s="8"/>
      <c r="C493" s="8"/>
      <c r="D493" s="8"/>
      <c r="E493" s="2"/>
      <c r="F493" s="8"/>
      <c r="G493" s="8"/>
      <c r="H493" s="8"/>
      <c r="I493" s="8"/>
      <c r="J493" s="8"/>
      <c r="K493" s="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"/>
    </row>
    <row r="494" ht="15.75" customHeight="1">
      <c r="A494" s="8"/>
      <c r="B494" s="8"/>
      <c r="C494" s="8"/>
      <c r="D494" s="8"/>
      <c r="E494" s="2"/>
      <c r="F494" s="8"/>
      <c r="G494" s="8"/>
      <c r="H494" s="8"/>
      <c r="I494" s="8"/>
      <c r="J494" s="8"/>
      <c r="K494" s="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"/>
    </row>
    <row r="495" ht="15.75" customHeight="1">
      <c r="A495" s="8"/>
      <c r="B495" s="8"/>
      <c r="C495" s="8"/>
      <c r="D495" s="8"/>
      <c r="E495" s="2"/>
      <c r="F495" s="8"/>
      <c r="G495" s="8"/>
      <c r="H495" s="8"/>
      <c r="I495" s="8"/>
      <c r="J495" s="8"/>
      <c r="K495" s="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"/>
    </row>
    <row r="496" ht="15.75" customHeight="1">
      <c r="A496" s="8"/>
      <c r="B496" s="8"/>
      <c r="C496" s="8"/>
      <c r="D496" s="8"/>
      <c r="E496" s="2"/>
      <c r="F496" s="8"/>
      <c r="G496" s="8"/>
      <c r="H496" s="8"/>
      <c r="I496" s="8"/>
      <c r="J496" s="8"/>
      <c r="K496" s="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"/>
    </row>
    <row r="497" ht="15.75" customHeight="1">
      <c r="A497" s="8"/>
      <c r="B497" s="8"/>
      <c r="C497" s="8"/>
      <c r="D497" s="8"/>
      <c r="E497" s="2"/>
      <c r="F497" s="8"/>
      <c r="G497" s="8"/>
      <c r="H497" s="8"/>
      <c r="I497" s="8"/>
      <c r="J497" s="8"/>
      <c r="K497" s="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"/>
    </row>
    <row r="498" ht="15.75" customHeight="1">
      <c r="A498" s="8"/>
      <c r="B498" s="8"/>
      <c r="C498" s="8"/>
      <c r="D498" s="8"/>
      <c r="E498" s="2"/>
      <c r="F498" s="8"/>
      <c r="G498" s="8"/>
      <c r="H498" s="8"/>
      <c r="I498" s="8"/>
      <c r="J498" s="8"/>
      <c r="K498" s="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"/>
    </row>
    <row r="499" ht="15.75" customHeight="1">
      <c r="A499" s="8"/>
      <c r="B499" s="8"/>
      <c r="C499" s="8"/>
      <c r="D499" s="8"/>
      <c r="E499" s="2"/>
      <c r="F499" s="8"/>
      <c r="G499" s="8"/>
      <c r="H499" s="8"/>
      <c r="I499" s="8"/>
      <c r="J499" s="8"/>
      <c r="K499" s="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"/>
    </row>
    <row r="500" ht="15.75" customHeight="1">
      <c r="A500" s="8"/>
      <c r="B500" s="8"/>
      <c r="C500" s="8"/>
      <c r="D500" s="8"/>
      <c r="E500" s="2"/>
      <c r="F500" s="8"/>
      <c r="G500" s="8"/>
      <c r="H500" s="8"/>
      <c r="I500" s="8"/>
      <c r="J500" s="8"/>
      <c r="K500" s="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"/>
    </row>
    <row r="501" ht="15.75" customHeight="1">
      <c r="A501" s="8"/>
      <c r="B501" s="8"/>
      <c r="C501" s="8"/>
      <c r="D501" s="8"/>
      <c r="E501" s="2"/>
      <c r="F501" s="8"/>
      <c r="G501" s="8"/>
      <c r="H501" s="8"/>
      <c r="I501" s="8"/>
      <c r="J501" s="8"/>
      <c r="K501" s="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"/>
    </row>
    <row r="502" ht="15.75" customHeight="1">
      <c r="A502" s="8"/>
      <c r="B502" s="8"/>
      <c r="C502" s="8"/>
      <c r="D502" s="8"/>
      <c r="E502" s="2"/>
      <c r="F502" s="8"/>
      <c r="G502" s="8"/>
      <c r="H502" s="8"/>
      <c r="I502" s="8"/>
      <c r="J502" s="8"/>
      <c r="K502" s="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"/>
    </row>
    <row r="503" ht="15.75" customHeight="1">
      <c r="A503" s="8"/>
      <c r="B503" s="8"/>
      <c r="C503" s="8"/>
      <c r="D503" s="8"/>
      <c r="E503" s="2"/>
      <c r="F503" s="8"/>
      <c r="G503" s="8"/>
      <c r="H503" s="8"/>
      <c r="I503" s="8"/>
      <c r="J503" s="8"/>
      <c r="K503" s="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"/>
    </row>
    <row r="504" ht="15.75" customHeight="1">
      <c r="A504" s="8"/>
      <c r="B504" s="8"/>
      <c r="C504" s="8"/>
      <c r="D504" s="8"/>
      <c r="E504" s="2"/>
      <c r="F504" s="8"/>
      <c r="G504" s="8"/>
      <c r="H504" s="8"/>
      <c r="I504" s="8"/>
      <c r="J504" s="8"/>
      <c r="K504" s="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"/>
    </row>
    <row r="505" ht="15.75" customHeight="1">
      <c r="A505" s="8"/>
      <c r="B505" s="8"/>
      <c r="C505" s="8"/>
      <c r="D505" s="8"/>
      <c r="E505" s="2"/>
      <c r="F505" s="8"/>
      <c r="G505" s="8"/>
      <c r="H505" s="8"/>
      <c r="I505" s="8"/>
      <c r="J505" s="8"/>
      <c r="K505" s="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"/>
    </row>
    <row r="506" ht="15.75" customHeight="1">
      <c r="A506" s="8"/>
      <c r="B506" s="8"/>
      <c r="C506" s="8"/>
      <c r="D506" s="8"/>
      <c r="E506" s="2"/>
      <c r="F506" s="8"/>
      <c r="G506" s="8"/>
      <c r="H506" s="8"/>
      <c r="I506" s="8"/>
      <c r="J506" s="8"/>
      <c r="K506" s="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"/>
    </row>
    <row r="507" ht="15.75" customHeight="1">
      <c r="A507" s="8"/>
      <c r="B507" s="8"/>
      <c r="C507" s="8"/>
      <c r="D507" s="8"/>
      <c r="E507" s="2"/>
      <c r="F507" s="8"/>
      <c r="G507" s="8"/>
      <c r="H507" s="8"/>
      <c r="I507" s="8"/>
      <c r="J507" s="8"/>
      <c r="K507" s="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"/>
    </row>
    <row r="508" ht="15.75" customHeight="1">
      <c r="A508" s="8"/>
      <c r="B508" s="8"/>
      <c r="C508" s="8"/>
      <c r="D508" s="8"/>
      <c r="E508" s="2"/>
      <c r="F508" s="8"/>
      <c r="G508" s="8"/>
      <c r="H508" s="8"/>
      <c r="I508" s="8"/>
      <c r="J508" s="8"/>
      <c r="K508" s="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"/>
    </row>
    <row r="509" ht="15.75" customHeight="1">
      <c r="A509" s="8"/>
      <c r="B509" s="8"/>
      <c r="C509" s="8"/>
      <c r="D509" s="8"/>
      <c r="E509" s="2"/>
      <c r="F509" s="8"/>
      <c r="G509" s="8"/>
      <c r="H509" s="8"/>
      <c r="I509" s="8"/>
      <c r="J509" s="8"/>
      <c r="K509" s="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"/>
    </row>
    <row r="510" ht="15.75" customHeight="1">
      <c r="A510" s="8"/>
      <c r="B510" s="8"/>
      <c r="C510" s="8"/>
      <c r="D510" s="8"/>
      <c r="E510" s="2"/>
      <c r="F510" s="8"/>
      <c r="G510" s="8"/>
      <c r="H510" s="8"/>
      <c r="I510" s="8"/>
      <c r="J510" s="8"/>
      <c r="K510" s="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"/>
    </row>
    <row r="511" ht="15.75" customHeight="1">
      <c r="A511" s="8"/>
      <c r="B511" s="8"/>
      <c r="C511" s="8"/>
      <c r="D511" s="8"/>
      <c r="E511" s="2"/>
      <c r="F511" s="8"/>
      <c r="G511" s="8"/>
      <c r="H511" s="8"/>
      <c r="I511" s="8"/>
      <c r="J511" s="8"/>
      <c r="K511" s="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"/>
    </row>
    <row r="512" ht="15.75" customHeight="1">
      <c r="A512" s="8"/>
      <c r="B512" s="8"/>
      <c r="C512" s="8"/>
      <c r="D512" s="8"/>
      <c r="E512" s="2"/>
      <c r="F512" s="8"/>
      <c r="G512" s="8"/>
      <c r="H512" s="8"/>
      <c r="I512" s="8"/>
      <c r="J512" s="8"/>
      <c r="K512" s="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"/>
    </row>
    <row r="513" ht="15.75" customHeight="1">
      <c r="A513" s="8"/>
      <c r="B513" s="8"/>
      <c r="C513" s="8"/>
      <c r="D513" s="8"/>
      <c r="E513" s="2"/>
      <c r="F513" s="8"/>
      <c r="G513" s="8"/>
      <c r="H513" s="8"/>
      <c r="I513" s="8"/>
      <c r="J513" s="8"/>
      <c r="K513" s="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"/>
    </row>
    <row r="514" ht="15.75" customHeight="1">
      <c r="A514" s="8"/>
      <c r="B514" s="8"/>
      <c r="C514" s="8"/>
      <c r="D514" s="8"/>
      <c r="E514" s="2"/>
      <c r="F514" s="8"/>
      <c r="G514" s="8"/>
      <c r="H514" s="8"/>
      <c r="I514" s="8"/>
      <c r="J514" s="8"/>
      <c r="K514" s="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"/>
    </row>
    <row r="515" ht="15.75" customHeight="1">
      <c r="A515" s="8"/>
      <c r="B515" s="8"/>
      <c r="C515" s="8"/>
      <c r="D515" s="8"/>
      <c r="E515" s="2"/>
      <c r="F515" s="8"/>
      <c r="G515" s="8"/>
      <c r="H515" s="8"/>
      <c r="I515" s="8"/>
      <c r="J515" s="8"/>
      <c r="K515" s="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"/>
    </row>
    <row r="516" ht="15.75" customHeight="1">
      <c r="A516" s="8"/>
      <c r="B516" s="8"/>
      <c r="C516" s="8"/>
      <c r="D516" s="8"/>
      <c r="E516" s="2"/>
      <c r="F516" s="8"/>
      <c r="G516" s="8"/>
      <c r="H516" s="8"/>
      <c r="I516" s="8"/>
      <c r="J516" s="8"/>
      <c r="K516" s="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"/>
    </row>
    <row r="517" ht="15.75" customHeight="1">
      <c r="A517" s="8"/>
      <c r="B517" s="8"/>
      <c r="C517" s="8"/>
      <c r="D517" s="8"/>
      <c r="E517" s="2"/>
      <c r="F517" s="8"/>
      <c r="G517" s="8"/>
      <c r="H517" s="8"/>
      <c r="I517" s="8"/>
      <c r="J517" s="8"/>
      <c r="K517" s="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"/>
    </row>
    <row r="518" ht="15.75" customHeight="1">
      <c r="A518" s="8"/>
      <c r="B518" s="8"/>
      <c r="C518" s="8"/>
      <c r="D518" s="8"/>
      <c r="E518" s="2"/>
      <c r="F518" s="8"/>
      <c r="G518" s="8"/>
      <c r="H518" s="8"/>
      <c r="I518" s="8"/>
      <c r="J518" s="8"/>
      <c r="K518" s="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"/>
    </row>
    <row r="519" ht="15.75" customHeight="1">
      <c r="A519" s="8"/>
      <c r="B519" s="8"/>
      <c r="C519" s="8"/>
      <c r="D519" s="8"/>
      <c r="E519" s="2"/>
      <c r="F519" s="8"/>
      <c r="G519" s="8"/>
      <c r="H519" s="8"/>
      <c r="I519" s="8"/>
      <c r="J519" s="8"/>
      <c r="K519" s="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"/>
    </row>
    <row r="520" ht="15.75" customHeight="1">
      <c r="A520" s="8"/>
      <c r="B520" s="8"/>
      <c r="C520" s="8"/>
      <c r="D520" s="8"/>
      <c r="E520" s="2"/>
      <c r="F520" s="8"/>
      <c r="G520" s="8"/>
      <c r="H520" s="8"/>
      <c r="I520" s="8"/>
      <c r="J520" s="8"/>
      <c r="K520" s="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"/>
    </row>
    <row r="521" ht="15.75" customHeight="1">
      <c r="A521" s="8"/>
      <c r="B521" s="8"/>
      <c r="C521" s="8"/>
      <c r="D521" s="8"/>
      <c r="E521" s="2"/>
      <c r="F521" s="8"/>
      <c r="G521" s="8"/>
      <c r="H521" s="8"/>
      <c r="I521" s="8"/>
      <c r="J521" s="8"/>
      <c r="K521" s="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"/>
    </row>
    <row r="522" ht="15.75" customHeight="1">
      <c r="A522" s="8"/>
      <c r="B522" s="8"/>
      <c r="C522" s="8"/>
      <c r="D522" s="8"/>
      <c r="E522" s="2"/>
      <c r="F522" s="8"/>
      <c r="G522" s="8"/>
      <c r="H522" s="8"/>
      <c r="I522" s="8"/>
      <c r="J522" s="8"/>
      <c r="K522" s="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"/>
    </row>
    <row r="523" ht="15.75" customHeight="1">
      <c r="A523" s="8"/>
      <c r="B523" s="8"/>
      <c r="C523" s="8"/>
      <c r="D523" s="8"/>
      <c r="E523" s="2"/>
      <c r="F523" s="8"/>
      <c r="G523" s="8"/>
      <c r="H523" s="8"/>
      <c r="I523" s="8"/>
      <c r="J523" s="8"/>
      <c r="K523" s="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"/>
    </row>
    <row r="524" ht="15.75" customHeight="1">
      <c r="A524" s="8"/>
      <c r="B524" s="8"/>
      <c r="C524" s="8"/>
      <c r="D524" s="8"/>
      <c r="E524" s="2"/>
      <c r="F524" s="8"/>
      <c r="G524" s="8"/>
      <c r="H524" s="8"/>
      <c r="I524" s="8"/>
      <c r="J524" s="8"/>
      <c r="K524" s="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"/>
    </row>
    <row r="525" ht="15.75" customHeight="1">
      <c r="A525" s="8"/>
      <c r="B525" s="8"/>
      <c r="C525" s="8"/>
      <c r="D525" s="8"/>
      <c r="E525" s="2"/>
      <c r="F525" s="8"/>
      <c r="G525" s="8"/>
      <c r="H525" s="8"/>
      <c r="I525" s="8"/>
      <c r="J525" s="8"/>
      <c r="K525" s="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"/>
    </row>
    <row r="526" ht="15.75" customHeight="1">
      <c r="A526" s="8"/>
      <c r="B526" s="8"/>
      <c r="C526" s="8"/>
      <c r="D526" s="8"/>
      <c r="E526" s="2"/>
      <c r="F526" s="8"/>
      <c r="G526" s="8"/>
      <c r="H526" s="8"/>
      <c r="I526" s="8"/>
      <c r="J526" s="8"/>
      <c r="K526" s="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"/>
    </row>
    <row r="527" ht="15.75" customHeight="1">
      <c r="A527" s="8"/>
      <c r="B527" s="8"/>
      <c r="C527" s="8"/>
      <c r="D527" s="8"/>
      <c r="E527" s="2"/>
      <c r="F527" s="8"/>
      <c r="G527" s="8"/>
      <c r="H527" s="8"/>
      <c r="I527" s="8"/>
      <c r="J527" s="8"/>
      <c r="K527" s="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"/>
    </row>
    <row r="528" ht="15.75" customHeight="1">
      <c r="A528" s="8"/>
      <c r="B528" s="8"/>
      <c r="C528" s="8"/>
      <c r="D528" s="8"/>
      <c r="E528" s="2"/>
      <c r="F528" s="8"/>
      <c r="G528" s="8"/>
      <c r="H528" s="8"/>
      <c r="I528" s="8"/>
      <c r="J528" s="8"/>
      <c r="K528" s="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"/>
    </row>
    <row r="529" ht="15.75" customHeight="1">
      <c r="A529" s="8"/>
      <c r="B529" s="8"/>
      <c r="C529" s="8"/>
      <c r="D529" s="8"/>
      <c r="E529" s="2"/>
      <c r="F529" s="8"/>
      <c r="G529" s="8"/>
      <c r="H529" s="8"/>
      <c r="I529" s="8"/>
      <c r="J529" s="8"/>
      <c r="K529" s="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"/>
    </row>
    <row r="530" ht="15.75" customHeight="1">
      <c r="A530" s="8"/>
      <c r="B530" s="8"/>
      <c r="C530" s="8"/>
      <c r="D530" s="8"/>
      <c r="E530" s="2"/>
      <c r="F530" s="8"/>
      <c r="G530" s="8"/>
      <c r="H530" s="8"/>
      <c r="I530" s="8"/>
      <c r="J530" s="8"/>
      <c r="K530" s="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"/>
    </row>
    <row r="531" ht="15.75" customHeight="1">
      <c r="A531" s="8"/>
      <c r="B531" s="8"/>
      <c r="C531" s="8"/>
      <c r="D531" s="8"/>
      <c r="E531" s="2"/>
      <c r="F531" s="8"/>
      <c r="G531" s="8"/>
      <c r="H531" s="8"/>
      <c r="I531" s="8"/>
      <c r="J531" s="8"/>
      <c r="K531" s="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"/>
    </row>
    <row r="532" ht="15.75" customHeight="1">
      <c r="A532" s="8"/>
      <c r="B532" s="8"/>
      <c r="C532" s="8"/>
      <c r="D532" s="8"/>
      <c r="E532" s="2"/>
      <c r="F532" s="8"/>
      <c r="G532" s="8"/>
      <c r="H532" s="8"/>
      <c r="I532" s="8"/>
      <c r="J532" s="8"/>
      <c r="K532" s="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"/>
    </row>
    <row r="533" ht="15.75" customHeight="1">
      <c r="A533" s="8"/>
      <c r="B533" s="8"/>
      <c r="C533" s="8"/>
      <c r="D533" s="8"/>
      <c r="E533" s="2"/>
      <c r="F533" s="8"/>
      <c r="G533" s="8"/>
      <c r="H533" s="8"/>
      <c r="I533" s="8"/>
      <c r="J533" s="8"/>
      <c r="K533" s="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"/>
    </row>
    <row r="534" ht="15.75" customHeight="1">
      <c r="A534" s="8"/>
      <c r="B534" s="8"/>
      <c r="C534" s="8"/>
      <c r="D534" s="8"/>
      <c r="E534" s="2"/>
      <c r="F534" s="8"/>
      <c r="G534" s="8"/>
      <c r="H534" s="8"/>
      <c r="I534" s="8"/>
      <c r="J534" s="8"/>
      <c r="K534" s="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"/>
    </row>
    <row r="535" ht="15.75" customHeight="1">
      <c r="A535" s="8"/>
      <c r="B535" s="8"/>
      <c r="C535" s="8"/>
      <c r="D535" s="8"/>
      <c r="E535" s="2"/>
      <c r="F535" s="8"/>
      <c r="G535" s="8"/>
      <c r="H535" s="8"/>
      <c r="I535" s="8"/>
      <c r="J535" s="8"/>
      <c r="K535" s="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"/>
    </row>
    <row r="536" ht="15.75" customHeight="1">
      <c r="A536" s="8"/>
      <c r="B536" s="8"/>
      <c r="C536" s="8"/>
      <c r="D536" s="8"/>
      <c r="E536" s="2"/>
      <c r="F536" s="8"/>
      <c r="G536" s="8"/>
      <c r="H536" s="8"/>
      <c r="I536" s="8"/>
      <c r="J536" s="8"/>
      <c r="K536" s="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"/>
    </row>
    <row r="537" ht="15.75" customHeight="1">
      <c r="A537" s="8"/>
      <c r="B537" s="8"/>
      <c r="C537" s="8"/>
      <c r="D537" s="8"/>
      <c r="E537" s="2"/>
      <c r="F537" s="8"/>
      <c r="G537" s="8"/>
      <c r="H537" s="8"/>
      <c r="I537" s="8"/>
      <c r="J537" s="8"/>
      <c r="K537" s="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"/>
    </row>
    <row r="538" ht="15.75" customHeight="1">
      <c r="A538" s="8"/>
      <c r="B538" s="8"/>
      <c r="C538" s="8"/>
      <c r="D538" s="8"/>
      <c r="E538" s="2"/>
      <c r="F538" s="8"/>
      <c r="G538" s="8"/>
      <c r="H538" s="8"/>
      <c r="I538" s="8"/>
      <c r="J538" s="8"/>
      <c r="K538" s="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"/>
    </row>
    <row r="539" ht="15.75" customHeight="1">
      <c r="A539" s="8"/>
      <c r="B539" s="8"/>
      <c r="C539" s="8"/>
      <c r="D539" s="8"/>
      <c r="E539" s="2"/>
      <c r="F539" s="8"/>
      <c r="G539" s="8"/>
      <c r="H539" s="8"/>
      <c r="I539" s="8"/>
      <c r="J539" s="8"/>
      <c r="K539" s="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"/>
    </row>
    <row r="540" ht="15.75" customHeight="1">
      <c r="A540" s="8"/>
      <c r="B540" s="8"/>
      <c r="C540" s="8"/>
      <c r="D540" s="8"/>
      <c r="E540" s="2"/>
      <c r="F540" s="8"/>
      <c r="G540" s="8"/>
      <c r="H540" s="8"/>
      <c r="I540" s="8"/>
      <c r="J540" s="8"/>
      <c r="K540" s="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"/>
    </row>
    <row r="541" ht="15.75" customHeight="1">
      <c r="A541" s="8"/>
      <c r="B541" s="8"/>
      <c r="C541" s="8"/>
      <c r="D541" s="8"/>
      <c r="E541" s="2"/>
      <c r="F541" s="8"/>
      <c r="G541" s="8"/>
      <c r="H541" s="8"/>
      <c r="I541" s="8"/>
      <c r="J541" s="8"/>
      <c r="K541" s="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"/>
    </row>
    <row r="542" ht="15.75" customHeight="1">
      <c r="A542" s="8"/>
      <c r="B542" s="8"/>
      <c r="C542" s="8"/>
      <c r="D542" s="8"/>
      <c r="E542" s="2"/>
      <c r="F542" s="8"/>
      <c r="G542" s="8"/>
      <c r="H542" s="8"/>
      <c r="I542" s="8"/>
      <c r="J542" s="8"/>
      <c r="K542" s="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"/>
    </row>
    <row r="543" ht="15.75" customHeight="1">
      <c r="A543" s="8"/>
      <c r="B543" s="8"/>
      <c r="C543" s="8"/>
      <c r="D543" s="8"/>
      <c r="E543" s="2"/>
      <c r="F543" s="8"/>
      <c r="G543" s="8"/>
      <c r="H543" s="8"/>
      <c r="I543" s="8"/>
      <c r="J543" s="8"/>
      <c r="K543" s="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"/>
    </row>
    <row r="544" ht="15.75" customHeight="1">
      <c r="A544" s="8"/>
      <c r="B544" s="8"/>
      <c r="C544" s="8"/>
      <c r="D544" s="8"/>
      <c r="E544" s="2"/>
      <c r="F544" s="8"/>
      <c r="G544" s="8"/>
      <c r="H544" s="8"/>
      <c r="I544" s="8"/>
      <c r="J544" s="8"/>
      <c r="K544" s="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"/>
    </row>
    <row r="545" ht="15.75" customHeight="1">
      <c r="A545" s="8"/>
      <c r="B545" s="8"/>
      <c r="C545" s="8"/>
      <c r="D545" s="8"/>
      <c r="E545" s="2"/>
      <c r="F545" s="8"/>
      <c r="G545" s="8"/>
      <c r="H545" s="8"/>
      <c r="I545" s="8"/>
      <c r="J545" s="8"/>
      <c r="K545" s="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"/>
    </row>
    <row r="546" ht="15.75" customHeight="1">
      <c r="A546" s="8"/>
      <c r="B546" s="8"/>
      <c r="C546" s="8"/>
      <c r="D546" s="8"/>
      <c r="E546" s="2"/>
      <c r="F546" s="8"/>
      <c r="G546" s="8"/>
      <c r="H546" s="8"/>
      <c r="I546" s="8"/>
      <c r="J546" s="8"/>
      <c r="K546" s="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"/>
    </row>
    <row r="547" ht="15.75" customHeight="1">
      <c r="A547" s="8"/>
      <c r="B547" s="8"/>
      <c r="C547" s="8"/>
      <c r="D547" s="8"/>
      <c r="E547" s="2"/>
      <c r="F547" s="8"/>
      <c r="G547" s="8"/>
      <c r="H547" s="8"/>
      <c r="I547" s="8"/>
      <c r="J547" s="8"/>
      <c r="K547" s="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"/>
    </row>
    <row r="548" ht="15.75" customHeight="1">
      <c r="A548" s="8"/>
      <c r="B548" s="8"/>
      <c r="C548" s="8"/>
      <c r="D548" s="8"/>
      <c r="E548" s="2"/>
      <c r="F548" s="8"/>
      <c r="G548" s="8"/>
      <c r="H548" s="8"/>
      <c r="I548" s="8"/>
      <c r="J548" s="8"/>
      <c r="K548" s="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"/>
    </row>
    <row r="549" ht="15.75" customHeight="1">
      <c r="A549" s="8"/>
      <c r="B549" s="8"/>
      <c r="C549" s="8"/>
      <c r="D549" s="8"/>
      <c r="E549" s="2"/>
      <c r="F549" s="8"/>
      <c r="G549" s="8"/>
      <c r="H549" s="8"/>
      <c r="I549" s="8"/>
      <c r="J549" s="8"/>
      <c r="K549" s="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"/>
    </row>
    <row r="550" ht="15.75" customHeight="1">
      <c r="A550" s="8"/>
      <c r="B550" s="8"/>
      <c r="C550" s="8"/>
      <c r="D550" s="8"/>
      <c r="E550" s="2"/>
      <c r="F550" s="8"/>
      <c r="G550" s="8"/>
      <c r="H550" s="8"/>
      <c r="I550" s="8"/>
      <c r="J550" s="8"/>
      <c r="K550" s="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"/>
    </row>
    <row r="551" ht="15.75" customHeight="1">
      <c r="A551" s="8"/>
      <c r="B551" s="8"/>
      <c r="C551" s="8"/>
      <c r="D551" s="8"/>
      <c r="E551" s="2"/>
      <c r="F551" s="8"/>
      <c r="G551" s="8"/>
      <c r="H551" s="8"/>
      <c r="I551" s="8"/>
      <c r="J551" s="8"/>
      <c r="K551" s="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"/>
    </row>
    <row r="552" ht="15.75" customHeight="1">
      <c r="A552" s="8"/>
      <c r="B552" s="8"/>
      <c r="C552" s="8"/>
      <c r="D552" s="8"/>
      <c r="E552" s="2"/>
      <c r="F552" s="8"/>
      <c r="G552" s="8"/>
      <c r="H552" s="8"/>
      <c r="I552" s="8"/>
      <c r="J552" s="8"/>
      <c r="K552" s="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"/>
    </row>
    <row r="553" ht="15.75" customHeight="1">
      <c r="A553" s="8"/>
      <c r="B553" s="8"/>
      <c r="C553" s="8"/>
      <c r="D553" s="8"/>
      <c r="E553" s="2"/>
      <c r="F553" s="8"/>
      <c r="G553" s="8"/>
      <c r="H553" s="8"/>
      <c r="I553" s="8"/>
      <c r="J553" s="8"/>
      <c r="K553" s="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"/>
    </row>
    <row r="554" ht="15.75" customHeight="1">
      <c r="A554" s="8"/>
      <c r="B554" s="8"/>
      <c r="C554" s="8"/>
      <c r="D554" s="8"/>
      <c r="E554" s="2"/>
      <c r="F554" s="8"/>
      <c r="G554" s="8"/>
      <c r="H554" s="8"/>
      <c r="I554" s="8"/>
      <c r="J554" s="8"/>
      <c r="K554" s="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"/>
    </row>
    <row r="555" ht="15.75" customHeight="1">
      <c r="A555" s="8"/>
      <c r="B555" s="8"/>
      <c r="C555" s="8"/>
      <c r="D555" s="8"/>
      <c r="E555" s="2"/>
      <c r="F555" s="8"/>
      <c r="G555" s="8"/>
      <c r="H555" s="8"/>
      <c r="I555" s="8"/>
      <c r="J555" s="8"/>
      <c r="K555" s="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"/>
    </row>
    <row r="556" ht="15.75" customHeight="1">
      <c r="A556" s="8"/>
      <c r="B556" s="8"/>
      <c r="C556" s="8"/>
      <c r="D556" s="8"/>
      <c r="E556" s="2"/>
      <c r="F556" s="8"/>
      <c r="G556" s="8"/>
      <c r="H556" s="8"/>
      <c r="I556" s="8"/>
      <c r="J556" s="8"/>
      <c r="K556" s="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"/>
    </row>
    <row r="557" ht="15.75" customHeight="1">
      <c r="A557" s="8"/>
      <c r="B557" s="8"/>
      <c r="C557" s="8"/>
      <c r="D557" s="8"/>
      <c r="E557" s="2"/>
      <c r="F557" s="8"/>
      <c r="G557" s="8"/>
      <c r="H557" s="8"/>
      <c r="I557" s="8"/>
      <c r="J557" s="8"/>
      <c r="K557" s="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"/>
    </row>
    <row r="558" ht="15.75" customHeight="1">
      <c r="A558" s="8"/>
      <c r="B558" s="8"/>
      <c r="C558" s="8"/>
      <c r="D558" s="8"/>
      <c r="E558" s="2"/>
      <c r="F558" s="8"/>
      <c r="G558" s="8"/>
      <c r="H558" s="8"/>
      <c r="I558" s="8"/>
      <c r="J558" s="8"/>
      <c r="K558" s="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"/>
    </row>
    <row r="559" ht="15.75" customHeight="1">
      <c r="A559" s="8"/>
      <c r="B559" s="8"/>
      <c r="C559" s="8"/>
      <c r="D559" s="8"/>
      <c r="E559" s="2"/>
      <c r="F559" s="8"/>
      <c r="G559" s="8"/>
      <c r="H559" s="8"/>
      <c r="I559" s="8"/>
      <c r="J559" s="8"/>
      <c r="K559" s="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"/>
    </row>
    <row r="560" ht="15.75" customHeight="1">
      <c r="A560" s="8"/>
      <c r="B560" s="8"/>
      <c r="C560" s="8"/>
      <c r="D560" s="8"/>
      <c r="E560" s="2"/>
      <c r="F560" s="8"/>
      <c r="G560" s="8"/>
      <c r="H560" s="8"/>
      <c r="I560" s="8"/>
      <c r="J560" s="8"/>
      <c r="K560" s="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"/>
    </row>
    <row r="561" ht="15.75" customHeight="1">
      <c r="A561" s="8"/>
      <c r="B561" s="8"/>
      <c r="C561" s="8"/>
      <c r="D561" s="8"/>
      <c r="E561" s="2"/>
      <c r="F561" s="8"/>
      <c r="G561" s="8"/>
      <c r="H561" s="8"/>
      <c r="I561" s="8"/>
      <c r="J561" s="8"/>
      <c r="K561" s="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"/>
    </row>
    <row r="562" ht="15.75" customHeight="1">
      <c r="A562" s="8"/>
      <c r="B562" s="8"/>
      <c r="C562" s="8"/>
      <c r="D562" s="8"/>
      <c r="E562" s="2"/>
      <c r="F562" s="8"/>
      <c r="G562" s="8"/>
      <c r="H562" s="8"/>
      <c r="I562" s="8"/>
      <c r="J562" s="8"/>
      <c r="K562" s="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"/>
    </row>
    <row r="563" ht="15.75" customHeight="1">
      <c r="A563" s="8"/>
      <c r="B563" s="8"/>
      <c r="C563" s="8"/>
      <c r="D563" s="8"/>
      <c r="E563" s="2"/>
      <c r="F563" s="8"/>
      <c r="G563" s="8"/>
      <c r="H563" s="8"/>
      <c r="I563" s="8"/>
      <c r="J563" s="8"/>
      <c r="K563" s="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"/>
    </row>
    <row r="564" ht="15.75" customHeight="1">
      <c r="A564" s="8"/>
      <c r="B564" s="8"/>
      <c r="C564" s="8"/>
      <c r="D564" s="8"/>
      <c r="E564" s="2"/>
      <c r="F564" s="8"/>
      <c r="G564" s="8"/>
      <c r="H564" s="8"/>
      <c r="I564" s="8"/>
      <c r="J564" s="8"/>
      <c r="K564" s="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"/>
    </row>
    <row r="565" ht="15.75" customHeight="1">
      <c r="A565" s="8"/>
      <c r="B565" s="8"/>
      <c r="C565" s="8"/>
      <c r="D565" s="8"/>
      <c r="E565" s="2"/>
      <c r="F565" s="8"/>
      <c r="G565" s="8"/>
      <c r="H565" s="8"/>
      <c r="I565" s="8"/>
      <c r="J565" s="8"/>
      <c r="K565" s="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"/>
    </row>
    <row r="566" ht="15.75" customHeight="1">
      <c r="A566" s="8"/>
      <c r="B566" s="8"/>
      <c r="C566" s="8"/>
      <c r="D566" s="8"/>
      <c r="E566" s="2"/>
      <c r="F566" s="8"/>
      <c r="G566" s="8"/>
      <c r="H566" s="8"/>
      <c r="I566" s="8"/>
      <c r="J566" s="8"/>
      <c r="K566" s="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"/>
    </row>
    <row r="567" ht="15.75" customHeight="1">
      <c r="A567" s="8"/>
      <c r="B567" s="8"/>
      <c r="C567" s="8"/>
      <c r="D567" s="8"/>
      <c r="E567" s="2"/>
      <c r="F567" s="8"/>
      <c r="G567" s="8"/>
      <c r="H567" s="8"/>
      <c r="I567" s="8"/>
      <c r="J567" s="8"/>
      <c r="K567" s="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"/>
    </row>
    <row r="568" ht="15.75" customHeight="1">
      <c r="A568" s="8"/>
      <c r="B568" s="8"/>
      <c r="C568" s="8"/>
      <c r="D568" s="8"/>
      <c r="E568" s="2"/>
      <c r="F568" s="8"/>
      <c r="G568" s="8"/>
      <c r="H568" s="8"/>
      <c r="I568" s="8"/>
      <c r="J568" s="8"/>
      <c r="K568" s="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"/>
    </row>
    <row r="569" ht="15.75" customHeight="1">
      <c r="A569" s="8"/>
      <c r="B569" s="8"/>
      <c r="C569" s="8"/>
      <c r="D569" s="8"/>
      <c r="E569" s="2"/>
      <c r="F569" s="8"/>
      <c r="G569" s="8"/>
      <c r="H569" s="8"/>
      <c r="I569" s="8"/>
      <c r="J569" s="8"/>
      <c r="K569" s="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"/>
    </row>
    <row r="570" ht="15.75" customHeight="1">
      <c r="A570" s="8"/>
      <c r="B570" s="8"/>
      <c r="C570" s="8"/>
      <c r="D570" s="8"/>
      <c r="E570" s="2"/>
      <c r="F570" s="8"/>
      <c r="G570" s="8"/>
      <c r="H570" s="8"/>
      <c r="I570" s="8"/>
      <c r="J570" s="8"/>
      <c r="K570" s="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"/>
    </row>
    <row r="571" ht="15.75" customHeight="1">
      <c r="A571" s="8"/>
      <c r="B571" s="8"/>
      <c r="C571" s="8"/>
      <c r="D571" s="8"/>
      <c r="E571" s="2"/>
      <c r="F571" s="8"/>
      <c r="G571" s="8"/>
      <c r="H571" s="8"/>
      <c r="I571" s="8"/>
      <c r="J571" s="8"/>
      <c r="K571" s="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"/>
    </row>
    <row r="572" ht="15.75" customHeight="1">
      <c r="A572" s="8"/>
      <c r="B572" s="8"/>
      <c r="C572" s="8"/>
      <c r="D572" s="8"/>
      <c r="E572" s="2"/>
      <c r="F572" s="8"/>
      <c r="G572" s="8"/>
      <c r="H572" s="8"/>
      <c r="I572" s="8"/>
      <c r="J572" s="8"/>
      <c r="K572" s="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"/>
    </row>
    <row r="573" ht="15.75" customHeight="1">
      <c r="A573" s="8"/>
      <c r="B573" s="8"/>
      <c r="C573" s="8"/>
      <c r="D573" s="8"/>
      <c r="E573" s="2"/>
      <c r="F573" s="8"/>
      <c r="G573" s="8"/>
      <c r="H573" s="8"/>
      <c r="I573" s="8"/>
      <c r="J573" s="8"/>
      <c r="K573" s="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"/>
    </row>
    <row r="574" ht="15.75" customHeight="1">
      <c r="A574" s="8"/>
      <c r="B574" s="8"/>
      <c r="C574" s="8"/>
      <c r="D574" s="8"/>
      <c r="E574" s="2"/>
      <c r="F574" s="8"/>
      <c r="G574" s="8"/>
      <c r="H574" s="8"/>
      <c r="I574" s="8"/>
      <c r="J574" s="8"/>
      <c r="K574" s="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"/>
    </row>
    <row r="575" ht="15.75" customHeight="1">
      <c r="A575" s="8"/>
      <c r="B575" s="8"/>
      <c r="C575" s="8"/>
      <c r="D575" s="8"/>
      <c r="E575" s="2"/>
      <c r="F575" s="8"/>
      <c r="G575" s="8"/>
      <c r="H575" s="8"/>
      <c r="I575" s="8"/>
      <c r="J575" s="8"/>
      <c r="K575" s="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"/>
    </row>
    <row r="576" ht="15.75" customHeight="1">
      <c r="A576" s="8"/>
      <c r="B576" s="8"/>
      <c r="C576" s="8"/>
      <c r="D576" s="8"/>
      <c r="E576" s="2"/>
      <c r="F576" s="8"/>
      <c r="G576" s="8"/>
      <c r="H576" s="8"/>
      <c r="I576" s="8"/>
      <c r="J576" s="8"/>
      <c r="K576" s="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"/>
    </row>
    <row r="577" ht="15.75" customHeight="1">
      <c r="A577" s="8"/>
      <c r="B577" s="8"/>
      <c r="C577" s="8"/>
      <c r="D577" s="8"/>
      <c r="E577" s="2"/>
      <c r="F577" s="8"/>
      <c r="G577" s="8"/>
      <c r="H577" s="8"/>
      <c r="I577" s="8"/>
      <c r="J577" s="8"/>
      <c r="K577" s="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"/>
    </row>
    <row r="578" ht="15.75" customHeight="1">
      <c r="A578" s="8"/>
      <c r="B578" s="8"/>
      <c r="C578" s="8"/>
      <c r="D578" s="8"/>
      <c r="E578" s="2"/>
      <c r="F578" s="8"/>
      <c r="G578" s="8"/>
      <c r="H578" s="8"/>
      <c r="I578" s="8"/>
      <c r="J578" s="8"/>
      <c r="K578" s="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"/>
    </row>
    <row r="579" ht="15.75" customHeight="1">
      <c r="A579" s="8"/>
      <c r="B579" s="8"/>
      <c r="C579" s="8"/>
      <c r="D579" s="8"/>
      <c r="E579" s="2"/>
      <c r="F579" s="8"/>
      <c r="G579" s="8"/>
      <c r="H579" s="8"/>
      <c r="I579" s="8"/>
      <c r="J579" s="8"/>
      <c r="K579" s="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"/>
    </row>
    <row r="580" ht="15.75" customHeight="1">
      <c r="A580" s="8"/>
      <c r="B580" s="8"/>
      <c r="C580" s="8"/>
      <c r="D580" s="8"/>
      <c r="E580" s="2"/>
      <c r="F580" s="8"/>
      <c r="G580" s="8"/>
      <c r="H580" s="8"/>
      <c r="I580" s="8"/>
      <c r="J580" s="8"/>
      <c r="K580" s="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"/>
    </row>
    <row r="581" ht="15.75" customHeight="1">
      <c r="A581" s="8"/>
      <c r="B581" s="8"/>
      <c r="C581" s="8"/>
      <c r="D581" s="8"/>
      <c r="E581" s="2"/>
      <c r="F581" s="8"/>
      <c r="G581" s="8"/>
      <c r="H581" s="8"/>
      <c r="I581" s="8"/>
      <c r="J581" s="8"/>
      <c r="K581" s="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"/>
    </row>
    <row r="582" ht="15.75" customHeight="1">
      <c r="A582" s="8"/>
      <c r="B582" s="8"/>
      <c r="C582" s="8"/>
      <c r="D582" s="8"/>
      <c r="E582" s="2"/>
      <c r="F582" s="8"/>
      <c r="G582" s="8"/>
      <c r="H582" s="8"/>
      <c r="I582" s="8"/>
      <c r="J582" s="8"/>
      <c r="K582" s="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"/>
    </row>
    <row r="583" ht="15.75" customHeight="1">
      <c r="A583" s="8"/>
      <c r="B583" s="8"/>
      <c r="C583" s="8"/>
      <c r="D583" s="8"/>
      <c r="E583" s="2"/>
      <c r="F583" s="8"/>
      <c r="G583" s="8"/>
      <c r="H583" s="8"/>
      <c r="I583" s="8"/>
      <c r="J583" s="8"/>
      <c r="K583" s="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"/>
    </row>
    <row r="584" ht="15.75" customHeight="1">
      <c r="A584" s="8"/>
      <c r="B584" s="8"/>
      <c r="C584" s="8"/>
      <c r="D584" s="8"/>
      <c r="E584" s="2"/>
      <c r="F584" s="8"/>
      <c r="G584" s="8"/>
      <c r="H584" s="8"/>
      <c r="I584" s="8"/>
      <c r="J584" s="8"/>
      <c r="K584" s="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"/>
    </row>
    <row r="585" ht="15.75" customHeight="1">
      <c r="A585" s="8"/>
      <c r="B585" s="8"/>
      <c r="C585" s="8"/>
      <c r="D585" s="8"/>
      <c r="E585" s="2"/>
      <c r="F585" s="8"/>
      <c r="G585" s="8"/>
      <c r="H585" s="8"/>
      <c r="I585" s="8"/>
      <c r="J585" s="8"/>
      <c r="K585" s="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"/>
    </row>
    <row r="586" ht="15.75" customHeight="1">
      <c r="A586" s="8"/>
      <c r="B586" s="8"/>
      <c r="C586" s="8"/>
      <c r="D586" s="8"/>
      <c r="E586" s="2"/>
      <c r="F586" s="8"/>
      <c r="G586" s="8"/>
      <c r="H586" s="8"/>
      <c r="I586" s="8"/>
      <c r="J586" s="8"/>
      <c r="K586" s="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"/>
    </row>
    <row r="587" ht="15.75" customHeight="1">
      <c r="A587" s="8"/>
      <c r="B587" s="8"/>
      <c r="C587" s="8"/>
      <c r="D587" s="8"/>
      <c r="E587" s="2"/>
      <c r="F587" s="8"/>
      <c r="G587" s="8"/>
      <c r="H587" s="8"/>
      <c r="I587" s="8"/>
      <c r="J587" s="8"/>
      <c r="K587" s="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"/>
    </row>
    <row r="588" ht="15.75" customHeight="1">
      <c r="A588" s="8"/>
      <c r="B588" s="8"/>
      <c r="C588" s="8"/>
      <c r="D588" s="8"/>
      <c r="E588" s="2"/>
      <c r="F588" s="8"/>
      <c r="G588" s="8"/>
      <c r="H588" s="8"/>
      <c r="I588" s="8"/>
      <c r="J588" s="8"/>
      <c r="K588" s="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"/>
    </row>
    <row r="589" ht="15.75" customHeight="1">
      <c r="A589" s="8"/>
      <c r="B589" s="8"/>
      <c r="C589" s="8"/>
      <c r="D589" s="8"/>
      <c r="E589" s="2"/>
      <c r="F589" s="8"/>
      <c r="G589" s="8"/>
      <c r="H589" s="8"/>
      <c r="I589" s="8"/>
      <c r="J589" s="8"/>
      <c r="K589" s="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"/>
    </row>
    <row r="590" ht="15.75" customHeight="1">
      <c r="A590" s="8"/>
      <c r="B590" s="8"/>
      <c r="C590" s="8"/>
      <c r="D590" s="8"/>
      <c r="E590" s="2"/>
      <c r="F590" s="8"/>
      <c r="G590" s="8"/>
      <c r="H590" s="8"/>
      <c r="I590" s="8"/>
      <c r="J590" s="8"/>
      <c r="K590" s="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"/>
    </row>
    <row r="591" ht="15.75" customHeight="1">
      <c r="A591" s="8"/>
      <c r="B591" s="8"/>
      <c r="C591" s="8"/>
      <c r="D591" s="8"/>
      <c r="E591" s="2"/>
      <c r="F591" s="8"/>
      <c r="G591" s="8"/>
      <c r="H591" s="8"/>
      <c r="I591" s="8"/>
      <c r="J591" s="8"/>
      <c r="K591" s="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"/>
    </row>
    <row r="592" ht="15.75" customHeight="1">
      <c r="A592" s="8"/>
      <c r="B592" s="8"/>
      <c r="C592" s="8"/>
      <c r="D592" s="8"/>
      <c r="E592" s="2"/>
      <c r="F592" s="8"/>
      <c r="G592" s="8"/>
      <c r="H592" s="8"/>
      <c r="I592" s="8"/>
      <c r="J592" s="8"/>
      <c r="K592" s="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"/>
    </row>
    <row r="593" ht="15.75" customHeight="1">
      <c r="A593" s="8"/>
      <c r="B593" s="8"/>
      <c r="C593" s="8"/>
      <c r="D593" s="8"/>
      <c r="E593" s="2"/>
      <c r="F593" s="8"/>
      <c r="G593" s="8"/>
      <c r="H593" s="8"/>
      <c r="I593" s="8"/>
      <c r="J593" s="8"/>
      <c r="K593" s="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"/>
    </row>
    <row r="594" ht="15.75" customHeight="1">
      <c r="A594" s="8"/>
      <c r="B594" s="8"/>
      <c r="C594" s="8"/>
      <c r="D594" s="8"/>
      <c r="E594" s="2"/>
      <c r="F594" s="8"/>
      <c r="G594" s="8"/>
      <c r="H594" s="8"/>
      <c r="I594" s="8"/>
      <c r="J594" s="8"/>
      <c r="K594" s="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"/>
    </row>
    <row r="595" ht="15.75" customHeight="1">
      <c r="A595" s="8"/>
      <c r="B595" s="8"/>
      <c r="C595" s="8"/>
      <c r="D595" s="8"/>
      <c r="E595" s="2"/>
      <c r="F595" s="8"/>
      <c r="G595" s="8"/>
      <c r="H595" s="8"/>
      <c r="I595" s="8"/>
      <c r="J595" s="8"/>
      <c r="K595" s="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"/>
    </row>
    <row r="596" ht="15.75" customHeight="1">
      <c r="A596" s="8"/>
      <c r="B596" s="8"/>
      <c r="C596" s="8"/>
      <c r="D596" s="8"/>
      <c r="E596" s="2"/>
      <c r="F596" s="8"/>
      <c r="G596" s="8"/>
      <c r="H596" s="8"/>
      <c r="I596" s="8"/>
      <c r="J596" s="8"/>
      <c r="K596" s="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"/>
    </row>
    <row r="597" ht="15.75" customHeight="1">
      <c r="A597" s="8"/>
      <c r="B597" s="8"/>
      <c r="C597" s="8"/>
      <c r="D597" s="8"/>
      <c r="E597" s="2"/>
      <c r="F597" s="8"/>
      <c r="G597" s="8"/>
      <c r="H597" s="8"/>
      <c r="I597" s="8"/>
      <c r="J597" s="8"/>
      <c r="K597" s="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"/>
    </row>
    <row r="598" ht="15.75" customHeight="1">
      <c r="A598" s="8"/>
      <c r="B598" s="8"/>
      <c r="C598" s="8"/>
      <c r="D598" s="8"/>
      <c r="E598" s="2"/>
      <c r="F598" s="8"/>
      <c r="G598" s="8"/>
      <c r="H598" s="8"/>
      <c r="I598" s="8"/>
      <c r="J598" s="8"/>
      <c r="K598" s="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"/>
    </row>
    <row r="599" ht="15.75" customHeight="1">
      <c r="A599" s="8"/>
      <c r="B599" s="8"/>
      <c r="C599" s="8"/>
      <c r="D599" s="8"/>
      <c r="E599" s="2"/>
      <c r="F599" s="8"/>
      <c r="G599" s="8"/>
      <c r="H599" s="8"/>
      <c r="I599" s="8"/>
      <c r="J599" s="8"/>
      <c r="K599" s="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"/>
    </row>
    <row r="600" ht="15.75" customHeight="1">
      <c r="A600" s="8"/>
      <c r="B600" s="8"/>
      <c r="C600" s="8"/>
      <c r="D600" s="8"/>
      <c r="E600" s="2"/>
      <c r="F600" s="8"/>
      <c r="G600" s="8"/>
      <c r="H600" s="8"/>
      <c r="I600" s="8"/>
      <c r="J600" s="8"/>
      <c r="K600" s="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"/>
    </row>
    <row r="601" ht="15.75" customHeight="1">
      <c r="A601" s="8"/>
      <c r="B601" s="8"/>
      <c r="C601" s="8"/>
      <c r="D601" s="8"/>
      <c r="E601" s="2"/>
      <c r="F601" s="8"/>
      <c r="G601" s="8"/>
      <c r="H601" s="8"/>
      <c r="I601" s="8"/>
      <c r="J601" s="8"/>
      <c r="K601" s="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"/>
    </row>
    <row r="602" ht="15.75" customHeight="1">
      <c r="A602" s="8"/>
      <c r="B602" s="8"/>
      <c r="C602" s="8"/>
      <c r="D602" s="8"/>
      <c r="E602" s="2"/>
      <c r="F602" s="8"/>
      <c r="G602" s="8"/>
      <c r="H602" s="8"/>
      <c r="I602" s="8"/>
      <c r="J602" s="8"/>
      <c r="K602" s="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"/>
    </row>
    <row r="603" ht="15.75" customHeight="1">
      <c r="A603" s="8"/>
      <c r="B603" s="8"/>
      <c r="C603" s="8"/>
      <c r="D603" s="8"/>
      <c r="E603" s="2"/>
      <c r="F603" s="8"/>
      <c r="G603" s="8"/>
      <c r="H603" s="8"/>
      <c r="I603" s="8"/>
      <c r="J603" s="8"/>
      <c r="K603" s="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"/>
    </row>
    <row r="604" ht="15.75" customHeight="1">
      <c r="A604" s="8"/>
      <c r="B604" s="8"/>
      <c r="C604" s="8"/>
      <c r="D604" s="8"/>
      <c r="E604" s="2"/>
      <c r="F604" s="8"/>
      <c r="G604" s="8"/>
      <c r="H604" s="8"/>
      <c r="I604" s="8"/>
      <c r="J604" s="8"/>
      <c r="K604" s="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"/>
    </row>
    <row r="605" ht="15.75" customHeight="1">
      <c r="A605" s="8"/>
      <c r="B605" s="8"/>
      <c r="C605" s="8"/>
      <c r="D605" s="8"/>
      <c r="E605" s="2"/>
      <c r="F605" s="8"/>
      <c r="G605" s="8"/>
      <c r="H605" s="8"/>
      <c r="I605" s="8"/>
      <c r="J605" s="8"/>
      <c r="K605" s="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"/>
    </row>
    <row r="606" ht="15.75" customHeight="1">
      <c r="A606" s="8"/>
      <c r="B606" s="8"/>
      <c r="C606" s="8"/>
      <c r="D606" s="8"/>
      <c r="E606" s="2"/>
      <c r="F606" s="8"/>
      <c r="G606" s="8"/>
      <c r="H606" s="8"/>
      <c r="I606" s="8"/>
      <c r="J606" s="8"/>
      <c r="K606" s="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"/>
    </row>
    <row r="607" ht="15.75" customHeight="1">
      <c r="A607" s="8"/>
      <c r="B607" s="8"/>
      <c r="C607" s="8"/>
      <c r="D607" s="8"/>
      <c r="E607" s="2"/>
      <c r="F607" s="8"/>
      <c r="G607" s="8"/>
      <c r="H607" s="8"/>
      <c r="I607" s="8"/>
      <c r="J607" s="8"/>
      <c r="K607" s="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"/>
    </row>
    <row r="608" ht="15.75" customHeight="1">
      <c r="A608" s="8"/>
      <c r="B608" s="8"/>
      <c r="C608" s="8"/>
      <c r="D608" s="8"/>
      <c r="E608" s="2"/>
      <c r="F608" s="8"/>
      <c r="G608" s="8"/>
      <c r="H608" s="8"/>
      <c r="I608" s="8"/>
      <c r="J608" s="8"/>
      <c r="K608" s="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"/>
    </row>
    <row r="609" ht="15.75" customHeight="1">
      <c r="A609" s="8"/>
      <c r="B609" s="8"/>
      <c r="C609" s="8"/>
      <c r="D609" s="8"/>
      <c r="E609" s="2"/>
      <c r="F609" s="8"/>
      <c r="G609" s="8"/>
      <c r="H609" s="8"/>
      <c r="I609" s="8"/>
      <c r="J609" s="8"/>
      <c r="K609" s="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"/>
    </row>
    <row r="610" ht="15.75" customHeight="1">
      <c r="A610" s="8"/>
      <c r="B610" s="8"/>
      <c r="C610" s="8"/>
      <c r="D610" s="8"/>
      <c r="E610" s="2"/>
      <c r="F610" s="8"/>
      <c r="G610" s="8"/>
      <c r="H610" s="8"/>
      <c r="I610" s="8"/>
      <c r="J610" s="8"/>
      <c r="K610" s="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"/>
    </row>
    <row r="611" ht="15.75" customHeight="1">
      <c r="A611" s="8"/>
      <c r="B611" s="8"/>
      <c r="C611" s="8"/>
      <c r="D611" s="8"/>
      <c r="E611" s="2"/>
      <c r="F611" s="8"/>
      <c r="G611" s="8"/>
      <c r="H611" s="8"/>
      <c r="I611" s="8"/>
      <c r="J611" s="8"/>
      <c r="K611" s="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"/>
    </row>
    <row r="612" ht="15.75" customHeight="1">
      <c r="A612" s="8"/>
      <c r="B612" s="8"/>
      <c r="C612" s="8"/>
      <c r="D612" s="8"/>
      <c r="E612" s="2"/>
      <c r="F612" s="8"/>
      <c r="G612" s="8"/>
      <c r="H612" s="8"/>
      <c r="I612" s="8"/>
      <c r="J612" s="8"/>
      <c r="K612" s="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"/>
    </row>
    <row r="613" ht="15.75" customHeight="1">
      <c r="A613" s="8"/>
      <c r="B613" s="8"/>
      <c r="C613" s="8"/>
      <c r="D613" s="8"/>
      <c r="E613" s="2"/>
      <c r="F613" s="8"/>
      <c r="G613" s="8"/>
      <c r="H613" s="8"/>
      <c r="I613" s="8"/>
      <c r="J613" s="8"/>
      <c r="K613" s="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"/>
    </row>
    <row r="614" ht="15.75" customHeight="1">
      <c r="A614" s="8"/>
      <c r="B614" s="8"/>
      <c r="C614" s="8"/>
      <c r="D614" s="8"/>
      <c r="E614" s="2"/>
      <c r="F614" s="8"/>
      <c r="G614" s="8"/>
      <c r="H614" s="8"/>
      <c r="I614" s="8"/>
      <c r="J614" s="8"/>
      <c r="K614" s="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"/>
    </row>
    <row r="615" ht="15.75" customHeight="1">
      <c r="A615" s="8"/>
      <c r="B615" s="8"/>
      <c r="C615" s="8"/>
      <c r="D615" s="8"/>
      <c r="E615" s="2"/>
      <c r="F615" s="8"/>
      <c r="G615" s="8"/>
      <c r="H615" s="8"/>
      <c r="I615" s="8"/>
      <c r="J615" s="8"/>
      <c r="K615" s="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"/>
    </row>
    <row r="616" ht="15.75" customHeight="1">
      <c r="A616" s="8"/>
      <c r="B616" s="8"/>
      <c r="C616" s="8"/>
      <c r="D616" s="8"/>
      <c r="E616" s="2"/>
      <c r="F616" s="8"/>
      <c r="G616" s="8"/>
      <c r="H616" s="8"/>
      <c r="I616" s="8"/>
      <c r="J616" s="8"/>
      <c r="K616" s="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"/>
    </row>
    <row r="617" ht="15.75" customHeight="1">
      <c r="A617" s="8"/>
      <c r="B617" s="8"/>
      <c r="C617" s="8"/>
      <c r="D617" s="8"/>
      <c r="E617" s="2"/>
      <c r="F617" s="8"/>
      <c r="G617" s="8"/>
      <c r="H617" s="8"/>
      <c r="I617" s="8"/>
      <c r="J617" s="8"/>
      <c r="K617" s="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"/>
    </row>
    <row r="618" ht="15.75" customHeight="1">
      <c r="A618" s="8"/>
      <c r="B618" s="8"/>
      <c r="C618" s="8"/>
      <c r="D618" s="8"/>
      <c r="E618" s="2"/>
      <c r="F618" s="8"/>
      <c r="G618" s="8"/>
      <c r="H618" s="8"/>
      <c r="I618" s="8"/>
      <c r="J618" s="8"/>
      <c r="K618" s="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"/>
    </row>
    <row r="619" ht="15.75" customHeight="1">
      <c r="A619" s="8"/>
      <c r="B619" s="8"/>
      <c r="C619" s="8"/>
      <c r="D619" s="8"/>
      <c r="E619" s="2"/>
      <c r="F619" s="8"/>
      <c r="G619" s="8"/>
      <c r="H619" s="8"/>
      <c r="I619" s="8"/>
      <c r="J619" s="8"/>
      <c r="K619" s="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"/>
    </row>
    <row r="620" ht="15.75" customHeight="1">
      <c r="A620" s="8"/>
      <c r="B620" s="8"/>
      <c r="C620" s="8"/>
      <c r="D620" s="8"/>
      <c r="E620" s="2"/>
      <c r="F620" s="8"/>
      <c r="G620" s="8"/>
      <c r="H620" s="8"/>
      <c r="I620" s="8"/>
      <c r="J620" s="8"/>
      <c r="K620" s="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"/>
    </row>
    <row r="621" ht="15.75" customHeight="1">
      <c r="A621" s="8"/>
      <c r="B621" s="8"/>
      <c r="C621" s="8"/>
      <c r="D621" s="8"/>
      <c r="E621" s="2"/>
      <c r="F621" s="8"/>
      <c r="G621" s="8"/>
      <c r="H621" s="8"/>
      <c r="I621" s="8"/>
      <c r="J621" s="8"/>
      <c r="K621" s="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"/>
    </row>
    <row r="622" ht="15.75" customHeight="1">
      <c r="A622" s="8"/>
      <c r="B622" s="8"/>
      <c r="C622" s="8"/>
      <c r="D622" s="8"/>
      <c r="E622" s="2"/>
      <c r="F622" s="8"/>
      <c r="G622" s="8"/>
      <c r="H622" s="8"/>
      <c r="I622" s="8"/>
      <c r="J622" s="8"/>
      <c r="K622" s="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"/>
    </row>
    <row r="623" ht="15.75" customHeight="1">
      <c r="A623" s="8"/>
      <c r="B623" s="8"/>
      <c r="C623" s="8"/>
      <c r="D623" s="8"/>
      <c r="E623" s="2"/>
      <c r="F623" s="8"/>
      <c r="G623" s="8"/>
      <c r="H623" s="8"/>
      <c r="I623" s="8"/>
      <c r="J623" s="8"/>
      <c r="K623" s="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"/>
    </row>
    <row r="624" ht="15.75" customHeight="1">
      <c r="A624" s="8"/>
      <c r="B624" s="8"/>
      <c r="C624" s="8"/>
      <c r="D624" s="8"/>
      <c r="E624" s="2"/>
      <c r="F624" s="8"/>
      <c r="G624" s="8"/>
      <c r="H624" s="8"/>
      <c r="I624" s="8"/>
      <c r="J624" s="8"/>
      <c r="K624" s="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"/>
    </row>
    <row r="625" ht="15.75" customHeight="1">
      <c r="A625" s="8"/>
      <c r="B625" s="8"/>
      <c r="C625" s="8"/>
      <c r="D625" s="8"/>
      <c r="E625" s="2"/>
      <c r="F625" s="8"/>
      <c r="G625" s="8"/>
      <c r="H625" s="8"/>
      <c r="I625" s="8"/>
      <c r="J625" s="8"/>
      <c r="K625" s="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"/>
    </row>
    <row r="626" ht="15.75" customHeight="1">
      <c r="A626" s="8"/>
      <c r="B626" s="8"/>
      <c r="C626" s="8"/>
      <c r="D626" s="8"/>
      <c r="E626" s="2"/>
      <c r="F626" s="8"/>
      <c r="G626" s="8"/>
      <c r="H626" s="8"/>
      <c r="I626" s="8"/>
      <c r="J626" s="8"/>
      <c r="K626" s="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"/>
    </row>
    <row r="627" ht="15.75" customHeight="1">
      <c r="A627" s="8"/>
      <c r="B627" s="8"/>
      <c r="C627" s="8"/>
      <c r="D627" s="8"/>
      <c r="E627" s="2"/>
      <c r="F627" s="8"/>
      <c r="G627" s="8"/>
      <c r="H627" s="8"/>
      <c r="I627" s="8"/>
      <c r="J627" s="8"/>
      <c r="K627" s="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"/>
    </row>
    <row r="628" ht="15.75" customHeight="1">
      <c r="A628" s="8"/>
      <c r="B628" s="8"/>
      <c r="C628" s="8"/>
      <c r="D628" s="8"/>
      <c r="E628" s="2"/>
      <c r="F628" s="8"/>
      <c r="G628" s="8"/>
      <c r="H628" s="8"/>
      <c r="I628" s="8"/>
      <c r="J628" s="8"/>
      <c r="K628" s="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"/>
    </row>
    <row r="629" ht="15.75" customHeight="1">
      <c r="A629" s="8"/>
      <c r="B629" s="8"/>
      <c r="C629" s="8"/>
      <c r="D629" s="8"/>
      <c r="E629" s="2"/>
      <c r="F629" s="8"/>
      <c r="G629" s="8"/>
      <c r="H629" s="8"/>
      <c r="I629" s="8"/>
      <c r="J629" s="8"/>
      <c r="K629" s="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"/>
    </row>
    <row r="630" ht="15.75" customHeight="1">
      <c r="A630" s="8"/>
      <c r="B630" s="8"/>
      <c r="C630" s="8"/>
      <c r="D630" s="8"/>
      <c r="E630" s="2"/>
      <c r="F630" s="8"/>
      <c r="G630" s="8"/>
      <c r="H630" s="8"/>
      <c r="I630" s="8"/>
      <c r="J630" s="8"/>
      <c r="K630" s="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"/>
    </row>
    <row r="631" ht="15.75" customHeight="1">
      <c r="A631" s="8"/>
      <c r="B631" s="8"/>
      <c r="C631" s="8"/>
      <c r="D631" s="8"/>
      <c r="E631" s="2"/>
      <c r="F631" s="8"/>
      <c r="G631" s="8"/>
      <c r="H631" s="8"/>
      <c r="I631" s="8"/>
      <c r="J631" s="8"/>
      <c r="K631" s="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"/>
    </row>
    <row r="632" ht="15.75" customHeight="1">
      <c r="A632" s="8"/>
      <c r="B632" s="8"/>
      <c r="C632" s="8"/>
      <c r="D632" s="8"/>
      <c r="E632" s="2"/>
      <c r="F632" s="8"/>
      <c r="G632" s="8"/>
      <c r="H632" s="8"/>
      <c r="I632" s="8"/>
      <c r="J632" s="8"/>
      <c r="K632" s="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"/>
    </row>
    <row r="633" ht="15.75" customHeight="1">
      <c r="A633" s="8"/>
      <c r="B633" s="8"/>
      <c r="C633" s="8"/>
      <c r="D633" s="8"/>
      <c r="E633" s="2"/>
      <c r="F633" s="8"/>
      <c r="G633" s="8"/>
      <c r="H633" s="8"/>
      <c r="I633" s="8"/>
      <c r="J633" s="8"/>
      <c r="K633" s="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"/>
    </row>
    <row r="634" ht="15.75" customHeight="1">
      <c r="A634" s="8"/>
      <c r="B634" s="8"/>
      <c r="C634" s="8"/>
      <c r="D634" s="8"/>
      <c r="E634" s="2"/>
      <c r="F634" s="8"/>
      <c r="G634" s="8"/>
      <c r="H634" s="8"/>
      <c r="I634" s="8"/>
      <c r="J634" s="8"/>
      <c r="K634" s="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"/>
    </row>
    <row r="635" ht="15.75" customHeight="1">
      <c r="A635" s="8"/>
      <c r="B635" s="8"/>
      <c r="C635" s="8"/>
      <c r="D635" s="8"/>
      <c r="E635" s="2"/>
      <c r="F635" s="8"/>
      <c r="G635" s="8"/>
      <c r="H635" s="8"/>
      <c r="I635" s="8"/>
      <c r="J635" s="8"/>
      <c r="K635" s="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"/>
    </row>
    <row r="636" ht="15.75" customHeight="1">
      <c r="A636" s="8"/>
      <c r="B636" s="8"/>
      <c r="C636" s="8"/>
      <c r="D636" s="8"/>
      <c r="E636" s="2"/>
      <c r="F636" s="8"/>
      <c r="G636" s="8"/>
      <c r="H636" s="8"/>
      <c r="I636" s="8"/>
      <c r="J636" s="8"/>
      <c r="K636" s="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"/>
    </row>
    <row r="637" ht="15.75" customHeight="1">
      <c r="A637" s="8"/>
      <c r="B637" s="8"/>
      <c r="C637" s="8"/>
      <c r="D637" s="8"/>
      <c r="E637" s="2"/>
      <c r="F637" s="8"/>
      <c r="G637" s="8"/>
      <c r="H637" s="8"/>
      <c r="I637" s="8"/>
      <c r="J637" s="8"/>
      <c r="K637" s="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"/>
    </row>
    <row r="638" ht="15.75" customHeight="1">
      <c r="A638" s="8"/>
      <c r="B638" s="8"/>
      <c r="C638" s="8"/>
      <c r="D638" s="8"/>
      <c r="E638" s="2"/>
      <c r="F638" s="8"/>
      <c r="G638" s="8"/>
      <c r="H638" s="8"/>
      <c r="I638" s="8"/>
      <c r="J638" s="8"/>
      <c r="K638" s="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"/>
    </row>
    <row r="639" ht="15.75" customHeight="1">
      <c r="A639" s="8"/>
      <c r="B639" s="8"/>
      <c r="C639" s="8"/>
      <c r="D639" s="8"/>
      <c r="E639" s="2"/>
      <c r="F639" s="8"/>
      <c r="G639" s="8"/>
      <c r="H639" s="8"/>
      <c r="I639" s="8"/>
      <c r="J639" s="8"/>
      <c r="K639" s="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"/>
    </row>
    <row r="640" ht="15.75" customHeight="1">
      <c r="A640" s="8"/>
      <c r="B640" s="8"/>
      <c r="C640" s="8"/>
      <c r="D640" s="8"/>
      <c r="E640" s="2"/>
      <c r="F640" s="8"/>
      <c r="G640" s="8"/>
      <c r="H640" s="8"/>
      <c r="I640" s="8"/>
      <c r="J640" s="8"/>
      <c r="K640" s="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"/>
    </row>
    <row r="641" ht="15.75" customHeight="1">
      <c r="A641" s="8"/>
      <c r="B641" s="8"/>
      <c r="C641" s="8"/>
      <c r="D641" s="8"/>
      <c r="E641" s="2"/>
      <c r="F641" s="8"/>
      <c r="G641" s="8"/>
      <c r="H641" s="8"/>
      <c r="I641" s="8"/>
      <c r="J641" s="8"/>
      <c r="K641" s="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"/>
    </row>
    <row r="642" ht="15.75" customHeight="1">
      <c r="A642" s="8"/>
      <c r="B642" s="8"/>
      <c r="C642" s="8"/>
      <c r="D642" s="8"/>
      <c r="E642" s="2"/>
      <c r="F642" s="8"/>
      <c r="G642" s="8"/>
      <c r="H642" s="8"/>
      <c r="I642" s="8"/>
      <c r="J642" s="8"/>
      <c r="K642" s="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"/>
    </row>
    <row r="643" ht="15.75" customHeight="1">
      <c r="A643" s="8"/>
      <c r="B643" s="8"/>
      <c r="C643" s="8"/>
      <c r="D643" s="8"/>
      <c r="E643" s="2"/>
      <c r="F643" s="8"/>
      <c r="G643" s="8"/>
      <c r="H643" s="8"/>
      <c r="I643" s="8"/>
      <c r="J643" s="8"/>
      <c r="K643" s="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"/>
    </row>
    <row r="644" ht="15.75" customHeight="1">
      <c r="A644" s="8"/>
      <c r="B644" s="8"/>
      <c r="C644" s="8"/>
      <c r="D644" s="8"/>
      <c r="E644" s="2"/>
      <c r="F644" s="8"/>
      <c r="G644" s="8"/>
      <c r="H644" s="8"/>
      <c r="I644" s="8"/>
      <c r="J644" s="8"/>
      <c r="K644" s="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"/>
    </row>
    <row r="645" ht="15.75" customHeight="1">
      <c r="A645" s="8"/>
      <c r="B645" s="8"/>
      <c r="C645" s="8"/>
      <c r="D645" s="8"/>
      <c r="E645" s="2"/>
      <c r="F645" s="8"/>
      <c r="G645" s="8"/>
      <c r="H645" s="8"/>
      <c r="I645" s="8"/>
      <c r="J645" s="8"/>
      <c r="K645" s="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"/>
    </row>
    <row r="646" ht="15.75" customHeight="1">
      <c r="A646" s="8"/>
      <c r="B646" s="8"/>
      <c r="C646" s="8"/>
      <c r="D646" s="8"/>
      <c r="E646" s="2"/>
      <c r="F646" s="8"/>
      <c r="G646" s="8"/>
      <c r="H646" s="8"/>
      <c r="I646" s="8"/>
      <c r="J646" s="8"/>
      <c r="K646" s="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"/>
    </row>
    <row r="647" ht="15.75" customHeight="1">
      <c r="A647" s="8"/>
      <c r="B647" s="8"/>
      <c r="C647" s="8"/>
      <c r="D647" s="8"/>
      <c r="E647" s="2"/>
      <c r="F647" s="8"/>
      <c r="G647" s="8"/>
      <c r="H647" s="8"/>
      <c r="I647" s="8"/>
      <c r="J647" s="8"/>
      <c r="K647" s="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"/>
    </row>
    <row r="648" ht="15.75" customHeight="1">
      <c r="A648" s="8"/>
      <c r="B648" s="8"/>
      <c r="C648" s="8"/>
      <c r="D648" s="8"/>
      <c r="E648" s="2"/>
      <c r="F648" s="8"/>
      <c r="G648" s="8"/>
      <c r="H648" s="8"/>
      <c r="I648" s="8"/>
      <c r="J648" s="8"/>
      <c r="K648" s="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"/>
    </row>
    <row r="649" ht="15.75" customHeight="1">
      <c r="A649" s="8"/>
      <c r="B649" s="8"/>
      <c r="C649" s="8"/>
      <c r="D649" s="8"/>
      <c r="E649" s="2"/>
      <c r="F649" s="8"/>
      <c r="G649" s="8"/>
      <c r="H649" s="8"/>
      <c r="I649" s="8"/>
      <c r="J649" s="8"/>
      <c r="K649" s="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"/>
    </row>
    <row r="650" ht="15.75" customHeight="1">
      <c r="A650" s="8"/>
      <c r="B650" s="8"/>
      <c r="C650" s="8"/>
      <c r="D650" s="8"/>
      <c r="E650" s="2"/>
      <c r="F650" s="8"/>
      <c r="G650" s="8"/>
      <c r="H650" s="8"/>
      <c r="I650" s="8"/>
      <c r="J650" s="8"/>
      <c r="K650" s="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"/>
    </row>
    <row r="651" ht="15.75" customHeight="1">
      <c r="A651" s="8"/>
      <c r="B651" s="8"/>
      <c r="C651" s="8"/>
      <c r="D651" s="8"/>
      <c r="E651" s="2"/>
      <c r="F651" s="8"/>
      <c r="G651" s="8"/>
      <c r="H651" s="8"/>
      <c r="I651" s="8"/>
      <c r="J651" s="8"/>
      <c r="K651" s="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"/>
    </row>
    <row r="652" ht="15.75" customHeight="1">
      <c r="A652" s="8"/>
      <c r="B652" s="8"/>
      <c r="C652" s="8"/>
      <c r="D652" s="8"/>
      <c r="E652" s="2"/>
      <c r="F652" s="8"/>
      <c r="G652" s="8"/>
      <c r="H652" s="8"/>
      <c r="I652" s="8"/>
      <c r="J652" s="8"/>
      <c r="K652" s="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"/>
    </row>
    <row r="653" ht="15.75" customHeight="1">
      <c r="A653" s="8"/>
      <c r="B653" s="8"/>
      <c r="C653" s="8"/>
      <c r="D653" s="8"/>
      <c r="E653" s="2"/>
      <c r="F653" s="8"/>
      <c r="G653" s="8"/>
      <c r="H653" s="8"/>
      <c r="I653" s="8"/>
      <c r="J653" s="8"/>
      <c r="K653" s="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"/>
    </row>
    <row r="654" ht="15.75" customHeight="1">
      <c r="A654" s="8"/>
      <c r="B654" s="8"/>
      <c r="C654" s="8"/>
      <c r="D654" s="8"/>
      <c r="E654" s="2"/>
      <c r="F654" s="8"/>
      <c r="G654" s="8"/>
      <c r="H654" s="8"/>
      <c r="I654" s="8"/>
      <c r="J654" s="8"/>
      <c r="K654" s="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"/>
    </row>
    <row r="655" ht="15.75" customHeight="1">
      <c r="A655" s="8"/>
      <c r="B655" s="8"/>
      <c r="C655" s="8"/>
      <c r="D655" s="8"/>
      <c r="E655" s="2"/>
      <c r="F655" s="8"/>
      <c r="G655" s="8"/>
      <c r="H655" s="8"/>
      <c r="I655" s="8"/>
      <c r="J655" s="8"/>
      <c r="K655" s="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"/>
    </row>
    <row r="656" ht="15.75" customHeight="1">
      <c r="A656" s="8"/>
      <c r="B656" s="8"/>
      <c r="C656" s="8"/>
      <c r="D656" s="8"/>
      <c r="E656" s="2"/>
      <c r="F656" s="8"/>
      <c r="G656" s="8"/>
      <c r="H656" s="8"/>
      <c r="I656" s="8"/>
      <c r="J656" s="8"/>
      <c r="K656" s="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"/>
    </row>
    <row r="657" ht="15.75" customHeight="1">
      <c r="A657" s="8"/>
      <c r="B657" s="8"/>
      <c r="C657" s="8"/>
      <c r="D657" s="8"/>
      <c r="E657" s="2"/>
      <c r="F657" s="8"/>
      <c r="G657" s="8"/>
      <c r="H657" s="8"/>
      <c r="I657" s="8"/>
      <c r="J657" s="8"/>
      <c r="K657" s="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"/>
    </row>
    <row r="658" ht="15.75" customHeight="1">
      <c r="A658" s="8"/>
      <c r="B658" s="8"/>
      <c r="C658" s="8"/>
      <c r="D658" s="8"/>
      <c r="E658" s="2"/>
      <c r="F658" s="8"/>
      <c r="G658" s="8"/>
      <c r="H658" s="8"/>
      <c r="I658" s="8"/>
      <c r="J658" s="8"/>
      <c r="K658" s="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"/>
    </row>
    <row r="659" ht="15.75" customHeight="1">
      <c r="A659" s="8"/>
      <c r="B659" s="8"/>
      <c r="C659" s="8"/>
      <c r="D659" s="8"/>
      <c r="E659" s="2"/>
      <c r="F659" s="8"/>
      <c r="G659" s="8"/>
      <c r="H659" s="8"/>
      <c r="I659" s="8"/>
      <c r="J659" s="8"/>
      <c r="K659" s="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"/>
    </row>
    <row r="660" ht="15.75" customHeight="1">
      <c r="A660" s="8"/>
      <c r="B660" s="8"/>
      <c r="C660" s="8"/>
      <c r="D660" s="8"/>
      <c r="E660" s="2"/>
      <c r="F660" s="8"/>
      <c r="G660" s="8"/>
      <c r="H660" s="8"/>
      <c r="I660" s="8"/>
      <c r="J660" s="8"/>
      <c r="K660" s="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"/>
    </row>
    <row r="661" ht="15.75" customHeight="1">
      <c r="A661" s="8"/>
      <c r="B661" s="8"/>
      <c r="C661" s="8"/>
      <c r="D661" s="8"/>
      <c r="E661" s="2"/>
      <c r="F661" s="8"/>
      <c r="G661" s="8"/>
      <c r="H661" s="8"/>
      <c r="I661" s="8"/>
      <c r="J661" s="8"/>
      <c r="K661" s="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"/>
    </row>
    <row r="662" ht="15.75" customHeight="1">
      <c r="A662" s="8"/>
      <c r="B662" s="8"/>
      <c r="C662" s="8"/>
      <c r="D662" s="8"/>
      <c r="E662" s="2"/>
      <c r="F662" s="8"/>
      <c r="G662" s="8"/>
      <c r="H662" s="8"/>
      <c r="I662" s="8"/>
      <c r="J662" s="8"/>
      <c r="K662" s="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"/>
    </row>
    <row r="663" ht="15.75" customHeight="1">
      <c r="A663" s="8"/>
      <c r="B663" s="8"/>
      <c r="C663" s="8"/>
      <c r="D663" s="8"/>
      <c r="E663" s="2"/>
      <c r="F663" s="8"/>
      <c r="G663" s="8"/>
      <c r="H663" s="8"/>
      <c r="I663" s="8"/>
      <c r="J663" s="8"/>
      <c r="K663" s="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"/>
    </row>
    <row r="664" ht="15.75" customHeight="1">
      <c r="A664" s="8"/>
      <c r="B664" s="8"/>
      <c r="C664" s="8"/>
      <c r="D664" s="8"/>
      <c r="E664" s="2"/>
      <c r="F664" s="8"/>
      <c r="G664" s="8"/>
      <c r="H664" s="8"/>
      <c r="I664" s="8"/>
      <c r="J664" s="8"/>
      <c r="K664" s="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"/>
    </row>
    <row r="665" ht="15.75" customHeight="1">
      <c r="A665" s="8"/>
      <c r="B665" s="8"/>
      <c r="C665" s="8"/>
      <c r="D665" s="8"/>
      <c r="E665" s="2"/>
      <c r="F665" s="8"/>
      <c r="G665" s="8"/>
      <c r="H665" s="8"/>
      <c r="I665" s="8"/>
      <c r="J665" s="8"/>
      <c r="K665" s="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"/>
    </row>
    <row r="666" ht="15.75" customHeight="1">
      <c r="A666" s="8"/>
      <c r="B666" s="8"/>
      <c r="C666" s="8"/>
      <c r="D666" s="8"/>
      <c r="E666" s="2"/>
      <c r="F666" s="8"/>
      <c r="G666" s="8"/>
      <c r="H666" s="8"/>
      <c r="I666" s="8"/>
      <c r="J666" s="8"/>
      <c r="K666" s="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"/>
    </row>
    <row r="667" ht="15.75" customHeight="1">
      <c r="A667" s="8"/>
      <c r="B667" s="8"/>
      <c r="C667" s="8"/>
      <c r="D667" s="8"/>
      <c r="E667" s="2"/>
      <c r="F667" s="8"/>
      <c r="G667" s="8"/>
      <c r="H667" s="8"/>
      <c r="I667" s="8"/>
      <c r="J667" s="8"/>
      <c r="K667" s="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"/>
    </row>
    <row r="668" ht="15.75" customHeight="1">
      <c r="A668" s="8"/>
      <c r="B668" s="8"/>
      <c r="C668" s="8"/>
      <c r="D668" s="8"/>
      <c r="E668" s="2"/>
      <c r="F668" s="8"/>
      <c r="G668" s="8"/>
      <c r="H668" s="8"/>
      <c r="I668" s="8"/>
      <c r="J668" s="8"/>
      <c r="K668" s="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"/>
    </row>
    <row r="669" ht="15.75" customHeight="1">
      <c r="A669" s="8"/>
      <c r="B669" s="8"/>
      <c r="C669" s="8"/>
      <c r="D669" s="8"/>
      <c r="E669" s="2"/>
      <c r="F669" s="8"/>
      <c r="G669" s="8"/>
      <c r="H669" s="8"/>
      <c r="I669" s="8"/>
      <c r="J669" s="8"/>
      <c r="K669" s="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"/>
    </row>
    <row r="670" ht="15.75" customHeight="1">
      <c r="A670" s="8"/>
      <c r="B670" s="8"/>
      <c r="C670" s="8"/>
      <c r="D670" s="8"/>
      <c r="E670" s="2"/>
      <c r="F670" s="8"/>
      <c r="G670" s="8"/>
      <c r="H670" s="8"/>
      <c r="I670" s="8"/>
      <c r="J670" s="8"/>
      <c r="K670" s="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"/>
    </row>
    <row r="671" ht="15.75" customHeight="1">
      <c r="A671" s="8"/>
      <c r="B671" s="8"/>
      <c r="C671" s="8"/>
      <c r="D671" s="8"/>
      <c r="E671" s="2"/>
      <c r="F671" s="8"/>
      <c r="G671" s="8"/>
      <c r="H671" s="8"/>
      <c r="I671" s="8"/>
      <c r="J671" s="8"/>
      <c r="K671" s="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"/>
    </row>
    <row r="672" ht="15.75" customHeight="1">
      <c r="A672" s="8"/>
      <c r="B672" s="8"/>
      <c r="C672" s="8"/>
      <c r="D672" s="8"/>
      <c r="E672" s="2"/>
      <c r="F672" s="8"/>
      <c r="G672" s="8"/>
      <c r="H672" s="8"/>
      <c r="I672" s="8"/>
      <c r="J672" s="8"/>
      <c r="K672" s="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"/>
    </row>
    <row r="673" ht="15.75" customHeight="1">
      <c r="A673" s="8"/>
      <c r="B673" s="8"/>
      <c r="C673" s="8"/>
      <c r="D673" s="8"/>
      <c r="E673" s="2"/>
      <c r="F673" s="8"/>
      <c r="G673" s="8"/>
      <c r="H673" s="8"/>
      <c r="I673" s="8"/>
      <c r="J673" s="8"/>
      <c r="K673" s="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"/>
    </row>
    <row r="674" ht="15.75" customHeight="1">
      <c r="A674" s="8"/>
      <c r="B674" s="8"/>
      <c r="C674" s="8"/>
      <c r="D674" s="8"/>
      <c r="E674" s="2"/>
      <c r="F674" s="8"/>
      <c r="G674" s="8"/>
      <c r="H674" s="8"/>
      <c r="I674" s="8"/>
      <c r="J674" s="8"/>
      <c r="K674" s="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"/>
    </row>
    <row r="675" ht="15.75" customHeight="1">
      <c r="A675" s="8"/>
      <c r="B675" s="8"/>
      <c r="C675" s="8"/>
      <c r="D675" s="8"/>
      <c r="E675" s="2"/>
      <c r="F675" s="8"/>
      <c r="G675" s="8"/>
      <c r="H675" s="8"/>
      <c r="I675" s="8"/>
      <c r="J675" s="8"/>
      <c r="K675" s="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"/>
    </row>
    <row r="676" ht="15.75" customHeight="1">
      <c r="A676" s="8"/>
      <c r="B676" s="8"/>
      <c r="C676" s="8"/>
      <c r="D676" s="8"/>
      <c r="E676" s="2"/>
      <c r="F676" s="8"/>
      <c r="G676" s="8"/>
      <c r="H676" s="8"/>
      <c r="I676" s="8"/>
      <c r="J676" s="8"/>
      <c r="K676" s="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"/>
    </row>
    <row r="677" ht="15.75" customHeight="1">
      <c r="A677" s="8"/>
      <c r="B677" s="8"/>
      <c r="C677" s="8"/>
      <c r="D677" s="8"/>
      <c r="E677" s="2"/>
      <c r="F677" s="8"/>
      <c r="G677" s="8"/>
      <c r="H677" s="8"/>
      <c r="I677" s="8"/>
      <c r="J677" s="8"/>
      <c r="K677" s="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"/>
    </row>
    <row r="678" ht="15.75" customHeight="1">
      <c r="A678" s="8"/>
      <c r="B678" s="8"/>
      <c r="C678" s="8"/>
      <c r="D678" s="8"/>
      <c r="E678" s="2"/>
      <c r="F678" s="8"/>
      <c r="G678" s="8"/>
      <c r="H678" s="8"/>
      <c r="I678" s="8"/>
      <c r="J678" s="8"/>
      <c r="K678" s="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"/>
    </row>
    <row r="679" ht="15.75" customHeight="1">
      <c r="A679" s="8"/>
      <c r="B679" s="8"/>
      <c r="C679" s="8"/>
      <c r="D679" s="8"/>
      <c r="E679" s="2"/>
      <c r="F679" s="8"/>
      <c r="G679" s="8"/>
      <c r="H679" s="8"/>
      <c r="I679" s="8"/>
      <c r="J679" s="8"/>
      <c r="K679" s="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"/>
    </row>
    <row r="680" ht="15.75" customHeight="1">
      <c r="A680" s="8"/>
      <c r="B680" s="8"/>
      <c r="C680" s="8"/>
      <c r="D680" s="8"/>
      <c r="E680" s="2"/>
      <c r="F680" s="8"/>
      <c r="G680" s="8"/>
      <c r="H680" s="8"/>
      <c r="I680" s="8"/>
      <c r="J680" s="8"/>
      <c r="K680" s="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"/>
    </row>
    <row r="681" ht="15.75" customHeight="1">
      <c r="A681" s="8"/>
      <c r="B681" s="8"/>
      <c r="C681" s="8"/>
      <c r="D681" s="8"/>
      <c r="E681" s="2"/>
      <c r="F681" s="8"/>
      <c r="G681" s="8"/>
      <c r="H681" s="8"/>
      <c r="I681" s="8"/>
      <c r="J681" s="8"/>
      <c r="K681" s="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"/>
    </row>
    <row r="682" ht="15.75" customHeight="1">
      <c r="A682" s="8"/>
      <c r="B682" s="8"/>
      <c r="C682" s="8"/>
      <c r="D682" s="8"/>
      <c r="E682" s="2"/>
      <c r="F682" s="8"/>
      <c r="G682" s="8"/>
      <c r="H682" s="8"/>
      <c r="I682" s="8"/>
      <c r="J682" s="8"/>
      <c r="K682" s="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"/>
    </row>
    <row r="683" ht="15.75" customHeight="1">
      <c r="A683" s="8"/>
      <c r="B683" s="8"/>
      <c r="C683" s="8"/>
      <c r="D683" s="8"/>
      <c r="E683" s="2"/>
      <c r="F683" s="8"/>
      <c r="G683" s="8"/>
      <c r="H683" s="8"/>
      <c r="I683" s="8"/>
      <c r="J683" s="8"/>
      <c r="K683" s="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"/>
    </row>
    <row r="684" ht="15.75" customHeight="1">
      <c r="A684" s="8"/>
      <c r="B684" s="8"/>
      <c r="C684" s="8"/>
      <c r="D684" s="8"/>
      <c r="E684" s="2"/>
      <c r="F684" s="8"/>
      <c r="G684" s="8"/>
      <c r="H684" s="8"/>
      <c r="I684" s="8"/>
      <c r="J684" s="8"/>
      <c r="K684" s="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"/>
    </row>
    <row r="685" ht="15.75" customHeight="1">
      <c r="A685" s="8"/>
      <c r="B685" s="8"/>
      <c r="C685" s="8"/>
      <c r="D685" s="8"/>
      <c r="E685" s="2"/>
      <c r="F685" s="8"/>
      <c r="G685" s="8"/>
      <c r="H685" s="8"/>
      <c r="I685" s="8"/>
      <c r="J685" s="8"/>
      <c r="K685" s="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"/>
    </row>
    <row r="686" ht="15.75" customHeight="1">
      <c r="A686" s="8"/>
      <c r="B686" s="8"/>
      <c r="C686" s="8"/>
      <c r="D686" s="8"/>
      <c r="E686" s="2"/>
      <c r="F686" s="8"/>
      <c r="G686" s="8"/>
      <c r="H686" s="8"/>
      <c r="I686" s="8"/>
      <c r="J686" s="8"/>
      <c r="K686" s="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"/>
    </row>
    <row r="687" ht="15.75" customHeight="1">
      <c r="A687" s="8"/>
      <c r="B687" s="8"/>
      <c r="C687" s="8"/>
      <c r="D687" s="8"/>
      <c r="E687" s="2"/>
      <c r="F687" s="8"/>
      <c r="G687" s="8"/>
      <c r="H687" s="8"/>
      <c r="I687" s="8"/>
      <c r="J687" s="8"/>
      <c r="K687" s="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"/>
    </row>
    <row r="688" ht="15.75" customHeight="1">
      <c r="A688" s="8"/>
      <c r="B688" s="8"/>
      <c r="C688" s="8"/>
      <c r="D688" s="8"/>
      <c r="E688" s="2"/>
      <c r="F688" s="8"/>
      <c r="G688" s="8"/>
      <c r="H688" s="8"/>
      <c r="I688" s="8"/>
      <c r="J688" s="8"/>
      <c r="K688" s="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"/>
    </row>
    <row r="689" ht="15.75" customHeight="1">
      <c r="A689" s="8"/>
      <c r="B689" s="8"/>
      <c r="C689" s="8"/>
      <c r="D689" s="8"/>
      <c r="E689" s="2"/>
      <c r="F689" s="8"/>
      <c r="G689" s="8"/>
      <c r="H689" s="8"/>
      <c r="I689" s="8"/>
      <c r="J689" s="8"/>
      <c r="K689" s="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"/>
    </row>
    <row r="690" ht="15.75" customHeight="1">
      <c r="A690" s="8"/>
      <c r="B690" s="8"/>
      <c r="C690" s="8"/>
      <c r="D690" s="8"/>
      <c r="E690" s="2"/>
      <c r="F690" s="8"/>
      <c r="G690" s="8"/>
      <c r="H690" s="8"/>
      <c r="I690" s="8"/>
      <c r="J690" s="8"/>
      <c r="K690" s="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"/>
    </row>
    <row r="691" ht="15.75" customHeight="1">
      <c r="A691" s="8"/>
      <c r="B691" s="8"/>
      <c r="C691" s="8"/>
      <c r="D691" s="8"/>
      <c r="E691" s="2"/>
      <c r="F691" s="8"/>
      <c r="G691" s="8"/>
      <c r="H691" s="8"/>
      <c r="I691" s="8"/>
      <c r="J691" s="8"/>
      <c r="K691" s="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"/>
    </row>
    <row r="692" ht="15.75" customHeight="1">
      <c r="A692" s="8"/>
      <c r="B692" s="8"/>
      <c r="C692" s="8"/>
      <c r="D692" s="8"/>
      <c r="E692" s="2"/>
      <c r="F692" s="8"/>
      <c r="G692" s="8"/>
      <c r="H692" s="8"/>
      <c r="I692" s="8"/>
      <c r="J692" s="8"/>
      <c r="K692" s="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"/>
    </row>
    <row r="693" ht="15.75" customHeight="1">
      <c r="A693" s="8"/>
      <c r="B693" s="8"/>
      <c r="C693" s="8"/>
      <c r="D693" s="8"/>
      <c r="E693" s="2"/>
      <c r="F693" s="8"/>
      <c r="G693" s="8"/>
      <c r="H693" s="8"/>
      <c r="I693" s="8"/>
      <c r="J693" s="8"/>
      <c r="K693" s="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"/>
    </row>
    <row r="694" ht="15.75" customHeight="1">
      <c r="A694" s="8"/>
      <c r="B694" s="8"/>
      <c r="C694" s="8"/>
      <c r="D694" s="8"/>
      <c r="E694" s="2"/>
      <c r="F694" s="8"/>
      <c r="G694" s="8"/>
      <c r="H694" s="8"/>
      <c r="I694" s="8"/>
      <c r="J694" s="8"/>
      <c r="K694" s="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"/>
    </row>
    <row r="695" ht="15.75" customHeight="1">
      <c r="A695" s="8"/>
      <c r="B695" s="8"/>
      <c r="C695" s="8"/>
      <c r="D695" s="8"/>
      <c r="E695" s="2"/>
      <c r="F695" s="8"/>
      <c r="G695" s="8"/>
      <c r="H695" s="8"/>
      <c r="I695" s="8"/>
      <c r="J695" s="8"/>
      <c r="K695" s="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"/>
    </row>
    <row r="696" ht="15.75" customHeight="1">
      <c r="A696" s="8"/>
      <c r="B696" s="8"/>
      <c r="C696" s="8"/>
      <c r="D696" s="8"/>
      <c r="E696" s="2"/>
      <c r="F696" s="8"/>
      <c r="G696" s="8"/>
      <c r="H696" s="8"/>
      <c r="I696" s="8"/>
      <c r="J696" s="8"/>
      <c r="K696" s="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"/>
    </row>
    <row r="697" ht="15.75" customHeight="1">
      <c r="A697" s="8"/>
      <c r="B697" s="8"/>
      <c r="C697" s="8"/>
      <c r="D697" s="8"/>
      <c r="E697" s="2"/>
      <c r="F697" s="8"/>
      <c r="G697" s="8"/>
      <c r="H697" s="8"/>
      <c r="I697" s="8"/>
      <c r="J697" s="8"/>
      <c r="K697" s="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"/>
    </row>
    <row r="698" ht="15.75" customHeight="1">
      <c r="A698" s="8"/>
      <c r="B698" s="8"/>
      <c r="C698" s="8"/>
      <c r="D698" s="8"/>
      <c r="E698" s="2"/>
      <c r="F698" s="8"/>
      <c r="G698" s="8"/>
      <c r="H698" s="8"/>
      <c r="I698" s="8"/>
      <c r="J698" s="8"/>
      <c r="K698" s="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"/>
    </row>
    <row r="699" ht="15.75" customHeight="1">
      <c r="A699" s="8"/>
      <c r="B699" s="8"/>
      <c r="C699" s="8"/>
      <c r="D699" s="8"/>
      <c r="E699" s="2"/>
      <c r="F699" s="8"/>
      <c r="G699" s="8"/>
      <c r="H699" s="8"/>
      <c r="I699" s="8"/>
      <c r="J699" s="8"/>
      <c r="K699" s="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"/>
    </row>
    <row r="700" ht="15.75" customHeight="1">
      <c r="A700" s="8"/>
      <c r="B700" s="8"/>
      <c r="C700" s="8"/>
      <c r="D700" s="8"/>
      <c r="E700" s="2"/>
      <c r="F700" s="8"/>
      <c r="G700" s="8"/>
      <c r="H700" s="8"/>
      <c r="I700" s="8"/>
      <c r="J700" s="8"/>
      <c r="K700" s="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"/>
    </row>
    <row r="701" ht="15.75" customHeight="1">
      <c r="A701" s="8"/>
      <c r="B701" s="8"/>
      <c r="C701" s="8"/>
      <c r="D701" s="8"/>
      <c r="E701" s="2"/>
      <c r="F701" s="8"/>
      <c r="G701" s="8"/>
      <c r="H701" s="8"/>
      <c r="I701" s="8"/>
      <c r="J701" s="8"/>
      <c r="K701" s="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"/>
    </row>
    <row r="702" ht="15.75" customHeight="1">
      <c r="A702" s="8"/>
      <c r="B702" s="8"/>
      <c r="C702" s="8"/>
      <c r="D702" s="8"/>
      <c r="E702" s="2"/>
      <c r="F702" s="8"/>
      <c r="G702" s="8"/>
      <c r="H702" s="8"/>
      <c r="I702" s="8"/>
      <c r="J702" s="8"/>
      <c r="K702" s="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"/>
    </row>
    <row r="703" ht="15.75" customHeight="1">
      <c r="A703" s="8"/>
      <c r="B703" s="8"/>
      <c r="C703" s="8"/>
      <c r="D703" s="8"/>
      <c r="E703" s="2"/>
      <c r="F703" s="8"/>
      <c r="G703" s="8"/>
      <c r="H703" s="8"/>
      <c r="I703" s="8"/>
      <c r="J703" s="8"/>
      <c r="K703" s="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"/>
    </row>
    <row r="704" ht="15.75" customHeight="1">
      <c r="A704" s="8"/>
      <c r="B704" s="8"/>
      <c r="C704" s="8"/>
      <c r="D704" s="8"/>
      <c r="E704" s="2"/>
      <c r="F704" s="8"/>
      <c r="G704" s="8"/>
      <c r="H704" s="8"/>
      <c r="I704" s="8"/>
      <c r="J704" s="8"/>
      <c r="K704" s="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"/>
    </row>
    <row r="705" ht="15.75" customHeight="1">
      <c r="A705" s="8"/>
      <c r="B705" s="8"/>
      <c r="C705" s="8"/>
      <c r="D705" s="8"/>
      <c r="E705" s="2"/>
      <c r="F705" s="8"/>
      <c r="G705" s="8"/>
      <c r="H705" s="8"/>
      <c r="I705" s="8"/>
      <c r="J705" s="8"/>
      <c r="K705" s="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"/>
    </row>
    <row r="706" ht="15.75" customHeight="1">
      <c r="A706" s="8"/>
      <c r="B706" s="8"/>
      <c r="C706" s="8"/>
      <c r="D706" s="8"/>
      <c r="E706" s="2"/>
      <c r="F706" s="8"/>
      <c r="G706" s="8"/>
      <c r="H706" s="8"/>
      <c r="I706" s="8"/>
      <c r="J706" s="8"/>
      <c r="K706" s="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"/>
    </row>
    <row r="707" ht="15.75" customHeight="1">
      <c r="A707" s="8"/>
      <c r="B707" s="8"/>
      <c r="C707" s="8"/>
      <c r="D707" s="8"/>
      <c r="E707" s="2"/>
      <c r="F707" s="8"/>
      <c r="G707" s="8"/>
      <c r="H707" s="8"/>
      <c r="I707" s="8"/>
      <c r="J707" s="8"/>
      <c r="K707" s="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"/>
    </row>
    <row r="708" ht="15.75" customHeight="1">
      <c r="A708" s="8"/>
      <c r="B708" s="8"/>
      <c r="C708" s="8"/>
      <c r="D708" s="8"/>
      <c r="E708" s="2"/>
      <c r="F708" s="8"/>
      <c r="G708" s="8"/>
      <c r="H708" s="8"/>
      <c r="I708" s="8"/>
      <c r="J708" s="8"/>
      <c r="K708" s="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"/>
    </row>
    <row r="709" ht="15.75" customHeight="1">
      <c r="A709" s="8"/>
      <c r="B709" s="8"/>
      <c r="C709" s="8"/>
      <c r="D709" s="8"/>
      <c r="E709" s="2"/>
      <c r="F709" s="8"/>
      <c r="G709" s="8"/>
      <c r="H709" s="8"/>
      <c r="I709" s="8"/>
      <c r="J709" s="8"/>
      <c r="K709" s="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"/>
    </row>
    <row r="710" ht="15.75" customHeight="1">
      <c r="A710" s="8"/>
      <c r="B710" s="8"/>
      <c r="C710" s="8"/>
      <c r="D710" s="8"/>
      <c r="E710" s="2"/>
      <c r="F710" s="8"/>
      <c r="G710" s="8"/>
      <c r="H710" s="8"/>
      <c r="I710" s="8"/>
      <c r="J710" s="8"/>
      <c r="K710" s="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"/>
    </row>
    <row r="711" ht="15.75" customHeight="1">
      <c r="A711" s="8"/>
      <c r="B711" s="8"/>
      <c r="C711" s="8"/>
      <c r="D711" s="8"/>
      <c r="E711" s="2"/>
      <c r="F711" s="8"/>
      <c r="G711" s="8"/>
      <c r="H711" s="8"/>
      <c r="I711" s="8"/>
      <c r="J711" s="8"/>
      <c r="K711" s="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"/>
    </row>
    <row r="712" ht="15.75" customHeight="1">
      <c r="A712" s="8"/>
      <c r="B712" s="8"/>
      <c r="C712" s="8"/>
      <c r="D712" s="8"/>
      <c r="E712" s="2"/>
      <c r="F712" s="8"/>
      <c r="G712" s="8"/>
      <c r="H712" s="8"/>
      <c r="I712" s="8"/>
      <c r="J712" s="8"/>
      <c r="K712" s="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"/>
    </row>
    <row r="713" ht="15.75" customHeight="1">
      <c r="A713" s="8"/>
      <c r="B713" s="8"/>
      <c r="C713" s="8"/>
      <c r="D713" s="8"/>
      <c r="E713" s="2"/>
      <c r="F713" s="8"/>
      <c r="G713" s="8"/>
      <c r="H713" s="8"/>
      <c r="I713" s="8"/>
      <c r="J713" s="8"/>
      <c r="K713" s="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"/>
    </row>
    <row r="714" ht="15.75" customHeight="1">
      <c r="A714" s="8"/>
      <c r="B714" s="8"/>
      <c r="C714" s="8"/>
      <c r="D714" s="8"/>
      <c r="E714" s="2"/>
      <c r="F714" s="8"/>
      <c r="G714" s="8"/>
      <c r="H714" s="8"/>
      <c r="I714" s="8"/>
      <c r="J714" s="8"/>
      <c r="K714" s="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"/>
    </row>
    <row r="715" ht="15.75" customHeight="1">
      <c r="A715" s="8"/>
      <c r="B715" s="8"/>
      <c r="C715" s="8"/>
      <c r="D715" s="8"/>
      <c r="E715" s="2"/>
      <c r="F715" s="8"/>
      <c r="G715" s="8"/>
      <c r="H715" s="8"/>
      <c r="I715" s="8"/>
      <c r="J715" s="8"/>
      <c r="K715" s="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"/>
    </row>
    <row r="716" ht="15.75" customHeight="1">
      <c r="A716" s="8"/>
      <c r="B716" s="8"/>
      <c r="C716" s="8"/>
      <c r="D716" s="8"/>
      <c r="E716" s="2"/>
      <c r="F716" s="8"/>
      <c r="G716" s="8"/>
      <c r="H716" s="8"/>
      <c r="I716" s="8"/>
      <c r="J716" s="8"/>
      <c r="K716" s="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"/>
    </row>
    <row r="717" ht="15.75" customHeight="1">
      <c r="A717" s="8"/>
      <c r="B717" s="8"/>
      <c r="C717" s="8"/>
      <c r="D717" s="8"/>
      <c r="E717" s="2"/>
      <c r="F717" s="8"/>
      <c r="G717" s="8"/>
      <c r="H717" s="8"/>
      <c r="I717" s="8"/>
      <c r="J717" s="8"/>
      <c r="K717" s="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"/>
    </row>
    <row r="718" ht="15.75" customHeight="1">
      <c r="A718" s="8"/>
      <c r="B718" s="8"/>
      <c r="C718" s="8"/>
      <c r="D718" s="8"/>
      <c r="E718" s="2"/>
      <c r="F718" s="8"/>
      <c r="G718" s="8"/>
      <c r="H718" s="8"/>
      <c r="I718" s="8"/>
      <c r="J718" s="8"/>
      <c r="K718" s="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"/>
    </row>
    <row r="719" ht="15.75" customHeight="1">
      <c r="A719" s="8"/>
      <c r="B719" s="8"/>
      <c r="C719" s="8"/>
      <c r="D719" s="8"/>
      <c r="E719" s="2"/>
      <c r="F719" s="8"/>
      <c r="G719" s="8"/>
      <c r="H719" s="8"/>
      <c r="I719" s="8"/>
      <c r="J719" s="8"/>
      <c r="K719" s="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"/>
    </row>
    <row r="720" ht="15.75" customHeight="1">
      <c r="A720" s="8"/>
      <c r="B720" s="8"/>
      <c r="C720" s="8"/>
      <c r="D720" s="8"/>
      <c r="E720" s="2"/>
      <c r="F720" s="8"/>
      <c r="G720" s="8"/>
      <c r="H720" s="8"/>
      <c r="I720" s="8"/>
      <c r="J720" s="8"/>
      <c r="K720" s="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"/>
    </row>
    <row r="721" ht="15.75" customHeight="1">
      <c r="A721" s="8"/>
      <c r="B721" s="8"/>
      <c r="C721" s="8"/>
      <c r="D721" s="8"/>
      <c r="E721" s="2"/>
      <c r="F721" s="8"/>
      <c r="G721" s="8"/>
      <c r="H721" s="8"/>
      <c r="I721" s="8"/>
      <c r="J721" s="8"/>
      <c r="K721" s="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"/>
    </row>
    <row r="722" ht="15.75" customHeight="1">
      <c r="A722" s="8"/>
      <c r="B722" s="8"/>
      <c r="C722" s="8"/>
      <c r="D722" s="8"/>
      <c r="E722" s="2"/>
      <c r="F722" s="8"/>
      <c r="G722" s="8"/>
      <c r="H722" s="8"/>
      <c r="I722" s="8"/>
      <c r="J722" s="8"/>
      <c r="K722" s="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"/>
    </row>
    <row r="723" ht="15.75" customHeight="1">
      <c r="A723" s="8"/>
      <c r="B723" s="8"/>
      <c r="C723" s="8"/>
      <c r="D723" s="8"/>
      <c r="E723" s="2"/>
      <c r="F723" s="8"/>
      <c r="G723" s="8"/>
      <c r="H723" s="8"/>
      <c r="I723" s="8"/>
      <c r="J723" s="8"/>
      <c r="K723" s="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"/>
    </row>
    <row r="724" ht="15.75" customHeight="1">
      <c r="A724" s="8"/>
      <c r="B724" s="8"/>
      <c r="C724" s="8"/>
      <c r="D724" s="8"/>
      <c r="E724" s="2"/>
      <c r="F724" s="8"/>
      <c r="G724" s="8"/>
      <c r="H724" s="8"/>
      <c r="I724" s="8"/>
      <c r="J724" s="8"/>
      <c r="K724" s="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"/>
    </row>
    <row r="725" ht="15.75" customHeight="1">
      <c r="A725" s="8"/>
      <c r="B725" s="8"/>
      <c r="C725" s="8"/>
      <c r="D725" s="8"/>
      <c r="E725" s="2"/>
      <c r="F725" s="8"/>
      <c r="G725" s="8"/>
      <c r="H725" s="8"/>
      <c r="I725" s="8"/>
      <c r="J725" s="8"/>
      <c r="K725" s="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"/>
    </row>
    <row r="726" ht="15.75" customHeight="1">
      <c r="A726" s="8"/>
      <c r="B726" s="8"/>
      <c r="C726" s="8"/>
      <c r="D726" s="8"/>
      <c r="E726" s="2"/>
      <c r="F726" s="8"/>
      <c r="G726" s="8"/>
      <c r="H726" s="8"/>
      <c r="I726" s="8"/>
      <c r="J726" s="8"/>
      <c r="K726" s="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"/>
    </row>
    <row r="727" ht="15.75" customHeight="1">
      <c r="A727" s="8"/>
      <c r="B727" s="8"/>
      <c r="C727" s="8"/>
      <c r="D727" s="8"/>
      <c r="E727" s="2"/>
      <c r="F727" s="8"/>
      <c r="G727" s="8"/>
      <c r="H727" s="8"/>
      <c r="I727" s="8"/>
      <c r="J727" s="8"/>
      <c r="K727" s="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"/>
    </row>
    <row r="728" ht="15.75" customHeight="1">
      <c r="A728" s="8"/>
      <c r="B728" s="8"/>
      <c r="C728" s="8"/>
      <c r="D728" s="8"/>
      <c r="E728" s="2"/>
      <c r="F728" s="8"/>
      <c r="G728" s="8"/>
      <c r="H728" s="8"/>
      <c r="I728" s="8"/>
      <c r="J728" s="8"/>
      <c r="K728" s="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"/>
    </row>
    <row r="729" ht="15.75" customHeight="1">
      <c r="A729" s="8"/>
      <c r="B729" s="8"/>
      <c r="C729" s="8"/>
      <c r="D729" s="8"/>
      <c r="E729" s="2"/>
      <c r="F729" s="8"/>
      <c r="G729" s="8"/>
      <c r="H729" s="8"/>
      <c r="I729" s="8"/>
      <c r="J729" s="8"/>
      <c r="K729" s="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"/>
    </row>
    <row r="730" ht="15.75" customHeight="1">
      <c r="A730" s="8"/>
      <c r="B730" s="8"/>
      <c r="C730" s="8"/>
      <c r="D730" s="8"/>
      <c r="E730" s="2"/>
      <c r="F730" s="8"/>
      <c r="G730" s="8"/>
      <c r="H730" s="8"/>
      <c r="I730" s="8"/>
      <c r="J730" s="8"/>
      <c r="K730" s="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"/>
    </row>
    <row r="731" ht="15.75" customHeight="1">
      <c r="A731" s="8"/>
      <c r="B731" s="8"/>
      <c r="C731" s="8"/>
      <c r="D731" s="8"/>
      <c r="E731" s="2"/>
      <c r="F731" s="8"/>
      <c r="G731" s="8"/>
      <c r="H731" s="8"/>
      <c r="I731" s="8"/>
      <c r="J731" s="8"/>
      <c r="K731" s="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"/>
    </row>
    <row r="732" ht="15.75" customHeight="1">
      <c r="A732" s="8"/>
      <c r="B732" s="8"/>
      <c r="C732" s="8"/>
      <c r="D732" s="8"/>
      <c r="E732" s="2"/>
      <c r="F732" s="8"/>
      <c r="G732" s="8"/>
      <c r="H732" s="8"/>
      <c r="I732" s="8"/>
      <c r="J732" s="8"/>
      <c r="K732" s="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"/>
    </row>
    <row r="733" ht="15.75" customHeight="1">
      <c r="A733" s="8"/>
      <c r="B733" s="8"/>
      <c r="C733" s="8"/>
      <c r="D733" s="8"/>
      <c r="E733" s="2"/>
      <c r="F733" s="8"/>
      <c r="G733" s="8"/>
      <c r="H733" s="8"/>
      <c r="I733" s="8"/>
      <c r="J733" s="8"/>
      <c r="K733" s="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"/>
    </row>
    <row r="734" ht="15.75" customHeight="1">
      <c r="A734" s="8"/>
      <c r="B734" s="8"/>
      <c r="C734" s="8"/>
      <c r="D734" s="8"/>
      <c r="E734" s="2"/>
      <c r="F734" s="8"/>
      <c r="G734" s="8"/>
      <c r="H734" s="8"/>
      <c r="I734" s="8"/>
      <c r="J734" s="8"/>
      <c r="K734" s="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"/>
    </row>
    <row r="735" ht="15.75" customHeight="1">
      <c r="A735" s="8"/>
      <c r="B735" s="8"/>
      <c r="C735" s="8"/>
      <c r="D735" s="8"/>
      <c r="E735" s="2"/>
      <c r="F735" s="8"/>
      <c r="G735" s="8"/>
      <c r="H735" s="8"/>
      <c r="I735" s="8"/>
      <c r="J735" s="8"/>
      <c r="K735" s="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"/>
    </row>
    <row r="736" ht="15.75" customHeight="1">
      <c r="A736" s="8"/>
      <c r="B736" s="8"/>
      <c r="C736" s="8"/>
      <c r="D736" s="8"/>
      <c r="E736" s="2"/>
      <c r="F736" s="8"/>
      <c r="G736" s="8"/>
      <c r="H736" s="8"/>
      <c r="I736" s="8"/>
      <c r="J736" s="8"/>
      <c r="K736" s="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"/>
    </row>
    <row r="737" ht="15.75" customHeight="1">
      <c r="A737" s="8"/>
      <c r="B737" s="8"/>
      <c r="C737" s="8"/>
      <c r="D737" s="8"/>
      <c r="E737" s="2"/>
      <c r="F737" s="8"/>
      <c r="G737" s="8"/>
      <c r="H737" s="8"/>
      <c r="I737" s="8"/>
      <c r="J737" s="8"/>
      <c r="K737" s="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"/>
    </row>
    <row r="738" ht="15.75" customHeight="1">
      <c r="A738" s="8"/>
      <c r="B738" s="8"/>
      <c r="C738" s="8"/>
      <c r="D738" s="8"/>
      <c r="E738" s="2"/>
      <c r="F738" s="8"/>
      <c r="G738" s="8"/>
      <c r="H738" s="8"/>
      <c r="I738" s="8"/>
      <c r="J738" s="8"/>
      <c r="K738" s="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"/>
    </row>
    <row r="739" ht="15.75" customHeight="1">
      <c r="A739" s="8"/>
      <c r="B739" s="8"/>
      <c r="C739" s="8"/>
      <c r="D739" s="8"/>
      <c r="E739" s="2"/>
      <c r="F739" s="8"/>
      <c r="G739" s="8"/>
      <c r="H739" s="8"/>
      <c r="I739" s="8"/>
      <c r="J739" s="8"/>
      <c r="K739" s="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"/>
    </row>
    <row r="740" ht="15.75" customHeight="1">
      <c r="A740" s="8"/>
      <c r="B740" s="8"/>
      <c r="C740" s="8"/>
      <c r="D740" s="8"/>
      <c r="E740" s="2"/>
      <c r="F740" s="8"/>
      <c r="G740" s="8"/>
      <c r="H740" s="8"/>
      <c r="I740" s="8"/>
      <c r="J740" s="8"/>
      <c r="K740" s="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"/>
    </row>
    <row r="741" ht="15.75" customHeight="1">
      <c r="A741" s="8"/>
      <c r="B741" s="8"/>
      <c r="C741" s="8"/>
      <c r="D741" s="8"/>
      <c r="E741" s="2"/>
      <c r="F741" s="8"/>
      <c r="G741" s="8"/>
      <c r="H741" s="8"/>
      <c r="I741" s="8"/>
      <c r="J741" s="8"/>
      <c r="K741" s="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"/>
    </row>
    <row r="742" ht="15.75" customHeight="1">
      <c r="A742" s="8"/>
      <c r="B742" s="8"/>
      <c r="C742" s="8"/>
      <c r="D742" s="8"/>
      <c r="E742" s="2"/>
      <c r="F742" s="8"/>
      <c r="G742" s="8"/>
      <c r="H742" s="8"/>
      <c r="I742" s="8"/>
      <c r="J742" s="8"/>
      <c r="K742" s="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"/>
    </row>
    <row r="743" ht="15.75" customHeight="1">
      <c r="A743" s="8"/>
      <c r="B743" s="8"/>
      <c r="C743" s="8"/>
      <c r="D743" s="8"/>
      <c r="E743" s="2"/>
      <c r="F743" s="8"/>
      <c r="G743" s="8"/>
      <c r="H743" s="8"/>
      <c r="I743" s="8"/>
      <c r="J743" s="8"/>
      <c r="K743" s="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"/>
    </row>
    <row r="744" ht="15.75" customHeight="1">
      <c r="A744" s="8"/>
      <c r="B744" s="8"/>
      <c r="C744" s="8"/>
      <c r="D744" s="8"/>
      <c r="E744" s="2"/>
      <c r="F744" s="8"/>
      <c r="G744" s="8"/>
      <c r="H744" s="8"/>
      <c r="I744" s="8"/>
      <c r="J744" s="8"/>
      <c r="K744" s="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"/>
    </row>
    <row r="745" ht="15.75" customHeight="1">
      <c r="A745" s="8"/>
      <c r="B745" s="8"/>
      <c r="C745" s="8"/>
      <c r="D745" s="8"/>
      <c r="E745" s="2"/>
      <c r="F745" s="8"/>
      <c r="G745" s="8"/>
      <c r="H745" s="8"/>
      <c r="I745" s="8"/>
      <c r="J745" s="8"/>
      <c r="K745" s="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"/>
    </row>
    <row r="746" ht="15.75" customHeight="1">
      <c r="A746" s="8" t="s">
        <v>19</v>
      </c>
      <c r="B746" s="8" t="s">
        <v>42</v>
      </c>
      <c r="C746" s="8"/>
      <c r="D746" s="8"/>
      <c r="E746" s="2"/>
      <c r="F746" s="8"/>
      <c r="G746" s="8"/>
      <c r="H746" s="8"/>
      <c r="I746" s="8"/>
      <c r="J746" s="8"/>
      <c r="K746" s="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"/>
    </row>
    <row r="747" ht="15.75" customHeight="1">
      <c r="A747" s="8" t="s">
        <v>36</v>
      </c>
      <c r="B747" s="8" t="s">
        <v>147</v>
      </c>
      <c r="C747" s="8"/>
      <c r="D747" s="8"/>
      <c r="E747" s="2"/>
      <c r="F747" s="8"/>
      <c r="G747" s="8"/>
      <c r="H747" s="8"/>
      <c r="I747" s="8"/>
      <c r="J747" s="8"/>
      <c r="K747" s="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"/>
    </row>
    <row r="748" ht="15.75" customHeight="1">
      <c r="A748" s="8"/>
      <c r="B748" s="8" t="s">
        <v>281</v>
      </c>
      <c r="C748" s="8"/>
      <c r="D748" s="8"/>
      <c r="E748" s="2"/>
      <c r="F748" s="8"/>
      <c r="G748" s="8"/>
      <c r="H748" s="8"/>
      <c r="I748" s="8"/>
      <c r="J748" s="8"/>
      <c r="K748" s="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"/>
    </row>
    <row r="749" ht="15.75" customHeight="1">
      <c r="A749" s="8"/>
      <c r="B749" s="8" t="s">
        <v>280</v>
      </c>
      <c r="C749" s="8"/>
      <c r="D749" s="8"/>
      <c r="E749" s="2"/>
      <c r="F749" s="8"/>
      <c r="G749" s="8"/>
      <c r="H749" s="8"/>
      <c r="I749" s="8"/>
      <c r="J749" s="8"/>
      <c r="K749" s="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"/>
    </row>
    <row r="750" ht="15.75" customHeight="1">
      <c r="A750" s="8"/>
      <c r="B750" s="8"/>
      <c r="C750" s="8"/>
      <c r="D750" s="8"/>
      <c r="E750" s="2"/>
      <c r="F750" s="8"/>
      <c r="G750" s="8"/>
      <c r="H750" s="8"/>
      <c r="I750" s="8"/>
      <c r="J750" s="8"/>
      <c r="K750" s="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"/>
    </row>
    <row r="751" ht="15.75" customHeight="1">
      <c r="A751" s="8"/>
      <c r="B751" s="8"/>
      <c r="C751" s="8"/>
      <c r="D751" s="8"/>
      <c r="E751" s="2"/>
      <c r="F751" s="8"/>
      <c r="G751" s="8"/>
      <c r="H751" s="8"/>
      <c r="I751" s="8"/>
      <c r="J751" s="8"/>
      <c r="K751" s="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"/>
    </row>
    <row r="752" ht="15.75" customHeight="1">
      <c r="A752" s="8"/>
      <c r="B752" s="8"/>
      <c r="C752" s="8"/>
      <c r="D752" s="8"/>
      <c r="E752" s="2"/>
      <c r="F752" s="8"/>
      <c r="G752" s="8"/>
      <c r="H752" s="8"/>
      <c r="I752" s="8"/>
      <c r="J752" s="8"/>
      <c r="K752" s="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"/>
    </row>
    <row r="753" ht="15.75" customHeight="1">
      <c r="A753" s="8"/>
      <c r="B753" s="8"/>
      <c r="C753" s="8"/>
      <c r="D753" s="8"/>
      <c r="E753" s="2"/>
      <c r="F753" s="8"/>
      <c r="G753" s="8"/>
      <c r="H753" s="8"/>
      <c r="I753" s="8"/>
      <c r="J753" s="8"/>
      <c r="K753" s="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"/>
    </row>
    <row r="754" ht="15.75" customHeight="1">
      <c r="A754" s="8"/>
      <c r="B754" s="8"/>
      <c r="C754" s="8"/>
      <c r="D754" s="8"/>
      <c r="E754" s="2"/>
      <c r="F754" s="8"/>
      <c r="G754" s="8"/>
      <c r="H754" s="8"/>
      <c r="I754" s="8"/>
      <c r="J754" s="8"/>
      <c r="K754" s="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"/>
    </row>
    <row r="755" ht="15.75" customHeight="1">
      <c r="A755" s="8"/>
      <c r="B755" s="8"/>
      <c r="C755" s="8"/>
      <c r="D755" s="8"/>
      <c r="E755" s="2"/>
      <c r="F755" s="8"/>
      <c r="G755" s="8"/>
      <c r="H755" s="8"/>
      <c r="I755" s="8"/>
      <c r="J755" s="8"/>
      <c r="K755" s="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"/>
    </row>
    <row r="756" ht="15.75" customHeight="1">
      <c r="A756" s="8"/>
      <c r="B756" s="8"/>
      <c r="C756" s="8"/>
      <c r="D756" s="8"/>
      <c r="E756" s="2"/>
      <c r="F756" s="8"/>
      <c r="G756" s="8"/>
      <c r="H756" s="8"/>
      <c r="I756" s="8"/>
      <c r="J756" s="8"/>
      <c r="K756" s="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"/>
    </row>
    <row r="757" ht="15.75" customHeight="1">
      <c r="A757" s="8"/>
      <c r="B757" s="8"/>
      <c r="C757" s="8"/>
      <c r="D757" s="8"/>
      <c r="E757" s="2"/>
      <c r="F757" s="8"/>
      <c r="G757" s="8"/>
      <c r="H757" s="8"/>
      <c r="I757" s="8"/>
      <c r="J757" s="8"/>
      <c r="K757" s="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"/>
    </row>
    <row r="758" ht="15.75" customHeight="1">
      <c r="A758" s="8"/>
      <c r="B758" s="8"/>
      <c r="C758" s="8"/>
      <c r="D758" s="8"/>
      <c r="E758" s="2"/>
      <c r="F758" s="8"/>
      <c r="G758" s="8"/>
      <c r="H758" s="8"/>
      <c r="I758" s="8"/>
      <c r="J758" s="8"/>
      <c r="K758" s="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"/>
    </row>
    <row r="759" ht="15.75" customHeight="1">
      <c r="A759" s="8"/>
      <c r="B759" s="8"/>
      <c r="C759" s="8"/>
      <c r="D759" s="8"/>
      <c r="E759" s="2"/>
      <c r="F759" s="8"/>
      <c r="G759" s="8"/>
      <c r="H759" s="8"/>
      <c r="I759" s="8"/>
      <c r="J759" s="8"/>
      <c r="K759" s="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"/>
    </row>
    <row r="760" ht="15.75" customHeight="1">
      <c r="A760" s="8"/>
      <c r="B760" s="8"/>
      <c r="C760" s="8"/>
      <c r="D760" s="8"/>
      <c r="E760" s="2"/>
      <c r="F760" s="8"/>
      <c r="G760" s="8"/>
      <c r="H760" s="8"/>
      <c r="I760" s="8"/>
      <c r="J760" s="8"/>
      <c r="K760" s="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"/>
    </row>
    <row r="761" ht="15.75" customHeight="1">
      <c r="A761" s="8"/>
      <c r="B761" s="8"/>
      <c r="C761" s="8"/>
      <c r="D761" s="8"/>
      <c r="E761" s="2"/>
      <c r="F761" s="8"/>
      <c r="G761" s="8"/>
      <c r="H761" s="8"/>
      <c r="I761" s="8"/>
      <c r="J761" s="8"/>
      <c r="K761" s="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"/>
    </row>
    <row r="762" ht="15.75" customHeight="1">
      <c r="A762" s="8"/>
      <c r="B762" s="8"/>
      <c r="C762" s="8"/>
      <c r="D762" s="8"/>
      <c r="E762" s="2"/>
      <c r="F762" s="8"/>
      <c r="G762" s="8"/>
      <c r="H762" s="8"/>
      <c r="I762" s="8"/>
      <c r="J762" s="8"/>
      <c r="K762" s="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"/>
    </row>
    <row r="763" ht="15.75" customHeight="1">
      <c r="A763" s="8"/>
      <c r="B763" s="8"/>
      <c r="C763" s="8"/>
      <c r="D763" s="8"/>
      <c r="E763" s="2"/>
      <c r="F763" s="8"/>
      <c r="G763" s="8"/>
      <c r="H763" s="8"/>
      <c r="I763" s="8"/>
      <c r="J763" s="8"/>
      <c r="K763" s="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"/>
    </row>
    <row r="764" ht="15.75" customHeight="1">
      <c r="A764" s="8"/>
      <c r="B764" s="8"/>
      <c r="C764" s="8"/>
      <c r="D764" s="8"/>
      <c r="E764" s="2"/>
      <c r="F764" s="8"/>
      <c r="G764" s="8"/>
      <c r="H764" s="8"/>
      <c r="I764" s="8"/>
      <c r="J764" s="8"/>
      <c r="K764" s="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"/>
    </row>
    <row r="765" ht="15.75" customHeight="1">
      <c r="A765" s="8"/>
      <c r="B765" s="8"/>
      <c r="C765" s="8"/>
      <c r="D765" s="8"/>
      <c r="E765" s="2"/>
      <c r="F765" s="8"/>
      <c r="G765" s="8"/>
      <c r="H765" s="8"/>
      <c r="I765" s="8"/>
      <c r="J765" s="8"/>
      <c r="K765" s="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"/>
    </row>
    <row r="766" ht="15.75" customHeight="1">
      <c r="A766" s="8"/>
      <c r="B766" s="8"/>
      <c r="C766" s="8"/>
      <c r="D766" s="8"/>
      <c r="E766" s="2"/>
      <c r="F766" s="8"/>
      <c r="G766" s="8"/>
      <c r="H766" s="8"/>
      <c r="I766" s="8"/>
      <c r="J766" s="8"/>
      <c r="K766" s="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"/>
    </row>
    <row r="767" ht="15.75" customHeight="1">
      <c r="A767" s="8"/>
      <c r="B767" s="8"/>
      <c r="C767" s="8"/>
      <c r="D767" s="8"/>
      <c r="E767" s="2"/>
      <c r="F767" s="8"/>
      <c r="G767" s="8"/>
      <c r="H767" s="8"/>
      <c r="I767" s="8"/>
      <c r="J767" s="8"/>
      <c r="K767" s="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"/>
    </row>
    <row r="768" ht="15.75" customHeight="1">
      <c r="A768" s="8"/>
      <c r="B768" s="8"/>
      <c r="C768" s="8"/>
      <c r="D768" s="8"/>
      <c r="E768" s="2"/>
      <c r="F768" s="8"/>
      <c r="G768" s="8"/>
      <c r="H768" s="8"/>
      <c r="I768" s="8"/>
      <c r="J768" s="8"/>
      <c r="K768" s="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"/>
    </row>
    <row r="769" ht="15.75" customHeight="1">
      <c r="A769" s="8"/>
      <c r="B769" s="8"/>
      <c r="C769" s="8"/>
      <c r="D769" s="8"/>
      <c r="E769" s="2"/>
      <c r="F769" s="8"/>
      <c r="G769" s="8"/>
      <c r="H769" s="8"/>
      <c r="I769" s="8"/>
      <c r="J769" s="8"/>
      <c r="K769" s="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"/>
    </row>
    <row r="770" ht="15.75" customHeight="1">
      <c r="A770" s="8"/>
      <c r="B770" s="8"/>
      <c r="C770" s="8"/>
      <c r="D770" s="8"/>
      <c r="E770" s="2"/>
      <c r="F770" s="8"/>
      <c r="G770" s="8"/>
      <c r="H770" s="8"/>
      <c r="I770" s="8"/>
      <c r="J770" s="8"/>
      <c r="K770" s="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"/>
    </row>
    <row r="771" ht="15.75" customHeight="1">
      <c r="A771" s="8"/>
      <c r="B771" s="8"/>
      <c r="C771" s="8"/>
      <c r="D771" s="8"/>
      <c r="E771" s="2"/>
      <c r="F771" s="8"/>
      <c r="G771" s="8"/>
      <c r="H771" s="8"/>
      <c r="I771" s="8"/>
      <c r="J771" s="8"/>
      <c r="K771" s="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"/>
    </row>
    <row r="772" ht="15.75" customHeight="1">
      <c r="A772" s="8"/>
      <c r="B772" s="8"/>
      <c r="C772" s="8"/>
      <c r="D772" s="8"/>
      <c r="E772" s="2"/>
      <c r="F772" s="8"/>
      <c r="G772" s="8"/>
      <c r="H772" s="8"/>
      <c r="I772" s="8"/>
      <c r="J772" s="8"/>
      <c r="K772" s="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"/>
    </row>
    <row r="773" ht="15.75" customHeight="1">
      <c r="A773" s="8"/>
      <c r="B773" s="8"/>
      <c r="C773" s="8"/>
      <c r="D773" s="8"/>
      <c r="E773" s="2"/>
      <c r="F773" s="8"/>
      <c r="G773" s="8"/>
      <c r="H773" s="8"/>
      <c r="I773" s="8"/>
      <c r="J773" s="8"/>
      <c r="K773" s="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"/>
    </row>
    <row r="774" ht="15.75" customHeight="1">
      <c r="A774" s="8"/>
      <c r="B774" s="8"/>
      <c r="C774" s="8"/>
      <c r="D774" s="8"/>
      <c r="E774" s="2"/>
      <c r="F774" s="8"/>
      <c r="G774" s="8"/>
      <c r="H774" s="8"/>
      <c r="I774" s="8"/>
      <c r="J774" s="8"/>
      <c r="K774" s="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"/>
    </row>
    <row r="775" ht="15.75" customHeight="1">
      <c r="A775" s="8"/>
      <c r="B775" s="8"/>
      <c r="C775" s="8"/>
      <c r="D775" s="8"/>
      <c r="E775" s="2"/>
      <c r="F775" s="8"/>
      <c r="G775" s="8"/>
      <c r="H775" s="8"/>
      <c r="I775" s="8"/>
      <c r="J775" s="8"/>
      <c r="K775" s="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"/>
    </row>
    <row r="776" ht="15.75" customHeight="1">
      <c r="A776" s="8"/>
      <c r="B776" s="8"/>
      <c r="C776" s="8"/>
      <c r="D776" s="8"/>
      <c r="E776" s="2"/>
      <c r="F776" s="8"/>
      <c r="G776" s="8"/>
      <c r="H776" s="8"/>
      <c r="I776" s="8"/>
      <c r="J776" s="8"/>
      <c r="K776" s="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"/>
    </row>
    <row r="777" ht="15.75" customHeight="1">
      <c r="A777" s="8"/>
      <c r="B777" s="8"/>
      <c r="C777" s="8"/>
      <c r="D777" s="8"/>
      <c r="E777" s="2"/>
      <c r="F777" s="8"/>
      <c r="G777" s="8"/>
      <c r="H777" s="8"/>
      <c r="I777" s="8"/>
      <c r="J777" s="8"/>
      <c r="K777" s="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"/>
    </row>
    <row r="778" ht="15.75" customHeight="1">
      <c r="A778" s="8"/>
      <c r="B778" s="8"/>
      <c r="C778" s="8"/>
      <c r="D778" s="8"/>
      <c r="E778" s="2"/>
      <c r="F778" s="8"/>
      <c r="G778" s="8"/>
      <c r="H778" s="8"/>
      <c r="I778" s="8"/>
      <c r="J778" s="8"/>
      <c r="K778" s="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"/>
    </row>
    <row r="779" ht="15.75" customHeight="1">
      <c r="A779" s="8"/>
      <c r="B779" s="8"/>
      <c r="C779" s="8"/>
      <c r="D779" s="8"/>
      <c r="E779" s="2"/>
      <c r="F779" s="8"/>
      <c r="G779" s="8"/>
      <c r="H779" s="8"/>
      <c r="I779" s="8"/>
      <c r="J779" s="8"/>
      <c r="K779" s="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"/>
    </row>
    <row r="780" ht="15.75" customHeight="1">
      <c r="A780" s="8"/>
      <c r="B780" s="8"/>
      <c r="C780" s="8"/>
      <c r="D780" s="8"/>
      <c r="E780" s="2"/>
      <c r="F780" s="8"/>
      <c r="G780" s="8"/>
      <c r="H780" s="8"/>
      <c r="I780" s="8"/>
      <c r="J780" s="8"/>
      <c r="K780" s="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"/>
    </row>
    <row r="781" ht="15.75" customHeight="1">
      <c r="A781" s="8"/>
      <c r="B781" s="8"/>
      <c r="C781" s="8"/>
      <c r="D781" s="8"/>
      <c r="E781" s="2"/>
      <c r="F781" s="8"/>
      <c r="G781" s="8"/>
      <c r="H781" s="8"/>
      <c r="I781" s="8"/>
      <c r="J781" s="8"/>
      <c r="K781" s="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"/>
    </row>
    <row r="782" ht="15.75" customHeight="1">
      <c r="A782" s="8"/>
      <c r="B782" s="8"/>
      <c r="C782" s="8"/>
      <c r="D782" s="8"/>
      <c r="E782" s="2"/>
      <c r="F782" s="8"/>
      <c r="G782" s="8"/>
      <c r="H782" s="8"/>
      <c r="I782" s="8"/>
      <c r="J782" s="8"/>
      <c r="K782" s="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"/>
    </row>
    <row r="783" ht="15.75" customHeight="1">
      <c r="A783" s="8"/>
      <c r="B783" s="8"/>
      <c r="C783" s="8"/>
      <c r="D783" s="8"/>
      <c r="E783" s="2"/>
      <c r="F783" s="8"/>
      <c r="G783" s="8"/>
      <c r="H783" s="8"/>
      <c r="I783" s="8"/>
      <c r="J783" s="8"/>
      <c r="K783" s="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"/>
    </row>
    <row r="784" ht="15.75" customHeight="1">
      <c r="A784" s="8"/>
      <c r="B784" s="8"/>
      <c r="C784" s="8"/>
      <c r="D784" s="8"/>
      <c r="E784" s="2"/>
      <c r="F784" s="8"/>
      <c r="G784" s="8"/>
      <c r="H784" s="8"/>
      <c r="I784" s="8"/>
      <c r="J784" s="8"/>
      <c r="K784" s="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"/>
    </row>
    <row r="785" ht="15.75" customHeight="1">
      <c r="A785" s="8"/>
      <c r="B785" s="8"/>
      <c r="C785" s="8"/>
      <c r="D785" s="8"/>
      <c r="E785" s="2"/>
      <c r="F785" s="8"/>
      <c r="G785" s="8"/>
      <c r="H785" s="8"/>
      <c r="I785" s="8"/>
      <c r="J785" s="8"/>
      <c r="K785" s="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"/>
    </row>
    <row r="786" ht="15.75" customHeight="1">
      <c r="A786" s="8"/>
      <c r="B786" s="8"/>
      <c r="C786" s="8"/>
      <c r="D786" s="8"/>
      <c r="E786" s="2"/>
      <c r="F786" s="8"/>
      <c r="G786" s="8"/>
      <c r="H786" s="8"/>
      <c r="I786" s="8"/>
      <c r="J786" s="8"/>
      <c r="K786" s="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"/>
    </row>
    <row r="787" ht="15.75" customHeight="1">
      <c r="A787" s="8"/>
      <c r="B787" s="8"/>
      <c r="C787" s="8"/>
      <c r="D787" s="8"/>
      <c r="E787" s="2"/>
      <c r="F787" s="8"/>
      <c r="G787" s="8"/>
      <c r="H787" s="8"/>
      <c r="I787" s="8"/>
      <c r="J787" s="8"/>
      <c r="K787" s="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"/>
    </row>
    <row r="788" ht="15.75" customHeight="1">
      <c r="A788" s="8"/>
      <c r="B788" s="8"/>
      <c r="C788" s="8"/>
      <c r="D788" s="8"/>
      <c r="E788" s="2"/>
      <c r="F788" s="8"/>
      <c r="G788" s="8"/>
      <c r="H788" s="8"/>
      <c r="I788" s="8"/>
      <c r="J788" s="8"/>
      <c r="K788" s="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"/>
    </row>
    <row r="789" ht="15.75" customHeight="1">
      <c r="A789" s="8"/>
      <c r="B789" s="8"/>
      <c r="C789" s="8"/>
      <c r="D789" s="8"/>
      <c r="E789" s="2"/>
      <c r="F789" s="8"/>
      <c r="G789" s="8"/>
      <c r="H789" s="8"/>
      <c r="I789" s="8"/>
      <c r="J789" s="8"/>
      <c r="K789" s="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"/>
    </row>
    <row r="790" ht="15.75" customHeight="1">
      <c r="A790" s="8"/>
      <c r="B790" s="8"/>
      <c r="C790" s="8"/>
      <c r="D790" s="8"/>
      <c r="E790" s="2"/>
      <c r="F790" s="8"/>
      <c r="G790" s="8"/>
      <c r="H790" s="8"/>
      <c r="I790" s="8"/>
      <c r="J790" s="8"/>
      <c r="K790" s="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"/>
    </row>
    <row r="791" ht="15.75" customHeight="1">
      <c r="A791" s="8"/>
      <c r="B791" s="8"/>
      <c r="C791" s="8"/>
      <c r="D791" s="8"/>
      <c r="E791" s="2"/>
      <c r="F791" s="8"/>
      <c r="G791" s="8"/>
      <c r="H791" s="8"/>
      <c r="I791" s="8"/>
      <c r="J791" s="8"/>
      <c r="K791" s="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"/>
    </row>
    <row r="792" ht="15.75" customHeight="1">
      <c r="A792" s="8"/>
      <c r="B792" s="8"/>
      <c r="C792" s="8"/>
      <c r="D792" s="8"/>
      <c r="E792" s="2"/>
      <c r="F792" s="8"/>
      <c r="G792" s="8"/>
      <c r="H792" s="8"/>
      <c r="I792" s="8"/>
      <c r="J792" s="8"/>
      <c r="K792" s="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"/>
    </row>
    <row r="793" ht="15.75" customHeight="1">
      <c r="A793" s="8"/>
      <c r="B793" s="8"/>
      <c r="C793" s="8"/>
      <c r="D793" s="8"/>
      <c r="E793" s="2"/>
      <c r="F793" s="8"/>
      <c r="G793" s="8"/>
      <c r="H793" s="8"/>
      <c r="I793" s="8"/>
      <c r="J793" s="8"/>
      <c r="K793" s="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"/>
    </row>
    <row r="794" ht="15.75" customHeight="1">
      <c r="A794" s="8"/>
      <c r="B794" s="8"/>
      <c r="C794" s="8"/>
      <c r="D794" s="8"/>
      <c r="E794" s="2"/>
      <c r="F794" s="8"/>
      <c r="G794" s="8"/>
      <c r="H794" s="8"/>
      <c r="I794" s="8"/>
      <c r="J794" s="8"/>
      <c r="K794" s="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"/>
    </row>
    <row r="795" ht="15.75" customHeight="1">
      <c r="A795" s="8"/>
      <c r="B795" s="8"/>
      <c r="C795" s="8"/>
      <c r="D795" s="8"/>
      <c r="E795" s="2"/>
      <c r="F795" s="8"/>
      <c r="G795" s="8"/>
      <c r="H795" s="8"/>
      <c r="I795" s="8"/>
      <c r="J795" s="8"/>
      <c r="K795" s="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"/>
    </row>
    <row r="796" ht="15.75" customHeight="1">
      <c r="A796" s="8"/>
      <c r="B796" s="8"/>
      <c r="C796" s="8"/>
      <c r="D796" s="8"/>
      <c r="E796" s="2"/>
      <c r="F796" s="8"/>
      <c r="G796" s="8"/>
      <c r="H796" s="8"/>
      <c r="I796" s="8"/>
      <c r="J796" s="8"/>
      <c r="K796" s="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"/>
    </row>
    <row r="797" ht="15.75" customHeight="1">
      <c r="A797" s="8"/>
      <c r="B797" s="8"/>
      <c r="C797" s="8"/>
      <c r="D797" s="8"/>
      <c r="E797" s="2"/>
      <c r="F797" s="8"/>
      <c r="G797" s="8"/>
      <c r="H797" s="8"/>
      <c r="I797" s="8"/>
      <c r="J797" s="8"/>
      <c r="K797" s="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"/>
    </row>
    <row r="798" ht="15.75" customHeight="1">
      <c r="A798" s="8"/>
      <c r="B798" s="8"/>
      <c r="C798" s="8"/>
      <c r="D798" s="8"/>
      <c r="E798" s="2"/>
      <c r="F798" s="8"/>
      <c r="G798" s="8"/>
      <c r="H798" s="8"/>
      <c r="I798" s="8"/>
      <c r="J798" s="8"/>
      <c r="K798" s="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"/>
    </row>
    <row r="799" ht="15.75" customHeight="1">
      <c r="A799" s="8"/>
      <c r="B799" s="8"/>
      <c r="C799" s="8"/>
      <c r="D799" s="8"/>
      <c r="E799" s="2"/>
      <c r="F799" s="8"/>
      <c r="G799" s="8"/>
      <c r="H799" s="8"/>
      <c r="I799" s="8"/>
      <c r="J799" s="8"/>
      <c r="K799" s="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"/>
    </row>
    <row r="800" ht="15.75" customHeight="1">
      <c r="A800" s="8"/>
      <c r="B800" s="8"/>
      <c r="C800" s="8"/>
      <c r="D800" s="8"/>
      <c r="E800" s="2"/>
      <c r="F800" s="8"/>
      <c r="G800" s="8"/>
      <c r="H800" s="8"/>
      <c r="I800" s="8"/>
      <c r="J800" s="8"/>
      <c r="K800" s="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"/>
    </row>
    <row r="801" ht="15.75" customHeight="1">
      <c r="A801" s="8"/>
      <c r="B801" s="8"/>
      <c r="C801" s="8"/>
      <c r="D801" s="8"/>
      <c r="E801" s="2"/>
      <c r="F801" s="8"/>
      <c r="G801" s="8"/>
      <c r="H801" s="8"/>
      <c r="I801" s="8"/>
      <c r="J801" s="8"/>
      <c r="K801" s="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"/>
    </row>
    <row r="802" ht="15.75" customHeight="1">
      <c r="A802" s="8"/>
      <c r="B802" s="8"/>
      <c r="C802" s="8"/>
      <c r="D802" s="8"/>
      <c r="E802" s="2"/>
      <c r="F802" s="8"/>
      <c r="G802" s="8"/>
      <c r="H802" s="8"/>
      <c r="I802" s="8"/>
      <c r="J802" s="8"/>
      <c r="K802" s="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"/>
    </row>
    <row r="803" ht="15.75" customHeight="1">
      <c r="A803" s="8"/>
      <c r="B803" s="8"/>
      <c r="C803" s="8"/>
      <c r="D803" s="8"/>
      <c r="E803" s="2"/>
      <c r="F803" s="8"/>
      <c r="G803" s="8"/>
      <c r="H803" s="8"/>
      <c r="I803" s="8"/>
      <c r="J803" s="8"/>
      <c r="K803" s="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"/>
    </row>
    <row r="804" ht="15.75" customHeight="1">
      <c r="A804" s="8"/>
      <c r="B804" s="8"/>
      <c r="C804" s="8"/>
      <c r="D804" s="8"/>
      <c r="E804" s="2"/>
      <c r="F804" s="8"/>
      <c r="G804" s="8"/>
      <c r="H804" s="8"/>
      <c r="I804" s="8"/>
      <c r="J804" s="8"/>
      <c r="K804" s="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"/>
    </row>
    <row r="805" ht="15.75" customHeight="1">
      <c r="A805" s="8"/>
      <c r="B805" s="8"/>
      <c r="C805" s="8"/>
      <c r="D805" s="8"/>
      <c r="E805" s="2"/>
      <c r="F805" s="8"/>
      <c r="G805" s="8"/>
      <c r="H805" s="8"/>
      <c r="I805" s="8"/>
      <c r="J805" s="8"/>
      <c r="K805" s="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"/>
    </row>
    <row r="806" ht="15.75" customHeight="1">
      <c r="A806" s="8"/>
      <c r="B806" s="8"/>
      <c r="C806" s="8"/>
      <c r="D806" s="8"/>
      <c r="E806" s="2"/>
      <c r="F806" s="8"/>
      <c r="G806" s="8"/>
      <c r="H806" s="8"/>
      <c r="I806" s="8"/>
      <c r="J806" s="8"/>
      <c r="K806" s="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"/>
    </row>
    <row r="807" ht="15.75" customHeight="1">
      <c r="A807" s="8"/>
      <c r="B807" s="8"/>
      <c r="C807" s="8"/>
      <c r="D807" s="8"/>
      <c r="E807" s="2"/>
      <c r="F807" s="8"/>
      <c r="G807" s="8"/>
      <c r="H807" s="8"/>
      <c r="I807" s="8"/>
      <c r="J807" s="8"/>
      <c r="K807" s="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"/>
    </row>
    <row r="808" ht="15.75" customHeight="1">
      <c r="A808" s="8"/>
      <c r="B808" s="8"/>
      <c r="C808" s="8"/>
      <c r="D808" s="8"/>
      <c r="E808" s="2"/>
      <c r="F808" s="8"/>
      <c r="G808" s="8"/>
      <c r="H808" s="8"/>
      <c r="I808" s="8"/>
      <c r="J808" s="8"/>
      <c r="K808" s="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"/>
    </row>
    <row r="809" ht="15.75" customHeight="1">
      <c r="A809" s="8"/>
      <c r="B809" s="8"/>
      <c r="C809" s="8"/>
      <c r="D809" s="8"/>
      <c r="E809" s="2"/>
      <c r="F809" s="8"/>
      <c r="G809" s="8"/>
      <c r="H809" s="8"/>
      <c r="I809" s="8"/>
      <c r="J809" s="8"/>
      <c r="K809" s="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"/>
    </row>
    <row r="810" ht="15.75" customHeight="1">
      <c r="A810" s="8"/>
      <c r="B810" s="8"/>
      <c r="C810" s="8"/>
      <c r="D810" s="8"/>
      <c r="E810" s="2"/>
      <c r="F810" s="8"/>
      <c r="G810" s="8"/>
      <c r="H810" s="8"/>
      <c r="I810" s="8"/>
      <c r="J810" s="8"/>
      <c r="K810" s="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"/>
    </row>
    <row r="811" ht="15.75" customHeight="1">
      <c r="A811" s="8"/>
      <c r="B811" s="8"/>
      <c r="C811" s="8"/>
      <c r="D811" s="8"/>
      <c r="E811" s="2"/>
      <c r="F811" s="8"/>
      <c r="G811" s="8"/>
      <c r="H811" s="8"/>
      <c r="I811" s="8"/>
      <c r="J811" s="8"/>
      <c r="K811" s="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"/>
    </row>
    <row r="812" ht="15.75" customHeight="1">
      <c r="A812" s="8"/>
      <c r="B812" s="8"/>
      <c r="C812" s="8"/>
      <c r="D812" s="8"/>
      <c r="E812" s="2"/>
      <c r="F812" s="8"/>
      <c r="G812" s="8"/>
      <c r="H812" s="8"/>
      <c r="I812" s="8"/>
      <c r="J812" s="8"/>
      <c r="K812" s="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"/>
    </row>
    <row r="813" ht="15.75" customHeight="1">
      <c r="A813" s="8"/>
      <c r="B813" s="8"/>
      <c r="C813" s="8"/>
      <c r="D813" s="8"/>
      <c r="E813" s="2"/>
      <c r="F813" s="8"/>
      <c r="G813" s="8"/>
      <c r="H813" s="8"/>
      <c r="I813" s="8"/>
      <c r="J813" s="8"/>
      <c r="K813" s="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"/>
    </row>
    <row r="814" ht="15.75" customHeight="1">
      <c r="A814" s="8"/>
      <c r="B814" s="8"/>
      <c r="C814" s="8"/>
      <c r="D814" s="8"/>
      <c r="E814" s="2"/>
      <c r="F814" s="8"/>
      <c r="G814" s="8"/>
      <c r="H814" s="8"/>
      <c r="I814" s="8"/>
      <c r="J814" s="8"/>
      <c r="K814" s="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"/>
    </row>
    <row r="815" ht="15.75" customHeight="1">
      <c r="A815" s="8"/>
      <c r="B815" s="8"/>
      <c r="C815" s="8"/>
      <c r="D815" s="8"/>
      <c r="E815" s="2"/>
      <c r="F815" s="8"/>
      <c r="G815" s="8"/>
      <c r="H815" s="8"/>
      <c r="I815" s="8"/>
      <c r="J815" s="8"/>
      <c r="K815" s="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"/>
    </row>
    <row r="816" ht="15.75" customHeight="1">
      <c r="A816" s="8"/>
      <c r="B816" s="8"/>
      <c r="C816" s="8"/>
      <c r="D816" s="8"/>
      <c r="E816" s="2"/>
      <c r="F816" s="8"/>
      <c r="G816" s="8"/>
      <c r="H816" s="8"/>
      <c r="I816" s="8"/>
      <c r="J816" s="8"/>
      <c r="K816" s="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"/>
    </row>
    <row r="817" ht="15.75" customHeight="1">
      <c r="A817" s="8"/>
      <c r="B817" s="8"/>
      <c r="C817" s="8"/>
      <c r="D817" s="8"/>
      <c r="E817" s="2"/>
      <c r="F817" s="8"/>
      <c r="G817" s="8"/>
      <c r="H817" s="8"/>
      <c r="I817" s="8"/>
      <c r="J817" s="8"/>
      <c r="K817" s="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"/>
    </row>
    <row r="818" ht="15.75" customHeight="1">
      <c r="A818" s="8"/>
      <c r="B818" s="8"/>
      <c r="C818" s="8"/>
      <c r="D818" s="8"/>
      <c r="E818" s="2"/>
      <c r="F818" s="8"/>
      <c r="G818" s="8"/>
      <c r="H818" s="8"/>
      <c r="I818" s="8"/>
      <c r="J818" s="8"/>
      <c r="K818" s="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"/>
    </row>
    <row r="819" ht="15.75" customHeight="1">
      <c r="A819" s="8"/>
      <c r="B819" s="8"/>
      <c r="C819" s="8"/>
      <c r="D819" s="8"/>
      <c r="E819" s="2"/>
      <c r="F819" s="8"/>
      <c r="G819" s="8"/>
      <c r="H819" s="8"/>
      <c r="I819" s="8"/>
      <c r="J819" s="8"/>
      <c r="K819" s="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"/>
    </row>
    <row r="820" ht="15.75" customHeight="1">
      <c r="A820" s="8"/>
      <c r="B820" s="8"/>
      <c r="C820" s="8"/>
      <c r="D820" s="8"/>
      <c r="E820" s="2"/>
      <c r="F820" s="8"/>
      <c r="G820" s="8"/>
      <c r="H820" s="8"/>
      <c r="I820" s="8"/>
      <c r="J820" s="8"/>
      <c r="K820" s="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"/>
    </row>
    <row r="821" ht="15.75" customHeight="1">
      <c r="A821" s="8"/>
      <c r="B821" s="8"/>
      <c r="C821" s="8"/>
      <c r="D821" s="8"/>
      <c r="E821" s="2"/>
      <c r="F821" s="8"/>
      <c r="G821" s="8"/>
      <c r="H821" s="8"/>
      <c r="I821" s="8"/>
      <c r="J821" s="8"/>
      <c r="K821" s="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"/>
    </row>
    <row r="822" ht="15.75" customHeight="1">
      <c r="A822" s="8"/>
      <c r="B822" s="8"/>
      <c r="C822" s="8"/>
      <c r="D822" s="8"/>
      <c r="E822" s="2"/>
      <c r="F822" s="8"/>
      <c r="G822" s="8"/>
      <c r="H822" s="8"/>
      <c r="I822" s="8"/>
      <c r="J822" s="8"/>
      <c r="K822" s="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"/>
    </row>
    <row r="823" ht="15.75" customHeight="1">
      <c r="A823" s="8"/>
      <c r="B823" s="8"/>
      <c r="C823" s="8"/>
      <c r="D823" s="8"/>
      <c r="E823" s="2"/>
      <c r="F823" s="8"/>
      <c r="G823" s="8"/>
      <c r="H823" s="8"/>
      <c r="I823" s="8"/>
      <c r="J823" s="8"/>
      <c r="K823" s="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"/>
    </row>
    <row r="824" ht="15.75" customHeight="1">
      <c r="A824" s="8"/>
      <c r="B824" s="8"/>
      <c r="C824" s="8"/>
      <c r="D824" s="8"/>
      <c r="E824" s="2"/>
      <c r="F824" s="8"/>
      <c r="G824" s="8"/>
      <c r="H824" s="8"/>
      <c r="I824" s="8"/>
      <c r="J824" s="8"/>
      <c r="K824" s="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"/>
    </row>
    <row r="825" ht="15.75" customHeight="1">
      <c r="A825" s="8"/>
      <c r="B825" s="8"/>
      <c r="C825" s="8"/>
      <c r="D825" s="8"/>
      <c r="E825" s="2"/>
      <c r="F825" s="8"/>
      <c r="G825" s="8"/>
      <c r="H825" s="8"/>
      <c r="I825" s="8"/>
      <c r="J825" s="8"/>
      <c r="K825" s="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"/>
    </row>
    <row r="826" ht="15.75" customHeight="1">
      <c r="A826" s="8"/>
      <c r="B826" s="8"/>
      <c r="C826" s="8"/>
      <c r="D826" s="8"/>
      <c r="E826" s="2"/>
      <c r="F826" s="8"/>
      <c r="G826" s="8"/>
      <c r="H826" s="8"/>
      <c r="I826" s="8"/>
      <c r="J826" s="8"/>
      <c r="K826" s="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"/>
    </row>
    <row r="827" ht="15.75" customHeight="1">
      <c r="A827" s="8"/>
      <c r="B827" s="8"/>
      <c r="C827" s="8"/>
      <c r="D827" s="8"/>
      <c r="E827" s="2"/>
      <c r="F827" s="8"/>
      <c r="G827" s="8"/>
      <c r="H827" s="8"/>
      <c r="I827" s="8"/>
      <c r="J827" s="8"/>
      <c r="K827" s="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"/>
    </row>
    <row r="828" ht="15.75" customHeight="1">
      <c r="A828" s="8"/>
      <c r="B828" s="8"/>
      <c r="C828" s="8"/>
      <c r="D828" s="8"/>
      <c r="E828" s="2"/>
      <c r="F828" s="8"/>
      <c r="G828" s="8"/>
      <c r="H828" s="8"/>
      <c r="I828" s="8"/>
      <c r="J828" s="8"/>
      <c r="K828" s="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"/>
    </row>
    <row r="829" ht="15.75" customHeight="1">
      <c r="A829" s="8"/>
      <c r="B829" s="8"/>
      <c r="C829" s="8"/>
      <c r="D829" s="8"/>
      <c r="E829" s="2"/>
      <c r="F829" s="8"/>
      <c r="G829" s="8"/>
      <c r="H829" s="8"/>
      <c r="I829" s="8"/>
      <c r="J829" s="8"/>
      <c r="K829" s="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"/>
    </row>
    <row r="830" ht="15.75" customHeight="1">
      <c r="A830" s="8"/>
      <c r="B830" s="8"/>
      <c r="C830" s="8"/>
      <c r="D830" s="8"/>
      <c r="E830" s="2"/>
      <c r="F830" s="8"/>
      <c r="G830" s="8"/>
      <c r="H830" s="8"/>
      <c r="I830" s="8"/>
      <c r="J830" s="8"/>
      <c r="K830" s="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"/>
    </row>
    <row r="831" ht="15.75" customHeight="1">
      <c r="A831" s="8"/>
      <c r="B831" s="8"/>
      <c r="C831" s="8"/>
      <c r="D831" s="8"/>
      <c r="E831" s="2"/>
      <c r="F831" s="8"/>
      <c r="G831" s="8"/>
      <c r="H831" s="8"/>
      <c r="I831" s="8"/>
      <c r="J831" s="8"/>
      <c r="K831" s="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"/>
    </row>
    <row r="832" ht="15.75" customHeight="1">
      <c r="A832" s="8"/>
      <c r="B832" s="8"/>
      <c r="C832" s="8"/>
      <c r="D832" s="8"/>
      <c r="E832" s="2"/>
      <c r="F832" s="8"/>
      <c r="G832" s="8"/>
      <c r="H832" s="8"/>
      <c r="I832" s="8"/>
      <c r="J832" s="8"/>
      <c r="K832" s="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"/>
    </row>
    <row r="833" ht="15.75" customHeight="1">
      <c r="A833" s="8"/>
      <c r="B833" s="8"/>
      <c r="C833" s="8"/>
      <c r="D833" s="8"/>
      <c r="E833" s="2"/>
      <c r="F833" s="8"/>
      <c r="G833" s="8"/>
      <c r="H833" s="8"/>
      <c r="I833" s="8"/>
      <c r="J833" s="8"/>
      <c r="K833" s="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"/>
    </row>
    <row r="834" ht="15.75" customHeight="1">
      <c r="A834" s="8"/>
      <c r="B834" s="8"/>
      <c r="C834" s="8"/>
      <c r="D834" s="8"/>
      <c r="E834" s="2"/>
      <c r="F834" s="8"/>
      <c r="G834" s="8"/>
      <c r="H834" s="8"/>
      <c r="I834" s="8"/>
      <c r="J834" s="8"/>
      <c r="K834" s="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"/>
    </row>
    <row r="835" ht="15.75" customHeight="1">
      <c r="A835" s="8"/>
      <c r="B835" s="8"/>
      <c r="C835" s="8"/>
      <c r="D835" s="8"/>
      <c r="E835" s="2"/>
      <c r="F835" s="8"/>
      <c r="G835" s="8"/>
      <c r="H835" s="8"/>
      <c r="I835" s="8"/>
      <c r="J835" s="8"/>
      <c r="K835" s="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"/>
    </row>
    <row r="836" ht="15.75" customHeight="1">
      <c r="A836" s="8"/>
      <c r="B836" s="8"/>
      <c r="C836" s="8"/>
      <c r="D836" s="8"/>
      <c r="E836" s="2"/>
      <c r="F836" s="8"/>
      <c r="G836" s="8"/>
      <c r="H836" s="8"/>
      <c r="I836" s="8"/>
      <c r="J836" s="8"/>
      <c r="K836" s="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"/>
    </row>
    <row r="837" ht="15.75" customHeight="1">
      <c r="A837" s="8"/>
      <c r="B837" s="8"/>
      <c r="C837" s="8"/>
      <c r="D837" s="8"/>
      <c r="E837" s="2"/>
      <c r="F837" s="8"/>
      <c r="G837" s="8"/>
      <c r="H837" s="8"/>
      <c r="I837" s="8"/>
      <c r="J837" s="8"/>
      <c r="K837" s="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"/>
    </row>
    <row r="838" ht="15.75" customHeight="1">
      <c r="A838" s="8"/>
      <c r="B838" s="8"/>
      <c r="C838" s="8"/>
      <c r="D838" s="8"/>
      <c r="E838" s="2"/>
      <c r="F838" s="8"/>
      <c r="G838" s="8"/>
      <c r="H838" s="8"/>
      <c r="I838" s="8"/>
      <c r="J838" s="8"/>
      <c r="K838" s="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"/>
    </row>
    <row r="839" ht="15.75" customHeight="1">
      <c r="A839" s="8"/>
      <c r="B839" s="8"/>
      <c r="C839" s="8"/>
      <c r="D839" s="8"/>
      <c r="E839" s="2"/>
      <c r="F839" s="8"/>
      <c r="G839" s="8"/>
      <c r="H839" s="8"/>
      <c r="I839" s="8"/>
      <c r="J839" s="8"/>
      <c r="K839" s="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"/>
    </row>
    <row r="840" ht="15.75" customHeight="1">
      <c r="A840" s="8"/>
      <c r="B840" s="8"/>
      <c r="C840" s="8"/>
      <c r="D840" s="8"/>
      <c r="E840" s="2"/>
      <c r="F840" s="8"/>
      <c r="G840" s="8"/>
      <c r="H840" s="8"/>
      <c r="I840" s="8"/>
      <c r="J840" s="8"/>
      <c r="K840" s="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"/>
    </row>
    <row r="841" ht="15.75" customHeight="1">
      <c r="A841" s="8"/>
      <c r="B841" s="8"/>
      <c r="C841" s="8"/>
      <c r="D841" s="8"/>
      <c r="E841" s="2"/>
      <c r="F841" s="8"/>
      <c r="G841" s="8"/>
      <c r="H841" s="8"/>
      <c r="I841" s="8"/>
      <c r="J841" s="8"/>
      <c r="K841" s="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"/>
    </row>
    <row r="842" ht="15.75" customHeight="1">
      <c r="A842" s="8"/>
      <c r="B842" s="8"/>
      <c r="C842" s="8"/>
      <c r="D842" s="8"/>
      <c r="E842" s="2"/>
      <c r="F842" s="8"/>
      <c r="G842" s="8"/>
      <c r="H842" s="8"/>
      <c r="I842" s="8"/>
      <c r="J842" s="8"/>
      <c r="K842" s="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"/>
    </row>
    <row r="843" ht="15.75" customHeight="1">
      <c r="A843" s="8"/>
      <c r="B843" s="8"/>
      <c r="C843" s="8"/>
      <c r="D843" s="8"/>
      <c r="E843" s="2"/>
      <c r="F843" s="8"/>
      <c r="G843" s="8"/>
      <c r="H843" s="8"/>
      <c r="I843" s="8"/>
      <c r="J843" s="8"/>
      <c r="K843" s="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"/>
    </row>
    <row r="844" ht="15.75" customHeight="1">
      <c r="A844" s="8"/>
      <c r="B844" s="8"/>
      <c r="C844" s="8"/>
      <c r="D844" s="8"/>
      <c r="E844" s="2"/>
      <c r="F844" s="8"/>
      <c r="G844" s="8"/>
      <c r="H844" s="8"/>
      <c r="I844" s="8"/>
      <c r="J844" s="8"/>
      <c r="K844" s="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"/>
    </row>
    <row r="845" ht="15.75" customHeight="1">
      <c r="A845" s="8"/>
      <c r="B845" s="8"/>
      <c r="C845" s="8"/>
      <c r="D845" s="8"/>
      <c r="E845" s="2"/>
      <c r="F845" s="8"/>
      <c r="G845" s="8"/>
      <c r="H845" s="8"/>
      <c r="I845" s="8"/>
      <c r="J845" s="8"/>
      <c r="K845" s="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"/>
    </row>
    <row r="846" ht="15.75" customHeight="1">
      <c r="A846" s="8"/>
      <c r="B846" s="8"/>
      <c r="C846" s="8"/>
      <c r="D846" s="8"/>
      <c r="E846" s="2"/>
      <c r="F846" s="8"/>
      <c r="G846" s="8"/>
      <c r="H846" s="8"/>
      <c r="I846" s="8"/>
      <c r="J846" s="8"/>
      <c r="K846" s="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"/>
    </row>
    <row r="847" ht="15.75" customHeight="1">
      <c r="A847" s="8"/>
      <c r="B847" s="8"/>
      <c r="C847" s="8"/>
      <c r="D847" s="8"/>
      <c r="E847" s="2"/>
      <c r="F847" s="8"/>
      <c r="G847" s="8"/>
      <c r="H847" s="8"/>
      <c r="I847" s="8"/>
      <c r="J847" s="8"/>
      <c r="K847" s="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"/>
    </row>
    <row r="848" ht="15.75" customHeight="1">
      <c r="A848" s="8"/>
      <c r="B848" s="8"/>
      <c r="C848" s="8"/>
      <c r="D848" s="8"/>
      <c r="E848" s="2"/>
      <c r="F848" s="8"/>
      <c r="G848" s="8"/>
      <c r="H848" s="8"/>
      <c r="I848" s="8"/>
      <c r="J848" s="8"/>
      <c r="K848" s="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"/>
    </row>
    <row r="849" ht="15.75" customHeight="1">
      <c r="A849" s="8"/>
      <c r="B849" s="8"/>
      <c r="C849" s="8"/>
      <c r="D849" s="8"/>
      <c r="E849" s="2"/>
      <c r="F849" s="8"/>
      <c r="G849" s="8"/>
      <c r="H849" s="8"/>
      <c r="I849" s="8"/>
      <c r="J849" s="8"/>
      <c r="K849" s="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"/>
    </row>
    <row r="850" ht="15.75" customHeight="1">
      <c r="A850" s="8"/>
      <c r="B850" s="8"/>
      <c r="C850" s="8"/>
      <c r="D850" s="8"/>
      <c r="E850" s="2"/>
      <c r="F850" s="8"/>
      <c r="G850" s="8"/>
      <c r="H850" s="8"/>
      <c r="I850" s="8"/>
      <c r="J850" s="8"/>
      <c r="K850" s="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"/>
    </row>
    <row r="851" ht="15.75" customHeight="1">
      <c r="A851" s="8"/>
      <c r="B851" s="8"/>
      <c r="C851" s="8"/>
      <c r="D851" s="8"/>
      <c r="E851" s="2"/>
      <c r="F851" s="8"/>
      <c r="G851" s="8"/>
      <c r="H851" s="8"/>
      <c r="I851" s="8"/>
      <c r="J851" s="8"/>
      <c r="K851" s="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"/>
    </row>
    <row r="852" ht="15.75" customHeight="1">
      <c r="A852" s="8"/>
      <c r="B852" s="8"/>
      <c r="C852" s="8"/>
      <c r="D852" s="8"/>
      <c r="E852" s="2"/>
      <c r="F852" s="8"/>
      <c r="G852" s="8"/>
      <c r="H852" s="8"/>
      <c r="I852" s="8"/>
      <c r="J852" s="8"/>
      <c r="K852" s="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"/>
    </row>
    <row r="853" ht="15.75" customHeight="1">
      <c r="A853" s="8"/>
      <c r="B853" s="8"/>
      <c r="C853" s="8"/>
      <c r="D853" s="8"/>
      <c r="E853" s="2"/>
      <c r="F853" s="8"/>
      <c r="G853" s="8"/>
      <c r="H853" s="8"/>
      <c r="I853" s="8"/>
      <c r="J853" s="8"/>
      <c r="K853" s="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"/>
    </row>
    <row r="854" ht="15.75" customHeight="1">
      <c r="A854" s="8"/>
      <c r="B854" s="8"/>
      <c r="C854" s="8"/>
      <c r="D854" s="8"/>
      <c r="E854" s="2"/>
      <c r="F854" s="8"/>
      <c r="G854" s="8"/>
      <c r="H854" s="8"/>
      <c r="I854" s="8"/>
      <c r="J854" s="8"/>
      <c r="K854" s="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"/>
    </row>
    <row r="855" ht="15.75" customHeight="1">
      <c r="A855" s="8"/>
      <c r="B855" s="8"/>
      <c r="C855" s="8"/>
      <c r="D855" s="8"/>
      <c r="E855" s="2"/>
      <c r="F855" s="8"/>
      <c r="G855" s="8"/>
      <c r="H855" s="8"/>
      <c r="I855" s="8"/>
      <c r="J855" s="8"/>
      <c r="K855" s="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"/>
    </row>
    <row r="856" ht="15.75" customHeight="1">
      <c r="A856" s="8"/>
      <c r="B856" s="8"/>
      <c r="C856" s="8"/>
      <c r="D856" s="8"/>
      <c r="E856" s="2"/>
      <c r="F856" s="8"/>
      <c r="G856" s="8"/>
      <c r="H856" s="8"/>
      <c r="I856" s="8"/>
      <c r="J856" s="8"/>
      <c r="K856" s="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"/>
    </row>
    <row r="857" ht="15.75" customHeight="1">
      <c r="A857" s="8"/>
      <c r="B857" s="8"/>
      <c r="C857" s="8"/>
      <c r="D857" s="8"/>
      <c r="E857" s="2"/>
      <c r="F857" s="8"/>
      <c r="G857" s="8"/>
      <c r="H857" s="8"/>
      <c r="I857" s="8"/>
      <c r="J857" s="8"/>
      <c r="K857" s="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"/>
    </row>
    <row r="858" ht="15.75" customHeight="1">
      <c r="A858" s="8"/>
      <c r="B858" s="8"/>
      <c r="C858" s="8"/>
      <c r="D858" s="8"/>
      <c r="E858" s="2"/>
      <c r="F858" s="8"/>
      <c r="G858" s="8"/>
      <c r="H858" s="8"/>
      <c r="I858" s="8"/>
      <c r="J858" s="8"/>
      <c r="K858" s="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"/>
    </row>
    <row r="859" ht="15.75" customHeight="1">
      <c r="A859" s="8"/>
      <c r="B859" s="8"/>
      <c r="C859" s="8"/>
      <c r="D859" s="8"/>
      <c r="E859" s="2"/>
      <c r="F859" s="8"/>
      <c r="G859" s="8"/>
      <c r="H859" s="8"/>
      <c r="I859" s="8"/>
      <c r="J859" s="8"/>
      <c r="K859" s="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"/>
    </row>
    <row r="860" ht="15.75" customHeight="1">
      <c r="A860" s="8"/>
      <c r="B860" s="8"/>
      <c r="C860" s="8"/>
      <c r="D860" s="8"/>
      <c r="E860" s="2"/>
      <c r="F860" s="8"/>
      <c r="G860" s="8"/>
      <c r="H860" s="8"/>
      <c r="I860" s="8"/>
      <c r="J860" s="8"/>
      <c r="K860" s="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"/>
    </row>
    <row r="861" ht="15.75" customHeight="1">
      <c r="A861" s="8"/>
      <c r="B861" s="8"/>
      <c r="C861" s="8"/>
      <c r="D861" s="8"/>
      <c r="E861" s="2"/>
      <c r="F861" s="8"/>
      <c r="G861" s="8"/>
      <c r="H861" s="8"/>
      <c r="I861" s="8"/>
      <c r="J861" s="8"/>
      <c r="K861" s="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"/>
    </row>
    <row r="862" ht="15.75" customHeight="1">
      <c r="A862" s="8"/>
      <c r="B862" s="8"/>
      <c r="C862" s="8"/>
      <c r="D862" s="8"/>
      <c r="E862" s="2"/>
      <c r="F862" s="8"/>
      <c r="G862" s="8"/>
      <c r="H862" s="8"/>
      <c r="I862" s="8"/>
      <c r="J862" s="8"/>
      <c r="K862" s="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"/>
    </row>
    <row r="863" ht="15.75" customHeight="1">
      <c r="A863" s="8"/>
      <c r="B863" s="8"/>
      <c r="C863" s="8"/>
      <c r="D863" s="8"/>
      <c r="E863" s="2"/>
      <c r="F863" s="8"/>
      <c r="G863" s="8"/>
      <c r="H863" s="8"/>
      <c r="I863" s="8"/>
      <c r="J863" s="8"/>
      <c r="K863" s="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"/>
    </row>
    <row r="864" ht="15.75" customHeight="1">
      <c r="A864" s="8"/>
      <c r="B864" s="8"/>
      <c r="C864" s="8"/>
      <c r="D864" s="8"/>
      <c r="E864" s="2"/>
      <c r="F864" s="8"/>
      <c r="G864" s="8"/>
      <c r="H864" s="8"/>
      <c r="I864" s="8"/>
      <c r="J864" s="8"/>
      <c r="K864" s="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"/>
    </row>
    <row r="865" ht="15.75" customHeight="1">
      <c r="A865" s="8"/>
      <c r="B865" s="8"/>
      <c r="C865" s="8"/>
      <c r="D865" s="8"/>
      <c r="E865" s="2"/>
      <c r="F865" s="8"/>
      <c r="G865" s="8"/>
      <c r="H865" s="8"/>
      <c r="I865" s="8"/>
      <c r="J865" s="8"/>
      <c r="K865" s="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"/>
    </row>
    <row r="866" ht="15.75" customHeight="1">
      <c r="A866" s="8"/>
      <c r="B866" s="8"/>
      <c r="C866" s="8"/>
      <c r="D866" s="8"/>
      <c r="E866" s="2"/>
      <c r="F866" s="8"/>
      <c r="G866" s="8"/>
      <c r="H866" s="8"/>
      <c r="I866" s="8"/>
      <c r="J866" s="8"/>
      <c r="K866" s="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"/>
    </row>
    <row r="867" ht="15.75" customHeight="1">
      <c r="A867" s="8"/>
      <c r="B867" s="8"/>
      <c r="C867" s="8"/>
      <c r="D867" s="8"/>
      <c r="E867" s="2"/>
      <c r="F867" s="8"/>
      <c r="G867" s="8"/>
      <c r="H867" s="8"/>
      <c r="I867" s="8"/>
      <c r="J867" s="8"/>
      <c r="K867" s="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"/>
    </row>
    <row r="868" ht="15.75" customHeight="1">
      <c r="A868" s="8"/>
      <c r="B868" s="8"/>
      <c r="C868" s="8"/>
      <c r="D868" s="8"/>
      <c r="E868" s="2"/>
      <c r="F868" s="8"/>
      <c r="G868" s="8"/>
      <c r="H868" s="8"/>
      <c r="I868" s="8"/>
      <c r="J868" s="8"/>
      <c r="K868" s="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"/>
    </row>
    <row r="869" ht="15.75" customHeight="1">
      <c r="A869" s="8"/>
      <c r="B869" s="8"/>
      <c r="C869" s="8"/>
      <c r="D869" s="8"/>
      <c r="E869" s="2"/>
      <c r="F869" s="8"/>
      <c r="G869" s="8"/>
      <c r="H869" s="8"/>
      <c r="I869" s="8"/>
      <c r="J869" s="8"/>
      <c r="K869" s="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"/>
    </row>
    <row r="870" ht="15.75" customHeight="1">
      <c r="A870" s="8"/>
      <c r="B870" s="8"/>
      <c r="C870" s="8"/>
      <c r="D870" s="8"/>
      <c r="E870" s="2"/>
      <c r="F870" s="8"/>
      <c r="G870" s="8"/>
      <c r="H870" s="8"/>
      <c r="I870" s="8"/>
      <c r="J870" s="8"/>
      <c r="K870" s="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"/>
    </row>
    <row r="871" ht="15.75" customHeight="1">
      <c r="A871" s="8"/>
      <c r="B871" s="8"/>
      <c r="C871" s="8"/>
      <c r="D871" s="8"/>
      <c r="E871" s="2"/>
      <c r="F871" s="8"/>
      <c r="G871" s="8"/>
      <c r="H871" s="8"/>
      <c r="I871" s="8"/>
      <c r="J871" s="8"/>
      <c r="K871" s="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"/>
    </row>
    <row r="872" ht="15.75" customHeight="1">
      <c r="A872" s="8"/>
      <c r="B872" s="8"/>
      <c r="C872" s="8"/>
      <c r="D872" s="8"/>
      <c r="E872" s="2"/>
      <c r="F872" s="8"/>
      <c r="G872" s="8"/>
      <c r="H872" s="8"/>
      <c r="I872" s="8"/>
      <c r="J872" s="8"/>
      <c r="K872" s="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"/>
    </row>
    <row r="873" ht="15.75" customHeight="1">
      <c r="A873" s="8"/>
      <c r="B873" s="8"/>
      <c r="C873" s="8"/>
      <c r="D873" s="8"/>
      <c r="E873" s="2"/>
      <c r="F873" s="8"/>
      <c r="G873" s="8"/>
      <c r="H873" s="8"/>
      <c r="I873" s="8"/>
      <c r="J873" s="8"/>
      <c r="K873" s="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"/>
    </row>
    <row r="874" ht="15.75" customHeight="1">
      <c r="A874" s="8"/>
      <c r="B874" s="8"/>
      <c r="C874" s="8"/>
      <c r="D874" s="8"/>
      <c r="E874" s="2"/>
      <c r="F874" s="8"/>
      <c r="G874" s="8"/>
      <c r="H874" s="8"/>
      <c r="I874" s="8"/>
      <c r="J874" s="8"/>
      <c r="K874" s="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"/>
    </row>
    <row r="875" ht="15.75" customHeight="1">
      <c r="A875" s="8"/>
      <c r="B875" s="8"/>
      <c r="C875" s="8"/>
      <c r="D875" s="8"/>
      <c r="E875" s="2"/>
      <c r="F875" s="8"/>
      <c r="G875" s="8"/>
      <c r="H875" s="8"/>
      <c r="I875" s="8"/>
      <c r="J875" s="8"/>
      <c r="K875" s="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"/>
    </row>
    <row r="876" ht="15.75" customHeight="1">
      <c r="A876" s="8"/>
      <c r="B876" s="8"/>
      <c r="C876" s="8"/>
      <c r="D876" s="8"/>
      <c r="E876" s="2"/>
      <c r="F876" s="8"/>
      <c r="G876" s="8"/>
      <c r="H876" s="8"/>
      <c r="I876" s="8"/>
      <c r="J876" s="8"/>
      <c r="K876" s="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"/>
    </row>
    <row r="877" ht="15.75" customHeight="1">
      <c r="A877" s="8"/>
      <c r="B877" s="8"/>
      <c r="C877" s="8"/>
      <c r="D877" s="8"/>
      <c r="E877" s="2"/>
      <c r="F877" s="8"/>
      <c r="G877" s="8"/>
      <c r="H877" s="8"/>
      <c r="I877" s="8"/>
      <c r="J877" s="8"/>
      <c r="K877" s="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"/>
    </row>
    <row r="878" ht="15.75" customHeight="1">
      <c r="A878" s="8"/>
      <c r="B878" s="8"/>
      <c r="C878" s="8"/>
      <c r="D878" s="8"/>
      <c r="E878" s="2"/>
      <c r="F878" s="8"/>
      <c r="G878" s="8"/>
      <c r="H878" s="8"/>
      <c r="I878" s="8"/>
      <c r="J878" s="8"/>
      <c r="K878" s="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"/>
    </row>
    <row r="879" ht="15.75" customHeight="1">
      <c r="A879" s="8"/>
      <c r="B879" s="8"/>
      <c r="C879" s="8"/>
      <c r="D879" s="8"/>
      <c r="E879" s="2"/>
      <c r="F879" s="8"/>
      <c r="G879" s="8"/>
      <c r="H879" s="8"/>
      <c r="I879" s="8"/>
      <c r="J879" s="8"/>
      <c r="K879" s="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"/>
    </row>
    <row r="880" ht="15.75" customHeight="1">
      <c r="A880" s="8"/>
      <c r="B880" s="8"/>
      <c r="C880" s="8"/>
      <c r="D880" s="8"/>
      <c r="E880" s="2"/>
      <c r="F880" s="8"/>
      <c r="G880" s="8"/>
      <c r="H880" s="8"/>
      <c r="I880" s="8"/>
      <c r="J880" s="8"/>
      <c r="K880" s="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"/>
    </row>
    <row r="881" ht="15.75" customHeight="1">
      <c r="A881" s="8"/>
      <c r="B881" s="8"/>
      <c r="C881" s="8"/>
      <c r="D881" s="8"/>
      <c r="E881" s="2"/>
      <c r="F881" s="8"/>
      <c r="G881" s="8"/>
      <c r="H881" s="8"/>
      <c r="I881" s="8"/>
      <c r="J881" s="8"/>
      <c r="K881" s="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"/>
    </row>
    <row r="882" ht="15.75" customHeight="1">
      <c r="A882" s="8"/>
      <c r="B882" s="8"/>
      <c r="C882" s="8"/>
      <c r="D882" s="8"/>
      <c r="E882" s="2"/>
      <c r="F882" s="8"/>
      <c r="G882" s="8"/>
      <c r="H882" s="8"/>
      <c r="I882" s="8"/>
      <c r="J882" s="8"/>
      <c r="K882" s="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"/>
    </row>
    <row r="883" ht="15.75" customHeight="1">
      <c r="A883" s="8"/>
      <c r="B883" s="8"/>
      <c r="C883" s="8"/>
      <c r="D883" s="8"/>
      <c r="E883" s="2"/>
      <c r="F883" s="8"/>
      <c r="G883" s="8"/>
      <c r="H883" s="8"/>
      <c r="I883" s="8"/>
      <c r="J883" s="8"/>
      <c r="K883" s="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"/>
    </row>
    <row r="884" ht="15.75" customHeight="1">
      <c r="A884" s="8"/>
      <c r="B884" s="8"/>
      <c r="C884" s="8"/>
      <c r="D884" s="8"/>
      <c r="E884" s="2"/>
      <c r="F884" s="8"/>
      <c r="G884" s="8"/>
      <c r="H884" s="8"/>
      <c r="I884" s="8"/>
      <c r="J884" s="8"/>
      <c r="K884" s="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"/>
    </row>
    <row r="885" ht="15.75" customHeight="1">
      <c r="A885" s="8"/>
      <c r="B885" s="8"/>
      <c r="C885" s="8"/>
      <c r="D885" s="8"/>
      <c r="E885" s="2"/>
      <c r="F885" s="8"/>
      <c r="G885" s="8"/>
      <c r="H885" s="8"/>
      <c r="I885" s="8"/>
      <c r="J885" s="8"/>
      <c r="K885" s="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"/>
    </row>
    <row r="886" ht="15.75" customHeight="1">
      <c r="A886" s="8"/>
      <c r="B886" s="8"/>
      <c r="C886" s="8"/>
      <c r="D886" s="8"/>
      <c r="E886" s="2"/>
      <c r="F886" s="8"/>
      <c r="G886" s="8"/>
      <c r="H886" s="8"/>
      <c r="I886" s="8"/>
      <c r="J886" s="8"/>
      <c r="K886" s="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"/>
    </row>
    <row r="887" ht="15.75" customHeight="1">
      <c r="A887" s="8"/>
      <c r="B887" s="8"/>
      <c r="C887" s="8"/>
      <c r="D887" s="8"/>
      <c r="E887" s="2"/>
      <c r="F887" s="8"/>
      <c r="G887" s="8"/>
      <c r="H887" s="8"/>
      <c r="I887" s="8"/>
      <c r="J887" s="8"/>
      <c r="K887" s="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"/>
    </row>
    <row r="888" ht="15.75" customHeight="1">
      <c r="A888" s="8"/>
      <c r="B888" s="8"/>
      <c r="C888" s="8"/>
      <c r="D888" s="8"/>
      <c r="E888" s="2"/>
      <c r="F888" s="8"/>
      <c r="G888" s="8"/>
      <c r="H888" s="8"/>
      <c r="I888" s="8"/>
      <c r="J888" s="8"/>
      <c r="K888" s="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"/>
    </row>
    <row r="889" ht="15.75" customHeight="1">
      <c r="A889" s="8"/>
      <c r="B889" s="8"/>
      <c r="C889" s="8"/>
      <c r="D889" s="8"/>
      <c r="E889" s="2"/>
      <c r="F889" s="8"/>
      <c r="G889" s="8"/>
      <c r="H889" s="8"/>
      <c r="I889" s="8"/>
      <c r="J889" s="8"/>
      <c r="K889" s="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"/>
    </row>
    <row r="890" ht="15.75" customHeight="1">
      <c r="A890" s="8"/>
      <c r="B890" s="8"/>
      <c r="C890" s="8"/>
      <c r="D890" s="8"/>
      <c r="E890" s="2"/>
      <c r="F890" s="8"/>
      <c r="G890" s="8"/>
      <c r="H890" s="8"/>
      <c r="I890" s="8"/>
      <c r="J890" s="8"/>
      <c r="K890" s="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"/>
    </row>
    <row r="891" ht="15.75" customHeight="1">
      <c r="A891" s="8"/>
      <c r="B891" s="8"/>
      <c r="C891" s="8"/>
      <c r="D891" s="8"/>
      <c r="E891" s="2"/>
      <c r="F891" s="8"/>
      <c r="G891" s="8"/>
      <c r="H891" s="8"/>
      <c r="I891" s="8"/>
      <c r="J891" s="8"/>
      <c r="K891" s="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"/>
    </row>
    <row r="892" ht="15.75" customHeight="1">
      <c r="A892" s="8"/>
      <c r="B892" s="8"/>
      <c r="C892" s="8"/>
      <c r="D892" s="8"/>
      <c r="E892" s="2"/>
      <c r="F892" s="8"/>
      <c r="G892" s="8"/>
      <c r="H892" s="8"/>
      <c r="I892" s="8"/>
      <c r="J892" s="8"/>
      <c r="K892" s="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"/>
    </row>
    <row r="893" ht="15.75" customHeight="1">
      <c r="A893" s="8"/>
      <c r="B893" s="8"/>
      <c r="C893" s="8"/>
      <c r="D893" s="8"/>
      <c r="E893" s="2"/>
      <c r="F893" s="8"/>
      <c r="G893" s="8"/>
      <c r="H893" s="8"/>
      <c r="I893" s="8"/>
      <c r="J893" s="8"/>
      <c r="K893" s="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"/>
    </row>
    <row r="894" ht="15.75" customHeight="1">
      <c r="A894" s="8"/>
      <c r="B894" s="8"/>
      <c r="C894" s="8"/>
      <c r="D894" s="8"/>
      <c r="E894" s="2"/>
      <c r="F894" s="8"/>
      <c r="G894" s="8"/>
      <c r="H894" s="8"/>
      <c r="I894" s="8"/>
      <c r="J894" s="8"/>
      <c r="K894" s="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"/>
    </row>
    <row r="895" ht="15.75" customHeight="1">
      <c r="A895" s="8"/>
      <c r="B895" s="8"/>
      <c r="C895" s="8"/>
      <c r="D895" s="8"/>
      <c r="E895" s="2"/>
      <c r="F895" s="8"/>
      <c r="G895" s="8"/>
      <c r="H895" s="8"/>
      <c r="I895" s="8"/>
      <c r="J895" s="8"/>
      <c r="K895" s="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"/>
    </row>
    <row r="896" ht="15.75" customHeight="1">
      <c r="A896" s="8"/>
      <c r="B896" s="8"/>
      <c r="C896" s="8"/>
      <c r="D896" s="8"/>
      <c r="E896" s="2"/>
      <c r="F896" s="8"/>
      <c r="G896" s="8"/>
      <c r="H896" s="8"/>
      <c r="I896" s="8"/>
      <c r="J896" s="8"/>
      <c r="K896" s="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"/>
    </row>
    <row r="897" ht="15.75" customHeight="1">
      <c r="A897" s="8"/>
      <c r="B897" s="8"/>
      <c r="C897" s="8"/>
      <c r="D897" s="8"/>
      <c r="E897" s="2"/>
      <c r="F897" s="8"/>
      <c r="G897" s="8"/>
      <c r="H897" s="8"/>
      <c r="I897" s="8"/>
      <c r="J897" s="8"/>
      <c r="K897" s="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"/>
    </row>
    <row r="898" ht="15.75" customHeight="1">
      <c r="A898" s="8"/>
      <c r="B898" s="8"/>
      <c r="C898" s="8"/>
      <c r="D898" s="8"/>
      <c r="E898" s="2"/>
      <c r="F898" s="8"/>
      <c r="G898" s="8"/>
      <c r="H898" s="8"/>
      <c r="I898" s="8"/>
      <c r="J898" s="8"/>
      <c r="K898" s="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"/>
    </row>
    <row r="899" ht="15.75" customHeight="1">
      <c r="A899" s="8"/>
      <c r="B899" s="8"/>
      <c r="C899" s="8"/>
      <c r="D899" s="8"/>
      <c r="E899" s="2"/>
      <c r="F899" s="8"/>
      <c r="G899" s="8"/>
      <c r="H899" s="8"/>
      <c r="I899" s="8"/>
      <c r="J899" s="8"/>
      <c r="K899" s="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"/>
    </row>
    <row r="900" ht="15.75" customHeight="1">
      <c r="A900" s="8"/>
      <c r="B900" s="8"/>
      <c r="C900" s="8"/>
      <c r="D900" s="8"/>
      <c r="E900" s="2"/>
      <c r="F900" s="8"/>
      <c r="G900" s="8"/>
      <c r="H900" s="8"/>
      <c r="I900" s="8"/>
      <c r="J900" s="8"/>
      <c r="K900" s="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"/>
    </row>
    <row r="901" ht="15.75" customHeight="1">
      <c r="A901" s="8"/>
      <c r="B901" s="8"/>
      <c r="C901" s="8"/>
      <c r="D901" s="8"/>
      <c r="E901" s="2"/>
      <c r="F901" s="8"/>
      <c r="G901" s="8"/>
      <c r="H901" s="8"/>
      <c r="I901" s="8"/>
      <c r="J901" s="8"/>
      <c r="K901" s="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"/>
    </row>
    <row r="902" ht="15.75" customHeight="1">
      <c r="A902" s="8"/>
      <c r="B902" s="8"/>
      <c r="C902" s="8"/>
      <c r="D902" s="8"/>
      <c r="E902" s="2"/>
      <c r="F902" s="8"/>
      <c r="G902" s="8"/>
      <c r="H902" s="8"/>
      <c r="I902" s="8"/>
      <c r="J902" s="8"/>
      <c r="K902" s="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"/>
    </row>
    <row r="903" ht="15.75" customHeight="1">
      <c r="A903" s="8"/>
      <c r="B903" s="8"/>
      <c r="C903" s="8"/>
      <c r="D903" s="8"/>
      <c r="E903" s="2"/>
      <c r="F903" s="8"/>
      <c r="G903" s="8"/>
      <c r="H903" s="8"/>
      <c r="I903" s="8"/>
      <c r="J903" s="8"/>
      <c r="K903" s="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"/>
    </row>
    <row r="904" ht="15.75" customHeight="1">
      <c r="A904" s="8"/>
      <c r="B904" s="8"/>
      <c r="C904" s="8"/>
      <c r="D904" s="8"/>
      <c r="E904" s="2"/>
      <c r="F904" s="8"/>
      <c r="G904" s="8"/>
      <c r="H904" s="8"/>
      <c r="I904" s="8"/>
      <c r="J904" s="8"/>
      <c r="K904" s="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"/>
    </row>
    <row r="905" ht="15.75" customHeight="1">
      <c r="A905" s="8"/>
      <c r="B905" s="8"/>
      <c r="C905" s="8"/>
      <c r="D905" s="8"/>
      <c r="E905" s="2"/>
      <c r="F905" s="8"/>
      <c r="G905" s="8"/>
      <c r="H905" s="8"/>
      <c r="I905" s="8"/>
      <c r="J905" s="8"/>
      <c r="K905" s="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"/>
    </row>
    <row r="906" ht="15.75" customHeight="1">
      <c r="A906" s="8"/>
      <c r="B906" s="8"/>
      <c r="C906" s="8"/>
      <c r="D906" s="8"/>
      <c r="E906" s="2"/>
      <c r="F906" s="8"/>
      <c r="G906" s="8"/>
      <c r="H906" s="8"/>
      <c r="I906" s="8"/>
      <c r="J906" s="8"/>
      <c r="K906" s="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"/>
    </row>
    <row r="907" ht="15.75" customHeight="1">
      <c r="A907" s="8"/>
      <c r="B907" s="8"/>
      <c r="C907" s="8"/>
      <c r="D907" s="8"/>
      <c r="E907" s="2"/>
      <c r="F907" s="8"/>
      <c r="G907" s="8"/>
      <c r="H907" s="8"/>
      <c r="I907" s="8"/>
      <c r="J907" s="8"/>
      <c r="K907" s="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"/>
    </row>
    <row r="908" ht="15.75" customHeight="1">
      <c r="A908" s="8"/>
      <c r="B908" s="8"/>
      <c r="C908" s="8"/>
      <c r="D908" s="8"/>
      <c r="E908" s="2"/>
      <c r="F908" s="8"/>
      <c r="G908" s="8"/>
      <c r="H908" s="8"/>
      <c r="I908" s="8"/>
      <c r="J908" s="8"/>
      <c r="K908" s="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"/>
    </row>
    <row r="909" ht="15.75" customHeight="1">
      <c r="A909" s="8"/>
      <c r="B909" s="8"/>
      <c r="C909" s="8"/>
      <c r="D909" s="8"/>
      <c r="E909" s="2"/>
      <c r="F909" s="8"/>
      <c r="G909" s="8"/>
      <c r="H909" s="8"/>
      <c r="I909" s="8"/>
      <c r="J909" s="8"/>
      <c r="K909" s="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"/>
    </row>
    <row r="910" ht="15.75" customHeight="1">
      <c r="A910" s="8"/>
      <c r="B910" s="8"/>
      <c r="C910" s="8"/>
      <c r="D910" s="8"/>
      <c r="E910" s="2"/>
      <c r="F910" s="8"/>
      <c r="G910" s="8"/>
      <c r="H910" s="8"/>
      <c r="I910" s="8"/>
      <c r="J910" s="8"/>
      <c r="K910" s="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"/>
    </row>
    <row r="911" ht="15.75" customHeight="1">
      <c r="A911" s="8"/>
      <c r="B911" s="8"/>
      <c r="C911" s="8"/>
      <c r="D911" s="8"/>
      <c r="E911" s="2"/>
      <c r="F911" s="8"/>
      <c r="G911" s="8"/>
      <c r="H911" s="8"/>
      <c r="I911" s="8"/>
      <c r="J911" s="8"/>
      <c r="K911" s="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"/>
    </row>
    <row r="912" ht="15.75" customHeight="1">
      <c r="A912" s="8"/>
      <c r="B912" s="8"/>
      <c r="C912" s="8"/>
      <c r="D912" s="8"/>
      <c r="E912" s="2"/>
      <c r="F912" s="8"/>
      <c r="G912" s="8"/>
      <c r="H912" s="8"/>
      <c r="I912" s="8"/>
      <c r="J912" s="8"/>
      <c r="K912" s="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"/>
    </row>
    <row r="913" ht="15.75" customHeight="1">
      <c r="A913" s="8"/>
      <c r="B913" s="8"/>
      <c r="C913" s="8"/>
      <c r="D913" s="8"/>
      <c r="E913" s="2"/>
      <c r="F913" s="8"/>
      <c r="G913" s="8"/>
      <c r="H913" s="8"/>
      <c r="I913" s="8"/>
      <c r="J913" s="8"/>
      <c r="K913" s="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"/>
    </row>
    <row r="914" ht="15.75" customHeight="1">
      <c r="A914" s="8"/>
      <c r="B914" s="8"/>
      <c r="C914" s="8"/>
      <c r="D914" s="8"/>
      <c r="E914" s="2"/>
      <c r="F914" s="8"/>
      <c r="G914" s="8"/>
      <c r="H914" s="8"/>
      <c r="I914" s="8"/>
      <c r="J914" s="8"/>
      <c r="K914" s="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"/>
    </row>
    <row r="915" ht="15.75" customHeight="1">
      <c r="A915" s="8"/>
      <c r="B915" s="8"/>
      <c r="C915" s="8"/>
      <c r="D915" s="8"/>
      <c r="E915" s="2"/>
      <c r="F915" s="8"/>
      <c r="G915" s="8"/>
      <c r="H915" s="8"/>
      <c r="I915" s="8"/>
      <c r="J915" s="8"/>
      <c r="K915" s="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"/>
    </row>
    <row r="916" ht="15.75" customHeight="1">
      <c r="A916" s="8"/>
      <c r="B916" s="8"/>
      <c r="C916" s="8"/>
      <c r="D916" s="8"/>
      <c r="E916" s="2"/>
      <c r="F916" s="8"/>
      <c r="G916" s="8"/>
      <c r="H916" s="8"/>
      <c r="I916" s="8"/>
      <c r="J916" s="8"/>
      <c r="K916" s="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"/>
    </row>
    <row r="917" ht="15.75" customHeight="1">
      <c r="A917" s="8"/>
      <c r="B917" s="8"/>
      <c r="C917" s="8"/>
      <c r="D917" s="8"/>
      <c r="E917" s="2"/>
      <c r="F917" s="8"/>
      <c r="G917" s="8"/>
      <c r="H917" s="8"/>
      <c r="I917" s="8"/>
      <c r="J917" s="8"/>
      <c r="K917" s="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"/>
    </row>
    <row r="918" ht="15.75" customHeight="1">
      <c r="A918" s="8"/>
      <c r="B918" s="8"/>
      <c r="C918" s="8"/>
      <c r="D918" s="8"/>
      <c r="E918" s="2"/>
      <c r="F918" s="8"/>
      <c r="G918" s="8"/>
      <c r="H918" s="8"/>
      <c r="I918" s="8"/>
      <c r="J918" s="8"/>
      <c r="K918" s="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"/>
    </row>
    <row r="919" ht="15.75" customHeight="1">
      <c r="A919" s="8"/>
      <c r="B919" s="8"/>
      <c r="C919" s="8"/>
      <c r="D919" s="8"/>
      <c r="E919" s="2"/>
      <c r="F919" s="8"/>
      <c r="G919" s="8"/>
      <c r="H919" s="8"/>
      <c r="I919" s="8"/>
      <c r="J919" s="8"/>
      <c r="K919" s="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"/>
    </row>
    <row r="920" ht="15.75" customHeight="1">
      <c r="A920" s="8"/>
      <c r="B920" s="8"/>
      <c r="C920" s="8"/>
      <c r="D920" s="8"/>
      <c r="E920" s="2"/>
      <c r="F920" s="8"/>
      <c r="G920" s="8"/>
      <c r="H920" s="8"/>
      <c r="I920" s="8"/>
      <c r="J920" s="8"/>
      <c r="K920" s="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"/>
    </row>
    <row r="921" ht="15.75" customHeight="1">
      <c r="A921" s="8"/>
      <c r="B921" s="8"/>
      <c r="C921" s="8"/>
      <c r="D921" s="8"/>
      <c r="E921" s="2"/>
      <c r="F921" s="8"/>
      <c r="G921" s="8"/>
      <c r="H921" s="8"/>
      <c r="I921" s="8"/>
      <c r="J921" s="8"/>
      <c r="K921" s="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"/>
    </row>
    <row r="922" ht="15.75" customHeight="1">
      <c r="A922" s="8"/>
      <c r="B922" s="8"/>
      <c r="C922" s="8"/>
      <c r="D922" s="8"/>
      <c r="E922" s="2"/>
      <c r="F922" s="8"/>
      <c r="G922" s="8"/>
      <c r="H922" s="8"/>
      <c r="I922" s="8"/>
      <c r="J922" s="8"/>
      <c r="K922" s="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"/>
    </row>
    <row r="923" ht="15.75" customHeight="1">
      <c r="A923" s="8"/>
      <c r="B923" s="8"/>
      <c r="C923" s="8"/>
      <c r="D923" s="8"/>
      <c r="E923" s="2"/>
      <c r="F923" s="8"/>
      <c r="G923" s="8"/>
      <c r="H923" s="8"/>
      <c r="I923" s="8"/>
      <c r="J923" s="8"/>
      <c r="K923" s="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"/>
    </row>
    <row r="924" ht="15.75" customHeight="1">
      <c r="A924" s="8"/>
      <c r="B924" s="8"/>
      <c r="C924" s="8"/>
      <c r="D924" s="8"/>
      <c r="E924" s="2"/>
      <c r="F924" s="8"/>
      <c r="G924" s="8"/>
      <c r="H924" s="8"/>
      <c r="I924" s="8"/>
      <c r="J924" s="8"/>
      <c r="K924" s="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"/>
    </row>
    <row r="925" ht="15.75" customHeight="1">
      <c r="A925" s="8"/>
      <c r="B925" s="8"/>
      <c r="C925" s="8"/>
      <c r="D925" s="8"/>
      <c r="E925" s="2"/>
      <c r="F925" s="8"/>
      <c r="G925" s="8"/>
      <c r="H925" s="8"/>
      <c r="I925" s="8"/>
      <c r="J925" s="8"/>
      <c r="K925" s="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"/>
    </row>
    <row r="926" ht="15.75" customHeight="1">
      <c r="A926" s="8"/>
      <c r="B926" s="8"/>
      <c r="C926" s="8"/>
      <c r="D926" s="8"/>
      <c r="E926" s="2"/>
      <c r="F926" s="8"/>
      <c r="G926" s="8"/>
      <c r="H926" s="8"/>
      <c r="I926" s="8"/>
      <c r="J926" s="8"/>
      <c r="K926" s="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"/>
    </row>
    <row r="927" ht="15.75" customHeight="1">
      <c r="A927" s="8"/>
      <c r="B927" s="8"/>
      <c r="C927" s="8"/>
      <c r="D927" s="8"/>
      <c r="E927" s="2"/>
      <c r="F927" s="8"/>
      <c r="G927" s="8"/>
      <c r="H927" s="8"/>
      <c r="I927" s="8"/>
      <c r="J927" s="8"/>
      <c r="K927" s="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"/>
    </row>
    <row r="928" ht="15.75" customHeight="1">
      <c r="A928" s="8"/>
      <c r="B928" s="8"/>
      <c r="C928" s="8"/>
      <c r="D928" s="8"/>
      <c r="E928" s="2"/>
      <c r="F928" s="8"/>
      <c r="G928" s="8"/>
      <c r="H928" s="8"/>
      <c r="I928" s="8"/>
      <c r="J928" s="8"/>
      <c r="K928" s="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"/>
    </row>
    <row r="929" ht="15.75" customHeight="1">
      <c r="A929" s="8"/>
      <c r="B929" s="8"/>
      <c r="C929" s="8"/>
      <c r="D929" s="8"/>
      <c r="E929" s="2"/>
      <c r="F929" s="8"/>
      <c r="G929" s="8"/>
      <c r="H929" s="8"/>
      <c r="I929" s="8"/>
      <c r="J929" s="8"/>
      <c r="K929" s="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"/>
    </row>
    <row r="930" ht="15.75" customHeight="1">
      <c r="A930" s="8"/>
      <c r="B930" s="8"/>
      <c r="C930" s="8"/>
      <c r="D930" s="8"/>
      <c r="E930" s="2"/>
      <c r="F930" s="8"/>
      <c r="G930" s="8"/>
      <c r="H930" s="8"/>
      <c r="I930" s="8"/>
      <c r="J930" s="8"/>
      <c r="K930" s="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"/>
    </row>
    <row r="931" ht="15.75" customHeight="1">
      <c r="A931" s="8"/>
      <c r="B931" s="8"/>
      <c r="C931" s="8"/>
      <c r="D931" s="8"/>
      <c r="E931" s="2"/>
      <c r="F931" s="8"/>
      <c r="G931" s="8"/>
      <c r="H931" s="8"/>
      <c r="I931" s="8"/>
      <c r="J931" s="8"/>
      <c r="K931" s="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"/>
    </row>
    <row r="932" ht="15.75" customHeight="1">
      <c r="A932" s="8"/>
      <c r="B932" s="8"/>
      <c r="C932" s="8"/>
      <c r="D932" s="8"/>
      <c r="E932" s="2"/>
      <c r="F932" s="8"/>
      <c r="G932" s="8"/>
      <c r="H932" s="8"/>
      <c r="I932" s="8"/>
      <c r="J932" s="8"/>
      <c r="K932" s="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"/>
    </row>
    <row r="933" ht="15.75" customHeight="1">
      <c r="A933" s="8"/>
      <c r="B933" s="8"/>
      <c r="C933" s="8"/>
      <c r="D933" s="8"/>
      <c r="E933" s="2"/>
      <c r="F933" s="8"/>
      <c r="G933" s="8"/>
      <c r="H933" s="8"/>
      <c r="I933" s="8"/>
      <c r="J933" s="8"/>
      <c r="K933" s="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"/>
    </row>
    <row r="934" ht="15.75" customHeight="1">
      <c r="A934" s="8"/>
      <c r="B934" s="8"/>
      <c r="C934" s="8"/>
      <c r="D934" s="8"/>
      <c r="E934" s="2"/>
      <c r="F934" s="8"/>
      <c r="G934" s="8"/>
      <c r="H934" s="8"/>
      <c r="I934" s="8"/>
      <c r="J934" s="8"/>
      <c r="K934" s="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"/>
    </row>
    <row r="935" ht="15.75" customHeight="1">
      <c r="A935" s="8"/>
      <c r="B935" s="8"/>
      <c r="C935" s="8"/>
      <c r="D935" s="8"/>
      <c r="E935" s="2"/>
      <c r="F935" s="8"/>
      <c r="G935" s="8"/>
      <c r="H935" s="8"/>
      <c r="I935" s="8"/>
      <c r="J935" s="8"/>
      <c r="K935" s="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"/>
    </row>
    <row r="936" ht="15.75" customHeight="1">
      <c r="A936" s="8"/>
      <c r="B936" s="8"/>
      <c r="C936" s="8"/>
      <c r="D936" s="8"/>
      <c r="E936" s="2"/>
      <c r="F936" s="8"/>
      <c r="G936" s="8"/>
      <c r="H936" s="8"/>
      <c r="I936" s="8"/>
      <c r="J936" s="8"/>
      <c r="K936" s="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"/>
    </row>
    <row r="937" ht="15.75" customHeight="1">
      <c r="A937" s="8"/>
      <c r="B937" s="8"/>
      <c r="C937" s="8"/>
      <c r="D937" s="8"/>
      <c r="E937" s="2"/>
      <c r="F937" s="8"/>
      <c r="G937" s="8"/>
      <c r="H937" s="8"/>
      <c r="I937" s="8"/>
      <c r="J937" s="8"/>
      <c r="K937" s="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"/>
    </row>
    <row r="938" ht="15.75" customHeight="1">
      <c r="A938" s="8"/>
      <c r="B938" s="8"/>
      <c r="C938" s="8"/>
      <c r="D938" s="8"/>
      <c r="E938" s="2"/>
      <c r="F938" s="8"/>
      <c r="G938" s="8"/>
      <c r="H938" s="8"/>
      <c r="I938" s="8"/>
      <c r="J938" s="8"/>
      <c r="K938" s="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"/>
    </row>
    <row r="939" ht="15.75" customHeight="1">
      <c r="A939" s="8"/>
      <c r="B939" s="8"/>
      <c r="C939" s="8"/>
      <c r="D939" s="8"/>
      <c r="E939" s="2"/>
      <c r="F939" s="8"/>
      <c r="G939" s="8"/>
      <c r="H939" s="8"/>
      <c r="I939" s="8"/>
      <c r="J939" s="8"/>
      <c r="K939" s="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"/>
    </row>
    <row r="940" ht="15.75" customHeight="1">
      <c r="A940" s="8"/>
      <c r="B940" s="8"/>
      <c r="C940" s="8"/>
      <c r="D940" s="8"/>
      <c r="E940" s="2"/>
      <c r="F940" s="8"/>
      <c r="G940" s="8"/>
      <c r="H940" s="8"/>
      <c r="I940" s="8"/>
      <c r="J940" s="8"/>
      <c r="K940" s="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"/>
    </row>
    <row r="941" ht="15.75" customHeight="1">
      <c r="A941" s="8"/>
      <c r="B941" s="8"/>
      <c r="C941" s="8"/>
      <c r="D941" s="8"/>
      <c r="E941" s="2"/>
      <c r="F941" s="8"/>
      <c r="G941" s="8"/>
      <c r="H941" s="8"/>
      <c r="I941" s="8"/>
      <c r="J941" s="8"/>
      <c r="K941" s="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"/>
    </row>
    <row r="942" ht="15.75" customHeight="1">
      <c r="A942" s="8"/>
      <c r="B942" s="8"/>
      <c r="C942" s="8"/>
      <c r="D942" s="8"/>
      <c r="E942" s="2"/>
      <c r="F942" s="8"/>
      <c r="G942" s="8"/>
      <c r="H942" s="8"/>
      <c r="I942" s="8"/>
      <c r="J942" s="8"/>
      <c r="K942" s="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"/>
    </row>
    <row r="943" ht="15.75" customHeight="1">
      <c r="A943" s="8"/>
      <c r="B943" s="8"/>
      <c r="C943" s="8"/>
      <c r="D943" s="8"/>
      <c r="E943" s="2"/>
      <c r="F943" s="8"/>
      <c r="G943" s="8"/>
      <c r="H943" s="8"/>
      <c r="I943" s="8"/>
      <c r="J943" s="8"/>
      <c r="K943" s="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"/>
    </row>
    <row r="944" ht="15.75" customHeight="1">
      <c r="A944" s="8"/>
      <c r="B944" s="8"/>
      <c r="C944" s="8"/>
      <c r="D944" s="8"/>
      <c r="E944" s="2"/>
      <c r="F944" s="8"/>
      <c r="G944" s="8"/>
      <c r="H944" s="8"/>
      <c r="I944" s="8"/>
      <c r="J944" s="8"/>
      <c r="K944" s="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"/>
    </row>
    <row r="945" ht="15.75" customHeight="1">
      <c r="A945" s="8"/>
      <c r="B945" s="8"/>
      <c r="C945" s="8"/>
      <c r="D945" s="8"/>
      <c r="E945" s="2"/>
      <c r="F945" s="8"/>
      <c r="G945" s="8"/>
      <c r="H945" s="8"/>
      <c r="I945" s="8"/>
      <c r="J945" s="8"/>
      <c r="K945" s="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"/>
    </row>
    <row r="946" ht="15.75" customHeight="1">
      <c r="A946" s="8"/>
      <c r="B946" s="8"/>
      <c r="C946" s="8"/>
      <c r="D946" s="8"/>
      <c r="E946" s="2"/>
      <c r="F946" s="8"/>
      <c r="G946" s="8"/>
      <c r="H946" s="8"/>
      <c r="I946" s="8"/>
      <c r="J946" s="8"/>
      <c r="K946" s="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"/>
    </row>
    <row r="947" ht="15.75" customHeight="1">
      <c r="A947" s="8"/>
      <c r="B947" s="8"/>
      <c r="C947" s="8"/>
      <c r="D947" s="8"/>
      <c r="E947" s="2"/>
      <c r="F947" s="8"/>
      <c r="G947" s="8"/>
      <c r="H947" s="8"/>
      <c r="I947" s="8"/>
      <c r="J947" s="8"/>
      <c r="K947" s="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9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9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9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9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9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9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9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9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9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9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9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9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9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9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9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9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9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9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9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9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9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9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9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9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9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9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9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9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9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9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9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9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9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9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9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9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9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9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9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9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9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9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9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9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9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9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9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9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9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9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9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9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9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9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9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9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9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9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9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9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9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9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9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9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9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9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9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9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9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9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9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9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9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9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9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9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9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9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9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9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9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9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9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9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9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9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9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9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9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9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9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9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9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9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9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9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9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9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9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9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9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9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9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9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9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9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9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9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9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9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9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9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9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9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9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9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9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9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9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9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9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9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9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9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9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9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9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9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9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9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9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9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9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9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9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9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9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9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9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9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9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9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9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9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9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9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9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9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9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9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9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9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9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9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9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9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9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9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9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9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9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9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9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9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9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9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9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9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9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9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9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9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9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9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9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ht="15.75" customHeigh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9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ht="15.75" customHeigh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9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9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ht="15.75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9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ht="15.75" customHeigh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9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ht="15.75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9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ht="15.75" customHeight="1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9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ht="15.75" customHeigh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9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ht="15.75" customHeight="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9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 ht="15.75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9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ht="15.75" customHeight="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9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 ht="15.75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9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 ht="15.75" customHeight="1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9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 ht="15.75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9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 ht="15.75" customHeight="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9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 ht="15.75" customHeight="1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9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 ht="15.75" customHeight="1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9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 ht="15.75" customHeight="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9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 ht="15.75" customHeight="1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9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 ht="15.75" customHeight="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9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 ht="15.75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9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 ht="15.75" customHeight="1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9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</sheetData>
  <mergeCells count="4">
    <mergeCell ref="A5:K5"/>
    <mergeCell ref="A175:G175"/>
    <mergeCell ref="B178:C178"/>
    <mergeCell ref="B179:C179"/>
  </mergeCells>
  <conditionalFormatting sqref="A7:B165">
    <cfRule type="containsText" dxfId="0" priority="1" operator="containsText" text="PENDIENTE">
      <formula>NOT(ISERROR(SEARCH(("PENDIENTE"),(A7))))</formula>
    </cfRule>
  </conditionalFormatting>
  <conditionalFormatting sqref="A7:B165">
    <cfRule type="containsText" dxfId="1" priority="2" operator="containsText" text="PAGADO">
      <formula>NOT(ISERROR(SEARCH(("PAGADO"),(A7))))</formula>
    </cfRule>
  </conditionalFormatting>
  <printOptions horizontalCentered="1"/>
  <pageMargins bottom="0.75" footer="0.0" header="0.0" left="0.7" right="0.7" top="0.75"/>
  <pageSetup fitToHeight="0" orientation="landscape"/>
  <headerFooter>
    <oddFooter>&amp;RCTS - Estado de Resultados Grupos y Convenciones Pág. &amp;P de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F1C8"/>
    <pageSetUpPr fitToPage="1"/>
  </sheetPr>
  <sheetViews>
    <sheetView showGridLines="0" workbookViewId="0"/>
  </sheetViews>
  <sheetFormatPr customHeight="1" defaultColWidth="14.43" defaultRowHeight="15.0"/>
  <cols>
    <col customWidth="1" min="1" max="1" width="52.43"/>
    <col customWidth="1" min="2" max="2" width="72.57"/>
    <col customWidth="1" min="3" max="3" width="24.43"/>
    <col customWidth="1" min="4" max="4" width="17.29"/>
    <col customWidth="1" min="5" max="5" width="24.0"/>
    <col customWidth="1" min="6" max="6" width="75.0"/>
    <col customWidth="1" min="7" max="7" width="13.43"/>
    <col customWidth="1" min="8" max="9" width="11.43"/>
    <col customWidth="1" min="10" max="10" width="12.57"/>
    <col customWidth="1" min="11" max="21" width="11.43"/>
  </cols>
  <sheetData>
    <row r="1" ht="35.25" customHeight="1">
      <c r="A1" s="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</row>
    <row r="2" ht="24.0" customHeight="1">
      <c r="A2" s="442"/>
      <c r="B2" s="442"/>
      <c r="C2" s="442"/>
      <c r="D2" s="442"/>
      <c r="E2" s="442"/>
      <c r="F2" s="51"/>
      <c r="G2" s="51"/>
      <c r="H2" s="52"/>
      <c r="I2" s="52"/>
      <c r="J2" s="52"/>
      <c r="K2" s="52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ht="35.25" customHeight="1">
      <c r="A3" s="9"/>
      <c r="B3" s="9"/>
      <c r="C3" s="9"/>
      <c r="D3" s="9"/>
      <c r="E3" s="10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  <c r="AA3" s="3"/>
      <c r="AB3" s="3"/>
    </row>
    <row r="4" ht="15.0" customHeight="1">
      <c r="A4" s="4"/>
      <c r="B4" s="3"/>
      <c r="C4" s="7"/>
      <c r="D4" s="3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3"/>
      <c r="Y4" s="3"/>
      <c r="Z4" s="3"/>
      <c r="AA4" s="3"/>
      <c r="AB4" s="3"/>
    </row>
    <row r="5">
      <c r="A5" s="9"/>
      <c r="B5" s="3"/>
      <c r="C5" s="8"/>
      <c r="D5" s="3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  <c r="Z5" s="3"/>
      <c r="AA5" s="3"/>
      <c r="AB5" s="3"/>
    </row>
    <row r="6">
      <c r="A6" s="8"/>
      <c r="B6" s="3"/>
      <c r="C6" s="104"/>
      <c r="D6" s="3"/>
      <c r="E6" s="10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3"/>
      <c r="Z6" s="3"/>
      <c r="AA6" s="3"/>
      <c r="AB6" s="3"/>
    </row>
    <row r="7">
      <c r="A7" s="443" t="s">
        <v>506</v>
      </c>
      <c r="B7" s="315"/>
      <c r="C7" s="315"/>
      <c r="D7" s="315"/>
      <c r="E7" s="316"/>
      <c r="F7" s="102"/>
      <c r="G7" s="102"/>
      <c r="H7" s="102"/>
      <c r="I7" s="102"/>
      <c r="J7" s="102"/>
      <c r="K7" s="10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Y7" s="3"/>
      <c r="Z7" s="3"/>
      <c r="AA7" s="3"/>
      <c r="AB7" s="3"/>
    </row>
    <row r="8">
      <c r="A8" s="21" t="s">
        <v>13</v>
      </c>
      <c r="B8" s="21" t="s">
        <v>14</v>
      </c>
      <c r="C8" s="21" t="s">
        <v>16</v>
      </c>
      <c r="D8" s="21" t="s">
        <v>17</v>
      </c>
      <c r="E8" s="22" t="s">
        <v>18</v>
      </c>
      <c r="F8" s="109"/>
      <c r="G8" s="109"/>
      <c r="H8" s="109"/>
      <c r="I8" s="109"/>
      <c r="J8" s="109"/>
      <c r="K8" s="109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53"/>
      <c r="W8" s="53"/>
      <c r="X8" s="53"/>
      <c r="Y8" s="53"/>
      <c r="Z8" s="53"/>
      <c r="AA8" s="53"/>
      <c r="AB8" s="53"/>
    </row>
    <row r="9">
      <c r="A9" s="444" t="s">
        <v>138</v>
      </c>
      <c r="B9" s="445" t="s">
        <v>507</v>
      </c>
      <c r="C9" s="446">
        <v>17000.0</v>
      </c>
      <c r="D9" s="447">
        <v>0.0</v>
      </c>
      <c r="E9" s="448">
        <f t="shared" ref="E9:E15" si="1">SUM(C9:D9)</f>
        <v>17000</v>
      </c>
      <c r="F9" s="449" t="s">
        <v>508</v>
      </c>
      <c r="G9" s="122"/>
      <c r="H9" s="122"/>
      <c r="I9" s="122"/>
      <c r="J9" s="122"/>
      <c r="K9" s="122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53"/>
      <c r="W9" s="53"/>
      <c r="X9" s="53"/>
      <c r="Y9" s="53"/>
      <c r="Z9" s="53"/>
      <c r="AA9" s="53"/>
      <c r="AB9" s="53"/>
    </row>
    <row r="10">
      <c r="A10" s="450" t="s">
        <v>509</v>
      </c>
      <c r="B10" s="154" t="s">
        <v>510</v>
      </c>
      <c r="C10" s="174">
        <v>1935.0</v>
      </c>
      <c r="D10" s="148">
        <f>C10*0%</f>
        <v>0</v>
      </c>
      <c r="E10" s="451">
        <f t="shared" si="1"/>
        <v>1935</v>
      </c>
      <c r="F10" s="307"/>
      <c r="G10" s="121"/>
      <c r="H10" s="121"/>
      <c r="I10" s="121"/>
      <c r="J10" s="122"/>
      <c r="K10" s="122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53"/>
      <c r="W10" s="53"/>
      <c r="X10" s="53"/>
      <c r="Y10" s="53"/>
      <c r="Z10" s="53"/>
      <c r="AA10" s="53"/>
      <c r="AB10" s="53"/>
    </row>
    <row r="11">
      <c r="A11" s="153" t="s">
        <v>511</v>
      </c>
      <c r="B11" s="154" t="s">
        <v>512</v>
      </c>
      <c r="C11" s="174">
        <v>1050.0</v>
      </c>
      <c r="D11" s="75"/>
      <c r="E11" s="147">
        <f t="shared" si="1"/>
        <v>1050</v>
      </c>
      <c r="F11" s="452" t="s">
        <v>513</v>
      </c>
      <c r="G11" s="121"/>
      <c r="H11" s="121"/>
      <c r="I11" s="121"/>
      <c r="J11" s="122"/>
      <c r="K11" s="122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53"/>
      <c r="W11" s="53"/>
      <c r="X11" s="53"/>
      <c r="Y11" s="53"/>
      <c r="Z11" s="53"/>
      <c r="AA11" s="53"/>
      <c r="AB11" s="53"/>
    </row>
    <row r="12">
      <c r="A12" s="450" t="s">
        <v>514</v>
      </c>
      <c r="B12" s="154" t="s">
        <v>515</v>
      </c>
      <c r="C12" s="446">
        <v>800000.0</v>
      </c>
      <c r="D12" s="148">
        <f t="shared" ref="D12:D15" si="2">C12*0%</f>
        <v>0</v>
      </c>
      <c r="E12" s="451">
        <f t="shared" si="1"/>
        <v>800000</v>
      </c>
      <c r="F12" s="121"/>
      <c r="G12" s="121"/>
      <c r="H12" s="121"/>
      <c r="I12" s="121"/>
      <c r="J12" s="122"/>
      <c r="K12" s="122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53"/>
      <c r="W12" s="53"/>
      <c r="X12" s="53"/>
      <c r="Y12" s="53"/>
      <c r="Z12" s="53"/>
      <c r="AA12" s="53"/>
      <c r="AB12" s="53"/>
    </row>
    <row r="13">
      <c r="A13" s="450" t="s">
        <v>516</v>
      </c>
      <c r="B13" s="154" t="s">
        <v>517</v>
      </c>
      <c r="C13" s="453">
        <v>150000.0</v>
      </c>
      <c r="D13" s="148">
        <f t="shared" si="2"/>
        <v>0</v>
      </c>
      <c r="E13" s="451">
        <f t="shared" si="1"/>
        <v>150000</v>
      </c>
      <c r="F13" s="121"/>
      <c r="G13" s="121"/>
      <c r="H13" s="121"/>
      <c r="I13" s="121"/>
      <c r="J13" s="122"/>
      <c r="K13" s="122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53"/>
      <c r="W13" s="53"/>
      <c r="X13" s="53"/>
      <c r="Y13" s="53"/>
      <c r="Z13" s="53"/>
      <c r="AA13" s="53"/>
      <c r="AB13" s="53"/>
    </row>
    <row r="14">
      <c r="A14" s="450" t="s">
        <v>518</v>
      </c>
      <c r="B14" s="154" t="s">
        <v>519</v>
      </c>
      <c r="C14" s="174">
        <v>4000.0</v>
      </c>
      <c r="D14" s="148">
        <f t="shared" si="2"/>
        <v>0</v>
      </c>
      <c r="E14" s="451">
        <f t="shared" si="1"/>
        <v>4000</v>
      </c>
      <c r="F14" s="121"/>
      <c r="G14" s="121"/>
      <c r="H14" s="121"/>
      <c r="I14" s="121"/>
      <c r="J14" s="122"/>
      <c r="K14" s="122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53"/>
      <c r="W14" s="53"/>
      <c r="X14" s="53"/>
      <c r="Y14" s="53"/>
      <c r="Z14" s="53"/>
      <c r="AA14" s="53"/>
      <c r="AB14" s="53"/>
    </row>
    <row r="15">
      <c r="A15" s="450" t="s">
        <v>520</v>
      </c>
      <c r="B15" s="154" t="s">
        <v>521</v>
      </c>
      <c r="C15" s="174">
        <v>70000.0</v>
      </c>
      <c r="D15" s="148">
        <f t="shared" si="2"/>
        <v>0</v>
      </c>
      <c r="E15" s="451">
        <f t="shared" si="1"/>
        <v>70000</v>
      </c>
      <c r="F15" s="452" t="s">
        <v>513</v>
      </c>
      <c r="G15" s="121"/>
      <c r="H15" s="121"/>
      <c r="I15" s="121"/>
      <c r="J15" s="122"/>
      <c r="K15" s="122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53"/>
      <c r="W15" s="53"/>
      <c r="X15" s="53"/>
      <c r="Y15" s="53"/>
      <c r="Z15" s="53"/>
      <c r="AA15" s="53"/>
      <c r="AB15" s="53"/>
    </row>
    <row r="16">
      <c r="A16" s="454" t="s">
        <v>522</v>
      </c>
      <c r="B16" s="455" t="s">
        <v>523</v>
      </c>
      <c r="C16" s="446">
        <v>50000.0</v>
      </c>
      <c r="D16" s="456"/>
      <c r="E16" s="451">
        <f>D16+C16</f>
        <v>50000</v>
      </c>
      <c r="F16" s="452" t="s">
        <v>513</v>
      </c>
      <c r="G16" s="121"/>
      <c r="H16" s="121"/>
      <c r="I16" s="121"/>
      <c r="J16" s="122"/>
      <c r="K16" s="122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53"/>
      <c r="W16" s="53"/>
      <c r="X16" s="53"/>
      <c r="Y16" s="53"/>
      <c r="Z16" s="53"/>
      <c r="AA16" s="53"/>
      <c r="AB16" s="53"/>
    </row>
    <row r="17">
      <c r="A17" s="444" t="s">
        <v>522</v>
      </c>
      <c r="B17" s="457" t="s">
        <v>524</v>
      </c>
      <c r="C17" s="446">
        <f>99391-C16</f>
        <v>49391</v>
      </c>
      <c r="D17" s="456">
        <f>C17*0%</f>
        <v>0</v>
      </c>
      <c r="E17" s="448">
        <f>SUM(C17:D17)</f>
        <v>49391</v>
      </c>
      <c r="F17" s="449" t="s">
        <v>525</v>
      </c>
      <c r="G17" s="121"/>
      <c r="H17" s="121"/>
      <c r="I17" s="121"/>
      <c r="J17" s="122"/>
      <c r="K17" s="122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53"/>
      <c r="W17" s="53"/>
      <c r="X17" s="53"/>
      <c r="Y17" s="53"/>
      <c r="Z17" s="53"/>
      <c r="AA17" s="53"/>
      <c r="AB17" s="53"/>
    </row>
    <row r="18">
      <c r="A18" s="450"/>
      <c r="B18" s="154"/>
      <c r="C18" s="446"/>
      <c r="D18" s="148"/>
      <c r="E18" s="451"/>
      <c r="F18" s="121"/>
      <c r="G18" s="121"/>
      <c r="H18" s="121"/>
      <c r="I18" s="121"/>
      <c r="J18" s="122"/>
      <c r="K18" s="122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53"/>
      <c r="W18" s="53"/>
      <c r="X18" s="53"/>
      <c r="Y18" s="53"/>
      <c r="Z18" s="53"/>
      <c r="AA18" s="53"/>
      <c r="AB18" s="53"/>
    </row>
    <row r="19">
      <c r="A19" s="450"/>
      <c r="B19" s="154" t="s">
        <v>526</v>
      </c>
      <c r="C19" s="458">
        <v>150000.0</v>
      </c>
      <c r="D19" s="148">
        <f t="shared" ref="D19:D26" si="3">C19*0%</f>
        <v>0</v>
      </c>
      <c r="E19" s="451">
        <f t="shared" ref="E19:E26" si="4">SUM(C19:D19)</f>
        <v>150000</v>
      </c>
      <c r="F19" s="121"/>
      <c r="G19" s="121"/>
      <c r="H19" s="121"/>
      <c r="I19" s="121"/>
      <c r="J19" s="122"/>
      <c r="K19" s="122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53"/>
      <c r="W19" s="53"/>
      <c r="X19" s="53"/>
      <c r="Y19" s="53"/>
      <c r="Z19" s="53"/>
      <c r="AA19" s="53"/>
      <c r="AB19" s="53"/>
    </row>
    <row r="20">
      <c r="A20" s="450"/>
      <c r="B20" s="154" t="s">
        <v>527</v>
      </c>
      <c r="C20" s="174">
        <v>30000.0</v>
      </c>
      <c r="D20" s="148">
        <f t="shared" si="3"/>
        <v>0</v>
      </c>
      <c r="E20" s="459">
        <f t="shared" si="4"/>
        <v>30000</v>
      </c>
      <c r="F20" s="121"/>
      <c r="G20" s="121"/>
      <c r="H20" s="121"/>
      <c r="I20" s="121"/>
      <c r="J20" s="122"/>
      <c r="K20" s="122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53"/>
      <c r="W20" s="53"/>
      <c r="X20" s="53"/>
      <c r="Y20" s="53"/>
      <c r="Z20" s="53"/>
      <c r="AA20" s="53"/>
      <c r="AB20" s="53"/>
    </row>
    <row r="21">
      <c r="A21" s="450"/>
      <c r="B21" s="154" t="s">
        <v>528</v>
      </c>
      <c r="C21" s="174">
        <v>4000.0</v>
      </c>
      <c r="D21" s="148">
        <f t="shared" si="3"/>
        <v>0</v>
      </c>
      <c r="E21" s="459">
        <f t="shared" si="4"/>
        <v>4000</v>
      </c>
      <c r="F21" s="121"/>
      <c r="G21" s="121"/>
      <c r="H21" s="121"/>
      <c r="I21" s="121"/>
      <c r="J21" s="122"/>
      <c r="K21" s="122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53"/>
      <c r="W21" s="53"/>
      <c r="X21" s="53"/>
      <c r="Y21" s="53"/>
      <c r="Z21" s="53"/>
      <c r="AA21" s="53"/>
      <c r="AB21" s="53"/>
    </row>
    <row r="22">
      <c r="A22" s="450"/>
      <c r="B22" s="154" t="s">
        <v>529</v>
      </c>
      <c r="C22" s="174">
        <f>1200*3*4</f>
        <v>14400</v>
      </c>
      <c r="D22" s="148">
        <f t="shared" si="3"/>
        <v>0</v>
      </c>
      <c r="E22" s="459">
        <f t="shared" si="4"/>
        <v>14400</v>
      </c>
      <c r="F22" s="121"/>
      <c r="G22" s="121"/>
      <c r="H22" s="121"/>
      <c r="I22" s="121"/>
      <c r="J22" s="122"/>
      <c r="K22" s="122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53"/>
      <c r="W22" s="53"/>
      <c r="X22" s="53"/>
      <c r="Y22" s="53"/>
      <c r="Z22" s="53"/>
      <c r="AA22" s="53"/>
      <c r="AB22" s="53"/>
    </row>
    <row r="23">
      <c r="A23" s="460"/>
      <c r="B23" s="461" t="s">
        <v>530</v>
      </c>
      <c r="C23" s="462">
        <v>80000.0</v>
      </c>
      <c r="D23" s="463">
        <f t="shared" si="3"/>
        <v>0</v>
      </c>
      <c r="E23" s="464">
        <f t="shared" si="4"/>
        <v>80000</v>
      </c>
      <c r="F23" s="121"/>
      <c r="G23" s="121"/>
      <c r="H23" s="121"/>
      <c r="I23" s="121"/>
      <c r="J23" s="122"/>
      <c r="K23" s="122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53"/>
      <c r="W23" s="53"/>
      <c r="X23" s="53"/>
      <c r="Y23" s="53"/>
      <c r="Z23" s="53"/>
      <c r="AA23" s="53"/>
      <c r="AB23" s="53"/>
    </row>
    <row r="24">
      <c r="A24" s="450"/>
      <c r="B24" s="465" t="s">
        <v>531</v>
      </c>
      <c r="C24" s="174">
        <v>2500.0</v>
      </c>
      <c r="D24" s="148">
        <f t="shared" si="3"/>
        <v>0</v>
      </c>
      <c r="E24" s="459">
        <f t="shared" si="4"/>
        <v>2500</v>
      </c>
      <c r="F24" s="121"/>
      <c r="G24" s="121"/>
      <c r="H24" s="121"/>
      <c r="I24" s="121"/>
      <c r="J24" s="122"/>
      <c r="K24" s="122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53"/>
      <c r="W24" s="53"/>
      <c r="X24" s="53"/>
      <c r="Y24" s="53"/>
      <c r="Z24" s="53"/>
      <c r="AA24" s="53"/>
      <c r="AB24" s="53"/>
    </row>
    <row r="25">
      <c r="A25" s="450" t="s">
        <v>532</v>
      </c>
      <c r="B25" s="154" t="s">
        <v>533</v>
      </c>
      <c r="C25" s="174">
        <v>1800.0</v>
      </c>
      <c r="D25" s="148">
        <f t="shared" si="3"/>
        <v>0</v>
      </c>
      <c r="E25" s="459">
        <f t="shared" si="4"/>
        <v>1800</v>
      </c>
      <c r="F25" s="466" t="s">
        <v>534</v>
      </c>
      <c r="G25" s="121"/>
      <c r="H25" s="121"/>
      <c r="I25" s="121"/>
      <c r="J25" s="122"/>
      <c r="K25" s="122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53"/>
      <c r="W25" s="53"/>
      <c r="X25" s="53"/>
      <c r="Y25" s="53"/>
      <c r="Z25" s="53"/>
      <c r="AA25" s="53"/>
      <c r="AB25" s="53"/>
    </row>
    <row r="26">
      <c r="A26" s="467" t="s">
        <v>535</v>
      </c>
      <c r="B26" s="468" t="s">
        <v>536</v>
      </c>
      <c r="C26" s="174">
        <v>2000.0</v>
      </c>
      <c r="D26" s="148">
        <f t="shared" si="3"/>
        <v>0</v>
      </c>
      <c r="E26" s="451">
        <f t="shared" si="4"/>
        <v>2000</v>
      </c>
      <c r="F26" s="121"/>
      <c r="G26" s="121"/>
      <c r="H26" s="121"/>
      <c r="I26" s="121"/>
      <c r="J26" s="122"/>
      <c r="K26" s="122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53"/>
      <c r="W26" s="53"/>
      <c r="X26" s="53"/>
      <c r="Y26" s="53"/>
      <c r="Z26" s="53"/>
      <c r="AA26" s="53"/>
      <c r="AB26" s="53"/>
    </row>
    <row r="27" ht="24.0" customHeight="1">
      <c r="A27" s="469" t="s">
        <v>537</v>
      </c>
      <c r="B27" s="470" t="s">
        <v>538</v>
      </c>
      <c r="C27" s="174">
        <v>7000.0</v>
      </c>
      <c r="D27" s="117">
        <v>0.0</v>
      </c>
      <c r="E27" s="451">
        <f t="shared" ref="E27:E29" si="5">C27+D27</f>
        <v>7000</v>
      </c>
      <c r="F27" s="466" t="s">
        <v>534</v>
      </c>
      <c r="G27" s="51"/>
      <c r="H27" s="52"/>
      <c r="I27" s="52"/>
      <c r="J27" s="52"/>
      <c r="K27" s="52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ht="24.0" customHeight="1">
      <c r="A28" s="469" t="s">
        <v>537</v>
      </c>
      <c r="B28" s="465" t="s">
        <v>539</v>
      </c>
      <c r="C28" s="174">
        <v>15000.0</v>
      </c>
      <c r="D28" s="117">
        <v>0.0</v>
      </c>
      <c r="E28" s="451">
        <f t="shared" si="5"/>
        <v>15000</v>
      </c>
      <c r="F28" s="466" t="s">
        <v>534</v>
      </c>
      <c r="G28" s="51"/>
      <c r="H28" s="52"/>
      <c r="I28" s="52"/>
      <c r="J28" s="52"/>
      <c r="K28" s="5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ht="24.0" customHeight="1">
      <c r="A29" s="469" t="s">
        <v>537</v>
      </c>
      <c r="B29" s="470" t="s">
        <v>540</v>
      </c>
      <c r="C29" s="174">
        <v>7000.0</v>
      </c>
      <c r="D29" s="117">
        <v>0.0</v>
      </c>
      <c r="E29" s="451">
        <f t="shared" si="5"/>
        <v>7000</v>
      </c>
      <c r="F29" s="466" t="s">
        <v>534</v>
      </c>
      <c r="G29" s="51"/>
      <c r="H29" s="52"/>
      <c r="I29" s="52"/>
      <c r="J29" s="52"/>
      <c r="K29" s="52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ht="24.0" customHeight="1">
      <c r="A30" s="469"/>
      <c r="B30" s="470"/>
      <c r="C30" s="174"/>
      <c r="D30" s="117"/>
      <c r="E30" s="451"/>
      <c r="F30" s="471"/>
      <c r="G30" s="51"/>
      <c r="H30" s="52"/>
      <c r="I30" s="52"/>
      <c r="J30" s="52"/>
      <c r="K30" s="52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ht="24.0" customHeight="1">
      <c r="A31" s="444" t="s">
        <v>196</v>
      </c>
      <c r="B31" s="457" t="s">
        <v>541</v>
      </c>
      <c r="C31" s="174">
        <v>35672.79</v>
      </c>
      <c r="D31" s="117">
        <v>0.0</v>
      </c>
      <c r="E31" s="448">
        <f t="shared" ref="E31:E47" si="6">C31+D31</f>
        <v>35672.79</v>
      </c>
      <c r="F31" s="449" t="s">
        <v>508</v>
      </c>
      <c r="G31" s="51"/>
      <c r="H31" s="52"/>
      <c r="I31" s="52"/>
      <c r="J31" s="52"/>
      <c r="K31" s="52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ht="24.0" customHeight="1">
      <c r="A32" s="454" t="s">
        <v>537</v>
      </c>
      <c r="B32" s="455" t="s">
        <v>542</v>
      </c>
      <c r="C32" s="446">
        <v>1682.85</v>
      </c>
      <c r="D32" s="456"/>
      <c r="E32" s="451">
        <f t="shared" si="6"/>
        <v>1682.85</v>
      </c>
      <c r="F32" s="472" t="s">
        <v>543</v>
      </c>
      <c r="G32" s="473"/>
      <c r="H32" s="474"/>
      <c r="I32" s="474"/>
      <c r="J32" s="474"/>
      <c r="K32" s="474"/>
      <c r="L32" s="475"/>
      <c r="M32" s="475"/>
      <c r="N32" s="475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5"/>
      <c r="AA32" s="475"/>
      <c r="AB32" s="475"/>
    </row>
    <row r="33" ht="24.0" customHeight="1">
      <c r="A33" s="454" t="s">
        <v>544</v>
      </c>
      <c r="B33" s="455" t="s">
        <v>545</v>
      </c>
      <c r="C33" s="446">
        <v>5000.0</v>
      </c>
      <c r="D33" s="456"/>
      <c r="E33" s="448">
        <f t="shared" si="6"/>
        <v>5000</v>
      </c>
      <c r="F33" s="473"/>
      <c r="G33" s="473"/>
      <c r="H33" s="474"/>
      <c r="I33" s="474"/>
      <c r="J33" s="474"/>
      <c r="K33" s="474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  <c r="AA33" s="475"/>
      <c r="AB33" s="475"/>
    </row>
    <row r="34" ht="24.0" customHeight="1">
      <c r="A34" s="476" t="s">
        <v>546</v>
      </c>
      <c r="B34" s="477" t="s">
        <v>547</v>
      </c>
      <c r="C34" s="478">
        <v>1539.0</v>
      </c>
      <c r="D34" s="447">
        <v>0.0</v>
      </c>
      <c r="E34" s="451">
        <f t="shared" si="6"/>
        <v>1539</v>
      </c>
      <c r="F34" s="473"/>
      <c r="G34" s="473"/>
      <c r="H34" s="474"/>
      <c r="I34" s="474"/>
      <c r="J34" s="474"/>
      <c r="K34" s="474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</row>
    <row r="35" ht="24.0" customHeight="1">
      <c r="A35" s="454"/>
      <c r="B35" s="477"/>
      <c r="C35" s="446"/>
      <c r="D35" s="456">
        <f t="shared" ref="D35:D47" si="7">C35*16%</f>
        <v>0</v>
      </c>
      <c r="E35" s="451">
        <f t="shared" si="6"/>
        <v>0</v>
      </c>
      <c r="F35" s="473"/>
      <c r="G35" s="473"/>
      <c r="H35" s="474"/>
      <c r="I35" s="474"/>
      <c r="J35" s="474"/>
      <c r="K35" s="474"/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</row>
    <row r="36" ht="24.0" customHeight="1">
      <c r="A36" s="454"/>
      <c r="B36" s="477"/>
      <c r="C36" s="446"/>
      <c r="D36" s="456">
        <f t="shared" si="7"/>
        <v>0</v>
      </c>
      <c r="E36" s="451">
        <f t="shared" si="6"/>
        <v>0</v>
      </c>
      <c r="F36" s="473"/>
      <c r="G36" s="473"/>
      <c r="H36" s="474"/>
      <c r="I36" s="474"/>
      <c r="J36" s="474"/>
      <c r="K36" s="474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</row>
    <row r="37" ht="24.0" customHeight="1">
      <c r="A37" s="454"/>
      <c r="B37" s="477"/>
      <c r="C37" s="446"/>
      <c r="D37" s="456">
        <f t="shared" si="7"/>
        <v>0</v>
      </c>
      <c r="E37" s="451">
        <f t="shared" si="6"/>
        <v>0</v>
      </c>
      <c r="F37" s="473"/>
      <c r="G37" s="473"/>
      <c r="H37" s="474"/>
      <c r="I37" s="474"/>
      <c r="J37" s="474"/>
      <c r="K37" s="474"/>
      <c r="L37" s="475"/>
      <c r="M37" s="475"/>
      <c r="N37" s="475"/>
      <c r="O37" s="475"/>
      <c r="P37" s="475"/>
      <c r="Q37" s="475"/>
      <c r="R37" s="475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</row>
    <row r="38" ht="24.0" customHeight="1">
      <c r="A38" s="454"/>
      <c r="B38" s="477"/>
      <c r="C38" s="446"/>
      <c r="D38" s="456">
        <f t="shared" si="7"/>
        <v>0</v>
      </c>
      <c r="E38" s="451">
        <f t="shared" si="6"/>
        <v>0</v>
      </c>
      <c r="F38" s="473"/>
      <c r="G38" s="473"/>
      <c r="H38" s="474"/>
      <c r="I38" s="474"/>
      <c r="J38" s="474"/>
      <c r="K38" s="474"/>
      <c r="L38" s="475"/>
      <c r="M38" s="475"/>
      <c r="N38" s="475"/>
      <c r="O38" s="475"/>
      <c r="P38" s="475"/>
      <c r="Q38" s="475"/>
      <c r="R38" s="475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</row>
    <row r="39" ht="24.0" customHeight="1">
      <c r="A39" s="454"/>
      <c r="B39" s="477"/>
      <c r="C39" s="446"/>
      <c r="D39" s="456">
        <f t="shared" si="7"/>
        <v>0</v>
      </c>
      <c r="E39" s="451">
        <f t="shared" si="6"/>
        <v>0</v>
      </c>
      <c r="F39" s="473"/>
      <c r="G39" s="473"/>
      <c r="H39" s="474"/>
      <c r="I39" s="474"/>
      <c r="J39" s="474"/>
      <c r="K39" s="474"/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</row>
    <row r="40" ht="24.0" customHeight="1">
      <c r="A40" s="454"/>
      <c r="B40" s="477"/>
      <c r="C40" s="446"/>
      <c r="D40" s="456">
        <f t="shared" si="7"/>
        <v>0</v>
      </c>
      <c r="E40" s="451">
        <f t="shared" si="6"/>
        <v>0</v>
      </c>
      <c r="F40" s="473"/>
      <c r="G40" s="473"/>
      <c r="H40" s="474"/>
      <c r="I40" s="474"/>
      <c r="J40" s="474"/>
      <c r="K40" s="474"/>
      <c r="L40" s="475"/>
      <c r="M40" s="475"/>
      <c r="N40" s="475"/>
      <c r="O40" s="475"/>
      <c r="P40" s="475"/>
      <c r="Q40" s="475"/>
      <c r="R40" s="475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</row>
    <row r="41" ht="24.0" customHeight="1">
      <c r="A41" s="454"/>
      <c r="B41" s="477"/>
      <c r="C41" s="446"/>
      <c r="D41" s="456">
        <f t="shared" si="7"/>
        <v>0</v>
      </c>
      <c r="E41" s="451">
        <f t="shared" si="6"/>
        <v>0</v>
      </c>
      <c r="F41" s="473"/>
      <c r="G41" s="473"/>
      <c r="H41" s="474"/>
      <c r="I41" s="474"/>
      <c r="J41" s="474"/>
      <c r="K41" s="474"/>
      <c r="L41" s="475"/>
      <c r="M41" s="475"/>
      <c r="N41" s="475"/>
      <c r="O41" s="475"/>
      <c r="P41" s="475"/>
      <c r="Q41" s="475"/>
      <c r="R41" s="475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</row>
    <row r="42" ht="24.0" customHeight="1">
      <c r="A42" s="454"/>
      <c r="B42" s="477"/>
      <c r="C42" s="446"/>
      <c r="D42" s="456">
        <f t="shared" si="7"/>
        <v>0</v>
      </c>
      <c r="E42" s="451">
        <f t="shared" si="6"/>
        <v>0</v>
      </c>
      <c r="F42" s="473"/>
      <c r="G42" s="473"/>
      <c r="H42" s="474"/>
      <c r="I42" s="474"/>
      <c r="J42" s="474"/>
      <c r="K42" s="474"/>
      <c r="L42" s="475"/>
      <c r="M42" s="475"/>
      <c r="N42" s="475"/>
      <c r="O42" s="475"/>
      <c r="P42" s="475"/>
      <c r="Q42" s="475"/>
      <c r="R42" s="475"/>
      <c r="S42" s="475"/>
      <c r="T42" s="475"/>
      <c r="U42" s="475"/>
      <c r="V42" s="475"/>
      <c r="W42" s="475"/>
      <c r="X42" s="475"/>
      <c r="Y42" s="475"/>
      <c r="Z42" s="475"/>
      <c r="AA42" s="475"/>
      <c r="AB42" s="475"/>
    </row>
    <row r="43" ht="24.0" customHeight="1">
      <c r="A43" s="454"/>
      <c r="B43" s="477"/>
      <c r="C43" s="446"/>
      <c r="D43" s="456">
        <f t="shared" si="7"/>
        <v>0</v>
      </c>
      <c r="E43" s="451">
        <f t="shared" si="6"/>
        <v>0</v>
      </c>
      <c r="F43" s="473"/>
      <c r="G43" s="473"/>
      <c r="H43" s="474"/>
      <c r="I43" s="474"/>
      <c r="J43" s="474"/>
      <c r="K43" s="474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</row>
    <row r="44" ht="24.0" customHeight="1">
      <c r="A44" s="454"/>
      <c r="B44" s="477"/>
      <c r="C44" s="446"/>
      <c r="D44" s="456">
        <f t="shared" si="7"/>
        <v>0</v>
      </c>
      <c r="E44" s="451">
        <f t="shared" si="6"/>
        <v>0</v>
      </c>
      <c r="F44" s="473"/>
      <c r="G44" s="473"/>
      <c r="H44" s="474"/>
      <c r="I44" s="474"/>
      <c r="J44" s="474"/>
      <c r="K44" s="474"/>
      <c r="L44" s="475"/>
      <c r="M44" s="475"/>
      <c r="N44" s="475"/>
      <c r="O44" s="475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  <c r="AA44" s="475"/>
      <c r="AB44" s="475"/>
    </row>
    <row r="45" ht="24.0" customHeight="1">
      <c r="A45" s="454"/>
      <c r="B45" s="477"/>
      <c r="C45" s="446"/>
      <c r="D45" s="456">
        <f t="shared" si="7"/>
        <v>0</v>
      </c>
      <c r="E45" s="451">
        <f t="shared" si="6"/>
        <v>0</v>
      </c>
      <c r="F45" s="473"/>
      <c r="G45" s="473"/>
      <c r="H45" s="474"/>
      <c r="I45" s="474"/>
      <c r="J45" s="474"/>
      <c r="K45" s="474"/>
      <c r="L45" s="475"/>
      <c r="M45" s="475"/>
      <c r="N45" s="475"/>
      <c r="O45" s="475"/>
      <c r="P45" s="475"/>
      <c r="Q45" s="475"/>
      <c r="R45" s="475"/>
      <c r="S45" s="475"/>
      <c r="T45" s="475"/>
      <c r="U45" s="475"/>
      <c r="V45" s="475"/>
      <c r="W45" s="475"/>
      <c r="X45" s="475"/>
      <c r="Y45" s="475"/>
      <c r="Z45" s="475"/>
      <c r="AA45" s="475"/>
      <c r="AB45" s="475"/>
    </row>
    <row r="46" ht="24.0" customHeight="1">
      <c r="A46" s="454"/>
      <c r="B46" s="477"/>
      <c r="C46" s="446"/>
      <c r="D46" s="456">
        <f t="shared" si="7"/>
        <v>0</v>
      </c>
      <c r="E46" s="451">
        <f t="shared" si="6"/>
        <v>0</v>
      </c>
      <c r="F46" s="473"/>
      <c r="G46" s="473"/>
      <c r="H46" s="474"/>
      <c r="I46" s="474"/>
      <c r="J46" s="474"/>
      <c r="K46" s="474"/>
      <c r="L46" s="475"/>
      <c r="M46" s="475"/>
      <c r="N46" s="475"/>
      <c r="O46" s="475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  <c r="AA46" s="475"/>
      <c r="AB46" s="475"/>
    </row>
    <row r="47" ht="24.0" customHeight="1">
      <c r="A47" s="454"/>
      <c r="B47" s="477"/>
      <c r="C47" s="446"/>
      <c r="D47" s="456">
        <f t="shared" si="7"/>
        <v>0</v>
      </c>
      <c r="E47" s="451">
        <f t="shared" si="6"/>
        <v>0</v>
      </c>
      <c r="F47" s="473"/>
      <c r="G47" s="473"/>
      <c r="H47" s="474"/>
      <c r="I47" s="474"/>
      <c r="J47" s="474"/>
      <c r="K47" s="474"/>
      <c r="L47" s="475"/>
      <c r="M47" s="475"/>
      <c r="N47" s="475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</row>
    <row r="48">
      <c r="A48" s="479" t="s">
        <v>548</v>
      </c>
      <c r="B48" s="480" t="s">
        <v>549</v>
      </c>
      <c r="C48" s="481"/>
      <c r="D48" s="482">
        <f t="shared" ref="D48:D49" si="8">C48*0%</f>
        <v>0</v>
      </c>
      <c r="E48" s="483">
        <f t="shared" ref="E48:E51" si="9">SUM(C48:D48)</f>
        <v>0</v>
      </c>
      <c r="F48" s="122"/>
      <c r="G48" s="122"/>
      <c r="H48" s="122"/>
      <c r="I48" s="122"/>
      <c r="J48" s="122"/>
      <c r="K48" s="122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53"/>
      <c r="W48" s="53"/>
      <c r="X48" s="53"/>
      <c r="Y48" s="53"/>
      <c r="Z48" s="53"/>
      <c r="AA48" s="53"/>
      <c r="AB48" s="53"/>
    </row>
    <row r="49">
      <c r="A49" s="484" t="s">
        <v>218</v>
      </c>
      <c r="B49" s="485" t="s">
        <v>550</v>
      </c>
      <c r="C49" s="486"/>
      <c r="D49" s="487">
        <f t="shared" si="8"/>
        <v>0</v>
      </c>
      <c r="E49" s="488">
        <f t="shared" si="9"/>
        <v>0</v>
      </c>
      <c r="F49" s="489" t="s">
        <v>551</v>
      </c>
      <c r="G49" s="121"/>
      <c r="H49" s="121"/>
      <c r="I49" s="121"/>
      <c r="J49" s="122"/>
      <c r="K49" s="122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53"/>
      <c r="W49" s="53"/>
      <c r="X49" s="53"/>
      <c r="Y49" s="53"/>
      <c r="Z49" s="53"/>
      <c r="AA49" s="53"/>
      <c r="AB49" s="53"/>
    </row>
    <row r="50">
      <c r="A50" s="490" t="s">
        <v>552</v>
      </c>
      <c r="B50" s="491" t="s">
        <v>553</v>
      </c>
      <c r="C50" s="492"/>
      <c r="D50" s="493">
        <v>0.0</v>
      </c>
      <c r="E50" s="483">
        <f t="shared" si="9"/>
        <v>0</v>
      </c>
    </row>
    <row r="51">
      <c r="A51" s="490" t="s">
        <v>554</v>
      </c>
      <c r="B51" s="491" t="s">
        <v>555</v>
      </c>
      <c r="C51" s="492"/>
      <c r="D51" s="494">
        <f>C51*0%</f>
        <v>0</v>
      </c>
      <c r="E51" s="483">
        <f t="shared" si="9"/>
        <v>0</v>
      </c>
      <c r="F51" s="495" t="s">
        <v>556</v>
      </c>
      <c r="G51" s="121"/>
      <c r="H51" s="121"/>
      <c r="I51" s="121"/>
      <c r="J51" s="122"/>
      <c r="K51" s="122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53"/>
      <c r="W51" s="53"/>
      <c r="X51" s="53"/>
      <c r="Y51" s="53"/>
      <c r="Z51" s="53"/>
      <c r="AA51" s="53"/>
      <c r="AB51" s="53"/>
    </row>
    <row r="52" ht="24.0" customHeight="1">
      <c r="A52" s="496"/>
      <c r="B52" s="496"/>
      <c r="C52" s="497"/>
      <c r="D52" s="497"/>
      <c r="E52" s="498"/>
      <c r="F52" s="51"/>
      <c r="G52" s="51"/>
      <c r="H52" s="52"/>
      <c r="I52" s="52"/>
      <c r="J52" s="52"/>
      <c r="K52" s="52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ht="26.25" customHeight="1">
      <c r="A53" s="499" t="s">
        <v>557</v>
      </c>
      <c r="B53" s="500"/>
      <c r="C53" s="501">
        <f t="shared" ref="C53:E53" si="10">SUM(C9:C51)</f>
        <v>1500970.64</v>
      </c>
      <c r="D53" s="501">
        <f t="shared" si="10"/>
        <v>0</v>
      </c>
      <c r="E53" s="501">
        <f t="shared" si="10"/>
        <v>1500970.64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 ht="15.75" customHeight="1">
      <c r="A54" s="8"/>
      <c r="B54" s="2"/>
      <c r="C54" s="101"/>
      <c r="D54" s="101"/>
      <c r="E54" s="10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3"/>
      <c r="W54" s="3"/>
      <c r="X54" s="3"/>
      <c r="Y54" s="3"/>
      <c r="Z54" s="3"/>
      <c r="AA54" s="3"/>
      <c r="AB54" s="3"/>
    </row>
    <row r="55" ht="15.75" customHeight="1">
      <c r="A55" s="8"/>
      <c r="B55" s="2"/>
      <c r="C55" s="101"/>
      <c r="D55" s="101"/>
      <c r="E55" s="10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8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8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3"/>
      <c r="W57" s="3"/>
      <c r="X57" s="3"/>
      <c r="Y57" s="3"/>
      <c r="Z57" s="3"/>
      <c r="AA57" s="3"/>
      <c r="AB57" s="3"/>
    </row>
    <row r="58" ht="15.75" customHeight="1">
      <c r="A58" s="8"/>
      <c r="B58" s="2"/>
      <c r="C58" s="8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3"/>
      <c r="W58" s="3"/>
      <c r="X58" s="3"/>
      <c r="Y58" s="3"/>
      <c r="Z58" s="3"/>
      <c r="AA58" s="3"/>
      <c r="AB58" s="3"/>
    </row>
    <row r="59" ht="15.75" customHeight="1">
      <c r="A59" s="8"/>
      <c r="B59" s="2"/>
      <c r="C59" s="8"/>
      <c r="D59" s="8"/>
      <c r="E59" s="8"/>
      <c r="F59" s="2"/>
      <c r="G59" s="2"/>
      <c r="H59" s="3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"/>
      <c r="W59" s="3"/>
      <c r="X59" s="3"/>
      <c r="Y59" s="3"/>
      <c r="Z59" s="3"/>
      <c r="AA59" s="3"/>
      <c r="AB59" s="3"/>
    </row>
    <row r="60" ht="15.75" customHeight="1">
      <c r="A60" s="8"/>
      <c r="B60" s="2"/>
      <c r="C60" s="8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3"/>
      <c r="W60" s="3"/>
      <c r="X60" s="3"/>
      <c r="Y60" s="3"/>
      <c r="Z60" s="3"/>
      <c r="AA60" s="3"/>
      <c r="AB60" s="3"/>
    </row>
    <row r="61" ht="15.75" customHeight="1">
      <c r="A61" s="8"/>
      <c r="B61" s="2"/>
      <c r="C61" s="8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"/>
      <c r="W61" s="3"/>
      <c r="X61" s="3"/>
      <c r="Y61" s="3"/>
      <c r="Z61" s="3"/>
      <c r="AA61" s="3"/>
      <c r="AB61" s="3"/>
    </row>
    <row r="62" ht="15.75" customHeight="1">
      <c r="A62" s="8"/>
      <c r="B62" s="2"/>
      <c r="C62" s="8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3"/>
      <c r="W62" s="3"/>
      <c r="X62" s="3"/>
      <c r="Y62" s="3"/>
      <c r="Z62" s="3"/>
      <c r="AA62" s="3"/>
      <c r="AB62" s="3"/>
    </row>
    <row r="63" ht="15.75" customHeight="1">
      <c r="A63" s="8"/>
      <c r="B63" s="2"/>
      <c r="C63" s="8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3"/>
      <c r="W63" s="3"/>
      <c r="X63" s="3"/>
      <c r="Y63" s="3"/>
      <c r="Z63" s="3"/>
      <c r="AA63" s="3"/>
      <c r="AB63" s="3"/>
    </row>
    <row r="64" ht="15.75" customHeight="1">
      <c r="A64" s="8"/>
      <c r="B64" s="2"/>
      <c r="C64" s="8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3"/>
      <c r="W64" s="3"/>
      <c r="X64" s="3"/>
      <c r="Y64" s="3"/>
      <c r="Z64" s="3"/>
      <c r="AA64" s="3"/>
      <c r="AB64" s="3"/>
    </row>
    <row r="65" ht="15.75" customHeight="1">
      <c r="A65" s="8"/>
      <c r="B65" s="2"/>
      <c r="C65" s="8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"/>
      <c r="W65" s="3"/>
      <c r="X65" s="3"/>
      <c r="Y65" s="3"/>
      <c r="Z65" s="3"/>
      <c r="AA65" s="3"/>
      <c r="AB65" s="3"/>
    </row>
    <row r="66" ht="15.75" customHeight="1">
      <c r="A66" s="8"/>
      <c r="B66" s="2"/>
      <c r="C66" s="8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3"/>
      <c r="W66" s="3"/>
      <c r="X66" s="3"/>
      <c r="Y66" s="3"/>
      <c r="Z66" s="3"/>
      <c r="AA66" s="3"/>
      <c r="AB66" s="3"/>
    </row>
    <row r="67" ht="15.75" customHeight="1">
      <c r="A67" s="8"/>
      <c r="B67" s="2"/>
      <c r="C67" s="8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3"/>
      <c r="W67" s="3"/>
      <c r="X67" s="3"/>
      <c r="Y67" s="3"/>
      <c r="Z67" s="3"/>
      <c r="AA67" s="3"/>
      <c r="AB67" s="3"/>
    </row>
    <row r="68" ht="15.75" customHeight="1">
      <c r="A68" s="8"/>
      <c r="B68" s="2"/>
      <c r="C68" s="8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3"/>
      <c r="W68" s="3"/>
      <c r="X68" s="3"/>
      <c r="Y68" s="3"/>
      <c r="Z68" s="3"/>
      <c r="AA68" s="3"/>
      <c r="AB68" s="3"/>
    </row>
    <row r="69" ht="15.75" customHeight="1">
      <c r="A69" s="8"/>
      <c r="B69" s="2"/>
      <c r="C69" s="8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  <c r="W69" s="3"/>
      <c r="X69" s="3"/>
      <c r="Y69" s="3"/>
      <c r="Z69" s="3"/>
      <c r="AA69" s="3"/>
      <c r="AB69" s="3"/>
    </row>
    <row r="70" ht="15.75" customHeight="1">
      <c r="A70" s="8"/>
      <c r="B70" s="2"/>
      <c r="C70" s="8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3"/>
      <c r="W70" s="3"/>
      <c r="X70" s="3"/>
      <c r="Y70" s="3"/>
      <c r="Z70" s="3"/>
      <c r="AA70" s="3"/>
      <c r="AB70" s="3"/>
    </row>
    <row r="71" ht="15.75" customHeight="1">
      <c r="A71" s="8"/>
      <c r="B71" s="2"/>
      <c r="C71" s="8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"/>
      <c r="W71" s="3"/>
      <c r="X71" s="3"/>
      <c r="Y71" s="3"/>
      <c r="Z71" s="3"/>
      <c r="AA71" s="3"/>
      <c r="AB71" s="3"/>
    </row>
    <row r="72" ht="15.75" customHeight="1">
      <c r="A72" s="8"/>
      <c r="B72" s="2"/>
      <c r="C72" s="8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  <c r="W72" s="3"/>
      <c r="X72" s="3"/>
      <c r="Y72" s="3"/>
      <c r="Z72" s="3"/>
      <c r="AA72" s="3"/>
      <c r="AB72" s="3"/>
    </row>
    <row r="73" ht="15.75" customHeight="1">
      <c r="A73" s="8"/>
      <c r="B73" s="2"/>
      <c r="C73" s="8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3"/>
      <c r="W73" s="3"/>
      <c r="X73" s="3"/>
      <c r="Y73" s="3"/>
      <c r="Z73" s="3"/>
      <c r="AA73" s="3"/>
      <c r="AB73" s="3"/>
    </row>
    <row r="74" ht="15.75" customHeight="1">
      <c r="A74" s="8"/>
      <c r="B74" s="2"/>
      <c r="C74" s="8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3"/>
      <c r="W74" s="3"/>
      <c r="X74" s="3"/>
      <c r="Y74" s="3"/>
      <c r="Z74" s="3"/>
      <c r="AA74" s="3"/>
      <c r="AB74" s="3"/>
    </row>
    <row r="75" ht="15.75" customHeight="1">
      <c r="A75" s="8"/>
      <c r="B75" s="2"/>
      <c r="C75" s="8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3"/>
      <c r="W75" s="3"/>
      <c r="X75" s="3"/>
      <c r="Y75" s="3"/>
      <c r="Z75" s="3"/>
      <c r="AA75" s="3"/>
      <c r="AB75" s="3"/>
    </row>
    <row r="76" ht="15.75" customHeight="1">
      <c r="A76" s="8"/>
      <c r="B76" s="2"/>
      <c r="C76" s="8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3"/>
      <c r="X76" s="3"/>
      <c r="Y76" s="3"/>
      <c r="Z76" s="3"/>
      <c r="AA76" s="3"/>
      <c r="AB76" s="3"/>
    </row>
    <row r="77" ht="15.75" customHeight="1">
      <c r="A77" s="8"/>
      <c r="B77" s="2"/>
      <c r="C77" s="8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3"/>
      <c r="X77" s="3"/>
      <c r="Y77" s="3"/>
      <c r="Z77" s="3"/>
      <c r="AA77" s="3"/>
      <c r="AB77" s="3"/>
    </row>
    <row r="78" ht="15.75" customHeight="1">
      <c r="A78" s="8"/>
      <c r="B78" s="2"/>
      <c r="C78" s="8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3"/>
      <c r="W78" s="3"/>
      <c r="X78" s="3"/>
      <c r="Y78" s="3"/>
      <c r="Z78" s="3"/>
      <c r="AA78" s="3"/>
      <c r="AB78" s="3"/>
    </row>
    <row r="79" ht="15.75" customHeight="1">
      <c r="A79" s="8"/>
      <c r="B79" s="2"/>
      <c r="C79" s="8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3"/>
      <c r="W79" s="3"/>
      <c r="X79" s="3"/>
      <c r="Y79" s="3"/>
      <c r="Z79" s="3"/>
      <c r="AA79" s="3"/>
      <c r="AB79" s="3"/>
    </row>
    <row r="80" ht="15.75" customHeight="1">
      <c r="A80" s="8"/>
      <c r="B80" s="2"/>
      <c r="C80" s="8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3"/>
      <c r="W80" s="3"/>
      <c r="X80" s="3"/>
      <c r="Y80" s="3"/>
      <c r="Z80" s="3"/>
      <c r="AA80" s="3"/>
      <c r="AB80" s="3"/>
    </row>
    <row r="81" ht="15.75" customHeight="1">
      <c r="A81" s="8"/>
      <c r="B81" s="2"/>
      <c r="C81" s="8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3"/>
      <c r="W81" s="3"/>
      <c r="X81" s="3"/>
      <c r="Y81" s="3"/>
      <c r="Z81" s="3"/>
      <c r="AA81" s="3"/>
      <c r="AB81" s="3"/>
    </row>
    <row r="82" ht="15.75" customHeight="1">
      <c r="A82" s="8"/>
      <c r="B82" s="2"/>
      <c r="C82" s="8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3"/>
      <c r="W82" s="3"/>
      <c r="X82" s="3"/>
      <c r="Y82" s="3"/>
      <c r="Z82" s="3"/>
      <c r="AA82" s="3"/>
      <c r="AB82" s="3"/>
    </row>
    <row r="83" ht="15.75" customHeight="1">
      <c r="A83" s="8"/>
      <c r="B83" s="2"/>
      <c r="C83" s="8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3"/>
      <c r="W83" s="3"/>
      <c r="X83" s="3"/>
      <c r="Y83" s="3"/>
      <c r="Z83" s="3"/>
      <c r="AA83" s="3"/>
      <c r="AB83" s="3"/>
    </row>
    <row r="84" ht="15.75" customHeight="1">
      <c r="A84" s="8"/>
      <c r="B84" s="2"/>
      <c r="C84" s="8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"/>
      <c r="W84" s="3"/>
      <c r="X84" s="3"/>
      <c r="Y84" s="3"/>
      <c r="Z84" s="3"/>
      <c r="AA84" s="3"/>
      <c r="AB84" s="3"/>
    </row>
    <row r="85" ht="15.75" customHeight="1">
      <c r="A85" s="8"/>
      <c r="B85" s="2"/>
      <c r="C85" s="8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3"/>
      <c r="W85" s="3"/>
      <c r="X85" s="3"/>
      <c r="Y85" s="3"/>
      <c r="Z85" s="3"/>
      <c r="AA85" s="3"/>
      <c r="AB85" s="3"/>
    </row>
    <row r="86" ht="15.75" customHeight="1">
      <c r="A86" s="8"/>
      <c r="B86" s="2"/>
      <c r="C86" s="8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"/>
      <c r="W86" s="3"/>
      <c r="X86" s="3"/>
      <c r="Y86" s="3"/>
      <c r="Z86" s="3"/>
      <c r="AA86" s="3"/>
      <c r="AB86" s="3"/>
    </row>
    <row r="87" ht="15.75" customHeight="1">
      <c r="A87" s="8"/>
      <c r="B87" s="2"/>
      <c r="C87" s="8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3"/>
      <c r="W87" s="3"/>
      <c r="X87" s="3"/>
      <c r="Y87" s="3"/>
      <c r="Z87" s="3"/>
      <c r="AA87" s="3"/>
      <c r="AB87" s="3"/>
    </row>
    <row r="88" ht="15.75" customHeight="1">
      <c r="A88" s="8"/>
      <c r="B88" s="2"/>
      <c r="C88" s="8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3"/>
      <c r="W88" s="3"/>
      <c r="X88" s="3"/>
      <c r="Y88" s="3"/>
      <c r="Z88" s="3"/>
      <c r="AA88" s="3"/>
      <c r="AB88" s="3"/>
    </row>
    <row r="89" ht="15.75" customHeight="1">
      <c r="A89" s="8"/>
      <c r="B89" s="2"/>
      <c r="C89" s="8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3"/>
      <c r="W89" s="3"/>
      <c r="X89" s="3"/>
      <c r="Y89" s="3"/>
      <c r="Z89" s="3"/>
      <c r="AA89" s="3"/>
      <c r="AB89" s="3"/>
    </row>
    <row r="90" ht="15.75" customHeight="1">
      <c r="A90" s="8"/>
      <c r="B90" s="2"/>
      <c r="C90" s="8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3"/>
      <c r="W90" s="3"/>
      <c r="X90" s="3"/>
      <c r="Y90" s="3"/>
      <c r="Z90" s="3"/>
      <c r="AA90" s="3"/>
      <c r="AB90" s="3"/>
    </row>
    <row r="91" ht="15.75" customHeight="1">
      <c r="A91" s="8"/>
      <c r="B91" s="2"/>
      <c r="C91" s="8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3"/>
      <c r="W91" s="3"/>
      <c r="X91" s="3"/>
      <c r="Y91" s="3"/>
      <c r="Z91" s="3"/>
      <c r="AA91" s="3"/>
      <c r="AB91" s="3"/>
    </row>
    <row r="92" ht="15.75" customHeight="1">
      <c r="A92" s="8"/>
      <c r="B92" s="2"/>
      <c r="C92" s="8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3"/>
      <c r="W92" s="3"/>
      <c r="X92" s="3"/>
      <c r="Y92" s="3"/>
      <c r="Z92" s="3"/>
      <c r="AA92" s="3"/>
      <c r="AB92" s="3"/>
    </row>
    <row r="93" ht="15.75" customHeight="1">
      <c r="A93" s="8"/>
      <c r="B93" s="2"/>
      <c r="C93" s="8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3"/>
      <c r="W93" s="3"/>
      <c r="X93" s="3"/>
      <c r="Y93" s="3"/>
      <c r="Z93" s="3"/>
      <c r="AA93" s="3"/>
      <c r="AB93" s="3"/>
    </row>
    <row r="94" ht="15.75" customHeight="1">
      <c r="A94" s="8"/>
      <c r="B94" s="2"/>
      <c r="C94" s="8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3"/>
      <c r="W94" s="3"/>
      <c r="X94" s="3"/>
      <c r="Y94" s="3"/>
      <c r="Z94" s="3"/>
      <c r="AA94" s="3"/>
      <c r="AB94" s="3"/>
    </row>
    <row r="95" ht="15.75" customHeight="1">
      <c r="A95" s="8"/>
      <c r="B95" s="2"/>
      <c r="C95" s="8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3"/>
      <c r="X95" s="3"/>
      <c r="Y95" s="3"/>
      <c r="Z95" s="3"/>
      <c r="AA95" s="3"/>
      <c r="AB95" s="3"/>
    </row>
    <row r="96" ht="15.75" customHeight="1">
      <c r="A96" s="8"/>
      <c r="B96" s="2"/>
      <c r="C96" s="8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"/>
      <c r="W96" s="3"/>
      <c r="X96" s="3"/>
      <c r="Y96" s="3"/>
      <c r="Z96" s="3"/>
      <c r="AA96" s="3"/>
      <c r="AB96" s="3"/>
    </row>
    <row r="97" ht="15.75" customHeight="1">
      <c r="A97" s="8"/>
      <c r="B97" s="2"/>
      <c r="C97" s="8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"/>
      <c r="W97" s="3"/>
      <c r="X97" s="3"/>
      <c r="Y97" s="3"/>
      <c r="Z97" s="3"/>
      <c r="AA97" s="3"/>
      <c r="AB97" s="3"/>
    </row>
    <row r="98" ht="15.75" customHeight="1">
      <c r="A98" s="8"/>
      <c r="B98" s="2"/>
      <c r="C98" s="8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3"/>
      <c r="W98" s="3"/>
      <c r="X98" s="3"/>
      <c r="Y98" s="3"/>
      <c r="Z98" s="3"/>
      <c r="AA98" s="3"/>
      <c r="AB98" s="3"/>
    </row>
    <row r="99" ht="15.75" customHeight="1">
      <c r="A99" s="8"/>
      <c r="B99" s="2"/>
      <c r="C99" s="8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3"/>
      <c r="W99" s="3"/>
      <c r="X99" s="3"/>
      <c r="Y99" s="3"/>
      <c r="Z99" s="3"/>
      <c r="AA99" s="3"/>
      <c r="AB99" s="3"/>
    </row>
    <row r="100" ht="15.75" customHeight="1">
      <c r="A100" s="8"/>
      <c r="B100" s="2"/>
      <c r="C100" s="8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3"/>
      <c r="W100" s="3"/>
      <c r="X100" s="3"/>
      <c r="Y100" s="3"/>
      <c r="Z100" s="3"/>
      <c r="AA100" s="3"/>
      <c r="AB100" s="3"/>
    </row>
    <row r="101" ht="15.75" customHeight="1">
      <c r="A101" s="8"/>
      <c r="B101" s="2"/>
      <c r="C101" s="8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3"/>
      <c r="W101" s="3"/>
      <c r="X101" s="3"/>
      <c r="Y101" s="3"/>
      <c r="Z101" s="3"/>
      <c r="AA101" s="3"/>
      <c r="AB101" s="3"/>
    </row>
    <row r="102" ht="15.75" customHeight="1">
      <c r="A102" s="8"/>
      <c r="B102" s="2"/>
      <c r="C102" s="8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/>
      <c r="W102" s="3"/>
      <c r="X102" s="3"/>
      <c r="Y102" s="3"/>
      <c r="Z102" s="3"/>
      <c r="AA102" s="3"/>
      <c r="AB102" s="3"/>
    </row>
    <row r="103" ht="15.75" customHeight="1">
      <c r="A103" s="8"/>
      <c r="B103" s="2"/>
      <c r="C103" s="8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3"/>
      <c r="W103" s="3"/>
      <c r="X103" s="3"/>
      <c r="Y103" s="3"/>
      <c r="Z103" s="3"/>
      <c r="AA103" s="3"/>
      <c r="AB103" s="3"/>
    </row>
    <row r="104" ht="15.75" customHeight="1">
      <c r="A104" s="8"/>
      <c r="B104" s="2"/>
      <c r="C104" s="8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3"/>
      <c r="W104" s="3"/>
      <c r="X104" s="3"/>
      <c r="Y104" s="3"/>
      <c r="Z104" s="3"/>
      <c r="AA104" s="3"/>
      <c r="AB104" s="3"/>
    </row>
    <row r="105" ht="15.75" customHeight="1">
      <c r="A105" s="8"/>
      <c r="B105" s="2"/>
      <c r="C105" s="8"/>
      <c r="D105" s="8"/>
      <c r="E105" s="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"/>
      <c r="W105" s="3"/>
      <c r="X105" s="3"/>
      <c r="Y105" s="3"/>
      <c r="Z105" s="3"/>
      <c r="AA105" s="3"/>
      <c r="AB105" s="3"/>
    </row>
    <row r="106" ht="15.75" customHeight="1">
      <c r="A106" s="8"/>
      <c r="B106" s="2"/>
      <c r="C106" s="8"/>
      <c r="D106" s="8"/>
      <c r="E106" s="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"/>
      <c r="W106" s="3"/>
      <c r="X106" s="3"/>
      <c r="Y106" s="3"/>
      <c r="Z106" s="3"/>
      <c r="AA106" s="3"/>
      <c r="AB106" s="3"/>
    </row>
    <row r="107" ht="15.75" customHeight="1">
      <c r="A107" s="8"/>
      <c r="B107" s="2"/>
      <c r="C107" s="8"/>
      <c r="D107" s="8"/>
      <c r="E107" s="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  <c r="W107" s="3"/>
      <c r="X107" s="3"/>
      <c r="Y107" s="3"/>
      <c r="Z107" s="3"/>
      <c r="AA107" s="3"/>
      <c r="AB107" s="3"/>
    </row>
    <row r="108" ht="15.75" customHeight="1">
      <c r="A108" s="8"/>
      <c r="B108" s="2"/>
      <c r="C108" s="8"/>
      <c r="D108" s="8"/>
      <c r="E108" s="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3"/>
      <c r="W108" s="3"/>
      <c r="X108" s="3"/>
      <c r="Y108" s="3"/>
      <c r="Z108" s="3"/>
      <c r="AA108" s="3"/>
      <c r="AB108" s="3"/>
    </row>
    <row r="109" ht="15.75" customHeight="1">
      <c r="A109" s="8"/>
      <c r="B109" s="2"/>
      <c r="C109" s="8"/>
      <c r="D109" s="8"/>
      <c r="E109" s="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3"/>
      <c r="W109" s="3"/>
      <c r="X109" s="3"/>
      <c r="Y109" s="3"/>
      <c r="Z109" s="3"/>
      <c r="AA109" s="3"/>
      <c r="AB109" s="3"/>
    </row>
    <row r="110" ht="15.75" customHeight="1">
      <c r="A110" s="8"/>
      <c r="B110" s="2"/>
      <c r="C110" s="8"/>
      <c r="D110" s="8"/>
      <c r="E110" s="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3"/>
      <c r="W110" s="3"/>
      <c r="X110" s="3"/>
      <c r="Y110" s="3"/>
      <c r="Z110" s="3"/>
      <c r="AA110" s="3"/>
      <c r="AB110" s="3"/>
    </row>
    <row r="111" ht="15.75" customHeight="1">
      <c r="A111" s="8"/>
      <c r="B111" s="2"/>
      <c r="C111" s="8"/>
      <c r="D111" s="8"/>
      <c r="E111" s="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3"/>
      <c r="W111" s="3"/>
      <c r="X111" s="3"/>
      <c r="Y111" s="3"/>
      <c r="Z111" s="3"/>
      <c r="AA111" s="3"/>
      <c r="AB111" s="3"/>
    </row>
    <row r="112" ht="15.75" customHeight="1">
      <c r="A112" s="8"/>
      <c r="B112" s="2"/>
      <c r="C112" s="8"/>
      <c r="D112" s="8"/>
      <c r="E112" s="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3"/>
      <c r="W112" s="3"/>
      <c r="X112" s="3"/>
      <c r="Y112" s="3"/>
      <c r="Z112" s="3"/>
      <c r="AA112" s="3"/>
      <c r="AB112" s="3"/>
    </row>
    <row r="113" ht="15.75" customHeight="1">
      <c r="A113" s="8"/>
      <c r="B113" s="2"/>
      <c r="C113" s="8"/>
      <c r="D113" s="8"/>
      <c r="E113" s="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3"/>
      <c r="W113" s="3"/>
      <c r="X113" s="3"/>
      <c r="Y113" s="3"/>
      <c r="Z113" s="3"/>
      <c r="AA113" s="3"/>
      <c r="AB113" s="3"/>
    </row>
    <row r="114" ht="15.75" customHeight="1">
      <c r="A114" s="8"/>
      <c r="B114" s="2"/>
      <c r="C114" s="8"/>
      <c r="D114" s="8"/>
      <c r="E114" s="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3"/>
      <c r="W114" s="3"/>
      <c r="X114" s="3"/>
      <c r="Y114" s="3"/>
      <c r="Z114" s="3"/>
      <c r="AA114" s="3"/>
      <c r="AB114" s="3"/>
    </row>
    <row r="115" ht="15.75" customHeight="1">
      <c r="A115" s="8"/>
      <c r="B115" s="2"/>
      <c r="C115" s="8"/>
      <c r="D115" s="8"/>
      <c r="E115" s="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3"/>
      <c r="W115" s="3"/>
      <c r="X115" s="3"/>
      <c r="Y115" s="3"/>
      <c r="Z115" s="3"/>
      <c r="AA115" s="3"/>
      <c r="AB115" s="3"/>
    </row>
    <row r="116" ht="15.75" customHeight="1">
      <c r="A116" s="8"/>
      <c r="B116" s="2"/>
      <c r="C116" s="8"/>
      <c r="D116" s="8"/>
      <c r="E116" s="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3"/>
      <c r="W116" s="3"/>
      <c r="X116" s="3"/>
      <c r="Y116" s="3"/>
      <c r="Z116" s="3"/>
      <c r="AA116" s="3"/>
      <c r="AB116" s="3"/>
    </row>
    <row r="117" ht="15.75" customHeight="1">
      <c r="A117" s="8"/>
      <c r="B117" s="2"/>
      <c r="C117" s="8"/>
      <c r="D117" s="8"/>
      <c r="E117" s="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"/>
      <c r="W117" s="3"/>
      <c r="X117" s="3"/>
      <c r="Y117" s="3"/>
      <c r="Z117" s="3"/>
      <c r="AA117" s="3"/>
      <c r="AB117" s="3"/>
    </row>
    <row r="118" ht="15.75" customHeight="1">
      <c r="A118" s="8"/>
      <c r="B118" s="2"/>
      <c r="C118" s="8"/>
      <c r="D118" s="8"/>
      <c r="E118" s="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"/>
      <c r="W118" s="3"/>
      <c r="X118" s="3"/>
      <c r="Y118" s="3"/>
      <c r="Z118" s="3"/>
      <c r="AA118" s="3"/>
      <c r="AB118" s="3"/>
    </row>
    <row r="119" ht="15.75" customHeight="1">
      <c r="A119" s="8"/>
      <c r="B119" s="2"/>
      <c r="C119" s="8"/>
      <c r="D119" s="8"/>
      <c r="E119" s="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"/>
      <c r="W119" s="3"/>
      <c r="X119" s="3"/>
      <c r="Y119" s="3"/>
      <c r="Z119" s="3"/>
      <c r="AA119" s="3"/>
      <c r="AB119" s="3"/>
    </row>
    <row r="120" ht="15.75" customHeight="1">
      <c r="A120" s="8"/>
      <c r="B120" s="2"/>
      <c r="C120" s="8"/>
      <c r="D120" s="8"/>
      <c r="E120" s="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3"/>
      <c r="W120" s="3"/>
      <c r="X120" s="3"/>
      <c r="Y120" s="3"/>
      <c r="Z120" s="3"/>
      <c r="AA120" s="3"/>
      <c r="AB120" s="3"/>
    </row>
    <row r="121" ht="15.75" customHeight="1">
      <c r="A121" s="8"/>
      <c r="B121" s="2"/>
      <c r="C121" s="8"/>
      <c r="D121" s="8"/>
      <c r="E121" s="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"/>
      <c r="W121" s="3"/>
      <c r="X121" s="3"/>
      <c r="Y121" s="3"/>
      <c r="Z121" s="3"/>
      <c r="AA121" s="3"/>
      <c r="AB121" s="3"/>
    </row>
    <row r="122" ht="15.75" customHeight="1">
      <c r="A122" s="8"/>
      <c r="B122" s="2"/>
      <c r="C122" s="8"/>
      <c r="D122" s="8"/>
      <c r="E122" s="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"/>
      <c r="W122" s="3"/>
      <c r="X122" s="3"/>
      <c r="Y122" s="3"/>
      <c r="Z122" s="3"/>
      <c r="AA122" s="3"/>
      <c r="AB122" s="3"/>
    </row>
    <row r="123" ht="15.75" customHeight="1">
      <c r="A123" s="8"/>
      <c r="B123" s="2"/>
      <c r="C123" s="8"/>
      <c r="D123" s="8"/>
      <c r="E123" s="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W123" s="3"/>
      <c r="X123" s="3"/>
      <c r="Y123" s="3"/>
      <c r="Z123" s="3"/>
      <c r="AA123" s="3"/>
      <c r="AB123" s="3"/>
    </row>
    <row r="124" ht="15.75" customHeight="1">
      <c r="A124" s="8"/>
      <c r="B124" s="2"/>
      <c r="C124" s="8"/>
      <c r="D124" s="8"/>
      <c r="E124" s="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"/>
      <c r="W124" s="3"/>
      <c r="X124" s="3"/>
      <c r="Y124" s="3"/>
      <c r="Z124" s="3"/>
      <c r="AA124" s="3"/>
      <c r="AB124" s="3"/>
    </row>
    <row r="125" ht="15.75" customHeight="1">
      <c r="A125" s="8"/>
      <c r="B125" s="2"/>
      <c r="C125" s="8"/>
      <c r="D125" s="8"/>
      <c r="E125" s="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"/>
      <c r="W125" s="3"/>
      <c r="X125" s="3"/>
      <c r="Y125" s="3"/>
      <c r="Z125" s="3"/>
      <c r="AA125" s="3"/>
      <c r="AB125" s="3"/>
    </row>
    <row r="126" ht="15.75" customHeight="1">
      <c r="A126" s="8"/>
      <c r="B126" s="2"/>
      <c r="C126" s="8"/>
      <c r="D126" s="8"/>
      <c r="E126" s="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"/>
      <c r="W126" s="3"/>
      <c r="X126" s="3"/>
      <c r="Y126" s="3"/>
      <c r="Z126" s="3"/>
      <c r="AA126" s="3"/>
      <c r="AB126" s="3"/>
    </row>
    <row r="127" ht="15.75" customHeight="1">
      <c r="A127" s="8"/>
      <c r="B127" s="2"/>
      <c r="C127" s="8"/>
      <c r="D127" s="8"/>
      <c r="E127" s="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"/>
      <c r="W127" s="3"/>
      <c r="X127" s="3"/>
      <c r="Y127" s="3"/>
      <c r="Z127" s="3"/>
      <c r="AA127" s="3"/>
      <c r="AB127" s="3"/>
    </row>
    <row r="128" ht="15.75" customHeight="1">
      <c r="A128" s="8"/>
      <c r="B128" s="2"/>
      <c r="C128" s="8"/>
      <c r="D128" s="8"/>
      <c r="E128" s="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"/>
      <c r="W128" s="3"/>
      <c r="X128" s="3"/>
      <c r="Y128" s="3"/>
      <c r="Z128" s="3"/>
      <c r="AA128" s="3"/>
      <c r="AB128" s="3"/>
    </row>
    <row r="129" ht="15.75" customHeight="1">
      <c r="A129" s="8"/>
      <c r="B129" s="2"/>
      <c r="C129" s="8"/>
      <c r="D129" s="8"/>
      <c r="E129" s="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"/>
      <c r="W129" s="3"/>
      <c r="X129" s="3"/>
      <c r="Y129" s="3"/>
      <c r="Z129" s="3"/>
      <c r="AA129" s="3"/>
      <c r="AB129" s="3"/>
    </row>
    <row r="130" ht="15.75" customHeight="1">
      <c r="A130" s="8"/>
      <c r="B130" s="2"/>
      <c r="C130" s="8"/>
      <c r="D130" s="8"/>
      <c r="E130" s="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"/>
      <c r="W130" s="3"/>
      <c r="X130" s="3"/>
      <c r="Y130" s="3"/>
      <c r="Z130" s="3"/>
      <c r="AA130" s="3"/>
      <c r="AB130" s="3"/>
    </row>
    <row r="131" ht="15.75" customHeight="1">
      <c r="A131" s="8"/>
      <c r="B131" s="2"/>
      <c r="C131" s="8"/>
      <c r="D131" s="8"/>
      <c r="E131" s="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"/>
      <c r="W131" s="3"/>
      <c r="X131" s="3"/>
      <c r="Y131" s="3"/>
      <c r="Z131" s="3"/>
      <c r="AA131" s="3"/>
      <c r="AB131" s="3"/>
    </row>
    <row r="132" ht="15.75" customHeight="1">
      <c r="A132" s="8"/>
      <c r="B132" s="2"/>
      <c r="C132" s="8"/>
      <c r="D132" s="8"/>
      <c r="E132" s="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/>
      <c r="W132" s="3"/>
      <c r="X132" s="3"/>
      <c r="Y132" s="3"/>
      <c r="Z132" s="3"/>
      <c r="AA132" s="3"/>
      <c r="AB132" s="3"/>
    </row>
    <row r="133" ht="15.75" customHeight="1">
      <c r="A133" s="8"/>
      <c r="B133" s="2"/>
      <c r="C133" s="8"/>
      <c r="D133" s="8"/>
      <c r="E133" s="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"/>
      <c r="W133" s="3"/>
      <c r="X133" s="3"/>
      <c r="Y133" s="3"/>
      <c r="Z133" s="3"/>
      <c r="AA133" s="3"/>
      <c r="AB133" s="3"/>
    </row>
    <row r="134" ht="15.75" customHeight="1">
      <c r="A134" s="8"/>
      <c r="B134" s="2"/>
      <c r="C134" s="8"/>
      <c r="D134" s="8"/>
      <c r="E134" s="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3"/>
      <c r="X134" s="3"/>
      <c r="Y134" s="3"/>
      <c r="Z134" s="3"/>
      <c r="AA134" s="3"/>
      <c r="AB134" s="3"/>
    </row>
    <row r="135" ht="15.75" customHeight="1">
      <c r="A135" s="8"/>
      <c r="B135" s="2"/>
      <c r="C135" s="8"/>
      <c r="D135" s="8"/>
      <c r="E135" s="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"/>
      <c r="W135" s="3"/>
      <c r="X135" s="3"/>
      <c r="Y135" s="3"/>
      <c r="Z135" s="3"/>
      <c r="AA135" s="3"/>
      <c r="AB135" s="3"/>
    </row>
    <row r="136" ht="15.75" customHeight="1">
      <c r="A136" s="8"/>
      <c r="B136" s="2"/>
      <c r="C136" s="8"/>
      <c r="D136" s="8"/>
      <c r="E136" s="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"/>
      <c r="W136" s="3"/>
      <c r="X136" s="3"/>
      <c r="Y136" s="3"/>
      <c r="Z136" s="3"/>
      <c r="AA136" s="3"/>
      <c r="AB136" s="3"/>
    </row>
    <row r="137" ht="15.75" customHeight="1">
      <c r="A137" s="8"/>
      <c r="B137" s="2"/>
      <c r="C137" s="8"/>
      <c r="D137" s="8"/>
      <c r="E137" s="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3"/>
      <c r="X137" s="3"/>
      <c r="Y137" s="3"/>
      <c r="Z137" s="3"/>
      <c r="AA137" s="3"/>
      <c r="AB137" s="3"/>
    </row>
    <row r="138" ht="15.75" customHeight="1">
      <c r="A138" s="8"/>
      <c r="B138" s="2"/>
      <c r="C138" s="8"/>
      <c r="D138" s="8"/>
      <c r="E138" s="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"/>
      <c r="W138" s="3"/>
      <c r="X138" s="3"/>
      <c r="Y138" s="3"/>
      <c r="Z138" s="3"/>
      <c r="AA138" s="3"/>
      <c r="AB138" s="3"/>
    </row>
    <row r="139" ht="15.75" customHeight="1">
      <c r="A139" s="8"/>
      <c r="B139" s="2"/>
      <c r="C139" s="8"/>
      <c r="D139" s="8"/>
      <c r="E139" s="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3"/>
      <c r="X139" s="3"/>
      <c r="Y139" s="3"/>
      <c r="Z139" s="3"/>
      <c r="AA139" s="3"/>
      <c r="AB139" s="3"/>
    </row>
    <row r="140" ht="15.75" customHeight="1">
      <c r="A140" s="8"/>
      <c r="B140" s="2"/>
      <c r="C140" s="8"/>
      <c r="D140" s="8"/>
      <c r="E140" s="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3"/>
      <c r="X140" s="3"/>
      <c r="Y140" s="3"/>
      <c r="Z140" s="3"/>
      <c r="AA140" s="3"/>
      <c r="AB140" s="3"/>
    </row>
    <row r="141" ht="15.75" customHeight="1">
      <c r="A141" s="8"/>
      <c r="B141" s="2"/>
      <c r="C141" s="8"/>
      <c r="D141" s="8"/>
      <c r="E141" s="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3"/>
      <c r="X141" s="3"/>
      <c r="Y141" s="3"/>
      <c r="Z141" s="3"/>
      <c r="AA141" s="3"/>
      <c r="AB141" s="3"/>
    </row>
    <row r="142" ht="15.75" customHeight="1">
      <c r="A142" s="8"/>
      <c r="B142" s="2"/>
      <c r="C142" s="8"/>
      <c r="D142" s="8"/>
      <c r="E142" s="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"/>
      <c r="W142" s="3"/>
      <c r="X142" s="3"/>
      <c r="Y142" s="3"/>
      <c r="Z142" s="3"/>
      <c r="AA142" s="3"/>
      <c r="AB142" s="3"/>
    </row>
    <row r="143" ht="15.75" customHeight="1">
      <c r="A143" s="8"/>
      <c r="B143" s="2"/>
      <c r="C143" s="8"/>
      <c r="D143" s="8"/>
      <c r="E143" s="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3"/>
      <c r="X143" s="3"/>
      <c r="Y143" s="3"/>
      <c r="Z143" s="3"/>
      <c r="AA143" s="3"/>
      <c r="AB143" s="3"/>
    </row>
    <row r="144" ht="15.75" customHeight="1">
      <c r="A144" s="8"/>
      <c r="B144" s="2"/>
      <c r="C144" s="8"/>
      <c r="D144" s="8"/>
      <c r="E144" s="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"/>
      <c r="W144" s="3"/>
      <c r="X144" s="3"/>
      <c r="Y144" s="3"/>
      <c r="Z144" s="3"/>
      <c r="AA144" s="3"/>
      <c r="AB144" s="3"/>
    </row>
    <row r="145" ht="15.75" customHeight="1">
      <c r="A145" s="8"/>
      <c r="B145" s="2"/>
      <c r="C145" s="8"/>
      <c r="D145" s="8"/>
      <c r="E145" s="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"/>
      <c r="W145" s="3"/>
      <c r="X145" s="3"/>
      <c r="Y145" s="3"/>
      <c r="Z145" s="3"/>
      <c r="AA145" s="3"/>
      <c r="AB145" s="3"/>
    </row>
    <row r="146" ht="15.75" customHeight="1">
      <c r="A146" s="8"/>
      <c r="B146" s="2"/>
      <c r="C146" s="8"/>
      <c r="D146" s="8"/>
      <c r="E146" s="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"/>
      <c r="W146" s="3"/>
      <c r="X146" s="3"/>
      <c r="Y146" s="3"/>
      <c r="Z146" s="3"/>
      <c r="AA146" s="3"/>
      <c r="AB146" s="3"/>
    </row>
    <row r="147" ht="15.75" customHeight="1">
      <c r="A147" s="8"/>
      <c r="B147" s="2"/>
      <c r="C147" s="8"/>
      <c r="D147" s="8"/>
      <c r="E147" s="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"/>
      <c r="W147" s="3"/>
      <c r="X147" s="3"/>
      <c r="Y147" s="3"/>
      <c r="Z147" s="3"/>
      <c r="AA147" s="3"/>
      <c r="AB147" s="3"/>
    </row>
    <row r="148" ht="15.75" customHeight="1">
      <c r="A148" s="8"/>
      <c r="B148" s="2"/>
      <c r="C148" s="8"/>
      <c r="D148" s="8"/>
      <c r="E148" s="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"/>
      <c r="W148" s="3"/>
      <c r="X148" s="3"/>
      <c r="Y148" s="3"/>
      <c r="Z148" s="3"/>
      <c r="AA148" s="3"/>
      <c r="AB148" s="3"/>
    </row>
    <row r="149" ht="15.75" customHeight="1">
      <c r="A149" s="8"/>
      <c r="B149" s="2"/>
      <c r="C149" s="8"/>
      <c r="D149" s="8"/>
      <c r="E149" s="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3"/>
      <c r="X149" s="3"/>
      <c r="Y149" s="3"/>
      <c r="Z149" s="3"/>
      <c r="AA149" s="3"/>
      <c r="AB149" s="3"/>
    </row>
    <row r="150" ht="15.75" customHeight="1">
      <c r="A150" s="8"/>
      <c r="B150" s="2"/>
      <c r="C150" s="8"/>
      <c r="D150" s="8"/>
      <c r="E150" s="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"/>
      <c r="W150" s="3"/>
      <c r="X150" s="3"/>
      <c r="Y150" s="3"/>
      <c r="Z150" s="3"/>
      <c r="AA150" s="3"/>
      <c r="AB150" s="3"/>
    </row>
    <row r="151" ht="15.75" customHeight="1">
      <c r="A151" s="8"/>
      <c r="B151" s="2"/>
      <c r="C151" s="8"/>
      <c r="D151" s="8"/>
      <c r="E151" s="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"/>
      <c r="W151" s="3"/>
      <c r="X151" s="3"/>
      <c r="Y151" s="3"/>
      <c r="Z151" s="3"/>
      <c r="AA151" s="3"/>
      <c r="AB151" s="3"/>
    </row>
    <row r="152" ht="15.75" customHeight="1">
      <c r="A152" s="8"/>
      <c r="B152" s="2"/>
      <c r="C152" s="8"/>
      <c r="D152" s="8"/>
      <c r="E152" s="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"/>
      <c r="W152" s="3"/>
      <c r="X152" s="3"/>
      <c r="Y152" s="3"/>
      <c r="Z152" s="3"/>
      <c r="AA152" s="3"/>
      <c r="AB152" s="3"/>
    </row>
    <row r="153" ht="15.75" customHeight="1">
      <c r="A153" s="8"/>
      <c r="B153" s="2"/>
      <c r="C153" s="8"/>
      <c r="D153" s="8"/>
      <c r="E153" s="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"/>
      <c r="W153" s="3"/>
      <c r="X153" s="3"/>
      <c r="Y153" s="3"/>
      <c r="Z153" s="3"/>
      <c r="AA153" s="3"/>
      <c r="AB153" s="3"/>
    </row>
    <row r="154" ht="15.75" customHeight="1">
      <c r="A154" s="8"/>
      <c r="B154" s="2"/>
      <c r="C154" s="8"/>
      <c r="D154" s="8"/>
      <c r="E154" s="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"/>
      <c r="W154" s="3"/>
      <c r="X154" s="3"/>
      <c r="Y154" s="3"/>
      <c r="Z154" s="3"/>
      <c r="AA154" s="3"/>
      <c r="AB154" s="3"/>
    </row>
    <row r="155" ht="15.75" customHeight="1">
      <c r="A155" s="8"/>
      <c r="B155" s="2"/>
      <c r="C155" s="8"/>
      <c r="D155" s="8"/>
      <c r="E155" s="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"/>
      <c r="W155" s="3"/>
      <c r="X155" s="3"/>
      <c r="Y155" s="3"/>
      <c r="Z155" s="3"/>
      <c r="AA155" s="3"/>
      <c r="AB155" s="3"/>
    </row>
    <row r="156" ht="15.75" customHeight="1">
      <c r="A156" s="8"/>
      <c r="B156" s="2"/>
      <c r="C156" s="8"/>
      <c r="D156" s="8"/>
      <c r="E156" s="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"/>
      <c r="W156" s="3"/>
      <c r="X156" s="3"/>
      <c r="Y156" s="3"/>
      <c r="Z156" s="3"/>
      <c r="AA156" s="3"/>
      <c r="AB156" s="3"/>
    </row>
    <row r="157" ht="15.75" customHeight="1">
      <c r="A157" s="8"/>
      <c r="B157" s="2"/>
      <c r="C157" s="8"/>
      <c r="D157" s="8"/>
      <c r="E157" s="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"/>
      <c r="W157" s="3"/>
      <c r="X157" s="3"/>
      <c r="Y157" s="3"/>
      <c r="Z157" s="3"/>
      <c r="AA157" s="3"/>
      <c r="AB157" s="3"/>
    </row>
    <row r="158" ht="15.75" customHeight="1">
      <c r="A158" s="8"/>
      <c r="B158" s="2"/>
      <c r="C158" s="8"/>
      <c r="D158" s="8"/>
      <c r="E158" s="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/>
      <c r="W158" s="3"/>
      <c r="X158" s="3"/>
      <c r="Y158" s="3"/>
      <c r="Z158" s="3"/>
      <c r="AA158" s="3"/>
      <c r="AB158" s="3"/>
    </row>
    <row r="159" ht="15.75" customHeight="1">
      <c r="A159" s="8"/>
      <c r="B159" s="2"/>
      <c r="C159" s="8"/>
      <c r="D159" s="8"/>
      <c r="E159" s="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"/>
      <c r="W159" s="3"/>
      <c r="X159" s="3"/>
      <c r="Y159" s="3"/>
      <c r="Z159" s="3"/>
      <c r="AA159" s="3"/>
      <c r="AB159" s="3"/>
    </row>
    <row r="160" ht="15.75" customHeight="1">
      <c r="A160" s="8"/>
      <c r="B160" s="2"/>
      <c r="C160" s="8"/>
      <c r="D160" s="8"/>
      <c r="E160" s="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/>
      <c r="W160" s="3"/>
      <c r="X160" s="3"/>
      <c r="Y160" s="3"/>
      <c r="Z160" s="3"/>
      <c r="AA160" s="3"/>
      <c r="AB160" s="3"/>
    </row>
    <row r="161" ht="15.75" customHeight="1">
      <c r="A161" s="8"/>
      <c r="B161" s="2"/>
      <c r="C161" s="8"/>
      <c r="D161" s="8"/>
      <c r="E161" s="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"/>
      <c r="W161" s="3"/>
      <c r="X161" s="3"/>
      <c r="Y161" s="3"/>
      <c r="Z161" s="3"/>
      <c r="AA161" s="3"/>
      <c r="AB161" s="3"/>
    </row>
    <row r="162" ht="15.75" customHeight="1">
      <c r="A162" s="8"/>
      <c r="B162" s="2"/>
      <c r="C162" s="8"/>
      <c r="D162" s="8"/>
      <c r="E162" s="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W162" s="3"/>
      <c r="X162" s="3"/>
      <c r="Y162" s="3"/>
      <c r="Z162" s="3"/>
      <c r="AA162" s="3"/>
      <c r="AB162" s="3"/>
    </row>
    <row r="163" ht="15.75" customHeight="1">
      <c r="A163" s="8"/>
      <c r="B163" s="2"/>
      <c r="C163" s="8"/>
      <c r="D163" s="8"/>
      <c r="E163" s="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3"/>
      <c r="X163" s="3"/>
      <c r="Y163" s="3"/>
      <c r="Z163" s="3"/>
      <c r="AA163" s="3"/>
      <c r="AB163" s="3"/>
    </row>
    <row r="164" ht="15.75" customHeight="1">
      <c r="A164" s="8"/>
      <c r="B164" s="2"/>
      <c r="C164" s="8"/>
      <c r="D164" s="8"/>
      <c r="E164" s="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"/>
      <c r="W164" s="3"/>
      <c r="X164" s="3"/>
      <c r="Y164" s="3"/>
      <c r="Z164" s="3"/>
      <c r="AA164" s="3"/>
      <c r="AB164" s="3"/>
    </row>
    <row r="165" ht="15.75" customHeight="1">
      <c r="A165" s="8"/>
      <c r="B165" s="2"/>
      <c r="C165" s="8"/>
      <c r="D165" s="8"/>
      <c r="E165" s="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"/>
      <c r="W165" s="3"/>
      <c r="X165" s="3"/>
      <c r="Y165" s="3"/>
      <c r="Z165" s="3"/>
      <c r="AA165" s="3"/>
      <c r="AB165" s="3"/>
    </row>
    <row r="166" ht="15.75" customHeight="1">
      <c r="A166" s="8"/>
      <c r="B166" s="2"/>
      <c r="C166" s="8"/>
      <c r="D166" s="8"/>
      <c r="E166" s="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"/>
      <c r="W166" s="3"/>
      <c r="X166" s="3"/>
      <c r="Y166" s="3"/>
      <c r="Z166" s="3"/>
      <c r="AA166" s="3"/>
      <c r="AB166" s="3"/>
    </row>
    <row r="167" ht="15.75" customHeight="1">
      <c r="A167" s="8"/>
      <c r="B167" s="2"/>
      <c r="C167" s="8"/>
      <c r="D167" s="8"/>
      <c r="E167" s="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"/>
      <c r="W167" s="3"/>
      <c r="X167" s="3"/>
      <c r="Y167" s="3"/>
      <c r="Z167" s="3"/>
      <c r="AA167" s="3"/>
      <c r="AB167" s="3"/>
    </row>
    <row r="168" ht="15.75" customHeight="1">
      <c r="A168" s="8"/>
      <c r="B168" s="2"/>
      <c r="C168" s="8"/>
      <c r="D168" s="8"/>
      <c r="E168" s="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"/>
      <c r="W168" s="3"/>
      <c r="X168" s="3"/>
      <c r="Y168" s="3"/>
      <c r="Z168" s="3"/>
      <c r="AA168" s="3"/>
      <c r="AB168" s="3"/>
    </row>
    <row r="169" ht="15.75" customHeight="1">
      <c r="A169" s="8"/>
      <c r="B169" s="2"/>
      <c r="C169" s="8"/>
      <c r="D169" s="8"/>
      <c r="E169" s="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/>
      <c r="W169" s="3"/>
      <c r="X169" s="3"/>
      <c r="Y169" s="3"/>
      <c r="Z169" s="3"/>
      <c r="AA169" s="3"/>
      <c r="AB169" s="3"/>
    </row>
    <row r="170" ht="15.75" customHeight="1">
      <c r="A170" s="8"/>
      <c r="B170" s="2"/>
      <c r="C170" s="8"/>
      <c r="D170" s="8"/>
      <c r="E170" s="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"/>
      <c r="W170" s="3"/>
      <c r="X170" s="3"/>
      <c r="Y170" s="3"/>
      <c r="Z170" s="3"/>
      <c r="AA170" s="3"/>
      <c r="AB170" s="3"/>
    </row>
    <row r="171" ht="15.75" customHeight="1">
      <c r="A171" s="8"/>
      <c r="B171" s="2"/>
      <c r="C171" s="8"/>
      <c r="D171" s="8"/>
      <c r="E171" s="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"/>
      <c r="W171" s="3"/>
      <c r="X171" s="3"/>
      <c r="Y171" s="3"/>
      <c r="Z171" s="3"/>
      <c r="AA171" s="3"/>
      <c r="AB171" s="3"/>
    </row>
    <row r="172" ht="15.75" customHeight="1">
      <c r="A172" s="8"/>
      <c r="B172" s="2"/>
      <c r="C172" s="8"/>
      <c r="D172" s="8"/>
      <c r="E172" s="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"/>
      <c r="W172" s="3"/>
      <c r="X172" s="3"/>
      <c r="Y172" s="3"/>
      <c r="Z172" s="3"/>
      <c r="AA172" s="3"/>
      <c r="AB172" s="3"/>
    </row>
    <row r="173" ht="15.75" customHeight="1">
      <c r="A173" s="8"/>
      <c r="B173" s="2"/>
      <c r="C173" s="8"/>
      <c r="D173" s="8"/>
      <c r="E173" s="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"/>
      <c r="W173" s="3"/>
      <c r="X173" s="3"/>
      <c r="Y173" s="3"/>
      <c r="Z173" s="3"/>
      <c r="AA173" s="3"/>
      <c r="AB173" s="3"/>
    </row>
    <row r="174" ht="15.75" customHeight="1">
      <c r="A174" s="8"/>
      <c r="B174" s="2"/>
      <c r="C174" s="8"/>
      <c r="D174" s="8"/>
      <c r="E174" s="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"/>
      <c r="W174" s="3"/>
      <c r="X174" s="3"/>
      <c r="Y174" s="3"/>
      <c r="Z174" s="3"/>
      <c r="AA174" s="3"/>
      <c r="AB174" s="3"/>
    </row>
    <row r="175" ht="15.75" customHeight="1">
      <c r="A175" s="8"/>
      <c r="B175" s="2"/>
      <c r="C175" s="8"/>
      <c r="D175" s="8"/>
      <c r="E175" s="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3"/>
      <c r="X175" s="3"/>
      <c r="Y175" s="3"/>
      <c r="Z175" s="3"/>
      <c r="AA175" s="3"/>
      <c r="AB175" s="3"/>
    </row>
    <row r="176" ht="15.75" customHeight="1">
      <c r="A176" s="8"/>
      <c r="B176" s="2"/>
      <c r="C176" s="8"/>
      <c r="D176" s="8"/>
      <c r="E176" s="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"/>
      <c r="W176" s="3"/>
      <c r="X176" s="3"/>
      <c r="Y176" s="3"/>
      <c r="Z176" s="3"/>
      <c r="AA176" s="3"/>
      <c r="AB176" s="3"/>
    </row>
    <row r="177" ht="15.75" customHeight="1">
      <c r="A177" s="8"/>
      <c r="B177" s="2"/>
      <c r="C177" s="8"/>
      <c r="D177" s="8"/>
      <c r="E177" s="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"/>
      <c r="W177" s="3"/>
      <c r="X177" s="3"/>
      <c r="Y177" s="3"/>
      <c r="Z177" s="3"/>
      <c r="AA177" s="3"/>
      <c r="AB177" s="3"/>
    </row>
    <row r="178" ht="15.75" customHeight="1">
      <c r="A178" s="8"/>
      <c r="B178" s="2"/>
      <c r="C178" s="8"/>
      <c r="D178" s="8"/>
      <c r="E178" s="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"/>
      <c r="W178" s="3"/>
      <c r="X178" s="3"/>
      <c r="Y178" s="3"/>
      <c r="Z178" s="3"/>
      <c r="AA178" s="3"/>
      <c r="AB178" s="3"/>
    </row>
    <row r="179" ht="15.75" customHeight="1">
      <c r="A179" s="8"/>
      <c r="B179" s="2"/>
      <c r="C179" s="8"/>
      <c r="D179" s="8"/>
      <c r="E179" s="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"/>
      <c r="W179" s="3"/>
      <c r="X179" s="3"/>
      <c r="Y179" s="3"/>
      <c r="Z179" s="3"/>
      <c r="AA179" s="3"/>
      <c r="AB179" s="3"/>
    </row>
    <row r="180" ht="15.75" customHeight="1">
      <c r="A180" s="8"/>
      <c r="B180" s="2"/>
      <c r="C180" s="8"/>
      <c r="D180" s="8"/>
      <c r="E180" s="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"/>
      <c r="W180" s="3"/>
      <c r="X180" s="3"/>
      <c r="Y180" s="3"/>
      <c r="Z180" s="3"/>
      <c r="AA180" s="3"/>
      <c r="AB180" s="3"/>
    </row>
    <row r="181" ht="15.75" customHeight="1">
      <c r="A181" s="8"/>
      <c r="B181" s="2"/>
      <c r="C181" s="8"/>
      <c r="D181" s="8"/>
      <c r="E181" s="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"/>
      <c r="W181" s="3"/>
      <c r="X181" s="3"/>
      <c r="Y181" s="3"/>
      <c r="Z181" s="3"/>
      <c r="AA181" s="3"/>
      <c r="AB181" s="3"/>
    </row>
    <row r="182" ht="15.75" customHeight="1">
      <c r="A182" s="8"/>
      <c r="B182" s="2"/>
      <c r="C182" s="8"/>
      <c r="D182" s="8"/>
      <c r="E182" s="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"/>
      <c r="W182" s="3"/>
      <c r="X182" s="3"/>
      <c r="Y182" s="3"/>
      <c r="Z182" s="3"/>
      <c r="AA182" s="3"/>
      <c r="AB182" s="3"/>
    </row>
    <row r="183" ht="15.75" customHeight="1">
      <c r="A183" s="8"/>
      <c r="B183" s="2"/>
      <c r="C183" s="8"/>
      <c r="D183" s="8"/>
      <c r="E183" s="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"/>
      <c r="W183" s="3"/>
      <c r="X183" s="3"/>
      <c r="Y183" s="3"/>
      <c r="Z183" s="3"/>
      <c r="AA183" s="3"/>
      <c r="AB183" s="3"/>
    </row>
    <row r="184" ht="15.75" customHeight="1">
      <c r="A184" s="8"/>
      <c r="B184" s="2"/>
      <c r="C184" s="8"/>
      <c r="D184" s="8"/>
      <c r="E184" s="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"/>
      <c r="W184" s="3"/>
      <c r="X184" s="3"/>
      <c r="Y184" s="3"/>
      <c r="Z184" s="3"/>
      <c r="AA184" s="3"/>
      <c r="AB184" s="3"/>
    </row>
    <row r="185" ht="15.75" customHeight="1">
      <c r="A185" s="8"/>
      <c r="B185" s="2"/>
      <c r="C185" s="8"/>
      <c r="D185" s="8"/>
      <c r="E185" s="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"/>
      <c r="W185" s="3"/>
      <c r="X185" s="3"/>
      <c r="Y185" s="3"/>
      <c r="Z185" s="3"/>
      <c r="AA185" s="3"/>
      <c r="AB185" s="3"/>
    </row>
    <row r="186" ht="15.75" customHeight="1">
      <c r="A186" s="8"/>
      <c r="B186" s="2"/>
      <c r="C186" s="8"/>
      <c r="D186" s="8"/>
      <c r="E186" s="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"/>
      <c r="W186" s="3"/>
      <c r="X186" s="3"/>
      <c r="Y186" s="3"/>
      <c r="Z186" s="3"/>
      <c r="AA186" s="3"/>
      <c r="AB186" s="3"/>
    </row>
    <row r="187" ht="15.75" customHeight="1">
      <c r="A187" s="8"/>
      <c r="B187" s="2"/>
      <c r="C187" s="8"/>
      <c r="D187" s="8"/>
      <c r="E187" s="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"/>
      <c r="W187" s="3"/>
      <c r="X187" s="3"/>
      <c r="Y187" s="3"/>
      <c r="Z187" s="3"/>
      <c r="AA187" s="3"/>
      <c r="AB187" s="3"/>
    </row>
    <row r="188" ht="15.75" customHeight="1">
      <c r="A188" s="8"/>
      <c r="B188" s="2"/>
      <c r="C188" s="8"/>
      <c r="D188" s="8"/>
      <c r="E188" s="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"/>
      <c r="W188" s="3"/>
      <c r="X188" s="3"/>
      <c r="Y188" s="3"/>
      <c r="Z188" s="3"/>
      <c r="AA188" s="3"/>
      <c r="AB188" s="3"/>
    </row>
    <row r="189" ht="15.75" customHeight="1">
      <c r="A189" s="8"/>
      <c r="B189" s="2"/>
      <c r="C189" s="8"/>
      <c r="D189" s="8"/>
      <c r="E189" s="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"/>
      <c r="W189" s="3"/>
      <c r="X189" s="3"/>
      <c r="Y189" s="3"/>
      <c r="Z189" s="3"/>
      <c r="AA189" s="3"/>
      <c r="AB189" s="3"/>
    </row>
    <row r="190" ht="15.75" customHeight="1">
      <c r="A190" s="8"/>
      <c r="B190" s="2"/>
      <c r="C190" s="8"/>
      <c r="D190" s="8"/>
      <c r="E190" s="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3"/>
      <c r="X190" s="3"/>
      <c r="Y190" s="3"/>
      <c r="Z190" s="3"/>
      <c r="AA190" s="3"/>
      <c r="AB190" s="3"/>
    </row>
    <row r="191" ht="15.75" customHeight="1">
      <c r="A191" s="8"/>
      <c r="B191" s="2"/>
      <c r="C191" s="8"/>
      <c r="D191" s="8"/>
      <c r="E191" s="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"/>
      <c r="W191" s="3"/>
      <c r="X191" s="3"/>
      <c r="Y191" s="3"/>
      <c r="Z191" s="3"/>
      <c r="AA191" s="3"/>
      <c r="AB191" s="3"/>
    </row>
    <row r="192" ht="15.75" customHeight="1">
      <c r="A192" s="8"/>
      <c r="B192" s="2"/>
      <c r="C192" s="8"/>
      <c r="D192" s="8"/>
      <c r="E192" s="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"/>
      <c r="W192" s="3"/>
      <c r="X192" s="3"/>
      <c r="Y192" s="3"/>
      <c r="Z192" s="3"/>
      <c r="AA192" s="3"/>
      <c r="AB192" s="3"/>
    </row>
    <row r="193" ht="15.75" customHeight="1">
      <c r="A193" s="8"/>
      <c r="B193" s="2"/>
      <c r="C193" s="8"/>
      <c r="D193" s="8"/>
      <c r="E193" s="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"/>
      <c r="W193" s="3"/>
      <c r="X193" s="3"/>
      <c r="Y193" s="3"/>
      <c r="Z193" s="3"/>
      <c r="AA193" s="3"/>
      <c r="AB193" s="3"/>
    </row>
    <row r="194" ht="15.75" customHeight="1">
      <c r="A194" s="8"/>
      <c r="B194" s="2"/>
      <c r="C194" s="8"/>
      <c r="D194" s="8"/>
      <c r="E194" s="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"/>
      <c r="W194" s="3"/>
      <c r="X194" s="3"/>
      <c r="Y194" s="3"/>
      <c r="Z194" s="3"/>
      <c r="AA194" s="3"/>
      <c r="AB194" s="3"/>
    </row>
    <row r="195" ht="15.75" customHeight="1">
      <c r="A195" s="8"/>
      <c r="B195" s="2"/>
      <c r="C195" s="8"/>
      <c r="D195" s="8"/>
      <c r="E195" s="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/>
      <c r="W195" s="3"/>
      <c r="X195" s="3"/>
      <c r="Y195" s="3"/>
      <c r="Z195" s="3"/>
      <c r="AA195" s="3"/>
      <c r="AB195" s="3"/>
    </row>
    <row r="196" ht="15.75" customHeight="1">
      <c r="A196" s="8"/>
      <c r="B196" s="2"/>
      <c r="C196" s="8"/>
      <c r="D196" s="8"/>
      <c r="E196" s="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/>
      <c r="W196" s="3"/>
      <c r="X196" s="3"/>
      <c r="Y196" s="3"/>
      <c r="Z196" s="3"/>
      <c r="AA196" s="3"/>
      <c r="AB196" s="3"/>
    </row>
    <row r="197" ht="15.75" customHeight="1">
      <c r="A197" s="8"/>
      <c r="B197" s="2"/>
      <c r="C197" s="8"/>
      <c r="D197" s="8"/>
      <c r="E197" s="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"/>
      <c r="W197" s="3"/>
      <c r="X197" s="3"/>
      <c r="Y197" s="3"/>
      <c r="Z197" s="3"/>
      <c r="AA197" s="3"/>
      <c r="AB197" s="3"/>
    </row>
    <row r="198" ht="15.75" customHeight="1">
      <c r="A198" s="8"/>
      <c r="B198" s="2"/>
      <c r="C198" s="8"/>
      <c r="D198" s="8"/>
      <c r="E198" s="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"/>
      <c r="W198" s="3"/>
      <c r="X198" s="3"/>
      <c r="Y198" s="3"/>
      <c r="Z198" s="3"/>
      <c r="AA198" s="3"/>
      <c r="AB198" s="3"/>
    </row>
    <row r="199" ht="15.75" customHeight="1">
      <c r="A199" s="8"/>
      <c r="B199" s="2"/>
      <c r="C199" s="8"/>
      <c r="D199" s="8"/>
      <c r="E199" s="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"/>
      <c r="W199" s="3"/>
      <c r="X199" s="3"/>
      <c r="Y199" s="3"/>
      <c r="Z199" s="3"/>
      <c r="AA199" s="3"/>
      <c r="AB199" s="3"/>
    </row>
    <row r="200" ht="15.75" customHeight="1">
      <c r="A200" s="8"/>
      <c r="B200" s="2"/>
      <c r="C200" s="8"/>
      <c r="D200" s="8"/>
      <c r="E200" s="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"/>
      <c r="W200" s="3"/>
      <c r="X200" s="3"/>
      <c r="Y200" s="3"/>
      <c r="Z200" s="3"/>
      <c r="AA200" s="3"/>
      <c r="AB200" s="3"/>
    </row>
    <row r="201" ht="15.75" customHeight="1">
      <c r="A201" s="8"/>
      <c r="B201" s="2"/>
      <c r="C201" s="8"/>
      <c r="D201" s="8"/>
      <c r="E201" s="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"/>
      <c r="W201" s="3"/>
      <c r="X201" s="3"/>
      <c r="Y201" s="3"/>
      <c r="Z201" s="3"/>
      <c r="AA201" s="3"/>
      <c r="AB201" s="3"/>
    </row>
    <row r="202" ht="15.75" customHeight="1">
      <c r="A202" s="8"/>
      <c r="B202" s="2"/>
      <c r="C202" s="8"/>
      <c r="D202" s="8"/>
      <c r="E202" s="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"/>
      <c r="W202" s="3"/>
      <c r="X202" s="3"/>
      <c r="Y202" s="3"/>
      <c r="Z202" s="3"/>
      <c r="AA202" s="3"/>
      <c r="AB202" s="3"/>
    </row>
    <row r="203" ht="15.75" customHeight="1">
      <c r="A203" s="8"/>
      <c r="B203" s="2"/>
      <c r="C203" s="8"/>
      <c r="D203" s="8"/>
      <c r="E203" s="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"/>
      <c r="W203" s="3"/>
      <c r="X203" s="3"/>
      <c r="Y203" s="3"/>
      <c r="Z203" s="3"/>
      <c r="AA203" s="3"/>
      <c r="AB203" s="3"/>
    </row>
    <row r="204" ht="15.75" customHeight="1">
      <c r="A204" s="8"/>
      <c r="B204" s="2"/>
      <c r="C204" s="8"/>
      <c r="D204" s="8"/>
      <c r="E204" s="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/>
      <c r="W204" s="3"/>
      <c r="X204" s="3"/>
      <c r="Y204" s="3"/>
      <c r="Z204" s="3"/>
      <c r="AA204" s="3"/>
      <c r="AB204" s="3"/>
    </row>
    <row r="205" ht="15.75" customHeight="1">
      <c r="A205" s="8"/>
      <c r="B205" s="2"/>
      <c r="C205" s="8"/>
      <c r="D205" s="8"/>
      <c r="E205" s="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3"/>
      <c r="X205" s="3"/>
      <c r="Y205" s="3"/>
      <c r="Z205" s="3"/>
      <c r="AA205" s="3"/>
      <c r="AB205" s="3"/>
    </row>
    <row r="206" ht="15.75" customHeight="1">
      <c r="A206" s="8"/>
      <c r="B206" s="2"/>
      <c r="C206" s="8"/>
      <c r="D206" s="8"/>
      <c r="E206" s="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3"/>
      <c r="X206" s="3"/>
      <c r="Y206" s="3"/>
      <c r="Z206" s="3"/>
      <c r="AA206" s="3"/>
      <c r="AB206" s="3"/>
    </row>
    <row r="207" ht="15.75" customHeight="1">
      <c r="A207" s="8"/>
      <c r="B207" s="2"/>
      <c r="C207" s="8"/>
      <c r="D207" s="8"/>
      <c r="E207" s="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3"/>
      <c r="X207" s="3"/>
      <c r="Y207" s="3"/>
      <c r="Z207" s="3"/>
      <c r="AA207" s="3"/>
      <c r="AB207" s="3"/>
    </row>
    <row r="208" ht="15.75" customHeight="1">
      <c r="A208" s="8"/>
      <c r="B208" s="2"/>
      <c r="C208" s="8"/>
      <c r="D208" s="8"/>
      <c r="E208" s="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"/>
      <c r="W208" s="3"/>
      <c r="X208" s="3"/>
      <c r="Y208" s="3"/>
      <c r="Z208" s="3"/>
      <c r="AA208" s="3"/>
      <c r="AB208" s="3"/>
    </row>
    <row r="209" ht="15.75" customHeight="1">
      <c r="A209" s="8"/>
      <c r="B209" s="2"/>
      <c r="C209" s="8"/>
      <c r="D209" s="8"/>
      <c r="E209" s="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"/>
      <c r="W209" s="3"/>
      <c r="X209" s="3"/>
      <c r="Y209" s="3"/>
      <c r="Z209" s="3"/>
      <c r="AA209" s="3"/>
      <c r="AB209" s="3"/>
    </row>
    <row r="210" ht="15.75" customHeight="1">
      <c r="A210" s="8"/>
      <c r="B210" s="2"/>
      <c r="C210" s="8"/>
      <c r="D210" s="8"/>
      <c r="E210" s="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"/>
      <c r="W210" s="3"/>
      <c r="X210" s="3"/>
      <c r="Y210" s="3"/>
      <c r="Z210" s="3"/>
      <c r="AA210" s="3"/>
      <c r="AB210" s="3"/>
    </row>
    <row r="211" ht="15.75" customHeight="1">
      <c r="A211" s="8"/>
      <c r="B211" s="2"/>
      <c r="C211" s="8"/>
      <c r="D211" s="8"/>
      <c r="E211" s="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"/>
      <c r="W211" s="3"/>
      <c r="X211" s="3"/>
      <c r="Y211" s="3"/>
      <c r="Z211" s="3"/>
      <c r="AA211" s="3"/>
      <c r="AB211" s="3"/>
    </row>
    <row r="212" ht="15.75" customHeight="1">
      <c r="A212" s="8"/>
      <c r="B212" s="2"/>
      <c r="C212" s="8"/>
      <c r="D212" s="8"/>
      <c r="E212" s="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"/>
      <c r="W212" s="3"/>
      <c r="X212" s="3"/>
      <c r="Y212" s="3"/>
      <c r="Z212" s="3"/>
      <c r="AA212" s="3"/>
      <c r="AB212" s="3"/>
    </row>
    <row r="213" ht="15.75" customHeight="1">
      <c r="A213" s="8"/>
      <c r="B213" s="2"/>
      <c r="C213" s="8"/>
      <c r="D213" s="8"/>
      <c r="E213" s="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"/>
      <c r="W213" s="3"/>
      <c r="X213" s="3"/>
      <c r="Y213" s="3"/>
      <c r="Z213" s="3"/>
      <c r="AA213" s="3"/>
      <c r="AB213" s="3"/>
    </row>
    <row r="214" ht="15.75" customHeight="1">
      <c r="A214" s="8"/>
      <c r="B214" s="2"/>
      <c r="C214" s="8"/>
      <c r="D214" s="8"/>
      <c r="E214" s="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"/>
      <c r="W214" s="3"/>
      <c r="X214" s="3"/>
      <c r="Y214" s="3"/>
      <c r="Z214" s="3"/>
      <c r="AA214" s="3"/>
      <c r="AB214" s="3"/>
    </row>
    <row r="215" ht="15.75" customHeight="1">
      <c r="A215" s="8"/>
      <c r="B215" s="2"/>
      <c r="C215" s="8"/>
      <c r="D215" s="8"/>
      <c r="E215" s="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"/>
      <c r="W215" s="3"/>
      <c r="X215" s="3"/>
      <c r="Y215" s="3"/>
      <c r="Z215" s="3"/>
      <c r="AA215" s="3"/>
      <c r="AB215" s="3"/>
    </row>
    <row r="216" ht="15.75" customHeight="1">
      <c r="A216" s="8"/>
      <c r="B216" s="2"/>
      <c r="C216" s="8"/>
      <c r="D216" s="8"/>
      <c r="E216" s="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"/>
      <c r="W216" s="3"/>
      <c r="X216" s="3"/>
      <c r="Y216" s="3"/>
      <c r="Z216" s="3"/>
      <c r="AA216" s="3"/>
      <c r="AB216" s="3"/>
    </row>
    <row r="217" ht="15.75" customHeight="1">
      <c r="A217" s="8"/>
      <c r="B217" s="2"/>
      <c r="C217" s="8"/>
      <c r="D217" s="8"/>
      <c r="E217" s="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"/>
      <c r="W217" s="3"/>
      <c r="X217" s="3"/>
      <c r="Y217" s="3"/>
      <c r="Z217" s="3"/>
      <c r="AA217" s="3"/>
      <c r="AB217" s="3"/>
    </row>
    <row r="218" ht="15.75" customHeight="1">
      <c r="A218" s="8"/>
      <c r="B218" s="2"/>
      <c r="C218" s="8"/>
      <c r="D218" s="8"/>
      <c r="E218" s="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"/>
      <c r="W218" s="3"/>
      <c r="X218" s="3"/>
      <c r="Y218" s="3"/>
      <c r="Z218" s="3"/>
      <c r="AA218" s="3"/>
      <c r="AB218" s="3"/>
    </row>
    <row r="219" ht="15.75" customHeight="1">
      <c r="A219" s="8"/>
      <c r="B219" s="2"/>
      <c r="C219" s="8"/>
      <c r="D219" s="8"/>
      <c r="E219" s="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"/>
      <c r="W219" s="3"/>
      <c r="X219" s="3"/>
      <c r="Y219" s="3"/>
      <c r="Z219" s="3"/>
      <c r="AA219" s="3"/>
      <c r="AB219" s="3"/>
    </row>
    <row r="220" ht="15.75" customHeight="1">
      <c r="A220" s="8"/>
      <c r="B220" s="2"/>
      <c r="C220" s="8"/>
      <c r="D220" s="8"/>
      <c r="E220" s="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"/>
      <c r="W220" s="3"/>
      <c r="X220" s="3"/>
      <c r="Y220" s="3"/>
      <c r="Z220" s="3"/>
      <c r="AA220" s="3"/>
      <c r="AB220" s="3"/>
    </row>
    <row r="221" ht="15.75" customHeight="1">
      <c r="A221" s="8"/>
      <c r="B221" s="2"/>
      <c r="C221" s="8"/>
      <c r="D221" s="8"/>
      <c r="E221" s="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"/>
      <c r="W221" s="3"/>
      <c r="X221" s="3"/>
      <c r="Y221" s="3"/>
      <c r="Z221" s="3"/>
      <c r="AA221" s="3"/>
      <c r="AB221" s="3"/>
    </row>
    <row r="222" ht="15.75" customHeight="1">
      <c r="A222" s="8"/>
      <c r="B222" s="2"/>
      <c r="C222" s="8"/>
      <c r="D222" s="8"/>
      <c r="E222" s="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"/>
      <c r="W222" s="3"/>
      <c r="X222" s="3"/>
      <c r="Y222" s="3"/>
      <c r="Z222" s="3"/>
      <c r="AA222" s="3"/>
      <c r="AB222" s="3"/>
    </row>
    <row r="223" ht="15.75" customHeight="1">
      <c r="A223" s="8"/>
      <c r="B223" s="2"/>
      <c r="C223" s="8"/>
      <c r="D223" s="8"/>
      <c r="E223" s="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"/>
      <c r="W223" s="3"/>
      <c r="X223" s="3"/>
      <c r="Y223" s="3"/>
      <c r="Z223" s="3"/>
      <c r="AA223" s="3"/>
      <c r="AB223" s="3"/>
    </row>
    <row r="224" ht="15.75" customHeight="1">
      <c r="A224" s="8"/>
      <c r="B224" s="2"/>
      <c r="C224" s="8"/>
      <c r="D224" s="8"/>
      <c r="E224" s="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"/>
      <c r="W224" s="3"/>
      <c r="X224" s="3"/>
      <c r="Y224" s="3"/>
      <c r="Z224" s="3"/>
      <c r="AA224" s="3"/>
      <c r="AB224" s="3"/>
    </row>
    <row r="225" ht="15.75" customHeight="1">
      <c r="A225" s="8"/>
      <c r="B225" s="2"/>
      <c r="C225" s="8"/>
      <c r="D225" s="8"/>
      <c r="E225" s="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3"/>
      <c r="X225" s="3"/>
      <c r="Y225" s="3"/>
      <c r="Z225" s="3"/>
      <c r="AA225" s="3"/>
      <c r="AB225" s="3"/>
    </row>
    <row r="226" ht="15.75" customHeight="1">
      <c r="A226" s="8"/>
      <c r="B226" s="2"/>
      <c r="C226" s="8"/>
      <c r="D226" s="8"/>
      <c r="E226" s="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"/>
      <c r="W226" s="3"/>
      <c r="X226" s="3"/>
      <c r="Y226" s="3"/>
      <c r="Z226" s="3"/>
      <c r="AA226" s="3"/>
      <c r="AB226" s="3"/>
    </row>
    <row r="227" ht="15.75" customHeight="1">
      <c r="A227" s="8"/>
      <c r="B227" s="2"/>
      <c r="C227" s="8"/>
      <c r="D227" s="8"/>
      <c r="E227" s="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"/>
      <c r="W227" s="3"/>
      <c r="X227" s="3"/>
      <c r="Y227" s="3"/>
      <c r="Z227" s="3"/>
      <c r="AA227" s="3"/>
      <c r="AB227" s="3"/>
    </row>
    <row r="228" ht="15.75" customHeight="1">
      <c r="A228" s="8"/>
      <c r="B228" s="2"/>
      <c r="C228" s="8"/>
      <c r="D228" s="8"/>
      <c r="E228" s="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"/>
      <c r="W228" s="3"/>
      <c r="X228" s="3"/>
      <c r="Y228" s="3"/>
      <c r="Z228" s="3"/>
      <c r="AA228" s="3"/>
      <c r="AB228" s="3"/>
    </row>
    <row r="229" ht="15.75" customHeight="1">
      <c r="A229" s="8"/>
      <c r="B229" s="2"/>
      <c r="C229" s="8"/>
      <c r="D229" s="8"/>
      <c r="E229" s="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"/>
      <c r="W229" s="3"/>
      <c r="X229" s="3"/>
      <c r="Y229" s="3"/>
      <c r="Z229" s="3"/>
      <c r="AA229" s="3"/>
      <c r="AB229" s="3"/>
    </row>
    <row r="230" ht="15.75" customHeight="1">
      <c r="A230" s="8"/>
      <c r="B230" s="2"/>
      <c r="C230" s="8"/>
      <c r="D230" s="8"/>
      <c r="E230" s="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"/>
      <c r="W230" s="3"/>
      <c r="X230" s="3"/>
      <c r="Y230" s="3"/>
      <c r="Z230" s="3"/>
      <c r="AA230" s="3"/>
      <c r="AB230" s="3"/>
    </row>
    <row r="231" ht="15.75" customHeight="1">
      <c r="A231" s="8"/>
      <c r="B231" s="2"/>
      <c r="C231" s="8"/>
      <c r="D231" s="8"/>
      <c r="E231" s="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"/>
      <c r="W231" s="3"/>
      <c r="X231" s="3"/>
      <c r="Y231" s="3"/>
      <c r="Z231" s="3"/>
      <c r="AA231" s="3"/>
      <c r="AB231" s="3"/>
    </row>
    <row r="232" ht="15.75" customHeight="1">
      <c r="A232" s="8"/>
      <c r="B232" s="2"/>
      <c r="C232" s="8"/>
      <c r="D232" s="8"/>
      <c r="E232" s="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"/>
      <c r="W232" s="3"/>
      <c r="X232" s="3"/>
      <c r="Y232" s="3"/>
      <c r="Z232" s="3"/>
      <c r="AA232" s="3"/>
      <c r="AB232" s="3"/>
    </row>
    <row r="233" ht="15.75" customHeight="1">
      <c r="A233" s="8"/>
      <c r="B233" s="2"/>
      <c r="C233" s="8"/>
      <c r="D233" s="8"/>
      <c r="E233" s="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"/>
      <c r="W233" s="3"/>
      <c r="X233" s="3"/>
      <c r="Y233" s="3"/>
      <c r="Z233" s="3"/>
      <c r="AA233" s="3"/>
      <c r="AB233" s="3"/>
    </row>
    <row r="234" ht="15.75" customHeight="1">
      <c r="A234" s="8"/>
      <c r="B234" s="2"/>
      <c r="C234" s="8"/>
      <c r="D234" s="8"/>
      <c r="E234" s="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"/>
      <c r="W234" s="3"/>
      <c r="X234" s="3"/>
      <c r="Y234" s="3"/>
      <c r="Z234" s="3"/>
      <c r="AA234" s="3"/>
      <c r="AB234" s="3"/>
    </row>
    <row r="235" ht="15.75" customHeight="1">
      <c r="A235" s="8"/>
      <c r="B235" s="2"/>
      <c r="C235" s="8"/>
      <c r="D235" s="8"/>
      <c r="E235" s="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"/>
      <c r="W235" s="3"/>
      <c r="X235" s="3"/>
      <c r="Y235" s="3"/>
      <c r="Z235" s="3"/>
      <c r="AA235" s="3"/>
      <c r="AB235" s="3"/>
    </row>
    <row r="236" ht="15.75" customHeight="1">
      <c r="A236" s="8"/>
      <c r="B236" s="2"/>
      <c r="C236" s="8"/>
      <c r="D236" s="8"/>
      <c r="E236" s="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"/>
      <c r="W236" s="3"/>
      <c r="X236" s="3"/>
      <c r="Y236" s="3"/>
      <c r="Z236" s="3"/>
      <c r="AA236" s="3"/>
      <c r="AB236" s="3"/>
    </row>
    <row r="237" ht="15.75" customHeight="1">
      <c r="A237" s="8"/>
      <c r="B237" s="2"/>
      <c r="C237" s="8"/>
      <c r="D237" s="8"/>
      <c r="E237" s="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"/>
      <c r="W237" s="3"/>
      <c r="X237" s="3"/>
      <c r="Y237" s="3"/>
      <c r="Z237" s="3"/>
      <c r="AA237" s="3"/>
      <c r="AB237" s="3"/>
    </row>
    <row r="238" ht="15.75" customHeight="1">
      <c r="A238" s="8"/>
      <c r="B238" s="2"/>
      <c r="C238" s="8"/>
      <c r="D238" s="8"/>
      <c r="E238" s="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"/>
      <c r="W238" s="3"/>
      <c r="X238" s="3"/>
      <c r="Y238" s="3"/>
      <c r="Z238" s="3"/>
      <c r="AA238" s="3"/>
      <c r="AB238" s="3"/>
    </row>
    <row r="239" ht="15.75" customHeight="1">
      <c r="A239" s="8"/>
      <c r="B239" s="2"/>
      <c r="C239" s="8"/>
      <c r="D239" s="8"/>
      <c r="E239" s="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"/>
      <c r="W239" s="3"/>
      <c r="X239" s="3"/>
      <c r="Y239" s="3"/>
      <c r="Z239" s="3"/>
      <c r="AA239" s="3"/>
      <c r="AB239" s="3"/>
    </row>
    <row r="240" ht="15.75" customHeight="1">
      <c r="A240" s="8"/>
      <c r="B240" s="2"/>
      <c r="C240" s="8"/>
      <c r="D240" s="8"/>
      <c r="E240" s="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"/>
      <c r="W240" s="3"/>
      <c r="X240" s="3"/>
      <c r="Y240" s="3"/>
      <c r="Z240" s="3"/>
      <c r="AA240" s="3"/>
      <c r="AB240" s="3"/>
    </row>
    <row r="241" ht="15.75" customHeight="1">
      <c r="A241" s="8"/>
      <c r="B241" s="2"/>
      <c r="C241" s="8"/>
      <c r="D241" s="8"/>
      <c r="E241" s="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"/>
      <c r="W241" s="3"/>
      <c r="X241" s="3"/>
      <c r="Y241" s="3"/>
      <c r="Z241" s="3"/>
      <c r="AA241" s="3"/>
      <c r="AB241" s="3"/>
    </row>
    <row r="242" ht="15.75" customHeight="1">
      <c r="A242" s="8"/>
      <c r="B242" s="2"/>
      <c r="C242" s="8"/>
      <c r="D242" s="8"/>
      <c r="E242" s="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"/>
      <c r="W242" s="3"/>
      <c r="X242" s="3"/>
      <c r="Y242" s="3"/>
      <c r="Z242" s="3"/>
      <c r="AA242" s="3"/>
      <c r="AB242" s="3"/>
    </row>
    <row r="243" ht="15.75" customHeight="1">
      <c r="A243" s="8"/>
      <c r="B243" s="2"/>
      <c r="C243" s="8"/>
      <c r="D243" s="8"/>
      <c r="E243" s="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"/>
      <c r="W243" s="3"/>
      <c r="X243" s="3"/>
      <c r="Y243" s="3"/>
      <c r="Z243" s="3"/>
      <c r="AA243" s="3"/>
      <c r="AB243" s="3"/>
    </row>
    <row r="244" ht="15.75" customHeight="1">
      <c r="A244" s="8"/>
      <c r="B244" s="2"/>
      <c r="C244" s="8"/>
      <c r="D244" s="8"/>
      <c r="E244" s="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"/>
      <c r="W244" s="3"/>
      <c r="X244" s="3"/>
      <c r="Y244" s="3"/>
      <c r="Z244" s="3"/>
      <c r="AA244" s="3"/>
      <c r="AB244" s="3"/>
    </row>
    <row r="245" ht="15.75" customHeight="1">
      <c r="A245" s="8"/>
      <c r="B245" s="2"/>
      <c r="C245" s="8"/>
      <c r="D245" s="8"/>
      <c r="E245" s="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"/>
      <c r="W245" s="3"/>
      <c r="X245" s="3"/>
      <c r="Y245" s="3"/>
      <c r="Z245" s="3"/>
      <c r="AA245" s="3"/>
      <c r="AB245" s="3"/>
    </row>
    <row r="246" ht="15.75" customHeight="1">
      <c r="A246" s="8"/>
      <c r="B246" s="2"/>
      <c r="C246" s="8"/>
      <c r="D246" s="8"/>
      <c r="E246" s="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"/>
      <c r="W246" s="3"/>
      <c r="X246" s="3"/>
      <c r="Y246" s="3"/>
      <c r="Z246" s="3"/>
      <c r="AA246" s="3"/>
      <c r="AB246" s="3"/>
    </row>
    <row r="247" ht="15.75" customHeight="1">
      <c r="A247" s="8"/>
      <c r="B247" s="2"/>
      <c r="C247" s="8"/>
      <c r="D247" s="8"/>
      <c r="E247" s="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"/>
      <c r="W247" s="3"/>
      <c r="X247" s="3"/>
      <c r="Y247" s="3"/>
      <c r="Z247" s="3"/>
      <c r="AA247" s="3"/>
      <c r="AB247" s="3"/>
    </row>
    <row r="248" ht="15.75" customHeight="1">
      <c r="A248" s="8"/>
      <c r="B248" s="2"/>
      <c r="C248" s="8"/>
      <c r="D248" s="8"/>
      <c r="E248" s="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"/>
      <c r="W248" s="3"/>
      <c r="X248" s="3"/>
      <c r="Y248" s="3"/>
      <c r="Z248" s="3"/>
      <c r="AA248" s="3"/>
      <c r="AB248" s="3"/>
    </row>
    <row r="249" ht="15.75" customHeight="1">
      <c r="A249" s="8"/>
      <c r="B249" s="2"/>
      <c r="C249" s="8"/>
      <c r="D249" s="8"/>
      <c r="E249" s="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"/>
      <c r="W249" s="3"/>
      <c r="X249" s="3"/>
      <c r="Y249" s="3"/>
      <c r="Z249" s="3"/>
      <c r="AA249" s="3"/>
      <c r="AB249" s="3"/>
    </row>
    <row r="250" ht="15.75" customHeight="1">
      <c r="A250" s="8"/>
      <c r="B250" s="2"/>
      <c r="C250" s="8"/>
      <c r="D250" s="8"/>
      <c r="E250" s="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/>
      <c r="W250" s="3"/>
      <c r="X250" s="3"/>
      <c r="Y250" s="3"/>
      <c r="Z250" s="3"/>
      <c r="AA250" s="3"/>
      <c r="AB250" s="3"/>
    </row>
    <row r="251" ht="15.75" customHeight="1">
      <c r="A251" s="8"/>
      <c r="B251" s="2"/>
      <c r="C251" s="8"/>
      <c r="D251" s="8"/>
      <c r="E251" s="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"/>
      <c r="W251" s="3"/>
      <c r="X251" s="3"/>
      <c r="Y251" s="3"/>
      <c r="Z251" s="3"/>
      <c r="AA251" s="3"/>
      <c r="AB251" s="3"/>
    </row>
    <row r="252" ht="15.75" customHeight="1">
      <c r="A252" s="8"/>
      <c r="B252" s="2"/>
      <c r="C252" s="8"/>
      <c r="D252" s="8"/>
      <c r="E252" s="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"/>
      <c r="W252" s="3"/>
      <c r="X252" s="3"/>
      <c r="Y252" s="3"/>
      <c r="Z252" s="3"/>
      <c r="AA252" s="3"/>
      <c r="AB252" s="3"/>
    </row>
    <row r="253" ht="15.75" customHeight="1">
      <c r="A253" s="8"/>
      <c r="B253" s="2"/>
      <c r="C253" s="8"/>
      <c r="D253" s="8"/>
      <c r="E253" s="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"/>
      <c r="W253" s="3"/>
      <c r="X253" s="3"/>
      <c r="Y253" s="3"/>
      <c r="Z253" s="3"/>
      <c r="AA253" s="3"/>
      <c r="AB253" s="3"/>
    </row>
    <row r="254" ht="15.75" customHeight="1">
      <c r="A254" s="8"/>
      <c r="B254" s="2"/>
      <c r="C254" s="8"/>
      <c r="D254" s="8"/>
      <c r="E254" s="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"/>
      <c r="W254" s="3"/>
      <c r="X254" s="3"/>
      <c r="Y254" s="3"/>
      <c r="Z254" s="3"/>
      <c r="AA254" s="3"/>
      <c r="AB254" s="3"/>
    </row>
    <row r="255" ht="15.75" customHeight="1">
      <c r="A255" s="8"/>
      <c r="B255" s="2"/>
      <c r="C255" s="8"/>
      <c r="D255" s="8"/>
      <c r="E255" s="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"/>
      <c r="W255" s="3"/>
      <c r="X255" s="3"/>
      <c r="Y255" s="3"/>
      <c r="Z255" s="3"/>
      <c r="AA255" s="3"/>
      <c r="AB255" s="3"/>
    </row>
    <row r="256" ht="15.75" customHeight="1">
      <c r="A256" s="8"/>
      <c r="B256" s="2"/>
      <c r="C256" s="8"/>
      <c r="D256" s="8"/>
      <c r="E256" s="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"/>
      <c r="W256" s="3"/>
      <c r="X256" s="3"/>
      <c r="Y256" s="3"/>
      <c r="Z256" s="3"/>
      <c r="AA256" s="3"/>
      <c r="AB256" s="3"/>
    </row>
    <row r="257" ht="15.75" customHeight="1">
      <c r="A257" s="8"/>
      <c r="B257" s="2"/>
      <c r="C257" s="8"/>
      <c r="D257" s="8"/>
      <c r="E257" s="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"/>
      <c r="W257" s="3"/>
      <c r="X257" s="3"/>
      <c r="Y257" s="3"/>
      <c r="Z257" s="3"/>
      <c r="AA257" s="3"/>
      <c r="AB257" s="3"/>
    </row>
    <row r="258" ht="15.75" customHeight="1">
      <c r="A258" s="8"/>
      <c r="B258" s="2"/>
      <c r="C258" s="8"/>
      <c r="D258" s="8"/>
      <c r="E258" s="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"/>
      <c r="W258" s="3"/>
      <c r="X258" s="3"/>
      <c r="Y258" s="3"/>
      <c r="Z258" s="3"/>
      <c r="AA258" s="3"/>
      <c r="AB258" s="3"/>
    </row>
    <row r="259" ht="15.75" customHeight="1">
      <c r="A259" s="8"/>
      <c r="B259" s="2"/>
      <c r="C259" s="8"/>
      <c r="D259" s="8"/>
      <c r="E259" s="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"/>
      <c r="W259" s="3"/>
      <c r="X259" s="3"/>
      <c r="Y259" s="3"/>
      <c r="Z259" s="3"/>
      <c r="AA259" s="3"/>
      <c r="AB259" s="3"/>
    </row>
    <row r="260" ht="15.75" customHeight="1">
      <c r="A260" s="8"/>
      <c r="B260" s="2"/>
      <c r="C260" s="8"/>
      <c r="D260" s="8"/>
      <c r="E260" s="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"/>
      <c r="W260" s="3"/>
      <c r="X260" s="3"/>
      <c r="Y260" s="3"/>
      <c r="Z260" s="3"/>
      <c r="AA260" s="3"/>
      <c r="AB260" s="3"/>
    </row>
    <row r="261" ht="15.75" customHeight="1">
      <c r="A261" s="8"/>
      <c r="B261" s="2"/>
      <c r="C261" s="8"/>
      <c r="D261" s="8"/>
      <c r="E261" s="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"/>
      <c r="W261" s="3"/>
      <c r="X261" s="3"/>
      <c r="Y261" s="3"/>
      <c r="Z261" s="3"/>
      <c r="AA261" s="3"/>
      <c r="AB261" s="3"/>
    </row>
    <row r="262" ht="15.75" customHeight="1">
      <c r="A262" s="8"/>
      <c r="B262" s="2"/>
      <c r="C262" s="8"/>
      <c r="D262" s="8"/>
      <c r="E262" s="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"/>
      <c r="W262" s="3"/>
      <c r="X262" s="3"/>
      <c r="Y262" s="3"/>
      <c r="Z262" s="3"/>
      <c r="AA262" s="3"/>
      <c r="AB262" s="3"/>
    </row>
    <row r="263" ht="15.75" customHeight="1">
      <c r="A263" s="8"/>
      <c r="B263" s="2"/>
      <c r="C263" s="8"/>
      <c r="D263" s="8"/>
      <c r="E263" s="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"/>
      <c r="W263" s="3"/>
      <c r="X263" s="3"/>
      <c r="Y263" s="3"/>
      <c r="Z263" s="3"/>
      <c r="AA263" s="3"/>
      <c r="AB263" s="3"/>
    </row>
    <row r="264" ht="15.75" customHeight="1">
      <c r="A264" s="8"/>
      <c r="B264" s="2"/>
      <c r="C264" s="8"/>
      <c r="D264" s="8"/>
      <c r="E264" s="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"/>
      <c r="W264" s="3"/>
      <c r="X264" s="3"/>
      <c r="Y264" s="3"/>
      <c r="Z264" s="3"/>
      <c r="AA264" s="3"/>
      <c r="AB264" s="3"/>
    </row>
    <row r="265" ht="15.75" customHeight="1">
      <c r="A265" s="8"/>
      <c r="B265" s="2"/>
      <c r="C265" s="8"/>
      <c r="D265" s="8"/>
      <c r="E265" s="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"/>
      <c r="W265" s="3"/>
      <c r="X265" s="3"/>
      <c r="Y265" s="3"/>
      <c r="Z265" s="3"/>
      <c r="AA265" s="3"/>
      <c r="AB265" s="3"/>
    </row>
    <row r="266" ht="15.75" customHeight="1">
      <c r="A266" s="8"/>
      <c r="B266" s="2"/>
      <c r="C266" s="8"/>
      <c r="D266" s="8"/>
      <c r="E266" s="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"/>
      <c r="W266" s="3"/>
      <c r="X266" s="3"/>
      <c r="Y266" s="3"/>
      <c r="Z266" s="3"/>
      <c r="AA266" s="3"/>
      <c r="AB266" s="3"/>
    </row>
    <row r="267" ht="15.75" customHeight="1">
      <c r="A267" s="8"/>
      <c r="B267" s="2"/>
      <c r="C267" s="8"/>
      <c r="D267" s="8"/>
      <c r="E267" s="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"/>
      <c r="W267" s="3"/>
      <c r="X267" s="3"/>
      <c r="Y267" s="3"/>
      <c r="Z267" s="3"/>
      <c r="AA267" s="3"/>
      <c r="AB267" s="3"/>
    </row>
    <row r="268" ht="15.75" customHeight="1">
      <c r="A268" s="8"/>
      <c r="B268" s="2"/>
      <c r="C268" s="8"/>
      <c r="D268" s="8"/>
      <c r="E268" s="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"/>
      <c r="W268" s="3"/>
      <c r="X268" s="3"/>
      <c r="Y268" s="3"/>
      <c r="Z268" s="3"/>
      <c r="AA268" s="3"/>
      <c r="AB268" s="3"/>
    </row>
    <row r="269" ht="15.75" customHeight="1">
      <c r="A269" s="8"/>
      <c r="B269" s="2"/>
      <c r="C269" s="8"/>
      <c r="D269" s="8"/>
      <c r="E269" s="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"/>
      <c r="W269" s="3"/>
      <c r="X269" s="3"/>
      <c r="Y269" s="3"/>
      <c r="Z269" s="3"/>
      <c r="AA269" s="3"/>
      <c r="AB269" s="3"/>
    </row>
    <row r="270" ht="15.75" customHeight="1">
      <c r="A270" s="8"/>
      <c r="B270" s="2"/>
      <c r="C270" s="8"/>
      <c r="D270" s="8"/>
      <c r="E270" s="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"/>
      <c r="W270" s="3"/>
      <c r="X270" s="3"/>
      <c r="Y270" s="3"/>
      <c r="Z270" s="3"/>
      <c r="AA270" s="3"/>
      <c r="AB270" s="3"/>
    </row>
    <row r="271" ht="15.75" customHeight="1">
      <c r="A271" s="8"/>
      <c r="B271" s="2"/>
      <c r="C271" s="8"/>
      <c r="D271" s="8"/>
      <c r="E271" s="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"/>
      <c r="W271" s="3"/>
      <c r="X271" s="3"/>
      <c r="Y271" s="3"/>
      <c r="Z271" s="3"/>
      <c r="AA271" s="3"/>
      <c r="AB271" s="3"/>
    </row>
    <row r="272" ht="15.75" customHeight="1">
      <c r="A272" s="8"/>
      <c r="B272" s="2"/>
      <c r="C272" s="8"/>
      <c r="D272" s="8"/>
      <c r="E272" s="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"/>
      <c r="W272" s="3"/>
      <c r="X272" s="3"/>
      <c r="Y272" s="3"/>
      <c r="Z272" s="3"/>
      <c r="AA272" s="3"/>
      <c r="AB272" s="3"/>
    </row>
    <row r="273" ht="15.75" customHeight="1">
      <c r="A273" s="8"/>
      <c r="B273" s="2"/>
      <c r="C273" s="8"/>
      <c r="D273" s="8"/>
      <c r="E273" s="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"/>
      <c r="W273" s="3"/>
      <c r="X273" s="3"/>
      <c r="Y273" s="3"/>
      <c r="Z273" s="3"/>
      <c r="AA273" s="3"/>
      <c r="AB273" s="3"/>
    </row>
    <row r="274" ht="15.75" customHeight="1">
      <c r="A274" s="8"/>
      <c r="B274" s="2"/>
      <c r="C274" s="8"/>
      <c r="D274" s="8"/>
      <c r="E274" s="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"/>
      <c r="W274" s="3"/>
      <c r="X274" s="3"/>
      <c r="Y274" s="3"/>
      <c r="Z274" s="3"/>
      <c r="AA274" s="3"/>
      <c r="AB274" s="3"/>
    </row>
    <row r="275" ht="15.75" customHeight="1">
      <c r="A275" s="8"/>
      <c r="B275" s="2"/>
      <c r="C275" s="8"/>
      <c r="D275" s="8"/>
      <c r="E275" s="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"/>
      <c r="W275" s="3"/>
      <c r="X275" s="3"/>
      <c r="Y275" s="3"/>
      <c r="Z275" s="3"/>
      <c r="AA275" s="3"/>
      <c r="AB275" s="3"/>
    </row>
    <row r="276" ht="15.75" customHeight="1">
      <c r="A276" s="8"/>
      <c r="B276" s="2"/>
      <c r="C276" s="8"/>
      <c r="D276" s="8"/>
      <c r="E276" s="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"/>
      <c r="W276" s="3"/>
      <c r="X276" s="3"/>
      <c r="Y276" s="3"/>
      <c r="Z276" s="3"/>
      <c r="AA276" s="3"/>
      <c r="AB276" s="3"/>
    </row>
    <row r="277" ht="15.75" customHeight="1">
      <c r="A277" s="8"/>
      <c r="B277" s="2"/>
      <c r="C277" s="8"/>
      <c r="D277" s="8"/>
      <c r="E277" s="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"/>
      <c r="W277" s="3"/>
      <c r="X277" s="3"/>
      <c r="Y277" s="3"/>
      <c r="Z277" s="3"/>
      <c r="AA277" s="3"/>
      <c r="AB277" s="3"/>
    </row>
    <row r="278" ht="15.75" customHeight="1">
      <c r="A278" s="8"/>
      <c r="B278" s="2"/>
      <c r="C278" s="8"/>
      <c r="D278" s="8"/>
      <c r="E278" s="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"/>
      <c r="W278" s="3"/>
      <c r="X278" s="3"/>
      <c r="Y278" s="3"/>
      <c r="Z278" s="3"/>
      <c r="AA278" s="3"/>
      <c r="AB278" s="3"/>
    </row>
    <row r="279" ht="15.75" customHeight="1">
      <c r="A279" s="8"/>
      <c r="B279" s="2"/>
      <c r="C279" s="8"/>
      <c r="D279" s="8"/>
      <c r="E279" s="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"/>
      <c r="W279" s="3"/>
      <c r="X279" s="3"/>
      <c r="Y279" s="3"/>
      <c r="Z279" s="3"/>
      <c r="AA279" s="3"/>
      <c r="AB279" s="3"/>
    </row>
    <row r="280" ht="15.75" customHeight="1">
      <c r="A280" s="8"/>
      <c r="B280" s="2"/>
      <c r="C280" s="8"/>
      <c r="D280" s="8"/>
      <c r="E280" s="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"/>
      <c r="W280" s="3"/>
      <c r="X280" s="3"/>
      <c r="Y280" s="3"/>
      <c r="Z280" s="3"/>
      <c r="AA280" s="3"/>
      <c r="AB280" s="3"/>
    </row>
    <row r="281" ht="15.75" customHeight="1">
      <c r="A281" s="8"/>
      <c r="B281" s="2"/>
      <c r="C281" s="8"/>
      <c r="D281" s="8"/>
      <c r="E281" s="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"/>
      <c r="W281" s="3"/>
      <c r="X281" s="3"/>
      <c r="Y281" s="3"/>
      <c r="Z281" s="3"/>
      <c r="AA281" s="3"/>
      <c r="AB281" s="3"/>
    </row>
    <row r="282" ht="15.75" customHeight="1">
      <c r="A282" s="8"/>
      <c r="B282" s="2"/>
      <c r="C282" s="8"/>
      <c r="D282" s="8"/>
      <c r="E282" s="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"/>
      <c r="W282" s="3"/>
      <c r="X282" s="3"/>
      <c r="Y282" s="3"/>
      <c r="Z282" s="3"/>
      <c r="AA282" s="3"/>
      <c r="AB282" s="3"/>
    </row>
    <row r="283" ht="15.75" customHeight="1">
      <c r="A283" s="8"/>
      <c r="B283" s="2"/>
      <c r="C283" s="8"/>
      <c r="D283" s="8"/>
      <c r="E283" s="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"/>
      <c r="W283" s="3"/>
      <c r="X283" s="3"/>
      <c r="Y283" s="3"/>
      <c r="Z283" s="3"/>
      <c r="AA283" s="3"/>
      <c r="AB283" s="3"/>
    </row>
    <row r="284" ht="15.75" customHeight="1">
      <c r="A284" s="8"/>
      <c r="B284" s="2"/>
      <c r="C284" s="8"/>
      <c r="D284" s="8"/>
      <c r="E284" s="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"/>
      <c r="W284" s="3"/>
      <c r="X284" s="3"/>
      <c r="Y284" s="3"/>
      <c r="Z284" s="3"/>
      <c r="AA284" s="3"/>
      <c r="AB284" s="3"/>
    </row>
    <row r="285" ht="15.75" customHeight="1">
      <c r="A285" s="8"/>
      <c r="B285" s="2"/>
      <c r="C285" s="8"/>
      <c r="D285" s="8"/>
      <c r="E285" s="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"/>
      <c r="W285" s="3"/>
      <c r="X285" s="3"/>
      <c r="Y285" s="3"/>
      <c r="Z285" s="3"/>
      <c r="AA285" s="3"/>
      <c r="AB285" s="3"/>
    </row>
    <row r="286" ht="15.75" customHeight="1">
      <c r="A286" s="8"/>
      <c r="B286" s="2"/>
      <c r="C286" s="8"/>
      <c r="D286" s="8"/>
      <c r="E286" s="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"/>
      <c r="W286" s="3"/>
      <c r="X286" s="3"/>
      <c r="Y286" s="3"/>
      <c r="Z286" s="3"/>
      <c r="AA286" s="3"/>
      <c r="AB286" s="3"/>
    </row>
    <row r="287" ht="15.75" customHeight="1">
      <c r="A287" s="8"/>
      <c r="B287" s="2"/>
      <c r="C287" s="8"/>
      <c r="D287" s="8"/>
      <c r="E287" s="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"/>
      <c r="W287" s="3"/>
      <c r="X287" s="3"/>
      <c r="Y287" s="3"/>
      <c r="Z287" s="3"/>
      <c r="AA287" s="3"/>
      <c r="AB287" s="3"/>
    </row>
    <row r="288" ht="15.75" customHeight="1">
      <c r="A288" s="8"/>
      <c r="B288" s="2"/>
      <c r="C288" s="8"/>
      <c r="D288" s="8"/>
      <c r="E288" s="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"/>
      <c r="W288" s="3"/>
      <c r="X288" s="3"/>
      <c r="Y288" s="3"/>
      <c r="Z288" s="3"/>
      <c r="AA288" s="3"/>
      <c r="AB288" s="3"/>
    </row>
    <row r="289" ht="15.75" customHeight="1">
      <c r="A289" s="8"/>
      <c r="B289" s="2"/>
      <c r="C289" s="8"/>
      <c r="D289" s="8"/>
      <c r="E289" s="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"/>
      <c r="W289" s="3"/>
      <c r="X289" s="3"/>
      <c r="Y289" s="3"/>
      <c r="Z289" s="3"/>
      <c r="AA289" s="3"/>
      <c r="AB289" s="3"/>
    </row>
    <row r="290" ht="15.75" customHeight="1">
      <c r="A290" s="8"/>
      <c r="B290" s="2"/>
      <c r="C290" s="8"/>
      <c r="D290" s="8"/>
      <c r="E290" s="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"/>
      <c r="W290" s="3"/>
      <c r="X290" s="3"/>
      <c r="Y290" s="3"/>
      <c r="Z290" s="3"/>
      <c r="AA290" s="3"/>
      <c r="AB290" s="3"/>
    </row>
    <row r="291" ht="15.75" customHeight="1">
      <c r="A291" s="8"/>
      <c r="B291" s="2"/>
      <c r="C291" s="8"/>
      <c r="D291" s="8"/>
      <c r="E291" s="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"/>
      <c r="W291" s="3"/>
      <c r="X291" s="3"/>
      <c r="Y291" s="3"/>
      <c r="Z291" s="3"/>
      <c r="AA291" s="3"/>
      <c r="AB291" s="3"/>
    </row>
    <row r="292" ht="15.75" customHeight="1">
      <c r="A292" s="8"/>
      <c r="B292" s="2"/>
      <c r="C292" s="8"/>
      <c r="D292" s="8"/>
      <c r="E292" s="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"/>
      <c r="W292" s="3"/>
      <c r="X292" s="3"/>
      <c r="Y292" s="3"/>
      <c r="Z292" s="3"/>
      <c r="AA292" s="3"/>
      <c r="AB292" s="3"/>
    </row>
    <row r="293" ht="15.75" customHeight="1">
      <c r="A293" s="8"/>
      <c r="B293" s="2"/>
      <c r="C293" s="8"/>
      <c r="D293" s="8"/>
      <c r="E293" s="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3"/>
      <c r="W293" s="3"/>
      <c r="X293" s="3"/>
      <c r="Y293" s="3"/>
      <c r="Z293" s="3"/>
      <c r="AA293" s="3"/>
      <c r="AB293" s="3"/>
    </row>
    <row r="294" ht="15.75" customHeight="1">
      <c r="A294" s="8"/>
      <c r="B294" s="2"/>
      <c r="C294" s="8"/>
      <c r="D294" s="8"/>
      <c r="E294" s="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3"/>
      <c r="W294" s="3"/>
      <c r="X294" s="3"/>
      <c r="Y294" s="3"/>
      <c r="Z294" s="3"/>
      <c r="AA294" s="3"/>
      <c r="AB294" s="3"/>
    </row>
    <row r="295" ht="15.75" customHeight="1">
      <c r="A295" s="8"/>
      <c r="B295" s="2"/>
      <c r="C295" s="8"/>
      <c r="D295" s="8"/>
      <c r="E295" s="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3"/>
      <c r="W295" s="3"/>
      <c r="X295" s="3"/>
      <c r="Y295" s="3"/>
      <c r="Z295" s="3"/>
      <c r="AA295" s="3"/>
      <c r="AB295" s="3"/>
    </row>
    <row r="296" ht="15.75" customHeight="1">
      <c r="A296" s="8"/>
      <c r="B296" s="2"/>
      <c r="C296" s="8"/>
      <c r="D296" s="8"/>
      <c r="E296" s="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3"/>
      <c r="W296" s="3"/>
      <c r="X296" s="3"/>
      <c r="Y296" s="3"/>
      <c r="Z296" s="3"/>
      <c r="AA296" s="3"/>
      <c r="AB296" s="3"/>
    </row>
    <row r="297" ht="15.75" customHeight="1">
      <c r="A297" s="8"/>
      <c r="B297" s="2"/>
      <c r="C297" s="8"/>
      <c r="D297" s="8"/>
      <c r="E297" s="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3"/>
      <c r="W297" s="3"/>
      <c r="X297" s="3"/>
      <c r="Y297" s="3"/>
      <c r="Z297" s="3"/>
      <c r="AA297" s="3"/>
      <c r="AB297" s="3"/>
    </row>
    <row r="298" ht="15.75" customHeight="1">
      <c r="A298" s="8"/>
      <c r="B298" s="2"/>
      <c r="C298" s="8"/>
      <c r="D298" s="8"/>
      <c r="E298" s="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3"/>
      <c r="W298" s="3"/>
      <c r="X298" s="3"/>
      <c r="Y298" s="3"/>
      <c r="Z298" s="3"/>
      <c r="AA298" s="3"/>
      <c r="AB298" s="3"/>
    </row>
    <row r="299" ht="15.75" customHeight="1">
      <c r="A299" s="8"/>
      <c r="B299" s="2"/>
      <c r="C299" s="8"/>
      <c r="D299" s="8"/>
      <c r="E299" s="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3"/>
      <c r="W299" s="3"/>
      <c r="X299" s="3"/>
      <c r="Y299" s="3"/>
      <c r="Z299" s="3"/>
      <c r="AA299" s="3"/>
      <c r="AB299" s="3"/>
    </row>
    <row r="300" ht="15.75" customHeight="1">
      <c r="A300" s="8"/>
      <c r="B300" s="2"/>
      <c r="C300" s="8"/>
      <c r="D300" s="8"/>
      <c r="E300" s="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3"/>
      <c r="W300" s="3"/>
      <c r="X300" s="3"/>
      <c r="Y300" s="3"/>
      <c r="Z300" s="3"/>
      <c r="AA300" s="3"/>
      <c r="AB300" s="3"/>
    </row>
    <row r="301" ht="15.75" customHeight="1">
      <c r="A301" s="8"/>
      <c r="B301" s="2"/>
      <c r="C301" s="8"/>
      <c r="D301" s="8"/>
      <c r="E301" s="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3"/>
      <c r="W301" s="3"/>
      <c r="X301" s="3"/>
      <c r="Y301" s="3"/>
      <c r="Z301" s="3"/>
      <c r="AA301" s="3"/>
      <c r="AB301" s="3"/>
    </row>
    <row r="302" ht="15.75" customHeight="1">
      <c r="A302" s="8"/>
      <c r="B302" s="2"/>
      <c r="C302" s="8"/>
      <c r="D302" s="8"/>
      <c r="E302" s="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3"/>
      <c r="W302" s="3"/>
      <c r="X302" s="3"/>
      <c r="Y302" s="3"/>
      <c r="Z302" s="3"/>
      <c r="AA302" s="3"/>
      <c r="AB302" s="3"/>
    </row>
    <row r="303" ht="15.75" customHeight="1">
      <c r="A303" s="8"/>
      <c r="B303" s="2"/>
      <c r="C303" s="8"/>
      <c r="D303" s="8"/>
      <c r="E303" s="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3"/>
      <c r="W303" s="3"/>
      <c r="X303" s="3"/>
      <c r="Y303" s="3"/>
      <c r="Z303" s="3"/>
      <c r="AA303" s="3"/>
      <c r="AB303" s="3"/>
    </row>
    <row r="304" ht="15.75" customHeight="1">
      <c r="A304" s="8"/>
      <c r="B304" s="2"/>
      <c r="C304" s="8"/>
      <c r="D304" s="8"/>
      <c r="E304" s="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3"/>
      <c r="W304" s="3"/>
      <c r="X304" s="3"/>
      <c r="Y304" s="3"/>
      <c r="Z304" s="3"/>
      <c r="AA304" s="3"/>
      <c r="AB304" s="3"/>
    </row>
    <row r="305" ht="15.75" customHeight="1">
      <c r="A305" s="8"/>
      <c r="B305" s="2"/>
      <c r="C305" s="8"/>
      <c r="D305" s="8"/>
      <c r="E305" s="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3"/>
      <c r="W305" s="3"/>
      <c r="X305" s="3"/>
      <c r="Y305" s="3"/>
      <c r="Z305" s="3"/>
      <c r="AA305" s="3"/>
      <c r="AB305" s="3"/>
    </row>
    <row r="306" ht="15.75" customHeight="1">
      <c r="A306" s="8"/>
      <c r="B306" s="2"/>
      <c r="C306" s="8"/>
      <c r="D306" s="8"/>
      <c r="E306" s="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3"/>
      <c r="W306" s="3"/>
      <c r="X306" s="3"/>
      <c r="Y306" s="3"/>
      <c r="Z306" s="3"/>
      <c r="AA306" s="3"/>
      <c r="AB306" s="3"/>
    </row>
    <row r="307" ht="15.75" customHeight="1">
      <c r="A307" s="8"/>
      <c r="B307" s="2"/>
      <c r="C307" s="8"/>
      <c r="D307" s="8"/>
      <c r="E307" s="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3"/>
      <c r="W307" s="3"/>
      <c r="X307" s="3"/>
      <c r="Y307" s="3"/>
      <c r="Z307" s="3"/>
      <c r="AA307" s="3"/>
      <c r="AB307" s="3"/>
    </row>
    <row r="308" ht="15.75" customHeight="1">
      <c r="A308" s="8"/>
      <c r="B308" s="2"/>
      <c r="C308" s="8"/>
      <c r="D308" s="8"/>
      <c r="E308" s="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"/>
      <c r="W308" s="3"/>
      <c r="X308" s="3"/>
      <c r="Y308" s="3"/>
      <c r="Z308" s="3"/>
      <c r="AA308" s="3"/>
      <c r="AB308" s="3"/>
    </row>
    <row r="309" ht="15.75" customHeight="1">
      <c r="A309" s="8"/>
      <c r="B309" s="2"/>
      <c r="C309" s="8"/>
      <c r="D309" s="8"/>
      <c r="E309" s="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"/>
      <c r="W309" s="3"/>
      <c r="X309" s="3"/>
      <c r="Y309" s="3"/>
      <c r="Z309" s="3"/>
      <c r="AA309" s="3"/>
      <c r="AB309" s="3"/>
    </row>
    <row r="310" ht="15.75" customHeight="1">
      <c r="A310" s="8"/>
      <c r="B310" s="2"/>
      <c r="C310" s="8"/>
      <c r="D310" s="8"/>
      <c r="E310" s="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"/>
      <c r="W310" s="3"/>
      <c r="X310" s="3"/>
      <c r="Y310" s="3"/>
      <c r="Z310" s="3"/>
      <c r="AA310" s="3"/>
      <c r="AB310" s="3"/>
    </row>
    <row r="311" ht="15.75" customHeight="1">
      <c r="A311" s="8"/>
      <c r="B311" s="2"/>
      <c r="C311" s="8"/>
      <c r="D311" s="8"/>
      <c r="E311" s="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3"/>
      <c r="W311" s="3"/>
      <c r="X311" s="3"/>
      <c r="Y311" s="3"/>
      <c r="Z311" s="3"/>
      <c r="AA311" s="3"/>
      <c r="AB311" s="3"/>
    </row>
    <row r="312" ht="15.75" customHeight="1">
      <c r="A312" s="8"/>
      <c r="B312" s="2"/>
      <c r="C312" s="8"/>
      <c r="D312" s="8"/>
      <c r="E312" s="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3"/>
      <c r="W312" s="3"/>
      <c r="X312" s="3"/>
      <c r="Y312" s="3"/>
      <c r="Z312" s="3"/>
      <c r="AA312" s="3"/>
      <c r="AB312" s="3"/>
    </row>
    <row r="313" ht="15.75" customHeight="1">
      <c r="A313" s="8"/>
      <c r="B313" s="2"/>
      <c r="C313" s="8"/>
      <c r="D313" s="8"/>
      <c r="E313" s="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3"/>
      <c r="W313" s="3"/>
      <c r="X313" s="3"/>
      <c r="Y313" s="3"/>
      <c r="Z313" s="3"/>
      <c r="AA313" s="3"/>
      <c r="AB313" s="3"/>
    </row>
    <row r="314" ht="15.75" customHeight="1">
      <c r="A314" s="8"/>
      <c r="B314" s="2"/>
      <c r="C314" s="8"/>
      <c r="D314" s="8"/>
      <c r="E314" s="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3"/>
      <c r="W314" s="3"/>
      <c r="X314" s="3"/>
      <c r="Y314" s="3"/>
      <c r="Z314" s="3"/>
      <c r="AA314" s="3"/>
      <c r="AB314" s="3"/>
    </row>
    <row r="315" ht="15.75" customHeight="1">
      <c r="A315" s="8"/>
      <c r="B315" s="2"/>
      <c r="C315" s="8"/>
      <c r="D315" s="8"/>
      <c r="E315" s="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3"/>
      <c r="W315" s="3"/>
      <c r="X315" s="3"/>
      <c r="Y315" s="3"/>
      <c r="Z315" s="3"/>
      <c r="AA315" s="3"/>
      <c r="AB315" s="3"/>
    </row>
    <row r="316" ht="15.75" customHeight="1">
      <c r="A316" s="8"/>
      <c r="B316" s="2"/>
      <c r="C316" s="8"/>
      <c r="D316" s="8"/>
      <c r="E316" s="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3"/>
      <c r="W316" s="3"/>
      <c r="X316" s="3"/>
      <c r="Y316" s="3"/>
      <c r="Z316" s="3"/>
      <c r="AA316" s="3"/>
      <c r="AB316" s="3"/>
    </row>
    <row r="317" ht="15.75" customHeight="1">
      <c r="A317" s="8"/>
      <c r="B317" s="2"/>
      <c r="C317" s="8"/>
      <c r="D317" s="8"/>
      <c r="E317" s="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3"/>
      <c r="W317" s="3"/>
      <c r="X317" s="3"/>
      <c r="Y317" s="3"/>
      <c r="Z317" s="3"/>
      <c r="AA317" s="3"/>
      <c r="AB317" s="3"/>
    </row>
    <row r="318" ht="15.75" customHeight="1">
      <c r="A318" s="8"/>
      <c r="B318" s="2"/>
      <c r="C318" s="8"/>
      <c r="D318" s="8"/>
      <c r="E318" s="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3"/>
      <c r="W318" s="3"/>
      <c r="X318" s="3"/>
      <c r="Y318" s="3"/>
      <c r="Z318" s="3"/>
      <c r="AA318" s="3"/>
      <c r="AB318" s="3"/>
    </row>
    <row r="319" ht="15.75" customHeight="1">
      <c r="A319" s="8"/>
      <c r="B319" s="2"/>
      <c r="C319" s="8"/>
      <c r="D319" s="8"/>
      <c r="E319" s="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3"/>
      <c r="W319" s="3"/>
      <c r="X319" s="3"/>
      <c r="Y319" s="3"/>
      <c r="Z319" s="3"/>
      <c r="AA319" s="3"/>
      <c r="AB319" s="3"/>
    </row>
    <row r="320" ht="15.75" customHeight="1">
      <c r="A320" s="8"/>
      <c r="B320" s="2"/>
      <c r="C320" s="8"/>
      <c r="D320" s="8"/>
      <c r="E320" s="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3"/>
      <c r="W320" s="3"/>
      <c r="X320" s="3"/>
      <c r="Y320" s="3"/>
      <c r="Z320" s="3"/>
      <c r="AA320" s="3"/>
      <c r="AB320" s="3"/>
    </row>
    <row r="321" ht="15.75" customHeight="1">
      <c r="A321" s="8"/>
      <c r="B321" s="2"/>
      <c r="C321" s="8"/>
      <c r="D321" s="8"/>
      <c r="E321" s="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3"/>
      <c r="W321" s="3"/>
      <c r="X321" s="3"/>
      <c r="Y321" s="3"/>
      <c r="Z321" s="3"/>
      <c r="AA321" s="3"/>
      <c r="AB321" s="3"/>
    </row>
    <row r="322" ht="15.75" customHeight="1">
      <c r="A322" s="8"/>
      <c r="B322" s="2"/>
      <c r="C322" s="8"/>
      <c r="D322" s="8"/>
      <c r="E322" s="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3"/>
      <c r="W322" s="3"/>
      <c r="X322" s="3"/>
      <c r="Y322" s="3"/>
      <c r="Z322" s="3"/>
      <c r="AA322" s="3"/>
      <c r="AB322" s="3"/>
    </row>
    <row r="323" ht="15.75" customHeight="1">
      <c r="A323" s="8"/>
      <c r="B323" s="2"/>
      <c r="C323" s="8"/>
      <c r="D323" s="8"/>
      <c r="E323" s="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3"/>
      <c r="W323" s="3"/>
      <c r="X323" s="3"/>
      <c r="Y323" s="3"/>
      <c r="Z323" s="3"/>
      <c r="AA323" s="3"/>
      <c r="AB323" s="3"/>
    </row>
    <row r="324" ht="15.75" customHeight="1">
      <c r="A324" s="8"/>
      <c r="B324" s="2"/>
      <c r="C324" s="8"/>
      <c r="D324" s="8"/>
      <c r="E324" s="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"/>
      <c r="W324" s="3"/>
      <c r="X324" s="3"/>
      <c r="Y324" s="3"/>
      <c r="Z324" s="3"/>
      <c r="AA324" s="3"/>
      <c r="AB324" s="3"/>
    </row>
    <row r="325" ht="15.75" customHeight="1">
      <c r="A325" s="8"/>
      <c r="B325" s="2"/>
      <c r="C325" s="8"/>
      <c r="D325" s="8"/>
      <c r="E325" s="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3"/>
      <c r="W325" s="3"/>
      <c r="X325" s="3"/>
      <c r="Y325" s="3"/>
      <c r="Z325" s="3"/>
      <c r="AA325" s="3"/>
      <c r="AB325" s="3"/>
    </row>
    <row r="326" ht="15.75" customHeight="1">
      <c r="A326" s="8"/>
      <c r="B326" s="2"/>
      <c r="C326" s="8"/>
      <c r="D326" s="8"/>
      <c r="E326" s="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3"/>
      <c r="W326" s="3"/>
      <c r="X326" s="3"/>
      <c r="Y326" s="3"/>
      <c r="Z326" s="3"/>
      <c r="AA326" s="3"/>
      <c r="AB326" s="3"/>
    </row>
    <row r="327" ht="15.75" customHeight="1">
      <c r="A327" s="8"/>
      <c r="B327" s="2"/>
      <c r="C327" s="8"/>
      <c r="D327" s="8"/>
      <c r="E327" s="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3"/>
      <c r="W327" s="3"/>
      <c r="X327" s="3"/>
      <c r="Y327" s="3"/>
      <c r="Z327" s="3"/>
      <c r="AA327" s="3"/>
      <c r="AB327" s="3"/>
    </row>
    <row r="328" ht="15.75" customHeight="1">
      <c r="A328" s="8"/>
      <c r="B328" s="2"/>
      <c r="C328" s="8"/>
      <c r="D328" s="8"/>
      <c r="E328" s="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3"/>
      <c r="W328" s="3"/>
      <c r="X328" s="3"/>
      <c r="Y328" s="3"/>
      <c r="Z328" s="3"/>
      <c r="AA328" s="3"/>
      <c r="AB328" s="3"/>
    </row>
    <row r="329" ht="15.75" customHeight="1">
      <c r="A329" s="8"/>
      <c r="B329" s="2"/>
      <c r="C329" s="8"/>
      <c r="D329" s="8"/>
      <c r="E329" s="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3"/>
      <c r="W329" s="3"/>
      <c r="X329" s="3"/>
      <c r="Y329" s="3"/>
      <c r="Z329" s="3"/>
      <c r="AA329" s="3"/>
      <c r="AB329" s="3"/>
    </row>
    <row r="330" ht="15.75" customHeight="1">
      <c r="A330" s="8"/>
      <c r="B330" s="2"/>
      <c r="C330" s="8"/>
      <c r="D330" s="8"/>
      <c r="E330" s="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3"/>
      <c r="W330" s="3"/>
      <c r="X330" s="3"/>
      <c r="Y330" s="3"/>
      <c r="Z330" s="3"/>
      <c r="AA330" s="3"/>
      <c r="AB330" s="3"/>
    </row>
    <row r="331" ht="15.75" customHeight="1">
      <c r="A331" s="8"/>
      <c r="B331" s="2"/>
      <c r="C331" s="8"/>
      <c r="D331" s="8"/>
      <c r="E331" s="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3"/>
      <c r="W331" s="3"/>
      <c r="X331" s="3"/>
      <c r="Y331" s="3"/>
      <c r="Z331" s="3"/>
      <c r="AA331" s="3"/>
      <c r="AB331" s="3"/>
    </row>
    <row r="332" ht="15.75" customHeight="1">
      <c r="A332" s="8"/>
      <c r="B332" s="2"/>
      <c r="C332" s="8"/>
      <c r="D332" s="8"/>
      <c r="E332" s="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3"/>
      <c r="W332" s="3"/>
      <c r="X332" s="3"/>
      <c r="Y332" s="3"/>
      <c r="Z332" s="3"/>
      <c r="AA332" s="3"/>
      <c r="AB332" s="3"/>
    </row>
    <row r="333" ht="15.75" customHeight="1">
      <c r="A333" s="8"/>
      <c r="B333" s="2"/>
      <c r="C333" s="8"/>
      <c r="D333" s="8"/>
      <c r="E333" s="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3"/>
      <c r="W333" s="3"/>
      <c r="X333" s="3"/>
      <c r="Y333" s="3"/>
      <c r="Z333" s="3"/>
      <c r="AA333" s="3"/>
      <c r="AB333" s="3"/>
    </row>
    <row r="334" ht="15.75" customHeight="1">
      <c r="A334" s="8"/>
      <c r="B334" s="2"/>
      <c r="C334" s="8"/>
      <c r="D334" s="8"/>
      <c r="E334" s="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"/>
      <c r="W334" s="3"/>
      <c r="X334" s="3"/>
      <c r="Y334" s="3"/>
      <c r="Z334" s="3"/>
      <c r="AA334" s="3"/>
      <c r="AB334" s="3"/>
    </row>
    <row r="335" ht="15.75" customHeight="1">
      <c r="A335" s="8"/>
      <c r="B335" s="2"/>
      <c r="C335" s="8"/>
      <c r="D335" s="8"/>
      <c r="E335" s="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3"/>
      <c r="W335" s="3"/>
      <c r="X335" s="3"/>
      <c r="Y335" s="3"/>
      <c r="Z335" s="3"/>
      <c r="AA335" s="3"/>
      <c r="AB335" s="3"/>
    </row>
    <row r="336" ht="15.75" customHeight="1">
      <c r="A336" s="8"/>
      <c r="B336" s="2"/>
      <c r="C336" s="8"/>
      <c r="D336" s="8"/>
      <c r="E336" s="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3"/>
      <c r="W336" s="3"/>
      <c r="X336" s="3"/>
      <c r="Y336" s="3"/>
      <c r="Z336" s="3"/>
      <c r="AA336" s="3"/>
      <c r="AB336" s="3"/>
    </row>
    <row r="337" ht="15.75" customHeight="1">
      <c r="A337" s="8"/>
      <c r="B337" s="2"/>
      <c r="C337" s="8"/>
      <c r="D337" s="8"/>
      <c r="E337" s="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3"/>
      <c r="W337" s="3"/>
      <c r="X337" s="3"/>
      <c r="Y337" s="3"/>
      <c r="Z337" s="3"/>
      <c r="AA337" s="3"/>
      <c r="AB337" s="3"/>
    </row>
    <row r="338" ht="15.75" customHeight="1">
      <c r="A338" s="8"/>
      <c r="B338" s="2"/>
      <c r="C338" s="8"/>
      <c r="D338" s="8"/>
      <c r="E338" s="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3"/>
      <c r="W338" s="3"/>
      <c r="X338" s="3"/>
      <c r="Y338" s="3"/>
      <c r="Z338" s="3"/>
      <c r="AA338" s="3"/>
      <c r="AB338" s="3"/>
    </row>
    <row r="339" ht="15.75" customHeight="1">
      <c r="A339" s="8"/>
      <c r="B339" s="2"/>
      <c r="C339" s="8"/>
      <c r="D339" s="8"/>
      <c r="E339" s="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3"/>
      <c r="W339" s="3"/>
      <c r="X339" s="3"/>
      <c r="Y339" s="3"/>
      <c r="Z339" s="3"/>
      <c r="AA339" s="3"/>
      <c r="AB339" s="3"/>
    </row>
    <row r="340" ht="15.75" customHeight="1">
      <c r="A340" s="8"/>
      <c r="B340" s="2"/>
      <c r="C340" s="8"/>
      <c r="D340" s="8"/>
      <c r="E340" s="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3"/>
      <c r="W340" s="3"/>
      <c r="X340" s="3"/>
      <c r="Y340" s="3"/>
      <c r="Z340" s="3"/>
      <c r="AA340" s="3"/>
      <c r="AB340" s="3"/>
    </row>
    <row r="341" ht="15.75" customHeight="1">
      <c r="A341" s="8"/>
      <c r="B341" s="2"/>
      <c r="C341" s="8"/>
      <c r="D341" s="8"/>
      <c r="E341" s="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3"/>
      <c r="W341" s="3"/>
      <c r="X341" s="3"/>
      <c r="Y341" s="3"/>
      <c r="Z341" s="3"/>
      <c r="AA341" s="3"/>
      <c r="AB341" s="3"/>
    </row>
    <row r="342" ht="15.75" customHeight="1">
      <c r="A342" s="8"/>
      <c r="B342" s="2"/>
      <c r="C342" s="8"/>
      <c r="D342" s="8"/>
      <c r="E342" s="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3"/>
      <c r="W342" s="3"/>
      <c r="X342" s="3"/>
      <c r="Y342" s="3"/>
      <c r="Z342" s="3"/>
      <c r="AA342" s="3"/>
      <c r="AB342" s="3"/>
    </row>
    <row r="343" ht="15.75" customHeight="1">
      <c r="A343" s="8"/>
      <c r="B343" s="2"/>
      <c r="C343" s="8"/>
      <c r="D343" s="8"/>
      <c r="E343" s="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3"/>
      <c r="W343" s="3"/>
      <c r="X343" s="3"/>
      <c r="Y343" s="3"/>
      <c r="Z343" s="3"/>
      <c r="AA343" s="3"/>
      <c r="AB343" s="3"/>
    </row>
    <row r="344" ht="15.75" customHeight="1">
      <c r="A344" s="8"/>
      <c r="B344" s="2"/>
      <c r="C344" s="8"/>
      <c r="D344" s="8"/>
      <c r="E344" s="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3"/>
      <c r="W344" s="3"/>
      <c r="X344" s="3"/>
      <c r="Y344" s="3"/>
      <c r="Z344" s="3"/>
      <c r="AA344" s="3"/>
      <c r="AB344" s="3"/>
    </row>
    <row r="345" ht="15.75" customHeight="1">
      <c r="A345" s="8"/>
      <c r="B345" s="2"/>
      <c r="C345" s="8"/>
      <c r="D345" s="8"/>
      <c r="E345" s="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3"/>
      <c r="W345" s="3"/>
      <c r="X345" s="3"/>
      <c r="Y345" s="3"/>
      <c r="Z345" s="3"/>
      <c r="AA345" s="3"/>
      <c r="AB345" s="3"/>
    </row>
    <row r="346" ht="15.75" customHeight="1">
      <c r="A346" s="8"/>
      <c r="B346" s="2"/>
      <c r="C346" s="8"/>
      <c r="D346" s="8"/>
      <c r="E346" s="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3"/>
      <c r="W346" s="3"/>
      <c r="X346" s="3"/>
      <c r="Y346" s="3"/>
      <c r="Z346" s="3"/>
      <c r="AA346" s="3"/>
      <c r="AB346" s="3"/>
    </row>
    <row r="347" ht="15.75" customHeight="1">
      <c r="A347" s="8"/>
      <c r="B347" s="2"/>
      <c r="C347" s="8"/>
      <c r="D347" s="8"/>
      <c r="E347" s="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"/>
      <c r="W347" s="3"/>
      <c r="X347" s="3"/>
      <c r="Y347" s="3"/>
      <c r="Z347" s="3"/>
      <c r="AA347" s="3"/>
      <c r="AB347" s="3"/>
    </row>
    <row r="348" ht="15.75" customHeight="1">
      <c r="A348" s="8"/>
      <c r="B348" s="2"/>
      <c r="C348" s="8"/>
      <c r="D348" s="8"/>
      <c r="E348" s="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3"/>
      <c r="W348" s="3"/>
      <c r="X348" s="3"/>
      <c r="Y348" s="3"/>
      <c r="Z348" s="3"/>
      <c r="AA348" s="3"/>
      <c r="AB348" s="3"/>
    </row>
    <row r="349" ht="15.75" customHeight="1">
      <c r="A349" s="8"/>
      <c r="B349" s="2"/>
      <c r="C349" s="8"/>
      <c r="D349" s="8"/>
      <c r="E349" s="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3"/>
      <c r="W349" s="3"/>
      <c r="X349" s="3"/>
      <c r="Y349" s="3"/>
      <c r="Z349" s="3"/>
      <c r="AA349" s="3"/>
      <c r="AB349" s="3"/>
    </row>
    <row r="350" ht="15.75" customHeight="1">
      <c r="A350" s="8"/>
      <c r="B350" s="2"/>
      <c r="C350" s="8"/>
      <c r="D350" s="8"/>
      <c r="E350" s="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3"/>
      <c r="W350" s="3"/>
      <c r="X350" s="3"/>
      <c r="Y350" s="3"/>
      <c r="Z350" s="3"/>
      <c r="AA350" s="3"/>
      <c r="AB350" s="3"/>
    </row>
    <row r="351" ht="15.75" customHeight="1">
      <c r="A351" s="8"/>
      <c r="B351" s="2"/>
      <c r="C351" s="8"/>
      <c r="D351" s="8"/>
      <c r="E351" s="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3"/>
      <c r="W351" s="3"/>
      <c r="X351" s="3"/>
      <c r="Y351" s="3"/>
      <c r="Z351" s="3"/>
      <c r="AA351" s="3"/>
      <c r="AB351" s="3"/>
    </row>
    <row r="352" ht="15.75" customHeight="1">
      <c r="A352" s="8"/>
      <c r="B352" s="2"/>
      <c r="C352" s="8"/>
      <c r="D352" s="8"/>
      <c r="E352" s="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3"/>
      <c r="W352" s="3"/>
      <c r="X352" s="3"/>
      <c r="Y352" s="3"/>
      <c r="Z352" s="3"/>
      <c r="AA352" s="3"/>
      <c r="AB352" s="3"/>
    </row>
    <row r="353" ht="15.75" customHeight="1">
      <c r="A353" s="8"/>
      <c r="B353" s="2"/>
      <c r="C353" s="8"/>
      <c r="D353" s="8"/>
      <c r="E353" s="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3"/>
      <c r="W353" s="3"/>
      <c r="X353" s="3"/>
      <c r="Y353" s="3"/>
      <c r="Z353" s="3"/>
      <c r="AA353" s="3"/>
      <c r="AB353" s="3"/>
    </row>
    <row r="354" ht="15.75" customHeight="1">
      <c r="A354" s="8"/>
      <c r="B354" s="2"/>
      <c r="C354" s="8"/>
      <c r="D354" s="8"/>
      <c r="E354" s="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3"/>
      <c r="W354" s="3"/>
      <c r="X354" s="3"/>
      <c r="Y354" s="3"/>
      <c r="Z354" s="3"/>
      <c r="AA354" s="3"/>
      <c r="AB354" s="3"/>
    </row>
    <row r="355" ht="15.75" customHeight="1">
      <c r="A355" s="8"/>
      <c r="B355" s="2"/>
      <c r="C355" s="8"/>
      <c r="D355" s="8"/>
      <c r="E355" s="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3"/>
      <c r="W355" s="3"/>
      <c r="X355" s="3"/>
      <c r="Y355" s="3"/>
      <c r="Z355" s="3"/>
      <c r="AA355" s="3"/>
      <c r="AB355" s="3"/>
    </row>
    <row r="356" ht="15.75" customHeight="1">
      <c r="A356" s="8"/>
      <c r="B356" s="2"/>
      <c r="C356" s="8"/>
      <c r="D356" s="8"/>
      <c r="E356" s="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3"/>
      <c r="W356" s="3"/>
      <c r="X356" s="3"/>
      <c r="Y356" s="3"/>
      <c r="Z356" s="3"/>
      <c r="AA356" s="3"/>
      <c r="AB356" s="3"/>
    </row>
    <row r="357" ht="15.75" customHeight="1">
      <c r="A357" s="8"/>
      <c r="B357" s="2"/>
      <c r="C357" s="8"/>
      <c r="D357" s="8"/>
      <c r="E357" s="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3"/>
      <c r="W357" s="3"/>
      <c r="X357" s="3"/>
      <c r="Y357" s="3"/>
      <c r="Z357" s="3"/>
      <c r="AA357" s="3"/>
      <c r="AB357" s="3"/>
    </row>
    <row r="358" ht="15.75" customHeight="1">
      <c r="A358" s="8"/>
      <c r="B358" s="2"/>
      <c r="C358" s="8"/>
      <c r="D358" s="8"/>
      <c r="E358" s="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3"/>
      <c r="W358" s="3"/>
      <c r="X358" s="3"/>
      <c r="Y358" s="3"/>
      <c r="Z358" s="3"/>
      <c r="AA358" s="3"/>
      <c r="AB358" s="3"/>
    </row>
    <row r="359" ht="15.75" customHeight="1">
      <c r="A359" s="8"/>
      <c r="B359" s="2"/>
      <c r="C359" s="8"/>
      <c r="D359" s="8"/>
      <c r="E359" s="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3"/>
      <c r="W359" s="3"/>
      <c r="X359" s="3"/>
      <c r="Y359" s="3"/>
      <c r="Z359" s="3"/>
      <c r="AA359" s="3"/>
      <c r="AB359" s="3"/>
    </row>
    <row r="360" ht="15.75" customHeight="1">
      <c r="A360" s="8"/>
      <c r="B360" s="2"/>
      <c r="C360" s="8"/>
      <c r="D360" s="8"/>
      <c r="E360" s="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"/>
      <c r="W360" s="3"/>
      <c r="X360" s="3"/>
      <c r="Y360" s="3"/>
      <c r="Z360" s="3"/>
      <c r="AA360" s="3"/>
      <c r="AB360" s="3"/>
    </row>
    <row r="361" ht="15.75" customHeight="1">
      <c r="A361" s="8"/>
      <c r="B361" s="2"/>
      <c r="C361" s="8"/>
      <c r="D361" s="8"/>
      <c r="E361" s="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3"/>
      <c r="W361" s="3"/>
      <c r="X361" s="3"/>
      <c r="Y361" s="3"/>
      <c r="Z361" s="3"/>
      <c r="AA361" s="3"/>
      <c r="AB361" s="3"/>
    </row>
    <row r="362" ht="15.75" customHeight="1">
      <c r="A362" s="8"/>
      <c r="B362" s="2"/>
      <c r="C362" s="8"/>
      <c r="D362" s="8"/>
      <c r="E362" s="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3"/>
      <c r="W362" s="3"/>
      <c r="X362" s="3"/>
      <c r="Y362" s="3"/>
      <c r="Z362" s="3"/>
      <c r="AA362" s="3"/>
      <c r="AB362" s="3"/>
    </row>
    <row r="363" ht="15.75" customHeight="1">
      <c r="A363" s="8"/>
      <c r="B363" s="2"/>
      <c r="C363" s="8"/>
      <c r="D363" s="8"/>
      <c r="E363" s="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3"/>
      <c r="W363" s="3"/>
      <c r="X363" s="3"/>
      <c r="Y363" s="3"/>
      <c r="Z363" s="3"/>
      <c r="AA363" s="3"/>
      <c r="AB363" s="3"/>
    </row>
    <row r="364" ht="15.75" customHeight="1">
      <c r="A364" s="8"/>
      <c r="B364" s="2"/>
      <c r="C364" s="8"/>
      <c r="D364" s="8"/>
      <c r="E364" s="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3"/>
      <c r="W364" s="3"/>
      <c r="X364" s="3"/>
      <c r="Y364" s="3"/>
      <c r="Z364" s="3"/>
      <c r="AA364" s="3"/>
      <c r="AB364" s="3"/>
    </row>
    <row r="365" ht="15.75" customHeight="1">
      <c r="A365" s="8"/>
      <c r="B365" s="2"/>
      <c r="C365" s="8"/>
      <c r="D365" s="8"/>
      <c r="E365" s="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3"/>
      <c r="W365" s="3"/>
      <c r="X365" s="3"/>
      <c r="Y365" s="3"/>
      <c r="Z365" s="3"/>
      <c r="AA365" s="3"/>
      <c r="AB365" s="3"/>
    </row>
    <row r="366" ht="15.75" customHeight="1">
      <c r="A366" s="8"/>
      <c r="B366" s="2"/>
      <c r="C366" s="8"/>
      <c r="D366" s="8"/>
      <c r="E366" s="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3"/>
      <c r="W366" s="3"/>
      <c r="X366" s="3"/>
      <c r="Y366" s="3"/>
      <c r="Z366" s="3"/>
      <c r="AA366" s="3"/>
      <c r="AB366" s="3"/>
    </row>
    <row r="367" ht="15.75" customHeight="1">
      <c r="A367" s="8"/>
      <c r="B367" s="2"/>
      <c r="C367" s="8"/>
      <c r="D367" s="8"/>
      <c r="E367" s="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3"/>
      <c r="W367" s="3"/>
      <c r="X367" s="3"/>
      <c r="Y367" s="3"/>
      <c r="Z367" s="3"/>
      <c r="AA367" s="3"/>
      <c r="AB367" s="3"/>
    </row>
    <row r="368" ht="15.75" customHeight="1">
      <c r="A368" s="8"/>
      <c r="B368" s="2"/>
      <c r="C368" s="8"/>
      <c r="D368" s="8"/>
      <c r="E368" s="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3"/>
      <c r="W368" s="3"/>
      <c r="X368" s="3"/>
      <c r="Y368" s="3"/>
      <c r="Z368" s="3"/>
      <c r="AA368" s="3"/>
      <c r="AB368" s="3"/>
    </row>
    <row r="369" ht="15.75" customHeight="1">
      <c r="A369" s="8"/>
      <c r="B369" s="2"/>
      <c r="C369" s="8"/>
      <c r="D369" s="8"/>
      <c r="E369" s="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3"/>
      <c r="W369" s="3"/>
      <c r="X369" s="3"/>
      <c r="Y369" s="3"/>
      <c r="Z369" s="3"/>
      <c r="AA369" s="3"/>
      <c r="AB369" s="3"/>
    </row>
    <row r="370" ht="15.75" customHeight="1">
      <c r="A370" s="8"/>
      <c r="B370" s="2"/>
      <c r="C370" s="8"/>
      <c r="D370" s="8"/>
      <c r="E370" s="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3"/>
      <c r="W370" s="3"/>
      <c r="X370" s="3"/>
      <c r="Y370" s="3"/>
      <c r="Z370" s="3"/>
      <c r="AA370" s="3"/>
      <c r="AB370" s="3"/>
    </row>
    <row r="371" ht="15.75" customHeight="1">
      <c r="A371" s="8"/>
      <c r="B371" s="2"/>
      <c r="C371" s="8"/>
      <c r="D371" s="8"/>
      <c r="E371" s="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3"/>
      <c r="W371" s="3"/>
      <c r="X371" s="3"/>
      <c r="Y371" s="3"/>
      <c r="Z371" s="3"/>
      <c r="AA371" s="3"/>
      <c r="AB371" s="3"/>
    </row>
    <row r="372" ht="15.75" customHeight="1">
      <c r="A372" s="8"/>
      <c r="B372" s="2"/>
      <c r="C372" s="8"/>
      <c r="D372" s="8"/>
      <c r="E372" s="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3"/>
      <c r="W372" s="3"/>
      <c r="X372" s="3"/>
      <c r="Y372" s="3"/>
      <c r="Z372" s="3"/>
      <c r="AA372" s="3"/>
      <c r="AB372" s="3"/>
    </row>
    <row r="373" ht="15.75" customHeight="1">
      <c r="A373" s="8"/>
      <c r="B373" s="2"/>
      <c r="C373" s="8"/>
      <c r="D373" s="8"/>
      <c r="E373" s="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3"/>
      <c r="W373" s="3"/>
      <c r="X373" s="3"/>
      <c r="Y373" s="3"/>
      <c r="Z373" s="3"/>
      <c r="AA373" s="3"/>
      <c r="AB373" s="3"/>
    </row>
    <row r="374" ht="15.75" customHeight="1">
      <c r="A374" s="8"/>
      <c r="B374" s="2"/>
      <c r="C374" s="8"/>
      <c r="D374" s="8"/>
      <c r="E374" s="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3"/>
      <c r="W374" s="3"/>
      <c r="X374" s="3"/>
      <c r="Y374" s="3"/>
      <c r="Z374" s="3"/>
      <c r="AA374" s="3"/>
      <c r="AB374" s="3"/>
    </row>
    <row r="375" ht="15.75" customHeight="1">
      <c r="A375" s="8"/>
      <c r="B375" s="2"/>
      <c r="C375" s="8"/>
      <c r="D375" s="8"/>
      <c r="E375" s="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3"/>
      <c r="W375" s="3"/>
      <c r="X375" s="3"/>
      <c r="Y375" s="3"/>
      <c r="Z375" s="3"/>
      <c r="AA375" s="3"/>
      <c r="AB375" s="3"/>
    </row>
    <row r="376" ht="15.75" customHeight="1">
      <c r="A376" s="8"/>
      <c r="B376" s="2"/>
      <c r="C376" s="8"/>
      <c r="D376" s="8"/>
      <c r="E376" s="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"/>
      <c r="W376" s="3"/>
      <c r="X376" s="3"/>
      <c r="Y376" s="3"/>
      <c r="Z376" s="3"/>
      <c r="AA376" s="3"/>
      <c r="AB376" s="3"/>
    </row>
    <row r="377" ht="15.75" customHeight="1">
      <c r="A377" s="8"/>
      <c r="B377" s="2"/>
      <c r="C377" s="8"/>
      <c r="D377" s="8"/>
      <c r="E377" s="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3"/>
      <c r="W377" s="3"/>
      <c r="X377" s="3"/>
      <c r="Y377" s="3"/>
      <c r="Z377" s="3"/>
      <c r="AA377" s="3"/>
      <c r="AB377" s="3"/>
    </row>
    <row r="378" ht="15.75" customHeight="1">
      <c r="A378" s="8"/>
      <c r="B378" s="2"/>
      <c r="C378" s="8"/>
      <c r="D378" s="8"/>
      <c r="E378" s="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3"/>
      <c r="W378" s="3"/>
      <c r="X378" s="3"/>
      <c r="Y378" s="3"/>
      <c r="Z378" s="3"/>
      <c r="AA378" s="3"/>
      <c r="AB378" s="3"/>
    </row>
    <row r="379" ht="15.75" customHeight="1">
      <c r="A379" s="8"/>
      <c r="B379" s="2"/>
      <c r="C379" s="8"/>
      <c r="D379" s="8"/>
      <c r="E379" s="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3"/>
      <c r="W379" s="3"/>
      <c r="X379" s="3"/>
      <c r="Y379" s="3"/>
      <c r="Z379" s="3"/>
      <c r="AA379" s="3"/>
      <c r="AB379" s="3"/>
    </row>
    <row r="380" ht="15.75" customHeight="1">
      <c r="A380" s="8"/>
      <c r="B380" s="2"/>
      <c r="C380" s="8"/>
      <c r="D380" s="8"/>
      <c r="E380" s="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3"/>
      <c r="W380" s="3"/>
      <c r="X380" s="3"/>
      <c r="Y380" s="3"/>
      <c r="Z380" s="3"/>
      <c r="AA380" s="3"/>
      <c r="AB380" s="3"/>
    </row>
    <row r="381" ht="15.75" customHeight="1">
      <c r="A381" s="8"/>
      <c r="B381" s="2"/>
      <c r="C381" s="8"/>
      <c r="D381" s="8"/>
      <c r="E381" s="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3"/>
      <c r="W381" s="3"/>
      <c r="X381" s="3"/>
      <c r="Y381" s="3"/>
      <c r="Z381" s="3"/>
      <c r="AA381" s="3"/>
      <c r="AB381" s="3"/>
    </row>
    <row r="382" ht="15.75" customHeight="1">
      <c r="A382" s="8"/>
      <c r="B382" s="2"/>
      <c r="C382" s="8"/>
      <c r="D382" s="8"/>
      <c r="E382" s="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3"/>
      <c r="W382" s="3"/>
      <c r="X382" s="3"/>
      <c r="Y382" s="3"/>
      <c r="Z382" s="3"/>
      <c r="AA382" s="3"/>
      <c r="AB382" s="3"/>
    </row>
    <row r="383" ht="15.75" customHeight="1">
      <c r="A383" s="8"/>
      <c r="B383" s="2"/>
      <c r="C383" s="8"/>
      <c r="D383" s="8"/>
      <c r="E383" s="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3"/>
      <c r="W383" s="3"/>
      <c r="X383" s="3"/>
      <c r="Y383" s="3"/>
      <c r="Z383" s="3"/>
      <c r="AA383" s="3"/>
      <c r="AB383" s="3"/>
    </row>
    <row r="384" ht="15.75" customHeight="1">
      <c r="A384" s="8"/>
      <c r="B384" s="2"/>
      <c r="C384" s="8"/>
      <c r="D384" s="8"/>
      <c r="E384" s="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3"/>
      <c r="W384" s="3"/>
      <c r="X384" s="3"/>
      <c r="Y384" s="3"/>
      <c r="Z384" s="3"/>
      <c r="AA384" s="3"/>
      <c r="AB384" s="3"/>
    </row>
    <row r="385" ht="15.75" customHeight="1">
      <c r="A385" s="8"/>
      <c r="B385" s="2"/>
      <c r="C385" s="8"/>
      <c r="D385" s="8"/>
      <c r="E385" s="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3"/>
      <c r="W385" s="3"/>
      <c r="X385" s="3"/>
      <c r="Y385" s="3"/>
      <c r="Z385" s="3"/>
      <c r="AA385" s="3"/>
      <c r="AB385" s="3"/>
    </row>
    <row r="386" ht="15.75" customHeight="1">
      <c r="A386" s="8"/>
      <c r="B386" s="2"/>
      <c r="C386" s="8"/>
      <c r="D386" s="8"/>
      <c r="E386" s="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3"/>
      <c r="W386" s="3"/>
      <c r="X386" s="3"/>
      <c r="Y386" s="3"/>
      <c r="Z386" s="3"/>
      <c r="AA386" s="3"/>
      <c r="AB386" s="3"/>
    </row>
    <row r="387" ht="15.75" customHeight="1">
      <c r="A387" s="8"/>
      <c r="B387" s="2"/>
      <c r="C387" s="8"/>
      <c r="D387" s="8"/>
      <c r="E387" s="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3"/>
      <c r="W387" s="3"/>
      <c r="X387" s="3"/>
      <c r="Y387" s="3"/>
      <c r="Z387" s="3"/>
      <c r="AA387" s="3"/>
      <c r="AB387" s="3"/>
    </row>
    <row r="388" ht="15.75" customHeight="1">
      <c r="A388" s="8"/>
      <c r="B388" s="2"/>
      <c r="C388" s="8"/>
      <c r="D388" s="8"/>
      <c r="E388" s="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3"/>
      <c r="W388" s="3"/>
      <c r="X388" s="3"/>
      <c r="Y388" s="3"/>
      <c r="Z388" s="3"/>
      <c r="AA388" s="3"/>
      <c r="AB388" s="3"/>
    </row>
    <row r="389" ht="15.75" customHeight="1">
      <c r="A389" s="8"/>
      <c r="B389" s="2"/>
      <c r="C389" s="8"/>
      <c r="D389" s="8"/>
      <c r="E389" s="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3"/>
      <c r="W389" s="3"/>
      <c r="X389" s="3"/>
      <c r="Y389" s="3"/>
      <c r="Z389" s="3"/>
      <c r="AA389" s="3"/>
      <c r="AB389" s="3"/>
    </row>
    <row r="390" ht="15.75" customHeight="1">
      <c r="A390" s="8"/>
      <c r="B390" s="2"/>
      <c r="C390" s="8"/>
      <c r="D390" s="8"/>
      <c r="E390" s="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"/>
      <c r="W390" s="3"/>
      <c r="X390" s="3"/>
      <c r="Y390" s="3"/>
      <c r="Z390" s="3"/>
      <c r="AA390" s="3"/>
      <c r="AB390" s="3"/>
    </row>
    <row r="391" ht="15.75" customHeight="1">
      <c r="A391" s="8"/>
      <c r="B391" s="2"/>
      <c r="C391" s="8"/>
      <c r="D391" s="8"/>
      <c r="E391" s="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3"/>
      <c r="W391" s="3"/>
      <c r="X391" s="3"/>
      <c r="Y391" s="3"/>
      <c r="Z391" s="3"/>
      <c r="AA391" s="3"/>
      <c r="AB391" s="3"/>
    </row>
    <row r="392" ht="15.75" customHeight="1">
      <c r="A392" s="8"/>
      <c r="B392" s="2"/>
      <c r="C392" s="8"/>
      <c r="D392" s="8"/>
      <c r="E392" s="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3"/>
      <c r="W392" s="3"/>
      <c r="X392" s="3"/>
      <c r="Y392" s="3"/>
      <c r="Z392" s="3"/>
      <c r="AA392" s="3"/>
      <c r="AB392" s="3"/>
    </row>
    <row r="393" ht="15.75" customHeight="1">
      <c r="A393" s="8"/>
      <c r="B393" s="2"/>
      <c r="C393" s="8"/>
      <c r="D393" s="8"/>
      <c r="E393" s="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3"/>
      <c r="W393" s="3"/>
      <c r="X393" s="3"/>
      <c r="Y393" s="3"/>
      <c r="Z393" s="3"/>
      <c r="AA393" s="3"/>
      <c r="AB393" s="3"/>
    </row>
    <row r="394" ht="15.75" customHeight="1">
      <c r="A394" s="8"/>
      <c r="B394" s="2"/>
      <c r="C394" s="8"/>
      <c r="D394" s="8"/>
      <c r="E394" s="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3"/>
      <c r="W394" s="3"/>
      <c r="X394" s="3"/>
      <c r="Y394" s="3"/>
      <c r="Z394" s="3"/>
      <c r="AA394" s="3"/>
      <c r="AB394" s="3"/>
    </row>
    <row r="395" ht="15.75" customHeight="1">
      <c r="A395" s="8"/>
      <c r="B395" s="2"/>
      <c r="C395" s="8"/>
      <c r="D395" s="8"/>
      <c r="E395" s="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3"/>
      <c r="W395" s="3"/>
      <c r="X395" s="3"/>
      <c r="Y395" s="3"/>
      <c r="Z395" s="3"/>
      <c r="AA395" s="3"/>
      <c r="AB395" s="3"/>
    </row>
    <row r="396" ht="15.75" customHeight="1">
      <c r="A396" s="8"/>
      <c r="B396" s="2"/>
      <c r="C396" s="8"/>
      <c r="D396" s="8"/>
      <c r="E396" s="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3"/>
      <c r="W396" s="3"/>
      <c r="X396" s="3"/>
      <c r="Y396" s="3"/>
      <c r="Z396" s="3"/>
      <c r="AA396" s="3"/>
      <c r="AB396" s="3"/>
    </row>
    <row r="397" ht="15.75" customHeight="1">
      <c r="A397" s="8"/>
      <c r="B397" s="2"/>
      <c r="C397" s="8"/>
      <c r="D397" s="8"/>
      <c r="E397" s="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3"/>
      <c r="W397" s="3"/>
      <c r="X397" s="3"/>
      <c r="Y397" s="3"/>
      <c r="Z397" s="3"/>
      <c r="AA397" s="3"/>
      <c r="AB397" s="3"/>
    </row>
    <row r="398" ht="15.75" customHeight="1">
      <c r="A398" s="8"/>
      <c r="B398" s="2"/>
      <c r="C398" s="8"/>
      <c r="D398" s="8"/>
      <c r="E398" s="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3"/>
      <c r="W398" s="3"/>
      <c r="X398" s="3"/>
      <c r="Y398" s="3"/>
      <c r="Z398" s="3"/>
      <c r="AA398" s="3"/>
      <c r="AB398" s="3"/>
    </row>
    <row r="399" ht="15.75" customHeight="1">
      <c r="A399" s="8"/>
      <c r="B399" s="2"/>
      <c r="C399" s="8"/>
      <c r="D399" s="8"/>
      <c r="E399" s="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3"/>
      <c r="W399" s="3"/>
      <c r="X399" s="3"/>
      <c r="Y399" s="3"/>
      <c r="Z399" s="3"/>
      <c r="AA399" s="3"/>
      <c r="AB399" s="3"/>
    </row>
    <row r="400" ht="15.75" customHeight="1">
      <c r="A400" s="8"/>
      <c r="B400" s="2"/>
      <c r="C400" s="8"/>
      <c r="D400" s="8"/>
      <c r="E400" s="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3"/>
      <c r="W400" s="3"/>
      <c r="X400" s="3"/>
      <c r="Y400" s="3"/>
      <c r="Z400" s="3"/>
      <c r="AA400" s="3"/>
      <c r="AB400" s="3"/>
    </row>
    <row r="401" ht="15.75" customHeight="1">
      <c r="A401" s="8"/>
      <c r="B401" s="2"/>
      <c r="C401" s="8"/>
      <c r="D401" s="8"/>
      <c r="E401" s="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3"/>
      <c r="W401" s="3"/>
      <c r="X401" s="3"/>
      <c r="Y401" s="3"/>
      <c r="Z401" s="3"/>
      <c r="AA401" s="3"/>
      <c r="AB401" s="3"/>
    </row>
    <row r="402" ht="15.75" customHeight="1">
      <c r="A402" s="8"/>
      <c r="B402" s="2"/>
      <c r="C402" s="8"/>
      <c r="D402" s="8"/>
      <c r="E402" s="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3"/>
      <c r="W402" s="3"/>
      <c r="X402" s="3"/>
      <c r="Y402" s="3"/>
      <c r="Z402" s="3"/>
      <c r="AA402" s="3"/>
      <c r="AB402" s="3"/>
    </row>
    <row r="403" ht="15.75" customHeight="1">
      <c r="A403" s="8"/>
      <c r="B403" s="2"/>
      <c r="C403" s="8"/>
      <c r="D403" s="8"/>
      <c r="E403" s="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3"/>
      <c r="W403" s="3"/>
      <c r="X403" s="3"/>
      <c r="Y403" s="3"/>
      <c r="Z403" s="3"/>
      <c r="AA403" s="3"/>
      <c r="AB403" s="3"/>
    </row>
    <row r="404" ht="15.75" customHeight="1">
      <c r="A404" s="8"/>
      <c r="B404" s="2"/>
      <c r="C404" s="8"/>
      <c r="D404" s="8"/>
      <c r="E404" s="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3"/>
      <c r="W404" s="3"/>
      <c r="X404" s="3"/>
      <c r="Y404" s="3"/>
      <c r="Z404" s="3"/>
      <c r="AA404" s="3"/>
      <c r="AB404" s="3"/>
    </row>
    <row r="405" ht="15.75" customHeight="1">
      <c r="A405" s="8"/>
      <c r="B405" s="2"/>
      <c r="C405" s="8"/>
      <c r="D405" s="8"/>
      <c r="E405" s="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3"/>
      <c r="W405" s="3"/>
      <c r="X405" s="3"/>
      <c r="Y405" s="3"/>
      <c r="Z405" s="3"/>
      <c r="AA405" s="3"/>
      <c r="AB405" s="3"/>
    </row>
    <row r="406" ht="15.75" customHeight="1">
      <c r="A406" s="8"/>
      <c r="B406" s="2"/>
      <c r="C406" s="8"/>
      <c r="D406" s="8"/>
      <c r="E406" s="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3"/>
      <c r="W406" s="3"/>
      <c r="X406" s="3"/>
      <c r="Y406" s="3"/>
      <c r="Z406" s="3"/>
      <c r="AA406" s="3"/>
      <c r="AB406" s="3"/>
    </row>
    <row r="407" ht="15.75" customHeight="1">
      <c r="A407" s="8"/>
      <c r="B407" s="2"/>
      <c r="C407" s="8"/>
      <c r="D407" s="8"/>
      <c r="E407" s="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3"/>
      <c r="W407" s="3"/>
      <c r="X407" s="3"/>
      <c r="Y407" s="3"/>
      <c r="Z407" s="3"/>
      <c r="AA407" s="3"/>
      <c r="AB407" s="3"/>
    </row>
    <row r="408" ht="15.75" customHeight="1">
      <c r="A408" s="8"/>
      <c r="B408" s="2"/>
      <c r="C408" s="8"/>
      <c r="D408" s="8"/>
      <c r="E408" s="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3"/>
      <c r="W408" s="3"/>
      <c r="X408" s="3"/>
      <c r="Y408" s="3"/>
      <c r="Z408" s="3"/>
      <c r="AA408" s="3"/>
      <c r="AB408" s="3"/>
    </row>
    <row r="409" ht="15.75" customHeight="1">
      <c r="A409" s="8"/>
      <c r="B409" s="2"/>
      <c r="C409" s="8"/>
      <c r="D409" s="8"/>
      <c r="E409" s="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3"/>
      <c r="W409" s="3"/>
      <c r="X409" s="3"/>
      <c r="Y409" s="3"/>
      <c r="Z409" s="3"/>
      <c r="AA409" s="3"/>
      <c r="AB409" s="3"/>
    </row>
    <row r="410" ht="15.75" customHeight="1">
      <c r="A410" s="8"/>
      <c r="B410" s="2"/>
      <c r="C410" s="8"/>
      <c r="D410" s="8"/>
      <c r="E410" s="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3"/>
      <c r="W410" s="3"/>
      <c r="X410" s="3"/>
      <c r="Y410" s="3"/>
      <c r="Z410" s="3"/>
      <c r="AA410" s="3"/>
      <c r="AB410" s="3"/>
    </row>
    <row r="411" ht="15.75" customHeight="1">
      <c r="A411" s="8"/>
      <c r="B411" s="2"/>
      <c r="C411" s="8"/>
      <c r="D411" s="8"/>
      <c r="E411" s="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3"/>
      <c r="W411" s="3"/>
      <c r="X411" s="3"/>
      <c r="Y411" s="3"/>
      <c r="Z411" s="3"/>
      <c r="AA411" s="3"/>
      <c r="AB411" s="3"/>
    </row>
    <row r="412" ht="15.75" customHeight="1">
      <c r="A412" s="8"/>
      <c r="B412" s="2"/>
      <c r="C412" s="8"/>
      <c r="D412" s="8"/>
      <c r="E412" s="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3"/>
      <c r="W412" s="3"/>
      <c r="X412" s="3"/>
      <c r="Y412" s="3"/>
      <c r="Z412" s="3"/>
      <c r="AA412" s="3"/>
      <c r="AB412" s="3"/>
    </row>
    <row r="413" ht="15.75" customHeight="1">
      <c r="A413" s="8"/>
      <c r="B413" s="2"/>
      <c r="C413" s="8"/>
      <c r="D413" s="8"/>
      <c r="E413" s="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3"/>
      <c r="W413" s="3"/>
      <c r="X413" s="3"/>
      <c r="Y413" s="3"/>
      <c r="Z413" s="3"/>
      <c r="AA413" s="3"/>
      <c r="AB413" s="3"/>
    </row>
    <row r="414" ht="15.75" customHeight="1">
      <c r="A414" s="8"/>
      <c r="B414" s="2"/>
      <c r="C414" s="8"/>
      <c r="D414" s="8"/>
      <c r="E414" s="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3"/>
      <c r="W414" s="3"/>
      <c r="X414" s="3"/>
      <c r="Y414" s="3"/>
      <c r="Z414" s="3"/>
      <c r="AA414" s="3"/>
      <c r="AB414" s="3"/>
    </row>
    <row r="415" ht="15.75" customHeight="1">
      <c r="A415" s="8"/>
      <c r="B415" s="2"/>
      <c r="C415" s="8"/>
      <c r="D415" s="8"/>
      <c r="E415" s="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3"/>
      <c r="W415" s="3"/>
      <c r="X415" s="3"/>
      <c r="Y415" s="3"/>
      <c r="Z415" s="3"/>
      <c r="AA415" s="3"/>
      <c r="AB415" s="3"/>
    </row>
    <row r="416" ht="15.75" customHeight="1">
      <c r="A416" s="8"/>
      <c r="B416" s="2"/>
      <c r="C416" s="8"/>
      <c r="D416" s="8"/>
      <c r="E416" s="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3"/>
      <c r="W416" s="3"/>
      <c r="X416" s="3"/>
      <c r="Y416" s="3"/>
      <c r="Z416" s="3"/>
      <c r="AA416" s="3"/>
      <c r="AB416" s="3"/>
    </row>
    <row r="417" ht="15.75" customHeight="1">
      <c r="A417" s="8"/>
      <c r="B417" s="2"/>
      <c r="C417" s="8"/>
      <c r="D417" s="8"/>
      <c r="E417" s="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3"/>
      <c r="W417" s="3"/>
      <c r="X417" s="3"/>
      <c r="Y417" s="3"/>
      <c r="Z417" s="3"/>
      <c r="AA417" s="3"/>
      <c r="AB417" s="3"/>
    </row>
    <row r="418" ht="15.75" customHeight="1">
      <c r="A418" s="8"/>
      <c r="B418" s="2"/>
      <c r="C418" s="8"/>
      <c r="D418" s="8"/>
      <c r="E418" s="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3"/>
      <c r="W418" s="3"/>
      <c r="X418" s="3"/>
      <c r="Y418" s="3"/>
      <c r="Z418" s="3"/>
      <c r="AA418" s="3"/>
      <c r="AB418" s="3"/>
    </row>
    <row r="419" ht="15.75" customHeight="1">
      <c r="A419" s="8"/>
      <c r="B419" s="2"/>
      <c r="C419" s="8"/>
      <c r="D419" s="8"/>
      <c r="E419" s="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"/>
      <c r="W419" s="3"/>
      <c r="X419" s="3"/>
      <c r="Y419" s="3"/>
      <c r="Z419" s="3"/>
      <c r="AA419" s="3"/>
      <c r="AB419" s="3"/>
    </row>
    <row r="420" ht="15.75" customHeight="1">
      <c r="A420" s="8"/>
      <c r="B420" s="2"/>
      <c r="C420" s="8"/>
      <c r="D420" s="8"/>
      <c r="E420" s="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3"/>
      <c r="W420" s="3"/>
      <c r="X420" s="3"/>
      <c r="Y420" s="3"/>
      <c r="Z420" s="3"/>
      <c r="AA420" s="3"/>
      <c r="AB420" s="3"/>
    </row>
    <row r="421" ht="15.75" customHeight="1">
      <c r="A421" s="8"/>
      <c r="B421" s="2"/>
      <c r="C421" s="8"/>
      <c r="D421" s="8"/>
      <c r="E421" s="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3"/>
      <c r="W421" s="3"/>
      <c r="X421" s="3"/>
      <c r="Y421" s="3"/>
      <c r="Z421" s="3"/>
      <c r="AA421" s="3"/>
      <c r="AB421" s="3"/>
    </row>
    <row r="422" ht="15.75" customHeight="1">
      <c r="A422" s="8"/>
      <c r="B422" s="2"/>
      <c r="C422" s="8"/>
      <c r="D422" s="8"/>
      <c r="E422" s="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3"/>
      <c r="W422" s="3"/>
      <c r="X422" s="3"/>
      <c r="Y422" s="3"/>
      <c r="Z422" s="3"/>
      <c r="AA422" s="3"/>
      <c r="AB422" s="3"/>
    </row>
    <row r="423" ht="15.75" customHeight="1">
      <c r="A423" s="8"/>
      <c r="B423" s="2"/>
      <c r="C423" s="8"/>
      <c r="D423" s="8"/>
      <c r="E423" s="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3"/>
      <c r="W423" s="3"/>
      <c r="X423" s="3"/>
      <c r="Y423" s="3"/>
      <c r="Z423" s="3"/>
      <c r="AA423" s="3"/>
      <c r="AB423" s="3"/>
    </row>
    <row r="424" ht="15.75" customHeight="1">
      <c r="A424" s="8"/>
      <c r="B424" s="2"/>
      <c r="C424" s="8"/>
      <c r="D424" s="8"/>
      <c r="E424" s="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3"/>
      <c r="W424" s="3"/>
      <c r="X424" s="3"/>
      <c r="Y424" s="3"/>
      <c r="Z424" s="3"/>
      <c r="AA424" s="3"/>
      <c r="AB424" s="3"/>
    </row>
    <row r="425" ht="15.75" customHeight="1">
      <c r="A425" s="8"/>
      <c r="B425" s="2"/>
      <c r="C425" s="8"/>
      <c r="D425" s="8"/>
      <c r="E425" s="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3"/>
      <c r="W425" s="3"/>
      <c r="X425" s="3"/>
      <c r="Y425" s="3"/>
      <c r="Z425" s="3"/>
      <c r="AA425" s="3"/>
      <c r="AB425" s="3"/>
    </row>
    <row r="426" ht="15.75" customHeight="1">
      <c r="A426" s="8"/>
      <c r="B426" s="2"/>
      <c r="C426" s="8"/>
      <c r="D426" s="8"/>
      <c r="E426" s="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3"/>
      <c r="W426" s="3"/>
      <c r="X426" s="3"/>
      <c r="Y426" s="3"/>
      <c r="Z426" s="3"/>
      <c r="AA426" s="3"/>
      <c r="AB426" s="3"/>
    </row>
    <row r="427" ht="15.75" customHeight="1">
      <c r="A427" s="8"/>
      <c r="B427" s="2"/>
      <c r="C427" s="8"/>
      <c r="D427" s="8"/>
      <c r="E427" s="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3"/>
      <c r="W427" s="3"/>
      <c r="X427" s="3"/>
      <c r="Y427" s="3"/>
      <c r="Z427" s="3"/>
      <c r="AA427" s="3"/>
      <c r="AB427" s="3"/>
    </row>
    <row r="428" ht="15.75" customHeight="1">
      <c r="A428" s="8"/>
      <c r="B428" s="2"/>
      <c r="C428" s="8"/>
      <c r="D428" s="8"/>
      <c r="E428" s="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3"/>
      <c r="W428" s="3"/>
      <c r="X428" s="3"/>
      <c r="Y428" s="3"/>
      <c r="Z428" s="3"/>
      <c r="AA428" s="3"/>
      <c r="AB428" s="3"/>
    </row>
    <row r="429" ht="15.75" customHeight="1">
      <c r="A429" s="8"/>
      <c r="B429" s="2"/>
      <c r="C429" s="8"/>
      <c r="D429" s="8"/>
      <c r="E429" s="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3"/>
      <c r="W429" s="3"/>
      <c r="X429" s="3"/>
      <c r="Y429" s="3"/>
      <c r="Z429" s="3"/>
      <c r="AA429" s="3"/>
      <c r="AB429" s="3"/>
    </row>
    <row r="430" ht="15.75" customHeight="1">
      <c r="A430" s="8"/>
      <c r="B430" s="2"/>
      <c r="C430" s="8"/>
      <c r="D430" s="8"/>
      <c r="E430" s="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3"/>
      <c r="W430" s="3"/>
      <c r="X430" s="3"/>
      <c r="Y430" s="3"/>
      <c r="Z430" s="3"/>
      <c r="AA430" s="3"/>
      <c r="AB430" s="3"/>
    </row>
    <row r="431" ht="15.75" customHeight="1">
      <c r="A431" s="8"/>
      <c r="B431" s="2"/>
      <c r="C431" s="8"/>
      <c r="D431" s="8"/>
      <c r="E431" s="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3"/>
      <c r="W431" s="3"/>
      <c r="X431" s="3"/>
      <c r="Y431" s="3"/>
      <c r="Z431" s="3"/>
      <c r="AA431" s="3"/>
      <c r="AB431" s="3"/>
    </row>
    <row r="432" ht="15.75" customHeight="1">
      <c r="A432" s="8"/>
      <c r="B432" s="2"/>
      <c r="C432" s="8"/>
      <c r="D432" s="8"/>
      <c r="E432" s="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3"/>
      <c r="W432" s="3"/>
      <c r="X432" s="3"/>
      <c r="Y432" s="3"/>
      <c r="Z432" s="3"/>
      <c r="AA432" s="3"/>
      <c r="AB432" s="3"/>
    </row>
    <row r="433" ht="15.75" customHeight="1">
      <c r="A433" s="8"/>
      <c r="B433" s="2"/>
      <c r="C433" s="8"/>
      <c r="D433" s="8"/>
      <c r="E433" s="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3"/>
      <c r="W433" s="3"/>
      <c r="X433" s="3"/>
      <c r="Y433" s="3"/>
      <c r="Z433" s="3"/>
      <c r="AA433" s="3"/>
      <c r="AB433" s="3"/>
    </row>
    <row r="434" ht="15.75" customHeight="1">
      <c r="A434" s="8"/>
      <c r="B434" s="2"/>
      <c r="C434" s="8"/>
      <c r="D434" s="8"/>
      <c r="E434" s="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3"/>
      <c r="W434" s="3"/>
      <c r="X434" s="3"/>
      <c r="Y434" s="3"/>
      <c r="Z434" s="3"/>
      <c r="AA434" s="3"/>
      <c r="AB434" s="3"/>
    </row>
    <row r="435" ht="15.75" customHeight="1">
      <c r="A435" s="8"/>
      <c r="B435" s="2"/>
      <c r="C435" s="8"/>
      <c r="D435" s="8"/>
      <c r="E435" s="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3"/>
      <c r="W435" s="3"/>
      <c r="X435" s="3"/>
      <c r="Y435" s="3"/>
      <c r="Z435" s="3"/>
      <c r="AA435" s="3"/>
      <c r="AB435" s="3"/>
    </row>
    <row r="436" ht="15.75" customHeight="1">
      <c r="A436" s="8"/>
      <c r="B436" s="2"/>
      <c r="C436" s="8"/>
      <c r="D436" s="8"/>
      <c r="E436" s="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3"/>
      <c r="W436" s="3"/>
      <c r="X436" s="3"/>
      <c r="Y436" s="3"/>
      <c r="Z436" s="3"/>
      <c r="AA436" s="3"/>
      <c r="AB436" s="3"/>
    </row>
    <row r="437" ht="15.75" customHeight="1">
      <c r="A437" s="8"/>
      <c r="B437" s="2"/>
      <c r="C437" s="8"/>
      <c r="D437" s="8"/>
      <c r="E437" s="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3"/>
      <c r="W437" s="3"/>
      <c r="X437" s="3"/>
      <c r="Y437" s="3"/>
      <c r="Z437" s="3"/>
      <c r="AA437" s="3"/>
      <c r="AB437" s="3"/>
    </row>
    <row r="438" ht="15.75" customHeight="1">
      <c r="A438" s="8"/>
      <c r="B438" s="2"/>
      <c r="C438" s="8"/>
      <c r="D438" s="8"/>
      <c r="E438" s="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3"/>
      <c r="W438" s="3"/>
      <c r="X438" s="3"/>
      <c r="Y438" s="3"/>
      <c r="Z438" s="3"/>
      <c r="AA438" s="3"/>
      <c r="AB438" s="3"/>
    </row>
    <row r="439" ht="15.75" customHeight="1">
      <c r="A439" s="8"/>
      <c r="B439" s="2"/>
      <c r="C439" s="8"/>
      <c r="D439" s="8"/>
      <c r="E439" s="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3"/>
      <c r="W439" s="3"/>
      <c r="X439" s="3"/>
      <c r="Y439" s="3"/>
      <c r="Z439" s="3"/>
      <c r="AA439" s="3"/>
      <c r="AB439" s="3"/>
    </row>
    <row r="440" ht="15.75" customHeight="1">
      <c r="A440" s="8"/>
      <c r="B440" s="2"/>
      <c r="C440" s="8"/>
      <c r="D440" s="8"/>
      <c r="E440" s="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3"/>
      <c r="W440" s="3"/>
      <c r="X440" s="3"/>
      <c r="Y440" s="3"/>
      <c r="Z440" s="3"/>
      <c r="AA440" s="3"/>
      <c r="AB440" s="3"/>
    </row>
    <row r="441" ht="15.75" customHeight="1">
      <c r="A441" s="8"/>
      <c r="B441" s="2"/>
      <c r="C441" s="8"/>
      <c r="D441" s="8"/>
      <c r="E441" s="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3"/>
      <c r="W441" s="3"/>
      <c r="X441" s="3"/>
      <c r="Y441" s="3"/>
      <c r="Z441" s="3"/>
      <c r="AA441" s="3"/>
      <c r="AB441" s="3"/>
    </row>
    <row r="442" ht="15.75" customHeight="1">
      <c r="A442" s="8"/>
      <c r="B442" s="2"/>
      <c r="C442" s="8"/>
      <c r="D442" s="8"/>
      <c r="E442" s="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3"/>
      <c r="W442" s="3"/>
      <c r="X442" s="3"/>
      <c r="Y442" s="3"/>
      <c r="Z442" s="3"/>
      <c r="AA442" s="3"/>
      <c r="AB442" s="3"/>
    </row>
    <row r="443" ht="15.75" customHeight="1">
      <c r="A443" s="8"/>
      <c r="B443" s="2"/>
      <c r="C443" s="8"/>
      <c r="D443" s="8"/>
      <c r="E443" s="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3"/>
      <c r="W443" s="3"/>
      <c r="X443" s="3"/>
      <c r="Y443" s="3"/>
      <c r="Z443" s="3"/>
      <c r="AA443" s="3"/>
      <c r="AB443" s="3"/>
    </row>
    <row r="444" ht="15.75" customHeight="1">
      <c r="A444" s="8"/>
      <c r="B444" s="2"/>
      <c r="C444" s="8"/>
      <c r="D444" s="8"/>
      <c r="E444" s="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3"/>
      <c r="W444" s="3"/>
      <c r="X444" s="3"/>
      <c r="Y444" s="3"/>
      <c r="Z444" s="3"/>
      <c r="AA444" s="3"/>
      <c r="AB444" s="3"/>
    </row>
    <row r="445" ht="15.75" customHeight="1">
      <c r="A445" s="8"/>
      <c r="B445" s="2"/>
      <c r="C445" s="8"/>
      <c r="D445" s="8"/>
      <c r="E445" s="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3"/>
      <c r="W445" s="3"/>
      <c r="X445" s="3"/>
      <c r="Y445" s="3"/>
      <c r="Z445" s="3"/>
      <c r="AA445" s="3"/>
      <c r="AB445" s="3"/>
    </row>
    <row r="446" ht="15.75" customHeight="1">
      <c r="A446" s="8"/>
      <c r="B446" s="2"/>
      <c r="C446" s="8"/>
      <c r="D446" s="8"/>
      <c r="E446" s="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3"/>
      <c r="W446" s="3"/>
      <c r="X446" s="3"/>
      <c r="Y446" s="3"/>
      <c r="Z446" s="3"/>
      <c r="AA446" s="3"/>
      <c r="AB446" s="3"/>
    </row>
    <row r="447" ht="15.75" customHeight="1">
      <c r="A447" s="8"/>
      <c r="B447" s="2"/>
      <c r="C447" s="8"/>
      <c r="D447" s="8"/>
      <c r="E447" s="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3"/>
      <c r="W447" s="3"/>
      <c r="X447" s="3"/>
      <c r="Y447" s="3"/>
      <c r="Z447" s="3"/>
      <c r="AA447" s="3"/>
      <c r="AB447" s="3"/>
    </row>
    <row r="448" ht="15.75" customHeight="1">
      <c r="A448" s="8"/>
      <c r="B448" s="2"/>
      <c r="C448" s="8"/>
      <c r="D448" s="8"/>
      <c r="E448" s="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3"/>
      <c r="W448" s="3"/>
      <c r="X448" s="3"/>
      <c r="Y448" s="3"/>
      <c r="Z448" s="3"/>
      <c r="AA448" s="3"/>
      <c r="AB448" s="3"/>
    </row>
    <row r="449" ht="15.75" customHeight="1">
      <c r="A449" s="8"/>
      <c r="B449" s="2"/>
      <c r="C449" s="8"/>
      <c r="D449" s="8"/>
      <c r="E449" s="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3"/>
      <c r="W449" s="3"/>
      <c r="X449" s="3"/>
      <c r="Y449" s="3"/>
      <c r="Z449" s="3"/>
      <c r="AA449" s="3"/>
      <c r="AB449" s="3"/>
    </row>
    <row r="450" ht="15.75" customHeight="1">
      <c r="A450" s="8"/>
      <c r="B450" s="2"/>
      <c r="C450" s="8"/>
      <c r="D450" s="8"/>
      <c r="E450" s="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3"/>
      <c r="W450" s="3"/>
      <c r="X450" s="3"/>
      <c r="Y450" s="3"/>
      <c r="Z450" s="3"/>
      <c r="AA450" s="3"/>
      <c r="AB450" s="3"/>
    </row>
    <row r="451" ht="15.75" customHeight="1">
      <c r="A451" s="8"/>
      <c r="B451" s="2"/>
      <c r="C451" s="8"/>
      <c r="D451" s="8"/>
      <c r="E451" s="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3"/>
      <c r="W451" s="3"/>
      <c r="X451" s="3"/>
      <c r="Y451" s="3"/>
      <c r="Z451" s="3"/>
      <c r="AA451" s="3"/>
      <c r="AB451" s="3"/>
    </row>
    <row r="452" ht="15.75" customHeight="1">
      <c r="A452" s="8"/>
      <c r="B452" s="2"/>
      <c r="C452" s="8"/>
      <c r="D452" s="8"/>
      <c r="E452" s="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3"/>
      <c r="W452" s="3"/>
      <c r="X452" s="3"/>
      <c r="Y452" s="3"/>
      <c r="Z452" s="3"/>
      <c r="AA452" s="3"/>
      <c r="AB452" s="3"/>
    </row>
    <row r="453" ht="15.75" customHeight="1">
      <c r="A453" s="8"/>
      <c r="B453" s="2"/>
      <c r="C453" s="8"/>
      <c r="D453" s="8"/>
      <c r="E453" s="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3"/>
      <c r="W453" s="3"/>
      <c r="X453" s="3"/>
      <c r="Y453" s="3"/>
      <c r="Z453" s="3"/>
      <c r="AA453" s="3"/>
      <c r="AB453" s="3"/>
    </row>
    <row r="454" ht="15.75" customHeight="1">
      <c r="A454" s="8"/>
      <c r="B454" s="2"/>
      <c r="C454" s="8"/>
      <c r="D454" s="8"/>
      <c r="E454" s="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"/>
      <c r="W454" s="3"/>
      <c r="X454" s="3"/>
      <c r="Y454" s="3"/>
      <c r="Z454" s="3"/>
      <c r="AA454" s="3"/>
      <c r="AB454" s="3"/>
    </row>
    <row r="455" ht="15.75" customHeight="1">
      <c r="A455" s="8"/>
      <c r="B455" s="2"/>
      <c r="C455" s="8"/>
      <c r="D455" s="8"/>
      <c r="E455" s="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3"/>
      <c r="W455" s="3"/>
      <c r="X455" s="3"/>
      <c r="Y455" s="3"/>
      <c r="Z455" s="3"/>
      <c r="AA455" s="3"/>
      <c r="AB455" s="3"/>
    </row>
    <row r="456" ht="15.75" customHeight="1">
      <c r="A456" s="8"/>
      <c r="B456" s="2"/>
      <c r="C456" s="8"/>
      <c r="D456" s="8"/>
      <c r="E456" s="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3"/>
      <c r="W456" s="3"/>
      <c r="X456" s="3"/>
      <c r="Y456" s="3"/>
      <c r="Z456" s="3"/>
      <c r="AA456" s="3"/>
      <c r="AB456" s="3"/>
    </row>
    <row r="457" ht="15.75" customHeight="1">
      <c r="A457" s="8"/>
      <c r="B457" s="2"/>
      <c r="C457" s="8"/>
      <c r="D457" s="8"/>
      <c r="E457" s="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3"/>
      <c r="W457" s="3"/>
      <c r="X457" s="3"/>
      <c r="Y457" s="3"/>
      <c r="Z457" s="3"/>
      <c r="AA457" s="3"/>
      <c r="AB457" s="3"/>
    </row>
    <row r="458" ht="15.75" customHeight="1">
      <c r="A458" s="8"/>
      <c r="B458" s="2"/>
      <c r="C458" s="8"/>
      <c r="D458" s="8"/>
      <c r="E458" s="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3"/>
      <c r="W458" s="3"/>
      <c r="X458" s="3"/>
      <c r="Y458" s="3"/>
      <c r="Z458" s="3"/>
      <c r="AA458" s="3"/>
      <c r="AB458" s="3"/>
    </row>
    <row r="459" ht="15.75" customHeight="1">
      <c r="A459" s="8"/>
      <c r="B459" s="2"/>
      <c r="C459" s="8"/>
      <c r="D459" s="8"/>
      <c r="E459" s="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3"/>
      <c r="W459" s="3"/>
      <c r="X459" s="3"/>
      <c r="Y459" s="3"/>
      <c r="Z459" s="3"/>
      <c r="AA459" s="3"/>
      <c r="AB459" s="3"/>
    </row>
    <row r="460" ht="15.75" customHeight="1">
      <c r="A460" s="8"/>
      <c r="B460" s="2"/>
      <c r="C460" s="8"/>
      <c r="D460" s="8"/>
      <c r="E460" s="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"/>
      <c r="W460" s="3"/>
      <c r="X460" s="3"/>
      <c r="Y460" s="3"/>
      <c r="Z460" s="3"/>
      <c r="AA460" s="3"/>
      <c r="AB460" s="3"/>
    </row>
    <row r="461" ht="15.75" customHeight="1">
      <c r="A461" s="8"/>
      <c r="B461" s="2"/>
      <c r="C461" s="8"/>
      <c r="D461" s="8"/>
      <c r="E461" s="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3"/>
      <c r="W461" s="3"/>
      <c r="X461" s="3"/>
      <c r="Y461" s="3"/>
      <c r="Z461" s="3"/>
      <c r="AA461" s="3"/>
      <c r="AB461" s="3"/>
    </row>
    <row r="462" ht="15.75" customHeight="1">
      <c r="A462" s="8"/>
      <c r="B462" s="2"/>
      <c r="C462" s="8"/>
      <c r="D462" s="8"/>
      <c r="E462" s="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3"/>
      <c r="W462" s="3"/>
      <c r="X462" s="3"/>
      <c r="Y462" s="3"/>
      <c r="Z462" s="3"/>
      <c r="AA462" s="3"/>
      <c r="AB462" s="3"/>
    </row>
    <row r="463" ht="15.75" customHeight="1">
      <c r="A463" s="8"/>
      <c r="B463" s="2"/>
      <c r="C463" s="8"/>
      <c r="D463" s="8"/>
      <c r="E463" s="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3"/>
      <c r="W463" s="3"/>
      <c r="X463" s="3"/>
      <c r="Y463" s="3"/>
      <c r="Z463" s="3"/>
      <c r="AA463" s="3"/>
      <c r="AB463" s="3"/>
    </row>
    <row r="464" ht="15.75" customHeight="1">
      <c r="A464" s="8"/>
      <c r="B464" s="2"/>
      <c r="C464" s="8"/>
      <c r="D464" s="8"/>
      <c r="E464" s="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3"/>
      <c r="W464" s="3"/>
      <c r="X464" s="3"/>
      <c r="Y464" s="3"/>
      <c r="Z464" s="3"/>
      <c r="AA464" s="3"/>
      <c r="AB464" s="3"/>
    </row>
    <row r="465" ht="15.75" customHeight="1">
      <c r="A465" s="8"/>
      <c r="B465" s="2"/>
      <c r="C465" s="8"/>
      <c r="D465" s="8"/>
      <c r="E465" s="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3"/>
      <c r="W465" s="3"/>
      <c r="X465" s="3"/>
      <c r="Y465" s="3"/>
      <c r="Z465" s="3"/>
      <c r="AA465" s="3"/>
      <c r="AB465" s="3"/>
    </row>
    <row r="466" ht="15.75" customHeight="1">
      <c r="A466" s="8"/>
      <c r="B466" s="2"/>
      <c r="C466" s="8"/>
      <c r="D466" s="8"/>
      <c r="E466" s="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3"/>
      <c r="W466" s="3"/>
      <c r="X466" s="3"/>
      <c r="Y466" s="3"/>
      <c r="Z466" s="3"/>
      <c r="AA466" s="3"/>
      <c r="AB466" s="3"/>
    </row>
    <row r="467" ht="15.75" customHeight="1">
      <c r="A467" s="8"/>
      <c r="B467" s="2"/>
      <c r="C467" s="8"/>
      <c r="D467" s="8"/>
      <c r="E467" s="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3"/>
      <c r="W467" s="3"/>
      <c r="X467" s="3"/>
      <c r="Y467" s="3"/>
      <c r="Z467" s="3"/>
      <c r="AA467" s="3"/>
      <c r="AB467" s="3"/>
    </row>
    <row r="468" ht="15.75" customHeight="1">
      <c r="A468" s="8"/>
      <c r="B468" s="2"/>
      <c r="C468" s="8"/>
      <c r="D468" s="8"/>
      <c r="E468" s="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3"/>
      <c r="W468" s="3"/>
      <c r="X468" s="3"/>
      <c r="Y468" s="3"/>
      <c r="Z468" s="3"/>
      <c r="AA468" s="3"/>
      <c r="AB468" s="3"/>
    </row>
    <row r="469" ht="15.75" customHeight="1">
      <c r="A469" s="8"/>
      <c r="B469" s="2"/>
      <c r="C469" s="8"/>
      <c r="D469" s="8"/>
      <c r="E469" s="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3"/>
      <c r="W469" s="3"/>
      <c r="X469" s="3"/>
      <c r="Y469" s="3"/>
      <c r="Z469" s="3"/>
      <c r="AA469" s="3"/>
      <c r="AB469" s="3"/>
    </row>
    <row r="470" ht="15.75" customHeight="1">
      <c r="A470" s="8"/>
      <c r="B470" s="2"/>
      <c r="C470" s="8"/>
      <c r="D470" s="8"/>
      <c r="E470" s="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3"/>
      <c r="W470" s="3"/>
      <c r="X470" s="3"/>
      <c r="Y470" s="3"/>
      <c r="Z470" s="3"/>
      <c r="AA470" s="3"/>
      <c r="AB470" s="3"/>
    </row>
    <row r="471" ht="15.75" customHeight="1">
      <c r="A471" s="8"/>
      <c r="B471" s="2"/>
      <c r="C471" s="8"/>
      <c r="D471" s="8"/>
      <c r="E471" s="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3"/>
      <c r="W471" s="3"/>
      <c r="X471" s="3"/>
      <c r="Y471" s="3"/>
      <c r="Z471" s="3"/>
      <c r="AA471" s="3"/>
      <c r="AB471" s="3"/>
    </row>
    <row r="472" ht="15.75" customHeight="1">
      <c r="A472" s="8"/>
      <c r="B472" s="2"/>
      <c r="C472" s="8"/>
      <c r="D472" s="8"/>
      <c r="E472" s="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3"/>
      <c r="W472" s="3"/>
      <c r="X472" s="3"/>
      <c r="Y472" s="3"/>
      <c r="Z472" s="3"/>
      <c r="AA472" s="3"/>
      <c r="AB472" s="3"/>
    </row>
    <row r="473" ht="15.75" customHeight="1">
      <c r="A473" s="8"/>
      <c r="B473" s="2"/>
      <c r="C473" s="8"/>
      <c r="D473" s="8"/>
      <c r="E473" s="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3"/>
      <c r="W473" s="3"/>
      <c r="X473" s="3"/>
      <c r="Y473" s="3"/>
      <c r="Z473" s="3"/>
      <c r="AA473" s="3"/>
      <c r="AB473" s="3"/>
    </row>
    <row r="474" ht="15.75" customHeight="1">
      <c r="A474" s="8"/>
      <c r="B474" s="2"/>
      <c r="C474" s="8"/>
      <c r="D474" s="8"/>
      <c r="E474" s="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3"/>
      <c r="W474" s="3"/>
      <c r="X474" s="3"/>
      <c r="Y474" s="3"/>
      <c r="Z474" s="3"/>
      <c r="AA474" s="3"/>
      <c r="AB474" s="3"/>
    </row>
    <row r="475" ht="15.75" customHeight="1">
      <c r="A475" s="8"/>
      <c r="B475" s="2"/>
      <c r="C475" s="8"/>
      <c r="D475" s="8"/>
      <c r="E475" s="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3"/>
      <c r="W475" s="3"/>
      <c r="X475" s="3"/>
      <c r="Y475" s="3"/>
      <c r="Z475" s="3"/>
      <c r="AA475" s="3"/>
      <c r="AB475" s="3"/>
    </row>
    <row r="476" ht="15.75" customHeight="1">
      <c r="A476" s="8"/>
      <c r="B476" s="2"/>
      <c r="C476" s="8"/>
      <c r="D476" s="8"/>
      <c r="E476" s="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3"/>
      <c r="W476" s="3"/>
      <c r="X476" s="3"/>
      <c r="Y476" s="3"/>
      <c r="Z476" s="3"/>
      <c r="AA476" s="3"/>
      <c r="AB476" s="3"/>
    </row>
    <row r="477" ht="15.75" customHeight="1">
      <c r="A477" s="8"/>
      <c r="B477" s="2"/>
      <c r="C477" s="8"/>
      <c r="D477" s="8"/>
      <c r="E477" s="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3"/>
      <c r="W477" s="3"/>
      <c r="X477" s="3"/>
      <c r="Y477" s="3"/>
      <c r="Z477" s="3"/>
      <c r="AA477" s="3"/>
      <c r="AB477" s="3"/>
    </row>
    <row r="478" ht="15.75" customHeight="1">
      <c r="A478" s="8"/>
      <c r="B478" s="2"/>
      <c r="C478" s="8"/>
      <c r="D478" s="8"/>
      <c r="E478" s="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3"/>
      <c r="W478" s="3"/>
      <c r="X478" s="3"/>
      <c r="Y478" s="3"/>
      <c r="Z478" s="3"/>
      <c r="AA478" s="3"/>
      <c r="AB478" s="3"/>
    </row>
    <row r="479" ht="15.75" customHeight="1">
      <c r="A479" s="8"/>
      <c r="B479" s="2"/>
      <c r="C479" s="8"/>
      <c r="D479" s="8"/>
      <c r="E479" s="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3"/>
      <c r="W479" s="3"/>
      <c r="X479" s="3"/>
      <c r="Y479" s="3"/>
      <c r="Z479" s="3"/>
      <c r="AA479" s="3"/>
      <c r="AB479" s="3"/>
    </row>
    <row r="480" ht="15.75" customHeight="1">
      <c r="A480" s="8"/>
      <c r="B480" s="2"/>
      <c r="C480" s="8"/>
      <c r="D480" s="8"/>
      <c r="E480" s="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3"/>
      <c r="W480" s="3"/>
      <c r="X480" s="3"/>
      <c r="Y480" s="3"/>
      <c r="Z480" s="3"/>
      <c r="AA480" s="3"/>
      <c r="AB480" s="3"/>
    </row>
    <row r="481" ht="15.75" customHeight="1">
      <c r="A481" s="8"/>
      <c r="B481" s="2"/>
      <c r="C481" s="8"/>
      <c r="D481" s="8"/>
      <c r="E481" s="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3"/>
      <c r="W481" s="3"/>
      <c r="X481" s="3"/>
      <c r="Y481" s="3"/>
      <c r="Z481" s="3"/>
      <c r="AA481" s="3"/>
      <c r="AB481" s="3"/>
    </row>
    <row r="482" ht="15.75" customHeight="1">
      <c r="A482" s="8"/>
      <c r="B482" s="2"/>
      <c r="C482" s="8"/>
      <c r="D482" s="8"/>
      <c r="E482" s="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3"/>
      <c r="W482" s="3"/>
      <c r="X482" s="3"/>
      <c r="Y482" s="3"/>
      <c r="Z482" s="3"/>
      <c r="AA482" s="3"/>
      <c r="AB482" s="3"/>
    </row>
    <row r="483" ht="15.75" customHeight="1">
      <c r="A483" s="8"/>
      <c r="B483" s="2"/>
      <c r="C483" s="8"/>
      <c r="D483" s="8"/>
      <c r="E483" s="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3"/>
      <c r="W483" s="3"/>
      <c r="X483" s="3"/>
      <c r="Y483" s="3"/>
      <c r="Z483" s="3"/>
      <c r="AA483" s="3"/>
      <c r="AB483" s="3"/>
    </row>
    <row r="484" ht="15.75" customHeight="1">
      <c r="A484" s="8"/>
      <c r="B484" s="2"/>
      <c r="C484" s="8"/>
      <c r="D484" s="8"/>
      <c r="E484" s="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3"/>
      <c r="W484" s="3"/>
      <c r="X484" s="3"/>
      <c r="Y484" s="3"/>
      <c r="Z484" s="3"/>
      <c r="AA484" s="3"/>
      <c r="AB484" s="3"/>
    </row>
    <row r="485" ht="15.75" customHeight="1">
      <c r="A485" s="8"/>
      <c r="B485" s="2"/>
      <c r="C485" s="8"/>
      <c r="D485" s="8"/>
      <c r="E485" s="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3"/>
      <c r="W485" s="3"/>
      <c r="X485" s="3"/>
      <c r="Y485" s="3"/>
      <c r="Z485" s="3"/>
      <c r="AA485" s="3"/>
      <c r="AB485" s="3"/>
    </row>
    <row r="486" ht="15.75" customHeight="1">
      <c r="A486" s="8"/>
      <c r="B486" s="2"/>
      <c r="C486" s="8"/>
      <c r="D486" s="8"/>
      <c r="E486" s="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3"/>
      <c r="W486" s="3"/>
      <c r="X486" s="3"/>
      <c r="Y486" s="3"/>
      <c r="Z486" s="3"/>
      <c r="AA486" s="3"/>
      <c r="AB486" s="3"/>
    </row>
    <row r="487" ht="15.75" customHeight="1">
      <c r="A487" s="8"/>
      <c r="B487" s="2"/>
      <c r="C487" s="8"/>
      <c r="D487" s="8"/>
      <c r="E487" s="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3"/>
      <c r="W487" s="3"/>
      <c r="X487" s="3"/>
      <c r="Y487" s="3"/>
      <c r="Z487" s="3"/>
      <c r="AA487" s="3"/>
      <c r="AB487" s="3"/>
    </row>
    <row r="488" ht="15.75" customHeight="1">
      <c r="A488" s="8"/>
      <c r="B488" s="2"/>
      <c r="C488" s="8"/>
      <c r="D488" s="8"/>
      <c r="E488" s="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3"/>
      <c r="W488" s="3"/>
      <c r="X488" s="3"/>
      <c r="Y488" s="3"/>
      <c r="Z488" s="3"/>
      <c r="AA488" s="3"/>
      <c r="AB488" s="3"/>
    </row>
    <row r="489" ht="15.75" customHeight="1">
      <c r="A489" s="8"/>
      <c r="B489" s="2"/>
      <c r="C489" s="8"/>
      <c r="D489" s="8"/>
      <c r="E489" s="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3"/>
      <c r="W489" s="3"/>
      <c r="X489" s="3"/>
      <c r="Y489" s="3"/>
      <c r="Z489" s="3"/>
      <c r="AA489" s="3"/>
      <c r="AB489" s="3"/>
    </row>
    <row r="490" ht="15.75" customHeight="1">
      <c r="A490" s="8"/>
      <c r="B490" s="2"/>
      <c r="C490" s="8"/>
      <c r="D490" s="8"/>
      <c r="E490" s="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3"/>
      <c r="W490" s="3"/>
      <c r="X490" s="3"/>
      <c r="Y490" s="3"/>
      <c r="Z490" s="3"/>
      <c r="AA490" s="3"/>
      <c r="AB490" s="3"/>
    </row>
    <row r="491" ht="15.75" customHeight="1">
      <c r="A491" s="8"/>
      <c r="B491" s="2"/>
      <c r="C491" s="8"/>
      <c r="D491" s="8"/>
      <c r="E491" s="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3"/>
      <c r="W491" s="3"/>
      <c r="X491" s="3"/>
      <c r="Y491" s="3"/>
      <c r="Z491" s="3"/>
      <c r="AA491" s="3"/>
      <c r="AB491" s="3"/>
    </row>
    <row r="492" ht="15.75" customHeight="1">
      <c r="A492" s="8"/>
      <c r="B492" s="2"/>
      <c r="C492" s="8"/>
      <c r="D492" s="8"/>
      <c r="E492" s="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"/>
      <c r="W492" s="3"/>
      <c r="X492" s="3"/>
      <c r="Y492" s="3"/>
      <c r="Z492" s="3"/>
      <c r="AA492" s="3"/>
      <c r="AB492" s="3"/>
    </row>
    <row r="493" ht="15.75" customHeight="1">
      <c r="A493" s="8"/>
      <c r="B493" s="2"/>
      <c r="C493" s="8"/>
      <c r="D493" s="8"/>
      <c r="E493" s="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3"/>
      <c r="W493" s="3"/>
      <c r="X493" s="3"/>
      <c r="Y493" s="3"/>
      <c r="Z493" s="3"/>
      <c r="AA493" s="3"/>
      <c r="AB493" s="3"/>
    </row>
    <row r="494" ht="15.75" customHeight="1">
      <c r="A494" s="8"/>
      <c r="B494" s="2"/>
      <c r="C494" s="8"/>
      <c r="D494" s="8"/>
      <c r="E494" s="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"/>
      <c r="W494" s="3"/>
      <c r="X494" s="3"/>
      <c r="Y494" s="3"/>
      <c r="Z494" s="3"/>
      <c r="AA494" s="3"/>
      <c r="AB494" s="3"/>
    </row>
    <row r="495" ht="15.75" customHeight="1">
      <c r="A495" s="8"/>
      <c r="B495" s="2"/>
      <c r="C495" s="8"/>
      <c r="D495" s="8"/>
      <c r="E495" s="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3"/>
      <c r="W495" s="3"/>
      <c r="X495" s="3"/>
      <c r="Y495" s="3"/>
      <c r="Z495" s="3"/>
      <c r="AA495" s="3"/>
      <c r="AB495" s="3"/>
    </row>
    <row r="496" ht="15.75" customHeight="1">
      <c r="A496" s="8"/>
      <c r="B496" s="2"/>
      <c r="C496" s="8"/>
      <c r="D496" s="8"/>
      <c r="E496" s="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3"/>
      <c r="W496" s="3"/>
      <c r="X496" s="3"/>
      <c r="Y496" s="3"/>
      <c r="Z496" s="3"/>
      <c r="AA496" s="3"/>
      <c r="AB496" s="3"/>
    </row>
    <row r="497" ht="15.75" customHeight="1">
      <c r="A497" s="8"/>
      <c r="B497" s="2"/>
      <c r="C497" s="8"/>
      <c r="D497" s="8"/>
      <c r="E497" s="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3"/>
      <c r="W497" s="3"/>
      <c r="X497" s="3"/>
      <c r="Y497" s="3"/>
      <c r="Z497" s="3"/>
      <c r="AA497" s="3"/>
      <c r="AB497" s="3"/>
    </row>
    <row r="498" ht="15.75" customHeight="1">
      <c r="A498" s="8"/>
      <c r="B498" s="2"/>
      <c r="C498" s="8"/>
      <c r="D498" s="8"/>
      <c r="E498" s="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3"/>
      <c r="W498" s="3"/>
      <c r="X498" s="3"/>
      <c r="Y498" s="3"/>
      <c r="Z498" s="3"/>
      <c r="AA498" s="3"/>
      <c r="AB498" s="3"/>
    </row>
    <row r="499" ht="15.75" customHeight="1">
      <c r="A499" s="8"/>
      <c r="B499" s="2"/>
      <c r="C499" s="8"/>
      <c r="D499" s="8"/>
      <c r="E499" s="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3"/>
      <c r="W499" s="3"/>
      <c r="X499" s="3"/>
      <c r="Y499" s="3"/>
      <c r="Z499" s="3"/>
      <c r="AA499" s="3"/>
      <c r="AB499" s="3"/>
    </row>
    <row r="500" ht="15.75" customHeight="1">
      <c r="A500" s="8"/>
      <c r="B500" s="2"/>
      <c r="C500" s="8"/>
      <c r="D500" s="8"/>
      <c r="E500" s="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3"/>
      <c r="W500" s="3"/>
      <c r="X500" s="3"/>
      <c r="Y500" s="3"/>
      <c r="Z500" s="3"/>
      <c r="AA500" s="3"/>
      <c r="AB500" s="3"/>
    </row>
    <row r="501" ht="15.75" customHeight="1">
      <c r="A501" s="8"/>
      <c r="B501" s="2"/>
      <c r="C501" s="8"/>
      <c r="D501" s="8"/>
      <c r="E501" s="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3"/>
      <c r="W501" s="3"/>
      <c r="X501" s="3"/>
      <c r="Y501" s="3"/>
      <c r="Z501" s="3"/>
      <c r="AA501" s="3"/>
      <c r="AB501" s="3"/>
    </row>
    <row r="502" ht="15.75" customHeight="1">
      <c r="A502" s="8"/>
      <c r="B502" s="2"/>
      <c r="C502" s="8"/>
      <c r="D502" s="8"/>
      <c r="E502" s="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3"/>
      <c r="W502" s="3"/>
      <c r="X502" s="3"/>
      <c r="Y502" s="3"/>
      <c r="Z502" s="3"/>
      <c r="AA502" s="3"/>
      <c r="AB502" s="3"/>
    </row>
    <row r="503" ht="15.75" customHeight="1">
      <c r="A503" s="8"/>
      <c r="B503" s="2"/>
      <c r="C503" s="8"/>
      <c r="D503" s="8"/>
      <c r="E503" s="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3"/>
      <c r="W503" s="3"/>
      <c r="X503" s="3"/>
      <c r="Y503" s="3"/>
      <c r="Z503" s="3"/>
      <c r="AA503" s="3"/>
      <c r="AB503" s="3"/>
    </row>
    <row r="504" ht="15.75" customHeight="1">
      <c r="A504" s="8"/>
      <c r="B504" s="2"/>
      <c r="C504" s="8"/>
      <c r="D504" s="8"/>
      <c r="E504" s="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3"/>
      <c r="W504" s="3"/>
      <c r="X504" s="3"/>
      <c r="Y504" s="3"/>
      <c r="Z504" s="3"/>
      <c r="AA504" s="3"/>
      <c r="AB504" s="3"/>
    </row>
    <row r="505" ht="15.75" customHeight="1">
      <c r="A505" s="8"/>
      <c r="B505" s="2"/>
      <c r="C505" s="8"/>
      <c r="D505" s="8"/>
      <c r="E505" s="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3"/>
      <c r="W505" s="3"/>
      <c r="X505" s="3"/>
      <c r="Y505" s="3"/>
      <c r="Z505" s="3"/>
      <c r="AA505" s="3"/>
      <c r="AB505" s="3"/>
    </row>
    <row r="506" ht="15.75" customHeight="1">
      <c r="A506" s="8"/>
      <c r="B506" s="2"/>
      <c r="C506" s="8"/>
      <c r="D506" s="8"/>
      <c r="E506" s="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3"/>
      <c r="W506" s="3"/>
      <c r="X506" s="3"/>
      <c r="Y506" s="3"/>
      <c r="Z506" s="3"/>
      <c r="AA506" s="3"/>
      <c r="AB506" s="3"/>
    </row>
    <row r="507" ht="15.75" customHeight="1">
      <c r="A507" s="8"/>
      <c r="B507" s="2"/>
      <c r="C507" s="8"/>
      <c r="D507" s="8"/>
      <c r="E507" s="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3"/>
      <c r="W507" s="3"/>
      <c r="X507" s="3"/>
      <c r="Y507" s="3"/>
      <c r="Z507" s="3"/>
      <c r="AA507" s="3"/>
      <c r="AB507" s="3"/>
    </row>
    <row r="508" ht="15.75" customHeight="1">
      <c r="A508" s="8"/>
      <c r="B508" s="2"/>
      <c r="C508" s="8"/>
      <c r="D508" s="8"/>
      <c r="E508" s="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3"/>
      <c r="W508" s="3"/>
      <c r="X508" s="3"/>
      <c r="Y508" s="3"/>
      <c r="Z508" s="3"/>
      <c r="AA508" s="3"/>
      <c r="AB508" s="3"/>
    </row>
    <row r="509" ht="15.75" customHeight="1">
      <c r="A509" s="8"/>
      <c r="B509" s="2"/>
      <c r="C509" s="8"/>
      <c r="D509" s="8"/>
      <c r="E509" s="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3"/>
      <c r="W509" s="3"/>
      <c r="X509" s="3"/>
      <c r="Y509" s="3"/>
      <c r="Z509" s="3"/>
      <c r="AA509" s="3"/>
      <c r="AB509" s="3"/>
    </row>
    <row r="510" ht="15.75" customHeight="1">
      <c r="A510" s="8"/>
      <c r="B510" s="2"/>
      <c r="C510" s="8"/>
      <c r="D510" s="8"/>
      <c r="E510" s="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3"/>
      <c r="W510" s="3"/>
      <c r="X510" s="3"/>
      <c r="Y510" s="3"/>
      <c r="Z510" s="3"/>
      <c r="AA510" s="3"/>
      <c r="AB510" s="3"/>
    </row>
    <row r="511" ht="15.75" customHeight="1">
      <c r="A511" s="8"/>
      <c r="B511" s="2"/>
      <c r="C511" s="8"/>
      <c r="D511" s="8"/>
      <c r="E511" s="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3"/>
      <c r="W511" s="3"/>
      <c r="X511" s="3"/>
      <c r="Y511" s="3"/>
      <c r="Z511" s="3"/>
      <c r="AA511" s="3"/>
      <c r="AB511" s="3"/>
    </row>
    <row r="512" ht="15.75" customHeight="1">
      <c r="A512" s="8"/>
      <c r="B512" s="2"/>
      <c r="C512" s="8"/>
      <c r="D512" s="8"/>
      <c r="E512" s="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3"/>
      <c r="W512" s="3"/>
      <c r="X512" s="3"/>
      <c r="Y512" s="3"/>
      <c r="Z512" s="3"/>
      <c r="AA512" s="3"/>
      <c r="AB512" s="3"/>
    </row>
    <row r="513" ht="15.75" customHeight="1">
      <c r="A513" s="8"/>
      <c r="B513" s="2"/>
      <c r="C513" s="8"/>
      <c r="D513" s="8"/>
      <c r="E513" s="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3"/>
      <c r="W513" s="3"/>
      <c r="X513" s="3"/>
      <c r="Y513" s="3"/>
      <c r="Z513" s="3"/>
      <c r="AA513" s="3"/>
      <c r="AB513" s="3"/>
    </row>
    <row r="514" ht="15.75" customHeight="1">
      <c r="A514" s="8"/>
      <c r="B514" s="2"/>
      <c r="C514" s="8"/>
      <c r="D514" s="8"/>
      <c r="E514" s="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3"/>
      <c r="W514" s="3"/>
      <c r="X514" s="3"/>
      <c r="Y514" s="3"/>
      <c r="Z514" s="3"/>
      <c r="AA514" s="3"/>
      <c r="AB514" s="3"/>
    </row>
    <row r="515" ht="15.75" customHeight="1">
      <c r="A515" s="8"/>
      <c r="B515" s="2"/>
      <c r="C515" s="8"/>
      <c r="D515" s="8"/>
      <c r="E515" s="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3"/>
      <c r="W515" s="3"/>
      <c r="X515" s="3"/>
      <c r="Y515" s="3"/>
      <c r="Z515" s="3"/>
      <c r="AA515" s="3"/>
      <c r="AB515" s="3"/>
    </row>
    <row r="516" ht="15.75" customHeight="1">
      <c r="A516" s="8"/>
      <c r="B516" s="2"/>
      <c r="C516" s="8"/>
      <c r="D516" s="8"/>
      <c r="E516" s="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3"/>
      <c r="W516" s="3"/>
      <c r="X516" s="3"/>
      <c r="Y516" s="3"/>
      <c r="Z516" s="3"/>
      <c r="AA516" s="3"/>
      <c r="AB516" s="3"/>
    </row>
    <row r="517" ht="15.75" customHeight="1">
      <c r="A517" s="8"/>
      <c r="B517" s="2"/>
      <c r="C517" s="8"/>
      <c r="D517" s="8"/>
      <c r="E517" s="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3"/>
      <c r="W517" s="3"/>
      <c r="X517" s="3"/>
      <c r="Y517" s="3"/>
      <c r="Z517" s="3"/>
      <c r="AA517" s="3"/>
      <c r="AB517" s="3"/>
    </row>
    <row r="518" ht="15.75" customHeight="1">
      <c r="A518" s="8"/>
      <c r="B518" s="2"/>
      <c r="C518" s="8"/>
      <c r="D518" s="8"/>
      <c r="E518" s="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3"/>
      <c r="W518" s="3"/>
      <c r="X518" s="3"/>
      <c r="Y518" s="3"/>
      <c r="Z518" s="3"/>
      <c r="AA518" s="3"/>
      <c r="AB518" s="3"/>
    </row>
    <row r="519" ht="15.75" customHeight="1">
      <c r="A519" s="8"/>
      <c r="B519" s="2"/>
      <c r="C519" s="8"/>
      <c r="D519" s="8"/>
      <c r="E519" s="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3"/>
      <c r="W519" s="3"/>
      <c r="X519" s="3"/>
      <c r="Y519" s="3"/>
      <c r="Z519" s="3"/>
      <c r="AA519" s="3"/>
      <c r="AB519" s="3"/>
    </row>
    <row r="520" ht="15.75" customHeight="1">
      <c r="A520" s="8"/>
      <c r="B520" s="2"/>
      <c r="C520" s="8"/>
      <c r="D520" s="8"/>
      <c r="E520" s="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3"/>
      <c r="W520" s="3"/>
      <c r="X520" s="3"/>
      <c r="Y520" s="3"/>
      <c r="Z520" s="3"/>
      <c r="AA520" s="3"/>
      <c r="AB520" s="3"/>
    </row>
    <row r="521" ht="15.75" customHeight="1">
      <c r="A521" s="8"/>
      <c r="B521" s="2"/>
      <c r="C521" s="8"/>
      <c r="D521" s="8"/>
      <c r="E521" s="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3"/>
      <c r="W521" s="3"/>
      <c r="X521" s="3"/>
      <c r="Y521" s="3"/>
      <c r="Z521" s="3"/>
      <c r="AA521" s="3"/>
      <c r="AB521" s="3"/>
    </row>
    <row r="522" ht="15.75" customHeight="1">
      <c r="A522" s="8"/>
      <c r="B522" s="2"/>
      <c r="C522" s="8"/>
      <c r="D522" s="8"/>
      <c r="E522" s="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3"/>
      <c r="W522" s="3"/>
      <c r="X522" s="3"/>
      <c r="Y522" s="3"/>
      <c r="Z522" s="3"/>
      <c r="AA522" s="3"/>
      <c r="AB522" s="3"/>
    </row>
    <row r="523" ht="15.75" customHeight="1">
      <c r="A523" s="8"/>
      <c r="B523" s="2"/>
      <c r="C523" s="8"/>
      <c r="D523" s="8"/>
      <c r="E523" s="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3"/>
      <c r="W523" s="3"/>
      <c r="X523" s="3"/>
      <c r="Y523" s="3"/>
      <c r="Z523" s="3"/>
      <c r="AA523" s="3"/>
      <c r="AB523" s="3"/>
    </row>
    <row r="524" ht="15.75" customHeight="1">
      <c r="A524" s="8"/>
      <c r="B524" s="2"/>
      <c r="C524" s="8"/>
      <c r="D524" s="8"/>
      <c r="E524" s="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3"/>
      <c r="W524" s="3"/>
      <c r="X524" s="3"/>
      <c r="Y524" s="3"/>
      <c r="Z524" s="3"/>
      <c r="AA524" s="3"/>
      <c r="AB524" s="3"/>
    </row>
    <row r="525" ht="15.75" customHeight="1">
      <c r="A525" s="8"/>
      <c r="B525" s="2"/>
      <c r="C525" s="8"/>
      <c r="D525" s="8"/>
      <c r="E525" s="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3"/>
      <c r="W525" s="3"/>
      <c r="X525" s="3"/>
      <c r="Y525" s="3"/>
      <c r="Z525" s="3"/>
      <c r="AA525" s="3"/>
      <c r="AB525" s="3"/>
    </row>
    <row r="526" ht="15.75" customHeight="1">
      <c r="A526" s="8"/>
      <c r="B526" s="2"/>
      <c r="C526" s="8"/>
      <c r="D526" s="8"/>
      <c r="E526" s="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3"/>
      <c r="W526" s="3"/>
      <c r="X526" s="3"/>
      <c r="Y526" s="3"/>
      <c r="Z526" s="3"/>
      <c r="AA526" s="3"/>
      <c r="AB526" s="3"/>
    </row>
    <row r="527" ht="15.75" customHeight="1">
      <c r="A527" s="8"/>
      <c r="B527" s="2"/>
      <c r="C527" s="8"/>
      <c r="D527" s="8"/>
      <c r="E527" s="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3"/>
      <c r="W527" s="3"/>
      <c r="X527" s="3"/>
      <c r="Y527" s="3"/>
      <c r="Z527" s="3"/>
      <c r="AA527" s="3"/>
      <c r="AB527" s="3"/>
    </row>
    <row r="528" ht="15.75" customHeight="1">
      <c r="A528" s="8"/>
      <c r="B528" s="2"/>
      <c r="C528" s="8"/>
      <c r="D528" s="8"/>
      <c r="E528" s="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3"/>
      <c r="W528" s="3"/>
      <c r="X528" s="3"/>
      <c r="Y528" s="3"/>
      <c r="Z528" s="3"/>
      <c r="AA528" s="3"/>
      <c r="AB528" s="3"/>
    </row>
    <row r="529" ht="15.75" customHeight="1">
      <c r="A529" s="8"/>
      <c r="B529" s="2"/>
      <c r="C529" s="8"/>
      <c r="D529" s="8"/>
      <c r="E529" s="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3"/>
      <c r="W529" s="3"/>
      <c r="X529" s="3"/>
      <c r="Y529" s="3"/>
      <c r="Z529" s="3"/>
      <c r="AA529" s="3"/>
      <c r="AB529" s="3"/>
    </row>
    <row r="530" ht="15.75" customHeight="1">
      <c r="A530" s="8"/>
      <c r="B530" s="2"/>
      <c r="C530" s="8"/>
      <c r="D530" s="8"/>
      <c r="E530" s="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"/>
      <c r="W530" s="3"/>
      <c r="X530" s="3"/>
      <c r="Y530" s="3"/>
      <c r="Z530" s="3"/>
      <c r="AA530" s="3"/>
      <c r="AB530" s="3"/>
    </row>
    <row r="531" ht="15.75" customHeight="1">
      <c r="A531" s="8"/>
      <c r="B531" s="2"/>
      <c r="C531" s="8"/>
      <c r="D531" s="8"/>
      <c r="E531" s="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3"/>
      <c r="W531" s="3"/>
      <c r="X531" s="3"/>
      <c r="Y531" s="3"/>
      <c r="Z531" s="3"/>
      <c r="AA531" s="3"/>
      <c r="AB531" s="3"/>
    </row>
    <row r="532" ht="15.75" customHeight="1">
      <c r="A532" s="8"/>
      <c r="B532" s="2"/>
      <c r="C532" s="8"/>
      <c r="D532" s="8"/>
      <c r="E532" s="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3"/>
      <c r="W532" s="3"/>
      <c r="X532" s="3"/>
      <c r="Y532" s="3"/>
      <c r="Z532" s="3"/>
      <c r="AA532" s="3"/>
      <c r="AB532" s="3"/>
    </row>
    <row r="533" ht="15.75" customHeight="1">
      <c r="A533" s="8"/>
      <c r="B533" s="2"/>
      <c r="C533" s="8"/>
      <c r="D533" s="8"/>
      <c r="E533" s="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3"/>
      <c r="W533" s="3"/>
      <c r="X533" s="3"/>
      <c r="Y533" s="3"/>
      <c r="Z533" s="3"/>
      <c r="AA533" s="3"/>
      <c r="AB533" s="3"/>
    </row>
    <row r="534" ht="15.75" customHeight="1">
      <c r="A534" s="8"/>
      <c r="B534" s="2"/>
      <c r="C534" s="8"/>
      <c r="D534" s="8"/>
      <c r="E534" s="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3"/>
      <c r="W534" s="3"/>
      <c r="X534" s="3"/>
      <c r="Y534" s="3"/>
      <c r="Z534" s="3"/>
      <c r="AA534" s="3"/>
      <c r="AB534" s="3"/>
    </row>
    <row r="535" ht="15.75" customHeight="1">
      <c r="A535" s="8"/>
      <c r="B535" s="2"/>
      <c r="C535" s="8"/>
      <c r="D535" s="8"/>
      <c r="E535" s="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3"/>
      <c r="W535" s="3"/>
      <c r="X535" s="3"/>
      <c r="Y535" s="3"/>
      <c r="Z535" s="3"/>
      <c r="AA535" s="3"/>
      <c r="AB535" s="3"/>
    </row>
    <row r="536" ht="15.75" customHeight="1">
      <c r="A536" s="8"/>
      <c r="B536" s="2"/>
      <c r="C536" s="8"/>
      <c r="D536" s="8"/>
      <c r="E536" s="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3"/>
      <c r="W536" s="3"/>
      <c r="X536" s="3"/>
      <c r="Y536" s="3"/>
      <c r="Z536" s="3"/>
      <c r="AA536" s="3"/>
      <c r="AB536" s="3"/>
    </row>
    <row r="537" ht="15.75" customHeight="1">
      <c r="A537" s="8"/>
      <c r="B537" s="2"/>
      <c r="C537" s="8"/>
      <c r="D537" s="8"/>
      <c r="E537" s="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3"/>
      <c r="W537" s="3"/>
      <c r="X537" s="3"/>
      <c r="Y537" s="3"/>
      <c r="Z537" s="3"/>
      <c r="AA537" s="3"/>
      <c r="AB537" s="3"/>
    </row>
    <row r="538" ht="15.75" customHeight="1">
      <c r="A538" s="8"/>
      <c r="B538" s="2"/>
      <c r="C538" s="8"/>
      <c r="D538" s="8"/>
      <c r="E538" s="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3"/>
      <c r="W538" s="3"/>
      <c r="X538" s="3"/>
      <c r="Y538" s="3"/>
      <c r="Z538" s="3"/>
      <c r="AA538" s="3"/>
      <c r="AB538" s="3"/>
    </row>
    <row r="539" ht="15.75" customHeight="1">
      <c r="A539" s="8"/>
      <c r="B539" s="2"/>
      <c r="C539" s="8"/>
      <c r="D539" s="8"/>
      <c r="E539" s="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3"/>
      <c r="W539" s="3"/>
      <c r="X539" s="3"/>
      <c r="Y539" s="3"/>
      <c r="Z539" s="3"/>
      <c r="AA539" s="3"/>
      <c r="AB539" s="3"/>
    </row>
    <row r="540" ht="15.75" customHeight="1">
      <c r="A540" s="8"/>
      <c r="B540" s="2"/>
      <c r="C540" s="8"/>
      <c r="D540" s="8"/>
      <c r="E540" s="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3"/>
      <c r="W540" s="3"/>
      <c r="X540" s="3"/>
      <c r="Y540" s="3"/>
      <c r="Z540" s="3"/>
      <c r="AA540" s="3"/>
      <c r="AB540" s="3"/>
    </row>
    <row r="541" ht="15.75" customHeight="1">
      <c r="A541" s="8"/>
      <c r="B541" s="2"/>
      <c r="C541" s="8"/>
      <c r="D541" s="8"/>
      <c r="E541" s="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3"/>
      <c r="W541" s="3"/>
      <c r="X541" s="3"/>
      <c r="Y541" s="3"/>
      <c r="Z541" s="3"/>
      <c r="AA541" s="3"/>
      <c r="AB541" s="3"/>
    </row>
    <row r="542" ht="15.75" customHeight="1">
      <c r="A542" s="8"/>
      <c r="B542" s="2"/>
      <c r="C542" s="8"/>
      <c r="D542" s="8"/>
      <c r="E542" s="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3"/>
      <c r="W542" s="3"/>
      <c r="X542" s="3"/>
      <c r="Y542" s="3"/>
      <c r="Z542" s="3"/>
      <c r="AA542" s="3"/>
      <c r="AB542" s="3"/>
    </row>
    <row r="543" ht="15.75" customHeight="1">
      <c r="A543" s="8"/>
      <c r="B543" s="2"/>
      <c r="C543" s="8"/>
      <c r="D543" s="8"/>
      <c r="E543" s="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3"/>
      <c r="W543" s="3"/>
      <c r="X543" s="3"/>
      <c r="Y543" s="3"/>
      <c r="Z543" s="3"/>
      <c r="AA543" s="3"/>
      <c r="AB543" s="3"/>
    </row>
    <row r="544" ht="15.75" customHeight="1">
      <c r="A544" s="8"/>
      <c r="B544" s="2"/>
      <c r="C544" s="8"/>
      <c r="D544" s="8"/>
      <c r="E544" s="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3"/>
      <c r="W544" s="3"/>
      <c r="X544" s="3"/>
      <c r="Y544" s="3"/>
      <c r="Z544" s="3"/>
      <c r="AA544" s="3"/>
      <c r="AB544" s="3"/>
    </row>
    <row r="545" ht="15.75" customHeight="1">
      <c r="A545" s="8"/>
      <c r="B545" s="2"/>
      <c r="C545" s="8"/>
      <c r="D545" s="8"/>
      <c r="E545" s="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3"/>
      <c r="W545" s="3"/>
      <c r="X545" s="3"/>
      <c r="Y545" s="3"/>
      <c r="Z545" s="3"/>
      <c r="AA545" s="3"/>
      <c r="AB545" s="3"/>
    </row>
    <row r="546" ht="15.75" customHeight="1">
      <c r="A546" s="8"/>
      <c r="B546" s="2"/>
      <c r="C546" s="8"/>
      <c r="D546" s="8"/>
      <c r="E546" s="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3"/>
      <c r="W546" s="3"/>
      <c r="X546" s="3"/>
      <c r="Y546" s="3"/>
      <c r="Z546" s="3"/>
      <c r="AA546" s="3"/>
      <c r="AB546" s="3"/>
    </row>
    <row r="547" ht="15.75" customHeight="1">
      <c r="A547" s="8"/>
      <c r="B547" s="2"/>
      <c r="C547" s="8"/>
      <c r="D547" s="8"/>
      <c r="E547" s="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3"/>
      <c r="W547" s="3"/>
      <c r="X547" s="3"/>
      <c r="Y547" s="3"/>
      <c r="Z547" s="3"/>
      <c r="AA547" s="3"/>
      <c r="AB547" s="3"/>
    </row>
    <row r="548" ht="15.75" customHeight="1">
      <c r="A548" s="8"/>
      <c r="B548" s="2"/>
      <c r="C548" s="8"/>
      <c r="D548" s="8"/>
      <c r="E548" s="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3"/>
      <c r="W548" s="3"/>
      <c r="X548" s="3"/>
      <c r="Y548" s="3"/>
      <c r="Z548" s="3"/>
      <c r="AA548" s="3"/>
      <c r="AB548" s="3"/>
    </row>
    <row r="549" ht="15.75" customHeight="1">
      <c r="A549" s="8"/>
      <c r="B549" s="2"/>
      <c r="C549" s="8"/>
      <c r="D549" s="8"/>
      <c r="E549" s="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3"/>
      <c r="W549" s="3"/>
      <c r="X549" s="3"/>
      <c r="Y549" s="3"/>
      <c r="Z549" s="3"/>
      <c r="AA549" s="3"/>
      <c r="AB549" s="3"/>
    </row>
    <row r="550" ht="15.75" customHeight="1">
      <c r="A550" s="8"/>
      <c r="B550" s="2"/>
      <c r="C550" s="8"/>
      <c r="D550" s="8"/>
      <c r="E550" s="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3"/>
      <c r="W550" s="3"/>
      <c r="X550" s="3"/>
      <c r="Y550" s="3"/>
      <c r="Z550" s="3"/>
      <c r="AA550" s="3"/>
      <c r="AB550" s="3"/>
    </row>
    <row r="551" ht="15.75" customHeight="1">
      <c r="A551" s="8"/>
      <c r="B551" s="2"/>
      <c r="C551" s="8"/>
      <c r="D551" s="8"/>
      <c r="E551" s="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3"/>
      <c r="W551" s="3"/>
      <c r="X551" s="3"/>
      <c r="Y551" s="3"/>
      <c r="Z551" s="3"/>
      <c r="AA551" s="3"/>
      <c r="AB551" s="3"/>
    </row>
    <row r="552" ht="15.75" customHeight="1">
      <c r="A552" s="8"/>
      <c r="B552" s="2"/>
      <c r="C552" s="8"/>
      <c r="D552" s="8"/>
      <c r="E552" s="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3"/>
      <c r="W552" s="3"/>
      <c r="X552" s="3"/>
      <c r="Y552" s="3"/>
      <c r="Z552" s="3"/>
      <c r="AA552" s="3"/>
      <c r="AB552" s="3"/>
    </row>
    <row r="553" ht="15.75" customHeight="1">
      <c r="A553" s="8"/>
      <c r="B553" s="2"/>
      <c r="C553" s="8"/>
      <c r="D553" s="8"/>
      <c r="E553" s="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3"/>
      <c r="W553" s="3"/>
      <c r="X553" s="3"/>
      <c r="Y553" s="3"/>
      <c r="Z553" s="3"/>
      <c r="AA553" s="3"/>
      <c r="AB553" s="3"/>
    </row>
    <row r="554" ht="15.75" customHeight="1">
      <c r="A554" s="8"/>
      <c r="B554" s="2"/>
      <c r="C554" s="8"/>
      <c r="D554" s="8"/>
      <c r="E554" s="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3"/>
      <c r="W554" s="3"/>
      <c r="X554" s="3"/>
      <c r="Y554" s="3"/>
      <c r="Z554" s="3"/>
      <c r="AA554" s="3"/>
      <c r="AB554" s="3"/>
    </row>
    <row r="555" ht="15.75" customHeight="1">
      <c r="A555" s="8"/>
      <c r="B555" s="2"/>
      <c r="C555" s="8"/>
      <c r="D555" s="8"/>
      <c r="E555" s="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3"/>
      <c r="W555" s="3"/>
      <c r="X555" s="3"/>
      <c r="Y555" s="3"/>
      <c r="Z555" s="3"/>
      <c r="AA555" s="3"/>
      <c r="AB555" s="3"/>
    </row>
    <row r="556" ht="15.75" customHeight="1">
      <c r="A556" s="8"/>
      <c r="B556" s="2"/>
      <c r="C556" s="8"/>
      <c r="D556" s="8"/>
      <c r="E556" s="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3"/>
      <c r="W556" s="3"/>
      <c r="X556" s="3"/>
      <c r="Y556" s="3"/>
      <c r="Z556" s="3"/>
      <c r="AA556" s="3"/>
      <c r="AB556" s="3"/>
    </row>
    <row r="557" ht="15.75" customHeight="1">
      <c r="A557" s="8"/>
      <c r="B557" s="2"/>
      <c r="C557" s="8"/>
      <c r="D557" s="8"/>
      <c r="E557" s="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3"/>
      <c r="W557" s="3"/>
      <c r="X557" s="3"/>
      <c r="Y557" s="3"/>
      <c r="Z557" s="3"/>
      <c r="AA557" s="3"/>
      <c r="AB557" s="3"/>
    </row>
    <row r="558" ht="15.75" customHeight="1">
      <c r="A558" s="8"/>
      <c r="B558" s="2"/>
      <c r="C558" s="8"/>
      <c r="D558" s="8"/>
      <c r="E558" s="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3"/>
      <c r="W558" s="3"/>
      <c r="X558" s="3"/>
      <c r="Y558" s="3"/>
      <c r="Z558" s="3"/>
      <c r="AA558" s="3"/>
      <c r="AB558" s="3"/>
    </row>
    <row r="559" ht="15.75" customHeight="1">
      <c r="A559" s="8"/>
      <c r="B559" s="2"/>
      <c r="C559" s="8"/>
      <c r="D559" s="8"/>
      <c r="E559" s="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3"/>
      <c r="W559" s="3"/>
      <c r="X559" s="3"/>
      <c r="Y559" s="3"/>
      <c r="Z559" s="3"/>
      <c r="AA559" s="3"/>
      <c r="AB559" s="3"/>
    </row>
    <row r="560" ht="15.75" customHeight="1">
      <c r="A560" s="8"/>
      <c r="B560" s="2"/>
      <c r="C560" s="8"/>
      <c r="D560" s="8"/>
      <c r="E560" s="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3"/>
      <c r="W560" s="3"/>
      <c r="X560" s="3"/>
      <c r="Y560" s="3"/>
      <c r="Z560" s="3"/>
      <c r="AA560" s="3"/>
      <c r="AB560" s="3"/>
    </row>
    <row r="561" ht="15.75" customHeight="1">
      <c r="A561" s="8"/>
      <c r="B561" s="2"/>
      <c r="C561" s="8"/>
      <c r="D561" s="8"/>
      <c r="E561" s="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3"/>
      <c r="W561" s="3"/>
      <c r="X561" s="3"/>
      <c r="Y561" s="3"/>
      <c r="Z561" s="3"/>
      <c r="AA561" s="3"/>
      <c r="AB561" s="3"/>
    </row>
    <row r="562" ht="15.75" customHeight="1">
      <c r="A562" s="8"/>
      <c r="B562" s="2"/>
      <c r="C562" s="8"/>
      <c r="D562" s="8"/>
      <c r="E562" s="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3"/>
      <c r="W562" s="3"/>
      <c r="X562" s="3"/>
      <c r="Y562" s="3"/>
      <c r="Z562" s="3"/>
      <c r="AA562" s="3"/>
      <c r="AB562" s="3"/>
    </row>
    <row r="563" ht="15.75" customHeight="1">
      <c r="A563" s="8"/>
      <c r="B563" s="2"/>
      <c r="C563" s="8"/>
      <c r="D563" s="8"/>
      <c r="E563" s="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3"/>
      <c r="W563" s="3"/>
      <c r="X563" s="3"/>
      <c r="Y563" s="3"/>
      <c r="Z563" s="3"/>
      <c r="AA563" s="3"/>
      <c r="AB563" s="3"/>
    </row>
    <row r="564" ht="15.75" customHeight="1">
      <c r="A564" s="8"/>
      <c r="B564" s="2"/>
      <c r="C564" s="8"/>
      <c r="D564" s="8"/>
      <c r="E564" s="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3"/>
      <c r="W564" s="3"/>
      <c r="X564" s="3"/>
      <c r="Y564" s="3"/>
      <c r="Z564" s="3"/>
      <c r="AA564" s="3"/>
      <c r="AB564" s="3"/>
    </row>
    <row r="565" ht="15.75" customHeight="1">
      <c r="A565" s="8"/>
      <c r="B565" s="2"/>
      <c r="C565" s="8"/>
      <c r="D565" s="8"/>
      <c r="E565" s="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3"/>
      <c r="W565" s="3"/>
      <c r="X565" s="3"/>
      <c r="Y565" s="3"/>
      <c r="Z565" s="3"/>
      <c r="AA565" s="3"/>
      <c r="AB565" s="3"/>
    </row>
    <row r="566" ht="15.75" customHeight="1">
      <c r="A566" s="8"/>
      <c r="B566" s="2"/>
      <c r="C566" s="8"/>
      <c r="D566" s="8"/>
      <c r="E566" s="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3"/>
      <c r="W566" s="3"/>
      <c r="X566" s="3"/>
      <c r="Y566" s="3"/>
      <c r="Z566" s="3"/>
      <c r="AA566" s="3"/>
      <c r="AB566" s="3"/>
    </row>
    <row r="567" ht="15.75" customHeight="1">
      <c r="A567" s="8"/>
      <c r="B567" s="2"/>
      <c r="C567" s="8"/>
      <c r="D567" s="8"/>
      <c r="E567" s="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3"/>
      <c r="W567" s="3"/>
      <c r="X567" s="3"/>
      <c r="Y567" s="3"/>
      <c r="Z567" s="3"/>
      <c r="AA567" s="3"/>
      <c r="AB567" s="3"/>
    </row>
    <row r="568" ht="15.75" customHeight="1">
      <c r="A568" s="8"/>
      <c r="B568" s="2"/>
      <c r="C568" s="8"/>
      <c r="D568" s="8"/>
      <c r="E568" s="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3"/>
      <c r="W568" s="3"/>
      <c r="X568" s="3"/>
      <c r="Y568" s="3"/>
      <c r="Z568" s="3"/>
      <c r="AA568" s="3"/>
      <c r="AB568" s="3"/>
    </row>
    <row r="569" ht="15.75" customHeight="1">
      <c r="A569" s="8"/>
      <c r="B569" s="2"/>
      <c r="C569" s="8"/>
      <c r="D569" s="8"/>
      <c r="E569" s="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3"/>
      <c r="W569" s="3"/>
      <c r="X569" s="3"/>
      <c r="Y569" s="3"/>
      <c r="Z569" s="3"/>
      <c r="AA569" s="3"/>
      <c r="AB569" s="3"/>
    </row>
    <row r="570" ht="15.75" customHeight="1">
      <c r="A570" s="8"/>
      <c r="B570" s="2"/>
      <c r="C570" s="8"/>
      <c r="D570" s="8"/>
      <c r="E570" s="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3"/>
      <c r="W570" s="3"/>
      <c r="X570" s="3"/>
      <c r="Y570" s="3"/>
      <c r="Z570" s="3"/>
      <c r="AA570" s="3"/>
      <c r="AB570" s="3"/>
    </row>
    <row r="571" ht="15.75" customHeight="1">
      <c r="A571" s="8"/>
      <c r="B571" s="2"/>
      <c r="C571" s="8"/>
      <c r="D571" s="8"/>
      <c r="E571" s="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3"/>
      <c r="W571" s="3"/>
      <c r="X571" s="3"/>
      <c r="Y571" s="3"/>
      <c r="Z571" s="3"/>
      <c r="AA571" s="3"/>
      <c r="AB571" s="3"/>
    </row>
    <row r="572" ht="15.75" customHeight="1">
      <c r="A572" s="8"/>
      <c r="B572" s="2"/>
      <c r="C572" s="8"/>
      <c r="D572" s="8"/>
      <c r="E572" s="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3"/>
      <c r="W572" s="3"/>
      <c r="X572" s="3"/>
      <c r="Y572" s="3"/>
      <c r="Z572" s="3"/>
      <c r="AA572" s="3"/>
      <c r="AB572" s="3"/>
    </row>
    <row r="573" ht="15.75" customHeight="1">
      <c r="A573" s="8"/>
      <c r="B573" s="2"/>
      <c r="C573" s="8"/>
      <c r="D573" s="8"/>
      <c r="E573" s="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3"/>
      <c r="W573" s="3"/>
      <c r="X573" s="3"/>
      <c r="Y573" s="3"/>
      <c r="Z573" s="3"/>
      <c r="AA573" s="3"/>
      <c r="AB573" s="3"/>
    </row>
    <row r="574" ht="15.75" customHeight="1">
      <c r="A574" s="8"/>
      <c r="B574" s="2"/>
      <c r="C574" s="8"/>
      <c r="D574" s="8"/>
      <c r="E574" s="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3"/>
      <c r="W574" s="3"/>
      <c r="X574" s="3"/>
      <c r="Y574" s="3"/>
      <c r="Z574" s="3"/>
      <c r="AA574" s="3"/>
      <c r="AB574" s="3"/>
    </row>
    <row r="575" ht="15.75" customHeight="1">
      <c r="A575" s="8"/>
      <c r="B575" s="2"/>
      <c r="C575" s="8"/>
      <c r="D575" s="8"/>
      <c r="E575" s="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3"/>
      <c r="W575" s="3"/>
      <c r="X575" s="3"/>
      <c r="Y575" s="3"/>
      <c r="Z575" s="3"/>
      <c r="AA575" s="3"/>
      <c r="AB575" s="3"/>
    </row>
    <row r="576" ht="15.75" customHeight="1">
      <c r="A576" s="8"/>
      <c r="B576" s="2"/>
      <c r="C576" s="8"/>
      <c r="D576" s="8"/>
      <c r="E576" s="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3"/>
      <c r="W576" s="3"/>
      <c r="X576" s="3"/>
      <c r="Y576" s="3"/>
      <c r="Z576" s="3"/>
      <c r="AA576" s="3"/>
      <c r="AB576" s="3"/>
    </row>
    <row r="577" ht="15.75" customHeight="1">
      <c r="A577" s="8"/>
      <c r="B577" s="2"/>
      <c r="C577" s="8"/>
      <c r="D577" s="8"/>
      <c r="E577" s="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"/>
      <c r="W577" s="3"/>
      <c r="X577" s="3"/>
      <c r="Y577" s="3"/>
      <c r="Z577" s="3"/>
      <c r="AA577" s="3"/>
      <c r="AB577" s="3"/>
    </row>
    <row r="578" ht="15.75" customHeight="1">
      <c r="A578" s="8"/>
      <c r="B578" s="2"/>
      <c r="C578" s="8"/>
      <c r="D578" s="8"/>
      <c r="E578" s="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"/>
      <c r="W578" s="3"/>
      <c r="X578" s="3"/>
      <c r="Y578" s="3"/>
      <c r="Z578" s="3"/>
      <c r="AA578" s="3"/>
      <c r="AB578" s="3"/>
    </row>
    <row r="579" ht="15.75" customHeight="1">
      <c r="A579" s="8"/>
      <c r="B579" s="2"/>
      <c r="C579" s="8"/>
      <c r="D579" s="8"/>
      <c r="E579" s="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3"/>
      <c r="W579" s="3"/>
      <c r="X579" s="3"/>
      <c r="Y579" s="3"/>
      <c r="Z579" s="3"/>
      <c r="AA579" s="3"/>
      <c r="AB579" s="3"/>
    </row>
    <row r="580" ht="15.75" customHeight="1">
      <c r="A580" s="8"/>
      <c r="B580" s="2"/>
      <c r="C580" s="8"/>
      <c r="D580" s="8"/>
      <c r="E580" s="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3"/>
      <c r="W580" s="3"/>
      <c r="X580" s="3"/>
      <c r="Y580" s="3"/>
      <c r="Z580" s="3"/>
      <c r="AA580" s="3"/>
      <c r="AB580" s="3"/>
    </row>
    <row r="581" ht="15.75" customHeight="1">
      <c r="A581" s="8"/>
      <c r="B581" s="2"/>
      <c r="C581" s="8"/>
      <c r="D581" s="8"/>
      <c r="E581" s="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3"/>
      <c r="W581" s="3"/>
      <c r="X581" s="3"/>
      <c r="Y581" s="3"/>
      <c r="Z581" s="3"/>
      <c r="AA581" s="3"/>
      <c r="AB581" s="3"/>
    </row>
    <row r="582" ht="15.75" customHeight="1">
      <c r="A582" s="8"/>
      <c r="B582" s="2"/>
      <c r="C582" s="8"/>
      <c r="D582" s="8"/>
      <c r="E582" s="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3"/>
      <c r="W582" s="3"/>
      <c r="X582" s="3"/>
      <c r="Y582" s="3"/>
      <c r="Z582" s="3"/>
      <c r="AA582" s="3"/>
      <c r="AB582" s="3"/>
    </row>
    <row r="583" ht="15.75" customHeight="1">
      <c r="A583" s="8"/>
      <c r="B583" s="2"/>
      <c r="C583" s="8"/>
      <c r="D583" s="8"/>
      <c r="E583" s="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3"/>
      <c r="W583" s="3"/>
      <c r="X583" s="3"/>
      <c r="Y583" s="3"/>
      <c r="Z583" s="3"/>
      <c r="AA583" s="3"/>
      <c r="AB583" s="3"/>
    </row>
    <row r="584" ht="15.75" customHeight="1">
      <c r="A584" s="8"/>
      <c r="B584" s="2"/>
      <c r="C584" s="8"/>
      <c r="D584" s="8"/>
      <c r="E584" s="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3"/>
      <c r="W584" s="3"/>
      <c r="X584" s="3"/>
      <c r="Y584" s="3"/>
      <c r="Z584" s="3"/>
      <c r="AA584" s="3"/>
      <c r="AB584" s="3"/>
    </row>
    <row r="585" ht="15.75" customHeight="1">
      <c r="A585" s="8"/>
      <c r="B585" s="2"/>
      <c r="C585" s="8"/>
      <c r="D585" s="8"/>
      <c r="E585" s="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3"/>
      <c r="W585" s="3"/>
      <c r="X585" s="3"/>
      <c r="Y585" s="3"/>
      <c r="Z585" s="3"/>
      <c r="AA585" s="3"/>
      <c r="AB585" s="3"/>
    </row>
    <row r="586" ht="15.75" customHeight="1">
      <c r="A586" s="8"/>
      <c r="B586" s="2"/>
      <c r="C586" s="8"/>
      <c r="D586" s="8"/>
      <c r="E586" s="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3"/>
      <c r="W586" s="3"/>
      <c r="X586" s="3"/>
      <c r="Y586" s="3"/>
      <c r="Z586" s="3"/>
      <c r="AA586" s="3"/>
      <c r="AB586" s="3"/>
    </row>
    <row r="587" ht="15.75" customHeight="1">
      <c r="A587" s="8"/>
      <c r="B587" s="2"/>
      <c r="C587" s="8"/>
      <c r="D587" s="8"/>
      <c r="E587" s="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3"/>
      <c r="W587" s="3"/>
      <c r="X587" s="3"/>
      <c r="Y587" s="3"/>
      <c r="Z587" s="3"/>
      <c r="AA587" s="3"/>
      <c r="AB587" s="3"/>
    </row>
    <row r="588" ht="15.75" customHeight="1">
      <c r="A588" s="8"/>
      <c r="B588" s="2"/>
      <c r="C588" s="8"/>
      <c r="D588" s="8"/>
      <c r="E588" s="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3"/>
      <c r="W588" s="3"/>
      <c r="X588" s="3"/>
      <c r="Y588" s="3"/>
      <c r="Z588" s="3"/>
      <c r="AA588" s="3"/>
      <c r="AB588" s="3"/>
    </row>
    <row r="589" ht="15.75" customHeight="1">
      <c r="A589" s="8"/>
      <c r="B589" s="2"/>
      <c r="C589" s="8"/>
      <c r="D589" s="8"/>
      <c r="E589" s="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3"/>
      <c r="W589" s="3"/>
      <c r="X589" s="3"/>
      <c r="Y589" s="3"/>
      <c r="Z589" s="3"/>
      <c r="AA589" s="3"/>
      <c r="AB589" s="3"/>
    </row>
    <row r="590" ht="15.75" customHeight="1">
      <c r="A590" s="8"/>
      <c r="B590" s="2"/>
      <c r="C590" s="8"/>
      <c r="D590" s="8"/>
      <c r="E590" s="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3"/>
      <c r="W590" s="3"/>
      <c r="X590" s="3"/>
      <c r="Y590" s="3"/>
      <c r="Z590" s="3"/>
      <c r="AA590" s="3"/>
      <c r="AB590" s="3"/>
    </row>
    <row r="591" ht="15.75" customHeight="1">
      <c r="A591" s="8"/>
      <c r="B591" s="2"/>
      <c r="C591" s="8"/>
      <c r="D591" s="8"/>
      <c r="E591" s="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3"/>
      <c r="W591" s="3"/>
      <c r="X591" s="3"/>
      <c r="Y591" s="3"/>
      <c r="Z591" s="3"/>
      <c r="AA591" s="3"/>
      <c r="AB591" s="3"/>
    </row>
    <row r="592" ht="15.75" customHeight="1">
      <c r="A592" s="8"/>
      <c r="B592" s="2"/>
      <c r="C592" s="8"/>
      <c r="D592" s="8"/>
      <c r="E592" s="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3"/>
      <c r="W592" s="3"/>
      <c r="X592" s="3"/>
      <c r="Y592" s="3"/>
      <c r="Z592" s="3"/>
      <c r="AA592" s="3"/>
      <c r="AB592" s="3"/>
    </row>
    <row r="593" ht="15.75" customHeight="1">
      <c r="A593" s="8"/>
      <c r="B593" s="2"/>
      <c r="C593" s="8"/>
      <c r="D593" s="8"/>
      <c r="E593" s="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3"/>
      <c r="W593" s="3"/>
      <c r="X593" s="3"/>
      <c r="Y593" s="3"/>
      <c r="Z593" s="3"/>
      <c r="AA593" s="3"/>
      <c r="AB593" s="3"/>
    </row>
    <row r="594" ht="15.75" customHeight="1">
      <c r="A594" s="8"/>
      <c r="B594" s="2"/>
      <c r="C594" s="8"/>
      <c r="D594" s="8"/>
      <c r="E594" s="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3"/>
      <c r="W594" s="3"/>
      <c r="X594" s="3"/>
      <c r="Y594" s="3"/>
      <c r="Z594" s="3"/>
      <c r="AA594" s="3"/>
      <c r="AB594" s="3"/>
    </row>
    <row r="595" ht="15.75" customHeight="1">
      <c r="A595" s="8"/>
      <c r="B595" s="2"/>
      <c r="C595" s="8"/>
      <c r="D595" s="8"/>
      <c r="E595" s="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3"/>
      <c r="W595" s="3"/>
      <c r="X595" s="3"/>
      <c r="Y595" s="3"/>
      <c r="Z595" s="3"/>
      <c r="AA595" s="3"/>
      <c r="AB595" s="3"/>
    </row>
    <row r="596" ht="15.75" customHeight="1">
      <c r="A596" s="8"/>
      <c r="B596" s="2"/>
      <c r="C596" s="8"/>
      <c r="D596" s="8"/>
      <c r="E596" s="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3"/>
      <c r="W596" s="3"/>
      <c r="X596" s="3"/>
      <c r="Y596" s="3"/>
      <c r="Z596" s="3"/>
      <c r="AA596" s="3"/>
      <c r="AB596" s="3"/>
    </row>
    <row r="597" ht="15.75" customHeight="1">
      <c r="A597" s="8"/>
      <c r="B597" s="2"/>
      <c r="C597" s="8"/>
      <c r="D597" s="8"/>
      <c r="E597" s="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3"/>
      <c r="W597" s="3"/>
      <c r="X597" s="3"/>
      <c r="Y597" s="3"/>
      <c r="Z597" s="3"/>
      <c r="AA597" s="3"/>
      <c r="AB597" s="3"/>
    </row>
    <row r="598" ht="15.75" customHeight="1">
      <c r="A598" s="8"/>
      <c r="B598" s="2"/>
      <c r="C598" s="8"/>
      <c r="D598" s="8"/>
      <c r="E598" s="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3"/>
      <c r="W598" s="3"/>
      <c r="X598" s="3"/>
      <c r="Y598" s="3"/>
      <c r="Z598" s="3"/>
      <c r="AA598" s="3"/>
      <c r="AB598" s="3"/>
    </row>
    <row r="599" ht="15.75" customHeight="1">
      <c r="A599" s="8"/>
      <c r="B599" s="2"/>
      <c r="C599" s="8"/>
      <c r="D599" s="8"/>
      <c r="E599" s="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3"/>
      <c r="W599" s="3"/>
      <c r="X599" s="3"/>
      <c r="Y599" s="3"/>
      <c r="Z599" s="3"/>
      <c r="AA599" s="3"/>
      <c r="AB599" s="3"/>
    </row>
    <row r="600" ht="15.75" customHeight="1">
      <c r="A600" s="8"/>
      <c r="B600" s="2"/>
      <c r="C600" s="8"/>
      <c r="D600" s="8"/>
      <c r="E600" s="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"/>
      <c r="W600" s="3"/>
      <c r="X600" s="3"/>
      <c r="Y600" s="3"/>
      <c r="Z600" s="3"/>
      <c r="AA600" s="3"/>
      <c r="AB600" s="3"/>
    </row>
    <row r="601" ht="15.75" customHeight="1">
      <c r="A601" s="8"/>
      <c r="B601" s="2"/>
      <c r="C601" s="8"/>
      <c r="D601" s="8"/>
      <c r="E601" s="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3"/>
      <c r="W601" s="3"/>
      <c r="X601" s="3"/>
      <c r="Y601" s="3"/>
      <c r="Z601" s="3"/>
      <c r="AA601" s="3"/>
      <c r="AB601" s="3"/>
    </row>
    <row r="602" ht="15.75" customHeight="1">
      <c r="A602" s="8"/>
      <c r="B602" s="2"/>
      <c r="C602" s="8"/>
      <c r="D602" s="8"/>
      <c r="E602" s="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3"/>
      <c r="W602" s="3"/>
      <c r="X602" s="3"/>
      <c r="Y602" s="3"/>
      <c r="Z602" s="3"/>
      <c r="AA602" s="3"/>
      <c r="AB602" s="3"/>
    </row>
    <row r="603" ht="15.75" customHeight="1">
      <c r="A603" s="8"/>
      <c r="B603" s="2"/>
      <c r="C603" s="8"/>
      <c r="D603" s="8"/>
      <c r="E603" s="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3"/>
      <c r="W603" s="3"/>
      <c r="X603" s="3"/>
      <c r="Y603" s="3"/>
      <c r="Z603" s="3"/>
      <c r="AA603" s="3"/>
      <c r="AB603" s="3"/>
    </row>
    <row r="604" ht="15.75" customHeight="1">
      <c r="A604" s="8"/>
      <c r="B604" s="2"/>
      <c r="C604" s="8"/>
      <c r="D604" s="8"/>
      <c r="E604" s="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3"/>
      <c r="W604" s="3"/>
      <c r="X604" s="3"/>
      <c r="Y604" s="3"/>
      <c r="Z604" s="3"/>
      <c r="AA604" s="3"/>
      <c r="AB604" s="3"/>
    </row>
    <row r="605" ht="15.75" customHeight="1">
      <c r="A605" s="8"/>
      <c r="B605" s="2"/>
      <c r="C605" s="8"/>
      <c r="D605" s="8"/>
      <c r="E605" s="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3"/>
      <c r="W605" s="3"/>
      <c r="X605" s="3"/>
      <c r="Y605" s="3"/>
      <c r="Z605" s="3"/>
      <c r="AA605" s="3"/>
      <c r="AB605" s="3"/>
    </row>
    <row r="606" ht="15.75" customHeight="1">
      <c r="A606" s="8"/>
      <c r="B606" s="2"/>
      <c r="C606" s="8"/>
      <c r="D606" s="8"/>
      <c r="E606" s="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3"/>
      <c r="W606" s="3"/>
      <c r="X606" s="3"/>
      <c r="Y606" s="3"/>
      <c r="Z606" s="3"/>
      <c r="AA606" s="3"/>
      <c r="AB606" s="3"/>
    </row>
    <row r="607" ht="15.75" customHeight="1">
      <c r="A607" s="8"/>
      <c r="B607" s="2"/>
      <c r="C607" s="8"/>
      <c r="D607" s="8"/>
      <c r="E607" s="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"/>
      <c r="W607" s="3"/>
      <c r="X607" s="3"/>
      <c r="Y607" s="3"/>
      <c r="Z607" s="3"/>
      <c r="AA607" s="3"/>
      <c r="AB607" s="3"/>
    </row>
    <row r="608" ht="15.75" customHeight="1">
      <c r="A608" s="8"/>
      <c r="B608" s="2"/>
      <c r="C608" s="8"/>
      <c r="D608" s="8"/>
      <c r="E608" s="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3"/>
      <c r="W608" s="3"/>
      <c r="X608" s="3"/>
      <c r="Y608" s="3"/>
      <c r="Z608" s="3"/>
      <c r="AA608" s="3"/>
      <c r="AB608" s="3"/>
    </row>
    <row r="609" ht="15.75" customHeight="1">
      <c r="A609" s="8"/>
      <c r="B609" s="2"/>
      <c r="C609" s="8"/>
      <c r="D609" s="8"/>
      <c r="E609" s="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3"/>
      <c r="W609" s="3"/>
      <c r="X609" s="3"/>
      <c r="Y609" s="3"/>
      <c r="Z609" s="3"/>
      <c r="AA609" s="3"/>
      <c r="AB609" s="3"/>
    </row>
    <row r="610" ht="15.75" customHeight="1">
      <c r="A610" s="8"/>
      <c r="B610" s="2"/>
      <c r="C610" s="8"/>
      <c r="D610" s="8"/>
      <c r="E610" s="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3"/>
      <c r="W610" s="3"/>
      <c r="X610" s="3"/>
      <c r="Y610" s="3"/>
      <c r="Z610" s="3"/>
      <c r="AA610" s="3"/>
      <c r="AB610" s="3"/>
    </row>
    <row r="611" ht="15.75" customHeight="1">
      <c r="A611" s="8"/>
      <c r="B611" s="2"/>
      <c r="C611" s="8"/>
      <c r="D611" s="8"/>
      <c r="E611" s="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3"/>
      <c r="W611" s="3"/>
      <c r="X611" s="3"/>
      <c r="Y611" s="3"/>
      <c r="Z611" s="3"/>
      <c r="AA611" s="3"/>
      <c r="AB611" s="3"/>
    </row>
    <row r="612" ht="15.75" customHeight="1">
      <c r="A612" s="8"/>
      <c r="B612" s="2"/>
      <c r="C612" s="8"/>
      <c r="D612" s="8"/>
      <c r="E612" s="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3"/>
      <c r="W612" s="3"/>
      <c r="X612" s="3"/>
      <c r="Y612" s="3"/>
      <c r="Z612" s="3"/>
      <c r="AA612" s="3"/>
      <c r="AB612" s="3"/>
    </row>
    <row r="613" ht="15.75" customHeight="1">
      <c r="A613" s="8"/>
      <c r="B613" s="2"/>
      <c r="C613" s="8"/>
      <c r="D613" s="8"/>
      <c r="E613" s="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3"/>
      <c r="W613" s="3"/>
      <c r="X613" s="3"/>
      <c r="Y613" s="3"/>
      <c r="Z613" s="3"/>
      <c r="AA613" s="3"/>
      <c r="AB613" s="3"/>
    </row>
    <row r="614" ht="15.75" customHeight="1">
      <c r="A614" s="8"/>
      <c r="B614" s="2"/>
      <c r="C614" s="8"/>
      <c r="D614" s="8"/>
      <c r="E614" s="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3"/>
      <c r="W614" s="3"/>
      <c r="X614" s="3"/>
      <c r="Y614" s="3"/>
      <c r="Z614" s="3"/>
      <c r="AA614" s="3"/>
      <c r="AB614" s="3"/>
    </row>
    <row r="615" ht="15.75" customHeight="1">
      <c r="A615" s="8"/>
      <c r="B615" s="2"/>
      <c r="C615" s="8"/>
      <c r="D615" s="8"/>
      <c r="E615" s="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3"/>
      <c r="W615" s="3"/>
      <c r="X615" s="3"/>
      <c r="Y615" s="3"/>
      <c r="Z615" s="3"/>
      <c r="AA615" s="3"/>
      <c r="AB615" s="3"/>
    </row>
    <row r="616" ht="15.75" customHeight="1">
      <c r="A616" s="8"/>
      <c r="B616" s="2"/>
      <c r="C616" s="8"/>
      <c r="D616" s="8"/>
      <c r="E616" s="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3"/>
      <c r="W616" s="3"/>
      <c r="X616" s="3"/>
      <c r="Y616" s="3"/>
      <c r="Z616" s="3"/>
      <c r="AA616" s="3"/>
      <c r="AB616" s="3"/>
    </row>
    <row r="617" ht="15.75" customHeight="1">
      <c r="A617" s="8"/>
      <c r="B617" s="2"/>
      <c r="C617" s="8"/>
      <c r="D617" s="8"/>
      <c r="E617" s="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3"/>
      <c r="W617" s="3"/>
      <c r="X617" s="3"/>
      <c r="Y617" s="3"/>
      <c r="Z617" s="3"/>
      <c r="AA617" s="3"/>
      <c r="AB617" s="3"/>
    </row>
    <row r="618" ht="15.75" customHeight="1">
      <c r="A618" s="8"/>
      <c r="B618" s="2"/>
      <c r="C618" s="8"/>
      <c r="D618" s="8"/>
      <c r="E618" s="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3"/>
      <c r="W618" s="3"/>
      <c r="X618" s="3"/>
      <c r="Y618" s="3"/>
      <c r="Z618" s="3"/>
      <c r="AA618" s="3"/>
      <c r="AB618" s="3"/>
    </row>
    <row r="619" ht="15.75" customHeight="1">
      <c r="A619" s="8"/>
      <c r="B619" s="2"/>
      <c r="C619" s="8"/>
      <c r="D619" s="8"/>
      <c r="E619" s="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"/>
      <c r="W619" s="3"/>
      <c r="X619" s="3"/>
      <c r="Y619" s="3"/>
      <c r="Z619" s="3"/>
      <c r="AA619" s="3"/>
      <c r="AB619" s="3"/>
    </row>
    <row r="620" ht="15.75" customHeight="1">
      <c r="A620" s="8"/>
      <c r="B620" s="2"/>
      <c r="C620" s="8"/>
      <c r="D620" s="8"/>
      <c r="E620" s="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3"/>
      <c r="W620" s="3"/>
      <c r="X620" s="3"/>
      <c r="Y620" s="3"/>
      <c r="Z620" s="3"/>
      <c r="AA620" s="3"/>
      <c r="AB620" s="3"/>
    </row>
    <row r="621" ht="15.75" customHeight="1">
      <c r="A621" s="8"/>
      <c r="B621" s="2"/>
      <c r="C621" s="8"/>
      <c r="D621" s="8"/>
      <c r="E621" s="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3"/>
      <c r="W621" s="3"/>
      <c r="X621" s="3"/>
      <c r="Y621" s="3"/>
      <c r="Z621" s="3"/>
      <c r="AA621" s="3"/>
      <c r="AB621" s="3"/>
    </row>
    <row r="622" ht="15.75" customHeight="1">
      <c r="A622" s="8"/>
      <c r="B622" s="2"/>
      <c r="C622" s="8"/>
      <c r="D622" s="8"/>
      <c r="E622" s="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3"/>
      <c r="W622" s="3"/>
      <c r="X622" s="3"/>
      <c r="Y622" s="3"/>
      <c r="Z622" s="3"/>
      <c r="AA622" s="3"/>
      <c r="AB622" s="3"/>
    </row>
    <row r="623" ht="15.75" customHeight="1">
      <c r="A623" s="8"/>
      <c r="B623" s="2"/>
      <c r="C623" s="8"/>
      <c r="D623" s="8"/>
      <c r="E623" s="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3"/>
      <c r="W623" s="3"/>
      <c r="X623" s="3"/>
      <c r="Y623" s="3"/>
      <c r="Z623" s="3"/>
      <c r="AA623" s="3"/>
      <c r="AB623" s="3"/>
    </row>
    <row r="624" ht="15.75" customHeight="1">
      <c r="A624" s="8"/>
      <c r="B624" s="2"/>
      <c r="C624" s="8"/>
      <c r="D624" s="8"/>
      <c r="E624" s="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3"/>
      <c r="W624" s="3"/>
      <c r="X624" s="3"/>
      <c r="Y624" s="3"/>
      <c r="Z624" s="3"/>
      <c r="AA624" s="3"/>
      <c r="AB624" s="3"/>
    </row>
    <row r="625" ht="15.75" customHeight="1">
      <c r="A625" s="8"/>
      <c r="B625" s="2"/>
      <c r="C625" s="8"/>
      <c r="D625" s="8"/>
      <c r="E625" s="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3"/>
      <c r="W625" s="3"/>
      <c r="X625" s="3"/>
      <c r="Y625" s="3"/>
      <c r="Z625" s="3"/>
      <c r="AA625" s="3"/>
      <c r="AB625" s="3"/>
    </row>
    <row r="626" ht="15.75" customHeight="1">
      <c r="A626" s="8"/>
      <c r="B626" s="2"/>
      <c r="C626" s="8"/>
      <c r="D626" s="8"/>
      <c r="E626" s="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3"/>
      <c r="W626" s="3"/>
      <c r="X626" s="3"/>
      <c r="Y626" s="3"/>
      <c r="Z626" s="3"/>
      <c r="AA626" s="3"/>
      <c r="AB626" s="3"/>
    </row>
    <row r="627" ht="15.75" customHeight="1">
      <c r="A627" s="8"/>
      <c r="B627" s="2"/>
      <c r="C627" s="8"/>
      <c r="D627" s="8"/>
      <c r="E627" s="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3"/>
      <c r="W627" s="3"/>
      <c r="X627" s="3"/>
      <c r="Y627" s="3"/>
      <c r="Z627" s="3"/>
      <c r="AA627" s="3"/>
      <c r="AB627" s="3"/>
    </row>
    <row r="628" ht="15.75" customHeight="1">
      <c r="A628" s="8"/>
      <c r="B628" s="2"/>
      <c r="C628" s="8"/>
      <c r="D628" s="8"/>
      <c r="E628" s="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3"/>
      <c r="W628" s="3"/>
      <c r="X628" s="3"/>
      <c r="Y628" s="3"/>
      <c r="Z628" s="3"/>
      <c r="AA628" s="3"/>
      <c r="AB628" s="3"/>
    </row>
    <row r="629" ht="15.75" customHeight="1">
      <c r="A629" s="8"/>
      <c r="B629" s="2"/>
      <c r="C629" s="8"/>
      <c r="D629" s="8"/>
      <c r="E629" s="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3"/>
      <c r="W629" s="3"/>
      <c r="X629" s="3"/>
      <c r="Y629" s="3"/>
      <c r="Z629" s="3"/>
      <c r="AA629" s="3"/>
      <c r="AB629" s="3"/>
    </row>
    <row r="630" ht="15.75" customHeight="1">
      <c r="A630" s="8"/>
      <c r="B630" s="2"/>
      <c r="C630" s="8"/>
      <c r="D630" s="8"/>
      <c r="E630" s="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3"/>
      <c r="W630" s="3"/>
      <c r="X630" s="3"/>
      <c r="Y630" s="3"/>
      <c r="Z630" s="3"/>
      <c r="AA630" s="3"/>
      <c r="AB630" s="3"/>
    </row>
    <row r="631" ht="15.75" customHeight="1">
      <c r="A631" s="8"/>
      <c r="B631" s="2"/>
      <c r="C631" s="8"/>
      <c r="D631" s="8"/>
      <c r="E631" s="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3"/>
      <c r="W631" s="3"/>
      <c r="X631" s="3"/>
      <c r="Y631" s="3"/>
      <c r="Z631" s="3"/>
      <c r="AA631" s="3"/>
      <c r="AB631" s="3"/>
    </row>
    <row r="632" ht="15.75" customHeight="1">
      <c r="A632" s="8"/>
      <c r="B632" s="2"/>
      <c r="C632" s="8"/>
      <c r="D632" s="8"/>
      <c r="E632" s="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3"/>
      <c r="W632" s="3"/>
      <c r="X632" s="3"/>
      <c r="Y632" s="3"/>
      <c r="Z632" s="3"/>
      <c r="AA632" s="3"/>
      <c r="AB632" s="3"/>
    </row>
    <row r="633" ht="15.75" customHeight="1">
      <c r="A633" s="8"/>
      <c r="B633" s="2"/>
      <c r="C633" s="8"/>
      <c r="D633" s="8"/>
      <c r="E633" s="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3"/>
      <c r="W633" s="3"/>
      <c r="X633" s="3"/>
      <c r="Y633" s="3"/>
      <c r="Z633" s="3"/>
      <c r="AA633" s="3"/>
      <c r="AB633" s="3"/>
    </row>
    <row r="634" ht="15.75" customHeight="1">
      <c r="A634" s="8"/>
      <c r="B634" s="2"/>
      <c r="C634" s="8"/>
      <c r="D634" s="8"/>
      <c r="E634" s="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3"/>
      <c r="W634" s="3"/>
      <c r="X634" s="3"/>
      <c r="Y634" s="3"/>
      <c r="Z634" s="3"/>
      <c r="AA634" s="3"/>
      <c r="AB634" s="3"/>
    </row>
    <row r="635" ht="15.75" customHeight="1">
      <c r="A635" s="8"/>
      <c r="B635" s="2"/>
      <c r="C635" s="8"/>
      <c r="D635" s="8"/>
      <c r="E635" s="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3"/>
      <c r="W635" s="3"/>
      <c r="X635" s="3"/>
      <c r="Y635" s="3"/>
      <c r="Z635" s="3"/>
      <c r="AA635" s="3"/>
      <c r="AB635" s="3"/>
    </row>
    <row r="636" ht="15.75" customHeight="1">
      <c r="A636" s="8"/>
      <c r="B636" s="2"/>
      <c r="C636" s="8"/>
      <c r="D636" s="8"/>
      <c r="E636" s="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3"/>
      <c r="W636" s="3"/>
      <c r="X636" s="3"/>
      <c r="Y636" s="3"/>
      <c r="Z636" s="3"/>
      <c r="AA636" s="3"/>
      <c r="AB636" s="3"/>
    </row>
    <row r="637" ht="15.75" customHeight="1">
      <c r="A637" s="8"/>
      <c r="B637" s="2"/>
      <c r="C637" s="8"/>
      <c r="D637" s="8"/>
      <c r="E637" s="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3"/>
      <c r="W637" s="3"/>
      <c r="X637" s="3"/>
      <c r="Y637" s="3"/>
      <c r="Z637" s="3"/>
      <c r="AA637" s="3"/>
      <c r="AB637" s="3"/>
    </row>
    <row r="638" ht="15.75" customHeight="1">
      <c r="A638" s="8"/>
      <c r="B638" s="2"/>
      <c r="C638" s="8"/>
      <c r="D638" s="8"/>
      <c r="E638" s="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3"/>
      <c r="W638" s="3"/>
      <c r="X638" s="3"/>
      <c r="Y638" s="3"/>
      <c r="Z638" s="3"/>
      <c r="AA638" s="3"/>
      <c r="AB638" s="3"/>
    </row>
    <row r="639" ht="15.75" customHeight="1">
      <c r="A639" s="8"/>
      <c r="B639" s="2"/>
      <c r="C639" s="8"/>
      <c r="D639" s="8"/>
      <c r="E639" s="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3"/>
      <c r="W639" s="3"/>
      <c r="X639" s="3"/>
      <c r="Y639" s="3"/>
      <c r="Z639" s="3"/>
      <c r="AA639" s="3"/>
      <c r="AB639" s="3"/>
    </row>
    <row r="640" ht="15.75" customHeight="1">
      <c r="A640" s="8"/>
      <c r="B640" s="2"/>
      <c r="C640" s="8"/>
      <c r="D640" s="8"/>
      <c r="E640" s="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3"/>
      <c r="W640" s="3"/>
      <c r="X640" s="3"/>
      <c r="Y640" s="3"/>
      <c r="Z640" s="3"/>
      <c r="AA640" s="3"/>
      <c r="AB640" s="3"/>
    </row>
    <row r="641" ht="15.75" customHeight="1">
      <c r="A641" s="8"/>
      <c r="B641" s="2"/>
      <c r="C641" s="8"/>
      <c r="D641" s="8"/>
      <c r="E641" s="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3"/>
      <c r="W641" s="3"/>
      <c r="X641" s="3"/>
      <c r="Y641" s="3"/>
      <c r="Z641" s="3"/>
      <c r="AA641" s="3"/>
      <c r="AB641" s="3"/>
    </row>
    <row r="642" ht="15.75" customHeight="1">
      <c r="A642" s="8"/>
      <c r="B642" s="2"/>
      <c r="C642" s="8"/>
      <c r="D642" s="8"/>
      <c r="E642" s="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3"/>
      <c r="W642" s="3"/>
      <c r="X642" s="3"/>
      <c r="Y642" s="3"/>
      <c r="Z642" s="3"/>
      <c r="AA642" s="3"/>
      <c r="AB642" s="3"/>
    </row>
    <row r="643" ht="15.75" customHeight="1">
      <c r="A643" s="8"/>
      <c r="B643" s="2"/>
      <c r="C643" s="8"/>
      <c r="D643" s="8"/>
      <c r="E643" s="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3"/>
      <c r="W643" s="3"/>
      <c r="X643" s="3"/>
      <c r="Y643" s="3"/>
      <c r="Z643" s="3"/>
      <c r="AA643" s="3"/>
      <c r="AB643" s="3"/>
    </row>
    <row r="644" ht="15.75" customHeight="1">
      <c r="A644" s="8"/>
      <c r="B644" s="2"/>
      <c r="C644" s="8"/>
      <c r="D644" s="8"/>
      <c r="E644" s="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"/>
      <c r="W644" s="3"/>
      <c r="X644" s="3"/>
      <c r="Y644" s="3"/>
      <c r="Z644" s="3"/>
      <c r="AA644" s="3"/>
      <c r="AB644" s="3"/>
    </row>
    <row r="645" ht="15.75" customHeight="1">
      <c r="A645" s="8"/>
      <c r="B645" s="2"/>
      <c r="C645" s="8"/>
      <c r="D645" s="8"/>
      <c r="E645" s="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3"/>
      <c r="W645" s="3"/>
      <c r="X645" s="3"/>
      <c r="Y645" s="3"/>
      <c r="Z645" s="3"/>
      <c r="AA645" s="3"/>
      <c r="AB645" s="3"/>
    </row>
    <row r="646" ht="15.75" customHeight="1">
      <c r="A646" s="8"/>
      <c r="B646" s="2"/>
      <c r="C646" s="8"/>
      <c r="D646" s="8"/>
      <c r="E646" s="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3"/>
      <c r="W646" s="3"/>
      <c r="X646" s="3"/>
      <c r="Y646" s="3"/>
      <c r="Z646" s="3"/>
      <c r="AA646" s="3"/>
      <c r="AB646" s="3"/>
    </row>
    <row r="647" ht="15.75" customHeight="1">
      <c r="A647" s="8"/>
      <c r="B647" s="2"/>
      <c r="C647" s="8"/>
      <c r="D647" s="8"/>
      <c r="E647" s="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3"/>
      <c r="W647" s="3"/>
      <c r="X647" s="3"/>
      <c r="Y647" s="3"/>
      <c r="Z647" s="3"/>
      <c r="AA647" s="3"/>
      <c r="AB647" s="3"/>
    </row>
    <row r="648" ht="15.75" customHeight="1">
      <c r="A648" s="8"/>
      <c r="B648" s="2"/>
      <c r="C648" s="8"/>
      <c r="D648" s="8"/>
      <c r="E648" s="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3"/>
      <c r="W648" s="3"/>
      <c r="X648" s="3"/>
      <c r="Y648" s="3"/>
      <c r="Z648" s="3"/>
      <c r="AA648" s="3"/>
      <c r="AB648" s="3"/>
    </row>
    <row r="649" ht="15.75" customHeight="1">
      <c r="A649" s="8"/>
      <c r="B649" s="2"/>
      <c r="C649" s="8"/>
      <c r="D649" s="8"/>
      <c r="E649" s="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3"/>
      <c r="W649" s="3"/>
      <c r="X649" s="3"/>
      <c r="Y649" s="3"/>
      <c r="Z649" s="3"/>
      <c r="AA649" s="3"/>
      <c r="AB649" s="3"/>
    </row>
    <row r="650" ht="15.75" customHeight="1">
      <c r="A650" s="8"/>
      <c r="B650" s="2"/>
      <c r="C650" s="8"/>
      <c r="D650" s="8"/>
      <c r="E650" s="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3"/>
      <c r="W650" s="3"/>
      <c r="X650" s="3"/>
      <c r="Y650" s="3"/>
      <c r="Z650" s="3"/>
      <c r="AA650" s="3"/>
      <c r="AB650" s="3"/>
    </row>
    <row r="651" ht="15.75" customHeight="1">
      <c r="A651" s="8"/>
      <c r="B651" s="2"/>
      <c r="C651" s="8"/>
      <c r="D651" s="8"/>
      <c r="E651" s="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3"/>
      <c r="W651" s="3"/>
      <c r="X651" s="3"/>
      <c r="Y651" s="3"/>
      <c r="Z651" s="3"/>
      <c r="AA651" s="3"/>
      <c r="AB651" s="3"/>
    </row>
    <row r="652" ht="15.75" customHeight="1">
      <c r="A652" s="8"/>
      <c r="B652" s="2"/>
      <c r="C652" s="8"/>
      <c r="D652" s="8"/>
      <c r="E652" s="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3"/>
      <c r="W652" s="3"/>
      <c r="X652" s="3"/>
      <c r="Y652" s="3"/>
      <c r="Z652" s="3"/>
      <c r="AA652" s="3"/>
      <c r="AB652" s="3"/>
    </row>
    <row r="653" ht="15.75" customHeight="1">
      <c r="A653" s="8"/>
      <c r="B653" s="2"/>
      <c r="C653" s="8"/>
      <c r="D653" s="8"/>
      <c r="E653" s="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3"/>
      <c r="W653" s="3"/>
      <c r="X653" s="3"/>
      <c r="Y653" s="3"/>
      <c r="Z653" s="3"/>
      <c r="AA653" s="3"/>
      <c r="AB653" s="3"/>
    </row>
    <row r="654" ht="15.75" customHeight="1">
      <c r="A654" s="8"/>
      <c r="B654" s="2"/>
      <c r="C654" s="8"/>
      <c r="D654" s="8"/>
      <c r="E654" s="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3"/>
      <c r="W654" s="3"/>
      <c r="X654" s="3"/>
      <c r="Y654" s="3"/>
      <c r="Z654" s="3"/>
      <c r="AA654" s="3"/>
      <c r="AB654" s="3"/>
    </row>
    <row r="655" ht="15.75" customHeight="1">
      <c r="A655" s="8"/>
      <c r="B655" s="2"/>
      <c r="C655" s="8"/>
      <c r="D655" s="8"/>
      <c r="E655" s="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3"/>
      <c r="W655" s="3"/>
      <c r="X655" s="3"/>
      <c r="Y655" s="3"/>
      <c r="Z655" s="3"/>
      <c r="AA655" s="3"/>
      <c r="AB655" s="3"/>
    </row>
    <row r="656" ht="15.75" customHeight="1">
      <c r="A656" s="8"/>
      <c r="B656" s="2"/>
      <c r="C656" s="8"/>
      <c r="D656" s="8"/>
      <c r="E656" s="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3"/>
      <c r="W656" s="3"/>
      <c r="X656" s="3"/>
      <c r="Y656" s="3"/>
      <c r="Z656" s="3"/>
      <c r="AA656" s="3"/>
      <c r="AB656" s="3"/>
    </row>
    <row r="657" ht="15.75" customHeight="1">
      <c r="A657" s="8"/>
      <c r="B657" s="2"/>
      <c r="C657" s="8"/>
      <c r="D657" s="8"/>
      <c r="E657" s="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3"/>
      <c r="W657" s="3"/>
      <c r="X657" s="3"/>
      <c r="Y657" s="3"/>
      <c r="Z657" s="3"/>
      <c r="AA657" s="3"/>
      <c r="AB657" s="3"/>
    </row>
    <row r="658" ht="15.75" customHeight="1">
      <c r="A658" s="8"/>
      <c r="B658" s="2"/>
      <c r="C658" s="8"/>
      <c r="D658" s="8"/>
      <c r="E658" s="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3"/>
      <c r="W658" s="3"/>
      <c r="X658" s="3"/>
      <c r="Y658" s="3"/>
      <c r="Z658" s="3"/>
      <c r="AA658" s="3"/>
      <c r="AB658" s="3"/>
    </row>
    <row r="659" ht="15.75" customHeight="1">
      <c r="A659" s="8"/>
      <c r="B659" s="2"/>
      <c r="C659" s="8"/>
      <c r="D659" s="8"/>
      <c r="E659" s="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3"/>
      <c r="W659" s="3"/>
      <c r="X659" s="3"/>
      <c r="Y659" s="3"/>
      <c r="Z659" s="3"/>
      <c r="AA659" s="3"/>
      <c r="AB659" s="3"/>
    </row>
    <row r="660" ht="15.75" customHeight="1">
      <c r="A660" s="8"/>
      <c r="B660" s="2"/>
      <c r="C660" s="8"/>
      <c r="D660" s="8"/>
      <c r="E660" s="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3"/>
      <c r="W660" s="3"/>
      <c r="X660" s="3"/>
      <c r="Y660" s="3"/>
      <c r="Z660" s="3"/>
      <c r="AA660" s="3"/>
      <c r="AB660" s="3"/>
    </row>
    <row r="661" ht="15.75" customHeight="1">
      <c r="A661" s="8"/>
      <c r="B661" s="2"/>
      <c r="C661" s="8"/>
      <c r="D661" s="8"/>
      <c r="E661" s="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3"/>
      <c r="W661" s="3"/>
      <c r="X661" s="3"/>
      <c r="Y661" s="3"/>
      <c r="Z661" s="3"/>
      <c r="AA661" s="3"/>
      <c r="AB661" s="3"/>
    </row>
    <row r="662" ht="15.75" customHeight="1">
      <c r="A662" s="8"/>
      <c r="B662" s="2"/>
      <c r="C662" s="8"/>
      <c r="D662" s="8"/>
      <c r="E662" s="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3"/>
      <c r="W662" s="3"/>
      <c r="X662" s="3"/>
      <c r="Y662" s="3"/>
      <c r="Z662" s="3"/>
      <c r="AA662" s="3"/>
      <c r="AB662" s="3"/>
    </row>
    <row r="663" ht="15.75" customHeight="1">
      <c r="A663" s="8"/>
      <c r="B663" s="2"/>
      <c r="C663" s="8"/>
      <c r="D663" s="8"/>
      <c r="E663" s="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3"/>
      <c r="W663" s="3"/>
      <c r="X663" s="3"/>
      <c r="Y663" s="3"/>
      <c r="Z663" s="3"/>
      <c r="AA663" s="3"/>
      <c r="AB663" s="3"/>
    </row>
    <row r="664" ht="15.75" customHeight="1">
      <c r="A664" s="8"/>
      <c r="B664" s="2"/>
      <c r="C664" s="8"/>
      <c r="D664" s="8"/>
      <c r="E664" s="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3"/>
      <c r="W664" s="3"/>
      <c r="X664" s="3"/>
      <c r="Y664" s="3"/>
      <c r="Z664" s="3"/>
      <c r="AA664" s="3"/>
      <c r="AB664" s="3"/>
    </row>
    <row r="665" ht="15.75" customHeight="1">
      <c r="A665" s="8"/>
      <c r="B665" s="2"/>
      <c r="C665" s="8"/>
      <c r="D665" s="8"/>
      <c r="E665" s="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3"/>
      <c r="W665" s="3"/>
      <c r="X665" s="3"/>
      <c r="Y665" s="3"/>
      <c r="Z665" s="3"/>
      <c r="AA665" s="3"/>
      <c r="AB665" s="3"/>
    </row>
    <row r="666" ht="15.75" customHeight="1">
      <c r="A666" s="8"/>
      <c r="B666" s="2"/>
      <c r="C666" s="8"/>
      <c r="D666" s="8"/>
      <c r="E666" s="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3"/>
      <c r="W666" s="3"/>
      <c r="X666" s="3"/>
      <c r="Y666" s="3"/>
      <c r="Z666" s="3"/>
      <c r="AA666" s="3"/>
      <c r="AB666" s="3"/>
    </row>
    <row r="667" ht="15.75" customHeight="1">
      <c r="A667" s="8"/>
      <c r="B667" s="2"/>
      <c r="C667" s="8"/>
      <c r="D667" s="8"/>
      <c r="E667" s="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3"/>
      <c r="W667" s="3"/>
      <c r="X667" s="3"/>
      <c r="Y667" s="3"/>
      <c r="Z667" s="3"/>
      <c r="AA667" s="3"/>
      <c r="AB667" s="3"/>
    </row>
    <row r="668" ht="15.75" customHeight="1">
      <c r="A668" s="8"/>
      <c r="B668" s="2"/>
      <c r="C668" s="8"/>
      <c r="D668" s="8"/>
      <c r="E668" s="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3"/>
      <c r="W668" s="3"/>
      <c r="X668" s="3"/>
      <c r="Y668" s="3"/>
      <c r="Z668" s="3"/>
      <c r="AA668" s="3"/>
      <c r="AB668" s="3"/>
    </row>
    <row r="669" ht="15.75" customHeight="1">
      <c r="A669" s="8"/>
      <c r="B669" s="2"/>
      <c r="C669" s="8"/>
      <c r="D669" s="8"/>
      <c r="E669" s="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3"/>
      <c r="W669" s="3"/>
      <c r="X669" s="3"/>
      <c r="Y669" s="3"/>
      <c r="Z669" s="3"/>
      <c r="AA669" s="3"/>
      <c r="AB669" s="3"/>
    </row>
    <row r="670" ht="15.75" customHeight="1">
      <c r="A670" s="8"/>
      <c r="B670" s="2"/>
      <c r="C670" s="8"/>
      <c r="D670" s="8"/>
      <c r="E670" s="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3"/>
      <c r="W670" s="3"/>
      <c r="X670" s="3"/>
      <c r="Y670" s="3"/>
      <c r="Z670" s="3"/>
      <c r="AA670" s="3"/>
      <c r="AB670" s="3"/>
    </row>
    <row r="671" ht="15.75" customHeight="1">
      <c r="A671" s="8"/>
      <c r="B671" s="2"/>
      <c r="C671" s="8"/>
      <c r="D671" s="8"/>
      <c r="E671" s="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3"/>
      <c r="W671" s="3"/>
      <c r="X671" s="3"/>
      <c r="Y671" s="3"/>
      <c r="Z671" s="3"/>
      <c r="AA671" s="3"/>
      <c r="AB671" s="3"/>
    </row>
    <row r="672" ht="15.75" customHeight="1">
      <c r="A672" s="8"/>
      <c r="B672" s="2"/>
      <c r="C672" s="8"/>
      <c r="D672" s="8"/>
      <c r="E672" s="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3"/>
      <c r="W672" s="3"/>
      <c r="X672" s="3"/>
      <c r="Y672" s="3"/>
      <c r="Z672" s="3"/>
      <c r="AA672" s="3"/>
      <c r="AB672" s="3"/>
    </row>
    <row r="673" ht="15.75" customHeight="1">
      <c r="A673" s="8"/>
      <c r="B673" s="2"/>
      <c r="C673" s="8"/>
      <c r="D673" s="8"/>
      <c r="E673" s="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3"/>
      <c r="W673" s="3"/>
      <c r="X673" s="3"/>
      <c r="Y673" s="3"/>
      <c r="Z673" s="3"/>
      <c r="AA673" s="3"/>
      <c r="AB673" s="3"/>
    </row>
    <row r="674" ht="15.75" customHeight="1">
      <c r="A674" s="8"/>
      <c r="B674" s="2"/>
      <c r="C674" s="8"/>
      <c r="D674" s="8"/>
      <c r="E674" s="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3"/>
      <c r="W674" s="3"/>
      <c r="X674" s="3"/>
      <c r="Y674" s="3"/>
      <c r="Z674" s="3"/>
      <c r="AA674" s="3"/>
      <c r="AB674" s="3"/>
    </row>
    <row r="675" ht="15.75" customHeight="1">
      <c r="A675" s="8"/>
      <c r="B675" s="2"/>
      <c r="C675" s="8"/>
      <c r="D675" s="8"/>
      <c r="E675" s="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3"/>
      <c r="W675" s="3"/>
      <c r="X675" s="3"/>
      <c r="Y675" s="3"/>
      <c r="Z675" s="3"/>
      <c r="AA675" s="3"/>
      <c r="AB675" s="3"/>
    </row>
    <row r="676" ht="15.75" customHeight="1">
      <c r="A676" s="8"/>
      <c r="B676" s="2"/>
      <c r="C676" s="8"/>
      <c r="D676" s="8"/>
      <c r="E676" s="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3"/>
      <c r="W676" s="3"/>
      <c r="X676" s="3"/>
      <c r="Y676" s="3"/>
      <c r="Z676" s="3"/>
      <c r="AA676" s="3"/>
      <c r="AB676" s="3"/>
    </row>
    <row r="677" ht="15.75" customHeight="1">
      <c r="A677" s="8"/>
      <c r="B677" s="2"/>
      <c r="C677" s="8"/>
      <c r="D677" s="8"/>
      <c r="E677" s="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3"/>
      <c r="W677" s="3"/>
      <c r="X677" s="3"/>
      <c r="Y677" s="3"/>
      <c r="Z677" s="3"/>
      <c r="AA677" s="3"/>
      <c r="AB677" s="3"/>
    </row>
    <row r="678" ht="15.75" customHeight="1">
      <c r="A678" s="8"/>
      <c r="B678" s="2"/>
      <c r="C678" s="8"/>
      <c r="D678" s="8"/>
      <c r="E678" s="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3"/>
      <c r="W678" s="3"/>
      <c r="X678" s="3"/>
      <c r="Y678" s="3"/>
      <c r="Z678" s="3"/>
      <c r="AA678" s="3"/>
      <c r="AB678" s="3"/>
    </row>
    <row r="679" ht="15.75" customHeight="1">
      <c r="A679" s="8"/>
      <c r="B679" s="2"/>
      <c r="C679" s="8"/>
      <c r="D679" s="8"/>
      <c r="E679" s="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3"/>
      <c r="W679" s="3"/>
      <c r="X679" s="3"/>
      <c r="Y679" s="3"/>
      <c r="Z679" s="3"/>
      <c r="AA679" s="3"/>
      <c r="AB679" s="3"/>
    </row>
    <row r="680" ht="15.75" customHeight="1">
      <c r="A680" s="8"/>
      <c r="B680" s="2"/>
      <c r="C680" s="8"/>
      <c r="D680" s="8"/>
      <c r="E680" s="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3"/>
      <c r="W680" s="3"/>
      <c r="X680" s="3"/>
      <c r="Y680" s="3"/>
      <c r="Z680" s="3"/>
      <c r="AA680" s="3"/>
      <c r="AB680" s="3"/>
    </row>
    <row r="681" ht="15.75" customHeight="1">
      <c r="A681" s="8"/>
      <c r="B681" s="2"/>
      <c r="C681" s="8"/>
      <c r="D681" s="8"/>
      <c r="E681" s="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3"/>
      <c r="W681" s="3"/>
      <c r="X681" s="3"/>
      <c r="Y681" s="3"/>
      <c r="Z681" s="3"/>
      <c r="AA681" s="3"/>
      <c r="AB681" s="3"/>
    </row>
    <row r="682" ht="15.75" customHeight="1">
      <c r="A682" s="8"/>
      <c r="B682" s="2"/>
      <c r="C682" s="8"/>
      <c r="D682" s="8"/>
      <c r="E682" s="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3"/>
      <c r="W682" s="3"/>
      <c r="X682" s="3"/>
      <c r="Y682" s="3"/>
      <c r="Z682" s="3"/>
      <c r="AA682" s="3"/>
      <c r="AB682" s="3"/>
    </row>
    <row r="683" ht="15.75" customHeight="1">
      <c r="A683" s="8"/>
      <c r="B683" s="2"/>
      <c r="C683" s="8"/>
      <c r="D683" s="8"/>
      <c r="E683" s="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3"/>
      <c r="W683" s="3"/>
      <c r="X683" s="3"/>
      <c r="Y683" s="3"/>
      <c r="Z683" s="3"/>
      <c r="AA683" s="3"/>
      <c r="AB683" s="3"/>
    </row>
    <row r="684" ht="15.75" customHeight="1">
      <c r="A684" s="8"/>
      <c r="B684" s="2"/>
      <c r="C684" s="8"/>
      <c r="D684" s="8"/>
      <c r="E684" s="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3"/>
      <c r="W684" s="3"/>
      <c r="X684" s="3"/>
      <c r="Y684" s="3"/>
      <c r="Z684" s="3"/>
      <c r="AA684" s="3"/>
      <c r="AB684" s="3"/>
    </row>
    <row r="685" ht="15.75" customHeight="1">
      <c r="A685" s="8"/>
      <c r="B685" s="2"/>
      <c r="C685" s="8"/>
      <c r="D685" s="8"/>
      <c r="E685" s="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3"/>
      <c r="W685" s="3"/>
      <c r="X685" s="3"/>
      <c r="Y685" s="3"/>
      <c r="Z685" s="3"/>
      <c r="AA685" s="3"/>
      <c r="AB685" s="3"/>
    </row>
    <row r="686" ht="15.75" customHeight="1">
      <c r="A686" s="8"/>
      <c r="B686" s="2"/>
      <c r="C686" s="8"/>
      <c r="D686" s="8"/>
      <c r="E686" s="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3"/>
      <c r="W686" s="3"/>
      <c r="X686" s="3"/>
      <c r="Y686" s="3"/>
      <c r="Z686" s="3"/>
      <c r="AA686" s="3"/>
      <c r="AB686" s="3"/>
    </row>
    <row r="687" ht="15.75" customHeight="1">
      <c r="A687" s="8"/>
      <c r="B687" s="2"/>
      <c r="C687" s="8"/>
      <c r="D687" s="8"/>
      <c r="E687" s="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3"/>
      <c r="W687" s="3"/>
      <c r="X687" s="3"/>
      <c r="Y687" s="3"/>
      <c r="Z687" s="3"/>
      <c r="AA687" s="3"/>
      <c r="AB687" s="3"/>
    </row>
    <row r="688" ht="15.75" customHeight="1">
      <c r="A688" s="8"/>
      <c r="B688" s="2"/>
      <c r="C688" s="8"/>
      <c r="D688" s="8"/>
      <c r="E688" s="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3"/>
      <c r="W688" s="3"/>
      <c r="X688" s="3"/>
      <c r="Y688" s="3"/>
      <c r="Z688" s="3"/>
      <c r="AA688" s="3"/>
      <c r="AB688" s="3"/>
    </row>
    <row r="689" ht="15.75" customHeight="1">
      <c r="A689" s="8"/>
      <c r="B689" s="2"/>
      <c r="C689" s="8"/>
      <c r="D689" s="8"/>
      <c r="E689" s="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3"/>
      <c r="W689" s="3"/>
      <c r="X689" s="3"/>
      <c r="Y689" s="3"/>
      <c r="Z689" s="3"/>
      <c r="AA689" s="3"/>
      <c r="AB689" s="3"/>
    </row>
    <row r="690" ht="15.75" customHeight="1">
      <c r="A690" s="8"/>
      <c r="B690" s="2"/>
      <c r="C690" s="8"/>
      <c r="D690" s="8"/>
      <c r="E690" s="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3"/>
      <c r="W690" s="3"/>
      <c r="X690" s="3"/>
      <c r="Y690" s="3"/>
      <c r="Z690" s="3"/>
      <c r="AA690" s="3"/>
      <c r="AB690" s="3"/>
    </row>
    <row r="691" ht="15.75" customHeight="1">
      <c r="A691" s="8"/>
      <c r="B691" s="2"/>
      <c r="C691" s="8"/>
      <c r="D691" s="8"/>
      <c r="E691" s="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3"/>
      <c r="W691" s="3"/>
      <c r="X691" s="3"/>
      <c r="Y691" s="3"/>
      <c r="Z691" s="3"/>
      <c r="AA691" s="3"/>
      <c r="AB691" s="3"/>
    </row>
    <row r="692" ht="15.75" customHeight="1">
      <c r="A692" s="8"/>
      <c r="B692" s="2"/>
      <c r="C692" s="8"/>
      <c r="D692" s="8"/>
      <c r="E692" s="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3"/>
      <c r="W692" s="3"/>
      <c r="X692" s="3"/>
      <c r="Y692" s="3"/>
      <c r="Z692" s="3"/>
      <c r="AA692" s="3"/>
      <c r="AB692" s="3"/>
    </row>
    <row r="693" ht="15.75" customHeight="1">
      <c r="A693" s="8"/>
      <c r="B693" s="2"/>
      <c r="C693" s="8"/>
      <c r="D693" s="8"/>
      <c r="E693" s="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3"/>
      <c r="W693" s="3"/>
      <c r="X693" s="3"/>
      <c r="Y693" s="3"/>
      <c r="Z693" s="3"/>
      <c r="AA693" s="3"/>
      <c r="AB693" s="3"/>
    </row>
    <row r="694" ht="15.75" customHeight="1">
      <c r="A694" s="8"/>
      <c r="B694" s="2"/>
      <c r="C694" s="8"/>
      <c r="D694" s="8"/>
      <c r="E694" s="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3"/>
      <c r="W694" s="3"/>
      <c r="X694" s="3"/>
      <c r="Y694" s="3"/>
      <c r="Z694" s="3"/>
      <c r="AA694" s="3"/>
      <c r="AB694" s="3"/>
    </row>
    <row r="695" ht="15.75" customHeight="1">
      <c r="A695" s="8"/>
      <c r="B695" s="2"/>
      <c r="C695" s="8"/>
      <c r="D695" s="8"/>
      <c r="E695" s="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3"/>
      <c r="W695" s="3"/>
      <c r="X695" s="3"/>
      <c r="Y695" s="3"/>
      <c r="Z695" s="3"/>
      <c r="AA695" s="3"/>
      <c r="AB695" s="3"/>
    </row>
    <row r="696" ht="15.75" customHeight="1">
      <c r="A696" s="8"/>
      <c r="B696" s="2"/>
      <c r="C696" s="8"/>
      <c r="D696" s="8"/>
      <c r="E696" s="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3"/>
      <c r="W696" s="3"/>
      <c r="X696" s="3"/>
      <c r="Y696" s="3"/>
      <c r="Z696" s="3"/>
      <c r="AA696" s="3"/>
      <c r="AB696" s="3"/>
    </row>
    <row r="697" ht="15.75" customHeight="1">
      <c r="A697" s="8"/>
      <c r="B697" s="2"/>
      <c r="C697" s="8"/>
      <c r="D697" s="8"/>
      <c r="E697" s="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3"/>
      <c r="W697" s="3"/>
      <c r="X697" s="3"/>
      <c r="Y697" s="3"/>
      <c r="Z697" s="3"/>
      <c r="AA697" s="3"/>
      <c r="AB697" s="3"/>
    </row>
    <row r="698" ht="15.75" customHeight="1">
      <c r="A698" s="8"/>
      <c r="B698" s="2"/>
      <c r="C698" s="8"/>
      <c r="D698" s="8"/>
      <c r="E698" s="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3"/>
      <c r="W698" s="3"/>
      <c r="X698" s="3"/>
      <c r="Y698" s="3"/>
      <c r="Z698" s="3"/>
      <c r="AA698" s="3"/>
      <c r="AB698" s="3"/>
    </row>
    <row r="699" ht="15.75" customHeight="1">
      <c r="A699" s="8"/>
      <c r="B699" s="2"/>
      <c r="C699" s="8"/>
      <c r="D699" s="8"/>
      <c r="E699" s="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3"/>
      <c r="W699" s="3"/>
      <c r="X699" s="3"/>
      <c r="Y699" s="3"/>
      <c r="Z699" s="3"/>
      <c r="AA699" s="3"/>
      <c r="AB699" s="3"/>
    </row>
    <row r="700" ht="15.75" customHeight="1">
      <c r="A700" s="8"/>
      <c r="B700" s="2"/>
      <c r="C700" s="8"/>
      <c r="D700" s="8"/>
      <c r="E700" s="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3"/>
      <c r="W700" s="3"/>
      <c r="X700" s="3"/>
      <c r="Y700" s="3"/>
      <c r="Z700" s="3"/>
      <c r="AA700" s="3"/>
      <c r="AB700" s="3"/>
    </row>
    <row r="701" ht="15.75" customHeight="1">
      <c r="A701" s="8"/>
      <c r="B701" s="2"/>
      <c r="C701" s="8"/>
      <c r="D701" s="8"/>
      <c r="E701" s="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3"/>
      <c r="W701" s="3"/>
      <c r="X701" s="3"/>
      <c r="Y701" s="3"/>
      <c r="Z701" s="3"/>
      <c r="AA701" s="3"/>
      <c r="AB701" s="3"/>
    </row>
    <row r="702" ht="15.75" customHeight="1">
      <c r="A702" s="8"/>
      <c r="B702" s="2"/>
      <c r="C702" s="8"/>
      <c r="D702" s="8"/>
      <c r="E702" s="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3"/>
      <c r="W702" s="3"/>
      <c r="X702" s="3"/>
      <c r="Y702" s="3"/>
      <c r="Z702" s="3"/>
      <c r="AA702" s="3"/>
      <c r="AB702" s="3"/>
    </row>
    <row r="703" ht="15.75" customHeight="1">
      <c r="A703" s="8"/>
      <c r="B703" s="2"/>
      <c r="C703" s="8"/>
      <c r="D703" s="8"/>
      <c r="E703" s="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3"/>
      <c r="W703" s="3"/>
      <c r="X703" s="3"/>
      <c r="Y703" s="3"/>
      <c r="Z703" s="3"/>
      <c r="AA703" s="3"/>
      <c r="AB703" s="3"/>
    </row>
    <row r="704" ht="15.75" customHeight="1">
      <c r="A704" s="8"/>
      <c r="B704" s="2"/>
      <c r="C704" s="8"/>
      <c r="D704" s="8"/>
      <c r="E704" s="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3"/>
      <c r="W704" s="3"/>
      <c r="X704" s="3"/>
      <c r="Y704" s="3"/>
      <c r="Z704" s="3"/>
      <c r="AA704" s="3"/>
      <c r="AB704" s="3"/>
    </row>
    <row r="705" ht="15.75" customHeight="1">
      <c r="A705" s="8"/>
      <c r="B705" s="2"/>
      <c r="C705" s="8"/>
      <c r="D705" s="8"/>
      <c r="E705" s="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3"/>
      <c r="W705" s="3"/>
      <c r="X705" s="3"/>
      <c r="Y705" s="3"/>
      <c r="Z705" s="3"/>
      <c r="AA705" s="3"/>
      <c r="AB705" s="3"/>
    </row>
    <row r="706" ht="15.75" customHeight="1">
      <c r="A706" s="8"/>
      <c r="B706" s="2"/>
      <c r="C706" s="8"/>
      <c r="D706" s="8"/>
      <c r="E706" s="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3"/>
      <c r="W706" s="3"/>
      <c r="X706" s="3"/>
      <c r="Y706" s="3"/>
      <c r="Z706" s="3"/>
      <c r="AA706" s="3"/>
      <c r="AB706" s="3"/>
    </row>
    <row r="707" ht="15.75" customHeight="1">
      <c r="A707" s="8"/>
      <c r="B707" s="2"/>
      <c r="C707" s="8"/>
      <c r="D707" s="8"/>
      <c r="E707" s="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3"/>
      <c r="W707" s="3"/>
      <c r="X707" s="3"/>
      <c r="Y707" s="3"/>
      <c r="Z707" s="3"/>
      <c r="AA707" s="3"/>
      <c r="AB707" s="3"/>
    </row>
    <row r="708" ht="15.75" customHeight="1">
      <c r="A708" s="8"/>
      <c r="B708" s="2"/>
      <c r="C708" s="8"/>
      <c r="D708" s="8"/>
      <c r="E708" s="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3"/>
      <c r="W708" s="3"/>
      <c r="X708" s="3"/>
      <c r="Y708" s="3"/>
      <c r="Z708" s="3"/>
      <c r="AA708" s="3"/>
      <c r="AB708" s="3"/>
    </row>
    <row r="709" ht="15.75" customHeight="1">
      <c r="A709" s="8"/>
      <c r="B709" s="2"/>
      <c r="C709" s="8"/>
      <c r="D709" s="8"/>
      <c r="E709" s="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3"/>
      <c r="W709" s="3"/>
      <c r="X709" s="3"/>
      <c r="Y709" s="3"/>
      <c r="Z709" s="3"/>
      <c r="AA709" s="3"/>
      <c r="AB709" s="3"/>
    </row>
    <row r="710" ht="15.75" customHeight="1">
      <c r="A710" s="8"/>
      <c r="B710" s="2"/>
      <c r="C710" s="8"/>
      <c r="D710" s="8"/>
      <c r="E710" s="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3"/>
      <c r="W710" s="3"/>
      <c r="X710" s="3"/>
      <c r="Y710" s="3"/>
      <c r="Z710" s="3"/>
      <c r="AA710" s="3"/>
      <c r="AB710" s="3"/>
    </row>
    <row r="711" ht="15.75" customHeight="1">
      <c r="A711" s="8"/>
      <c r="B711" s="2"/>
      <c r="C711" s="8"/>
      <c r="D711" s="8"/>
      <c r="E711" s="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3"/>
      <c r="W711" s="3"/>
      <c r="X711" s="3"/>
      <c r="Y711" s="3"/>
      <c r="Z711" s="3"/>
      <c r="AA711" s="3"/>
      <c r="AB711" s="3"/>
    </row>
    <row r="712" ht="15.75" customHeight="1">
      <c r="A712" s="8"/>
      <c r="B712" s="2"/>
      <c r="C712" s="8"/>
      <c r="D712" s="8"/>
      <c r="E712" s="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3"/>
      <c r="W712" s="3"/>
      <c r="X712" s="3"/>
      <c r="Y712" s="3"/>
      <c r="Z712" s="3"/>
      <c r="AA712" s="3"/>
      <c r="AB712" s="3"/>
    </row>
    <row r="713" ht="15.75" customHeight="1">
      <c r="A713" s="8"/>
      <c r="B713" s="2"/>
      <c r="C713" s="8"/>
      <c r="D713" s="8"/>
      <c r="E713" s="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3"/>
      <c r="W713" s="3"/>
      <c r="X713" s="3"/>
      <c r="Y713" s="3"/>
      <c r="Z713" s="3"/>
      <c r="AA713" s="3"/>
      <c r="AB713" s="3"/>
    </row>
    <row r="714" ht="15.75" customHeight="1">
      <c r="A714" s="8"/>
      <c r="B714" s="2"/>
      <c r="C714" s="8"/>
      <c r="D714" s="8"/>
      <c r="E714" s="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3"/>
      <c r="W714" s="3"/>
      <c r="X714" s="3"/>
      <c r="Y714" s="3"/>
      <c r="Z714" s="3"/>
      <c r="AA714" s="3"/>
      <c r="AB714" s="3"/>
    </row>
    <row r="715" ht="15.75" customHeight="1">
      <c r="A715" s="8"/>
      <c r="B715" s="2"/>
      <c r="C715" s="8"/>
      <c r="D715" s="8"/>
      <c r="E715" s="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3"/>
      <c r="W715" s="3"/>
      <c r="X715" s="3"/>
      <c r="Y715" s="3"/>
      <c r="Z715" s="3"/>
      <c r="AA715" s="3"/>
      <c r="AB715" s="3"/>
    </row>
    <row r="716" ht="15.75" customHeight="1">
      <c r="A716" s="8"/>
      <c r="B716" s="2"/>
      <c r="C716" s="8"/>
      <c r="D716" s="8"/>
      <c r="E716" s="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3"/>
      <c r="W716" s="3"/>
      <c r="X716" s="3"/>
      <c r="Y716" s="3"/>
      <c r="Z716" s="3"/>
      <c r="AA716" s="3"/>
      <c r="AB716" s="3"/>
    </row>
    <row r="717" ht="15.75" customHeight="1">
      <c r="A717" s="8"/>
      <c r="B717" s="2"/>
      <c r="C717" s="8"/>
      <c r="D717" s="8"/>
      <c r="E717" s="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3"/>
      <c r="W717" s="3"/>
      <c r="X717" s="3"/>
      <c r="Y717" s="3"/>
      <c r="Z717" s="3"/>
      <c r="AA717" s="3"/>
      <c r="AB717" s="3"/>
    </row>
    <row r="718" ht="15.75" customHeight="1">
      <c r="A718" s="8"/>
      <c r="B718" s="2"/>
      <c r="C718" s="8"/>
      <c r="D718" s="8"/>
      <c r="E718" s="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3"/>
      <c r="W718" s="3"/>
      <c r="X718" s="3"/>
      <c r="Y718" s="3"/>
      <c r="Z718" s="3"/>
      <c r="AA718" s="3"/>
      <c r="AB718" s="3"/>
    </row>
    <row r="719" ht="15.75" customHeight="1">
      <c r="A719" s="8"/>
      <c r="B719" s="2"/>
      <c r="C719" s="8"/>
      <c r="D719" s="8"/>
      <c r="E719" s="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3"/>
      <c r="W719" s="3"/>
      <c r="X719" s="3"/>
      <c r="Y719" s="3"/>
      <c r="Z719" s="3"/>
      <c r="AA719" s="3"/>
      <c r="AB719" s="3"/>
    </row>
    <row r="720" ht="15.75" customHeight="1">
      <c r="A720" s="8"/>
      <c r="B720" s="2"/>
      <c r="C720" s="8"/>
      <c r="D720" s="8"/>
      <c r="E720" s="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3"/>
      <c r="W720" s="3"/>
      <c r="X720" s="3"/>
      <c r="Y720" s="3"/>
      <c r="Z720" s="3"/>
      <c r="AA720" s="3"/>
      <c r="AB720" s="3"/>
    </row>
    <row r="721" ht="15.75" customHeight="1">
      <c r="A721" s="8"/>
      <c r="B721" s="2"/>
      <c r="C721" s="8"/>
      <c r="D721" s="8"/>
      <c r="E721" s="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3"/>
      <c r="W721" s="3"/>
      <c r="X721" s="3"/>
      <c r="Y721" s="3"/>
      <c r="Z721" s="3"/>
      <c r="AA721" s="3"/>
      <c r="AB721" s="3"/>
    </row>
    <row r="722" ht="15.75" customHeight="1">
      <c r="A722" s="8"/>
      <c r="B722" s="2"/>
      <c r="C722" s="8"/>
      <c r="D722" s="8"/>
      <c r="E722" s="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3"/>
      <c r="W722" s="3"/>
      <c r="X722" s="3"/>
      <c r="Y722" s="3"/>
      <c r="Z722" s="3"/>
      <c r="AA722" s="3"/>
      <c r="AB722" s="3"/>
    </row>
    <row r="723" ht="15.75" customHeight="1">
      <c r="A723" s="8"/>
      <c r="B723" s="2"/>
      <c r="C723" s="8"/>
      <c r="D723" s="8"/>
      <c r="E723" s="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3"/>
      <c r="W723" s="3"/>
      <c r="X723" s="3"/>
      <c r="Y723" s="3"/>
      <c r="Z723" s="3"/>
      <c r="AA723" s="3"/>
      <c r="AB723" s="3"/>
    </row>
    <row r="724" ht="15.75" customHeight="1">
      <c r="A724" s="8"/>
      <c r="B724" s="2"/>
      <c r="C724" s="8"/>
      <c r="D724" s="8"/>
      <c r="E724" s="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3"/>
      <c r="W724" s="3"/>
      <c r="X724" s="3"/>
      <c r="Y724" s="3"/>
      <c r="Z724" s="3"/>
      <c r="AA724" s="3"/>
      <c r="AB724" s="3"/>
    </row>
    <row r="725" ht="15.75" customHeight="1">
      <c r="A725" s="8"/>
      <c r="B725" s="2"/>
      <c r="C725" s="8"/>
      <c r="D725" s="8"/>
      <c r="E725" s="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3"/>
      <c r="W725" s="3"/>
      <c r="X725" s="3"/>
      <c r="Y725" s="3"/>
      <c r="Z725" s="3"/>
      <c r="AA725" s="3"/>
      <c r="AB725" s="3"/>
    </row>
    <row r="726" ht="15.75" customHeight="1">
      <c r="A726" s="8"/>
      <c r="B726" s="2"/>
      <c r="C726" s="8"/>
      <c r="D726" s="8"/>
      <c r="E726" s="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3"/>
      <c r="W726" s="3"/>
      <c r="X726" s="3"/>
      <c r="Y726" s="3"/>
      <c r="Z726" s="3"/>
      <c r="AA726" s="3"/>
      <c r="AB726" s="3"/>
    </row>
    <row r="727" ht="15.75" customHeight="1">
      <c r="A727" s="8"/>
      <c r="B727" s="2"/>
      <c r="C727" s="8"/>
      <c r="D727" s="8"/>
      <c r="E727" s="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3"/>
      <c r="W727" s="3"/>
      <c r="X727" s="3"/>
      <c r="Y727" s="3"/>
      <c r="Z727" s="3"/>
      <c r="AA727" s="3"/>
      <c r="AB727" s="3"/>
    </row>
    <row r="728" ht="15.75" customHeight="1">
      <c r="A728" s="8"/>
      <c r="B728" s="2"/>
      <c r="C728" s="8"/>
      <c r="D728" s="8"/>
      <c r="E728" s="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3"/>
      <c r="W728" s="3"/>
      <c r="X728" s="3"/>
      <c r="Y728" s="3"/>
      <c r="Z728" s="3"/>
      <c r="AA728" s="3"/>
      <c r="AB728" s="3"/>
    </row>
    <row r="729" ht="15.75" customHeight="1">
      <c r="A729" s="8"/>
      <c r="B729" s="2"/>
      <c r="C729" s="8"/>
      <c r="D729" s="8"/>
      <c r="E729" s="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3"/>
      <c r="W729" s="3"/>
      <c r="X729" s="3"/>
      <c r="Y729" s="3"/>
      <c r="Z729" s="3"/>
      <c r="AA729" s="3"/>
      <c r="AB729" s="3"/>
    </row>
    <row r="730" ht="15.75" customHeight="1">
      <c r="A730" s="8"/>
      <c r="B730" s="2"/>
      <c r="C730" s="8"/>
      <c r="D730" s="8"/>
      <c r="E730" s="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3"/>
      <c r="W730" s="3"/>
      <c r="X730" s="3"/>
      <c r="Y730" s="3"/>
      <c r="Z730" s="3"/>
      <c r="AA730" s="3"/>
      <c r="AB730" s="3"/>
    </row>
    <row r="731" ht="15.75" customHeight="1">
      <c r="A731" s="8"/>
      <c r="B731" s="2"/>
      <c r="C731" s="8"/>
      <c r="D731" s="8"/>
      <c r="E731" s="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3"/>
      <c r="W731" s="3"/>
      <c r="X731" s="3"/>
      <c r="Y731" s="3"/>
      <c r="Z731" s="3"/>
      <c r="AA731" s="3"/>
      <c r="AB731" s="3"/>
    </row>
    <row r="732" ht="15.75" customHeight="1">
      <c r="A732" s="8"/>
      <c r="B732" s="2"/>
      <c r="C732" s="8"/>
      <c r="D732" s="8"/>
      <c r="E732" s="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3"/>
      <c r="W732" s="3"/>
      <c r="X732" s="3"/>
      <c r="Y732" s="3"/>
      <c r="Z732" s="3"/>
      <c r="AA732" s="3"/>
      <c r="AB732" s="3"/>
    </row>
    <row r="733" ht="15.75" customHeight="1">
      <c r="A733" s="8"/>
      <c r="B733" s="2"/>
      <c r="C733" s="8"/>
      <c r="D733" s="8"/>
      <c r="E733" s="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3"/>
      <c r="W733" s="3"/>
      <c r="X733" s="3"/>
      <c r="Y733" s="3"/>
      <c r="Z733" s="3"/>
      <c r="AA733" s="3"/>
      <c r="AB733" s="3"/>
    </row>
    <row r="734" ht="15.75" customHeight="1">
      <c r="A734" s="8"/>
      <c r="B734" s="2"/>
      <c r="C734" s="8"/>
      <c r="D734" s="8"/>
      <c r="E734" s="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3"/>
      <c r="W734" s="3"/>
      <c r="X734" s="3"/>
      <c r="Y734" s="3"/>
      <c r="Z734" s="3"/>
      <c r="AA734" s="3"/>
      <c r="AB734" s="3"/>
    </row>
    <row r="735" ht="15.75" customHeight="1">
      <c r="A735" s="8"/>
      <c r="B735" s="2"/>
      <c r="C735" s="8"/>
      <c r="D735" s="8"/>
      <c r="E735" s="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3"/>
      <c r="W735" s="3"/>
      <c r="X735" s="3"/>
      <c r="Y735" s="3"/>
      <c r="Z735" s="3"/>
      <c r="AA735" s="3"/>
      <c r="AB735" s="3"/>
    </row>
    <row r="736" ht="15.75" customHeight="1">
      <c r="A736" s="8"/>
      <c r="B736" s="2"/>
      <c r="C736" s="8"/>
      <c r="D736" s="8"/>
      <c r="E736" s="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3"/>
      <c r="W736" s="3"/>
      <c r="X736" s="3"/>
      <c r="Y736" s="3"/>
      <c r="Z736" s="3"/>
      <c r="AA736" s="3"/>
      <c r="AB736" s="3"/>
    </row>
    <row r="737" ht="15.75" customHeight="1">
      <c r="A737" s="8"/>
      <c r="B737" s="2"/>
      <c r="C737" s="8"/>
      <c r="D737" s="8"/>
      <c r="E737" s="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3"/>
      <c r="W737" s="3"/>
      <c r="X737" s="3"/>
      <c r="Y737" s="3"/>
      <c r="Z737" s="3"/>
      <c r="AA737" s="3"/>
      <c r="AB737" s="3"/>
    </row>
    <row r="738" ht="15.75" customHeight="1">
      <c r="A738" s="8"/>
      <c r="B738" s="2"/>
      <c r="C738" s="8"/>
      <c r="D738" s="8"/>
      <c r="E738" s="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3"/>
      <c r="W738" s="3"/>
      <c r="X738" s="3"/>
      <c r="Y738" s="3"/>
      <c r="Z738" s="3"/>
      <c r="AA738" s="3"/>
      <c r="AB738" s="3"/>
    </row>
    <row r="739" ht="15.75" customHeight="1">
      <c r="A739" s="8"/>
      <c r="B739" s="2"/>
      <c r="C739" s="8"/>
      <c r="D739" s="8"/>
      <c r="E739" s="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"/>
      <c r="W739" s="3"/>
      <c r="X739" s="3"/>
      <c r="Y739" s="3"/>
      <c r="Z739" s="3"/>
      <c r="AA739" s="3"/>
      <c r="AB739" s="3"/>
    </row>
    <row r="740" ht="15.75" customHeight="1">
      <c r="A740" s="8"/>
      <c r="B740" s="2"/>
      <c r="C740" s="8"/>
      <c r="D740" s="8"/>
      <c r="E740" s="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3"/>
      <c r="W740" s="3"/>
      <c r="X740" s="3"/>
      <c r="Y740" s="3"/>
      <c r="Z740" s="3"/>
      <c r="AA740" s="3"/>
      <c r="AB740" s="3"/>
    </row>
    <row r="741" ht="15.75" customHeight="1">
      <c r="A741" s="8"/>
      <c r="B741" s="2"/>
      <c r="C741" s="8"/>
      <c r="D741" s="8"/>
      <c r="E741" s="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3"/>
      <c r="W741" s="3"/>
      <c r="X741" s="3"/>
      <c r="Y741" s="3"/>
      <c r="Z741" s="3"/>
      <c r="AA741" s="3"/>
      <c r="AB741" s="3"/>
    </row>
    <row r="742" ht="15.75" customHeight="1">
      <c r="A742" s="8"/>
      <c r="B742" s="2"/>
      <c r="C742" s="8"/>
      <c r="D742" s="8"/>
      <c r="E742" s="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3"/>
      <c r="W742" s="3"/>
      <c r="X742" s="3"/>
      <c r="Y742" s="3"/>
      <c r="Z742" s="3"/>
      <c r="AA742" s="3"/>
      <c r="AB742" s="3"/>
    </row>
    <row r="743" ht="15.75" customHeight="1">
      <c r="A743" s="8"/>
      <c r="B743" s="2"/>
      <c r="C743" s="8"/>
      <c r="D743" s="8"/>
      <c r="E743" s="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3"/>
      <c r="W743" s="3"/>
      <c r="X743" s="3"/>
      <c r="Y743" s="3"/>
      <c r="Z743" s="3"/>
      <c r="AA743" s="3"/>
      <c r="AB743" s="3"/>
    </row>
    <row r="744" ht="15.75" customHeight="1">
      <c r="A744" s="8"/>
      <c r="B744" s="2"/>
      <c r="C744" s="8"/>
      <c r="D744" s="8"/>
      <c r="E744" s="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3"/>
      <c r="W744" s="3"/>
      <c r="X744" s="3"/>
      <c r="Y744" s="3"/>
      <c r="Z744" s="3"/>
      <c r="AA744" s="3"/>
      <c r="AB744" s="3"/>
    </row>
    <row r="745" ht="15.75" customHeight="1">
      <c r="A745" s="8"/>
      <c r="B745" s="2"/>
      <c r="C745" s="8"/>
      <c r="D745" s="8"/>
      <c r="E745" s="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3"/>
      <c r="W745" s="3"/>
      <c r="X745" s="3"/>
      <c r="Y745" s="3"/>
      <c r="Z745" s="3"/>
      <c r="AA745" s="3"/>
      <c r="AB745" s="3"/>
    </row>
    <row r="746" ht="15.75" customHeight="1">
      <c r="A746" s="8"/>
      <c r="B746" s="2"/>
      <c r="C746" s="8"/>
      <c r="D746" s="8"/>
      <c r="E746" s="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3"/>
      <c r="W746" s="3"/>
      <c r="X746" s="3"/>
      <c r="Y746" s="3"/>
      <c r="Z746" s="3"/>
      <c r="AA746" s="3"/>
      <c r="AB746" s="3"/>
    </row>
    <row r="747" ht="15.75" customHeight="1">
      <c r="A747" s="8"/>
      <c r="B747" s="2"/>
      <c r="C747" s="8"/>
      <c r="D747" s="8"/>
      <c r="E747" s="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3"/>
      <c r="W747" s="3"/>
      <c r="X747" s="3"/>
      <c r="Y747" s="3"/>
      <c r="Z747" s="3"/>
      <c r="AA747" s="3"/>
      <c r="AB747" s="3"/>
    </row>
    <row r="748" ht="15.75" customHeight="1">
      <c r="A748" s="8"/>
      <c r="B748" s="2"/>
      <c r="C748" s="8"/>
      <c r="D748" s="8"/>
      <c r="E748" s="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3"/>
      <c r="W748" s="3"/>
      <c r="X748" s="3"/>
      <c r="Y748" s="3"/>
      <c r="Z748" s="3"/>
      <c r="AA748" s="3"/>
      <c r="AB748" s="3"/>
    </row>
    <row r="749" ht="15.75" customHeight="1">
      <c r="A749" s="8"/>
      <c r="B749" s="2"/>
      <c r="C749" s="8"/>
      <c r="D749" s="8"/>
      <c r="E749" s="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3"/>
      <c r="W749" s="3"/>
      <c r="X749" s="3"/>
      <c r="Y749" s="3"/>
      <c r="Z749" s="3"/>
      <c r="AA749" s="3"/>
      <c r="AB749" s="3"/>
    </row>
    <row r="750" ht="15.75" customHeight="1">
      <c r="A750" s="8"/>
      <c r="B750" s="2"/>
      <c r="C750" s="8"/>
      <c r="D750" s="8"/>
      <c r="E750" s="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3"/>
      <c r="W750" s="3"/>
      <c r="X750" s="3"/>
      <c r="Y750" s="3"/>
      <c r="Z750" s="3"/>
      <c r="AA750" s="3"/>
      <c r="AB750" s="3"/>
    </row>
    <row r="751" ht="15.75" customHeight="1">
      <c r="A751" s="8"/>
      <c r="B751" s="2"/>
      <c r="C751" s="8"/>
      <c r="D751" s="8"/>
      <c r="E751" s="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3"/>
      <c r="W751" s="3"/>
      <c r="X751" s="3"/>
      <c r="Y751" s="3"/>
      <c r="Z751" s="3"/>
      <c r="AA751" s="3"/>
      <c r="AB751" s="3"/>
    </row>
    <row r="752" ht="15.75" customHeight="1">
      <c r="A752" s="8"/>
      <c r="B752" s="2"/>
      <c r="C752" s="8"/>
      <c r="D752" s="8"/>
      <c r="E752" s="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3"/>
      <c r="W752" s="3"/>
      <c r="X752" s="3"/>
      <c r="Y752" s="3"/>
      <c r="Z752" s="3"/>
      <c r="AA752" s="3"/>
      <c r="AB752" s="3"/>
    </row>
    <row r="753" ht="15.75" customHeight="1">
      <c r="A753" s="8"/>
      <c r="B753" s="2"/>
      <c r="C753" s="8"/>
      <c r="D753" s="8"/>
      <c r="E753" s="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3"/>
      <c r="W753" s="3"/>
      <c r="X753" s="3"/>
      <c r="Y753" s="3"/>
      <c r="Z753" s="3"/>
      <c r="AA753" s="3"/>
      <c r="AB753" s="3"/>
    </row>
    <row r="754" ht="15.75" customHeight="1">
      <c r="A754" s="8"/>
      <c r="B754" s="2"/>
      <c r="C754" s="8"/>
      <c r="D754" s="8"/>
      <c r="E754" s="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3"/>
      <c r="W754" s="3"/>
      <c r="X754" s="3"/>
      <c r="Y754" s="3"/>
      <c r="Z754" s="3"/>
      <c r="AA754" s="3"/>
      <c r="AB754" s="3"/>
    </row>
    <row r="755" ht="15.75" customHeight="1">
      <c r="A755" s="8"/>
      <c r="B755" s="2"/>
      <c r="C755" s="8"/>
      <c r="D755" s="8"/>
      <c r="E755" s="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3"/>
      <c r="W755" s="3"/>
      <c r="X755" s="3"/>
      <c r="Y755" s="3"/>
      <c r="Z755" s="3"/>
      <c r="AA755" s="3"/>
      <c r="AB755" s="3"/>
    </row>
    <row r="756" ht="15.75" customHeight="1">
      <c r="A756" s="8"/>
      <c r="B756" s="2"/>
      <c r="C756" s="8"/>
      <c r="D756" s="8"/>
      <c r="E756" s="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3"/>
      <c r="W756" s="3"/>
      <c r="X756" s="3"/>
      <c r="Y756" s="3"/>
      <c r="Z756" s="3"/>
      <c r="AA756" s="3"/>
      <c r="AB756" s="3"/>
    </row>
    <row r="757" ht="15.75" customHeight="1">
      <c r="A757" s="8"/>
      <c r="B757" s="2"/>
      <c r="C757" s="8"/>
      <c r="D757" s="8"/>
      <c r="E757" s="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3"/>
      <c r="W757" s="3"/>
      <c r="X757" s="3"/>
      <c r="Y757" s="3"/>
      <c r="Z757" s="3"/>
      <c r="AA757" s="3"/>
      <c r="AB757" s="3"/>
    </row>
    <row r="758" ht="15.75" customHeight="1">
      <c r="A758" s="8"/>
      <c r="B758" s="2"/>
      <c r="C758" s="8"/>
      <c r="D758" s="8"/>
      <c r="E758" s="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3"/>
      <c r="W758" s="3"/>
      <c r="X758" s="3"/>
      <c r="Y758" s="3"/>
      <c r="Z758" s="3"/>
      <c r="AA758" s="3"/>
      <c r="AB758" s="3"/>
    </row>
    <row r="759" ht="15.75" customHeight="1">
      <c r="A759" s="8"/>
      <c r="B759" s="2"/>
      <c r="C759" s="8"/>
      <c r="D759" s="8"/>
      <c r="E759" s="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3"/>
      <c r="W759" s="3"/>
      <c r="X759" s="3"/>
      <c r="Y759" s="3"/>
      <c r="Z759" s="3"/>
      <c r="AA759" s="3"/>
      <c r="AB759" s="3"/>
    </row>
    <row r="760" ht="15.75" customHeight="1">
      <c r="A760" s="8"/>
      <c r="B760" s="2"/>
      <c r="C760" s="8"/>
      <c r="D760" s="8"/>
      <c r="E760" s="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3"/>
      <c r="W760" s="3"/>
      <c r="X760" s="3"/>
      <c r="Y760" s="3"/>
      <c r="Z760" s="3"/>
      <c r="AA760" s="3"/>
      <c r="AB760" s="3"/>
    </row>
    <row r="761" ht="15.75" customHeight="1">
      <c r="A761" s="8"/>
      <c r="B761" s="2"/>
      <c r="C761" s="8"/>
      <c r="D761" s="8"/>
      <c r="E761" s="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3"/>
      <c r="W761" s="3"/>
      <c r="X761" s="3"/>
      <c r="Y761" s="3"/>
      <c r="Z761" s="3"/>
      <c r="AA761" s="3"/>
      <c r="AB761" s="3"/>
    </row>
    <row r="762" ht="15.75" customHeight="1">
      <c r="A762" s="8"/>
      <c r="B762" s="2"/>
      <c r="C762" s="8"/>
      <c r="D762" s="8"/>
      <c r="E762" s="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3"/>
      <c r="W762" s="3"/>
      <c r="X762" s="3"/>
      <c r="Y762" s="3"/>
      <c r="Z762" s="3"/>
      <c r="AA762" s="3"/>
      <c r="AB762" s="3"/>
    </row>
    <row r="763" ht="15.75" customHeight="1">
      <c r="A763" s="8"/>
      <c r="B763" s="2"/>
      <c r="C763" s="8"/>
      <c r="D763" s="8"/>
      <c r="E763" s="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3"/>
      <c r="W763" s="3"/>
      <c r="X763" s="3"/>
      <c r="Y763" s="3"/>
      <c r="Z763" s="3"/>
      <c r="AA763" s="3"/>
      <c r="AB763" s="3"/>
    </row>
    <row r="764" ht="15.75" customHeight="1">
      <c r="A764" s="8"/>
      <c r="B764" s="2"/>
      <c r="C764" s="8"/>
      <c r="D764" s="8"/>
      <c r="E764" s="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3"/>
      <c r="W764" s="3"/>
      <c r="X764" s="3"/>
      <c r="Y764" s="3"/>
      <c r="Z764" s="3"/>
      <c r="AA764" s="3"/>
      <c r="AB764" s="3"/>
    </row>
    <row r="765" ht="15.75" customHeight="1">
      <c r="A765" s="8"/>
      <c r="B765" s="2"/>
      <c r="C765" s="8"/>
      <c r="D765" s="8"/>
      <c r="E765" s="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3"/>
      <c r="W765" s="3"/>
      <c r="X765" s="3"/>
      <c r="Y765" s="3"/>
      <c r="Z765" s="3"/>
      <c r="AA765" s="3"/>
      <c r="AB765" s="3"/>
    </row>
    <row r="766" ht="15.75" customHeight="1">
      <c r="A766" s="8"/>
      <c r="B766" s="2"/>
      <c r="C766" s="8"/>
      <c r="D766" s="8"/>
      <c r="E766" s="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3"/>
      <c r="W766" s="3"/>
      <c r="X766" s="3"/>
      <c r="Y766" s="3"/>
      <c r="Z766" s="3"/>
      <c r="AA766" s="3"/>
      <c r="AB766" s="3"/>
    </row>
    <row r="767" ht="15.75" customHeight="1">
      <c r="A767" s="8"/>
      <c r="B767" s="2"/>
      <c r="C767" s="8"/>
      <c r="D767" s="8"/>
      <c r="E767" s="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3"/>
      <c r="W767" s="3"/>
      <c r="X767" s="3"/>
      <c r="Y767" s="3"/>
      <c r="Z767" s="3"/>
      <c r="AA767" s="3"/>
      <c r="AB767" s="3"/>
    </row>
    <row r="768" ht="15.75" customHeight="1">
      <c r="A768" s="8"/>
      <c r="B768" s="2"/>
      <c r="C768" s="8"/>
      <c r="D768" s="8"/>
      <c r="E768" s="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3"/>
      <c r="W768" s="3"/>
      <c r="X768" s="3"/>
      <c r="Y768" s="3"/>
      <c r="Z768" s="3"/>
      <c r="AA768" s="3"/>
      <c r="AB768" s="3"/>
    </row>
    <row r="769" ht="15.75" customHeight="1">
      <c r="A769" s="8"/>
      <c r="B769" s="2"/>
      <c r="C769" s="8"/>
      <c r="D769" s="8"/>
      <c r="E769" s="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3"/>
      <c r="W769" s="3"/>
      <c r="X769" s="3"/>
      <c r="Y769" s="3"/>
      <c r="Z769" s="3"/>
      <c r="AA769" s="3"/>
      <c r="AB769" s="3"/>
    </row>
    <row r="770" ht="15.75" customHeight="1">
      <c r="A770" s="8"/>
      <c r="B770" s="2"/>
      <c r="C770" s="8"/>
      <c r="D770" s="8"/>
      <c r="E770" s="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3"/>
      <c r="W770" s="3"/>
      <c r="X770" s="3"/>
      <c r="Y770" s="3"/>
      <c r="Z770" s="3"/>
      <c r="AA770" s="3"/>
      <c r="AB770" s="3"/>
    </row>
    <row r="771" ht="15.75" customHeight="1">
      <c r="A771" s="8"/>
      <c r="B771" s="2"/>
      <c r="C771" s="8"/>
      <c r="D771" s="8"/>
      <c r="E771" s="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3"/>
      <c r="W771" s="3"/>
      <c r="X771" s="3"/>
      <c r="Y771" s="3"/>
      <c r="Z771" s="3"/>
      <c r="AA771" s="3"/>
      <c r="AB771" s="3"/>
    </row>
    <row r="772" ht="15.75" customHeight="1">
      <c r="A772" s="8"/>
      <c r="B772" s="2"/>
      <c r="C772" s="8"/>
      <c r="D772" s="8"/>
      <c r="E772" s="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3"/>
      <c r="W772" s="3"/>
      <c r="X772" s="3"/>
      <c r="Y772" s="3"/>
      <c r="Z772" s="3"/>
      <c r="AA772" s="3"/>
      <c r="AB772" s="3"/>
    </row>
    <row r="773" ht="15.75" customHeight="1">
      <c r="A773" s="8"/>
      <c r="B773" s="2"/>
      <c r="C773" s="8"/>
      <c r="D773" s="8"/>
      <c r="E773" s="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3"/>
      <c r="W773" s="3"/>
      <c r="X773" s="3"/>
      <c r="Y773" s="3"/>
      <c r="Z773" s="3"/>
      <c r="AA773" s="3"/>
      <c r="AB773" s="3"/>
    </row>
    <row r="774" ht="15.75" customHeight="1">
      <c r="A774" s="8"/>
      <c r="B774" s="2"/>
      <c r="C774" s="8"/>
      <c r="D774" s="8"/>
      <c r="E774" s="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3"/>
      <c r="W774" s="3"/>
      <c r="X774" s="3"/>
      <c r="Y774" s="3"/>
      <c r="Z774" s="3"/>
      <c r="AA774" s="3"/>
      <c r="AB774" s="3"/>
    </row>
    <row r="775" ht="15.75" customHeight="1">
      <c r="A775" s="8"/>
      <c r="B775" s="2"/>
      <c r="C775" s="8"/>
      <c r="D775" s="8"/>
      <c r="E775" s="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3"/>
      <c r="W775" s="3"/>
      <c r="X775" s="3"/>
      <c r="Y775" s="3"/>
      <c r="Z775" s="3"/>
      <c r="AA775" s="3"/>
      <c r="AB775" s="3"/>
    </row>
    <row r="776" ht="15.75" customHeight="1">
      <c r="A776" s="8"/>
      <c r="B776" s="2"/>
      <c r="C776" s="8"/>
      <c r="D776" s="8"/>
      <c r="E776" s="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3"/>
      <c r="W776" s="3"/>
      <c r="X776" s="3"/>
      <c r="Y776" s="3"/>
      <c r="Z776" s="3"/>
      <c r="AA776" s="3"/>
      <c r="AB776" s="3"/>
    </row>
    <row r="777" ht="15.75" customHeight="1">
      <c r="A777" s="8"/>
      <c r="B777" s="2"/>
      <c r="C777" s="8"/>
      <c r="D777" s="8"/>
      <c r="E777" s="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3"/>
      <c r="W777" s="3"/>
      <c r="X777" s="3"/>
      <c r="Y777" s="3"/>
      <c r="Z777" s="3"/>
      <c r="AA777" s="3"/>
      <c r="AB777" s="3"/>
    </row>
    <row r="778" ht="15.75" customHeight="1">
      <c r="A778" s="8"/>
      <c r="B778" s="2"/>
      <c r="C778" s="8"/>
      <c r="D778" s="8"/>
      <c r="E778" s="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3"/>
      <c r="W778" s="3"/>
      <c r="X778" s="3"/>
      <c r="Y778" s="3"/>
      <c r="Z778" s="3"/>
      <c r="AA778" s="3"/>
      <c r="AB778" s="3"/>
    </row>
    <row r="779" ht="15.75" customHeight="1">
      <c r="A779" s="8"/>
      <c r="B779" s="2"/>
      <c r="C779" s="8"/>
      <c r="D779" s="8"/>
      <c r="E779" s="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3"/>
      <c r="W779" s="3"/>
      <c r="X779" s="3"/>
      <c r="Y779" s="3"/>
      <c r="Z779" s="3"/>
      <c r="AA779" s="3"/>
      <c r="AB779" s="3"/>
    </row>
    <row r="780" ht="15.75" customHeight="1">
      <c r="A780" s="8"/>
      <c r="B780" s="2"/>
      <c r="C780" s="8"/>
      <c r="D780" s="8"/>
      <c r="E780" s="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3"/>
      <c r="W780" s="3"/>
      <c r="X780" s="3"/>
      <c r="Y780" s="3"/>
      <c r="Z780" s="3"/>
      <c r="AA780" s="3"/>
      <c r="AB780" s="3"/>
    </row>
    <row r="781" ht="15.75" customHeight="1">
      <c r="A781" s="8"/>
      <c r="B781" s="2"/>
      <c r="C781" s="8"/>
      <c r="D781" s="8"/>
      <c r="E781" s="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3"/>
      <c r="W781" s="3"/>
      <c r="X781" s="3"/>
      <c r="Y781" s="3"/>
      <c r="Z781" s="3"/>
      <c r="AA781" s="3"/>
      <c r="AB781" s="3"/>
    </row>
    <row r="782" ht="15.75" customHeight="1">
      <c r="A782" s="8"/>
      <c r="B782" s="2"/>
      <c r="C782" s="8"/>
      <c r="D782" s="8"/>
      <c r="E782" s="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3"/>
      <c r="W782" s="3"/>
      <c r="X782" s="3"/>
      <c r="Y782" s="3"/>
      <c r="Z782" s="3"/>
      <c r="AA782" s="3"/>
      <c r="AB782" s="3"/>
    </row>
    <row r="783" ht="15.75" customHeight="1">
      <c r="A783" s="8"/>
      <c r="B783" s="2"/>
      <c r="C783" s="8"/>
      <c r="D783" s="8"/>
      <c r="E783" s="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3"/>
      <c r="W783" s="3"/>
      <c r="X783" s="3"/>
      <c r="Y783" s="3"/>
      <c r="Z783" s="3"/>
      <c r="AA783" s="3"/>
      <c r="AB783" s="3"/>
    </row>
    <row r="784" ht="15.75" customHeight="1">
      <c r="A784" s="8"/>
      <c r="B784" s="2"/>
      <c r="C784" s="8"/>
      <c r="D784" s="8"/>
      <c r="E784" s="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3"/>
      <c r="W784" s="3"/>
      <c r="X784" s="3"/>
      <c r="Y784" s="3"/>
      <c r="Z784" s="3"/>
      <c r="AA784" s="3"/>
      <c r="AB784" s="3"/>
    </row>
    <row r="785" ht="15.75" customHeight="1">
      <c r="A785" s="8"/>
      <c r="B785" s="2"/>
      <c r="C785" s="8"/>
      <c r="D785" s="8"/>
      <c r="E785" s="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3"/>
      <c r="W785" s="3"/>
      <c r="X785" s="3"/>
      <c r="Y785" s="3"/>
      <c r="Z785" s="3"/>
      <c r="AA785" s="3"/>
      <c r="AB785" s="3"/>
    </row>
    <row r="786" ht="15.75" customHeight="1">
      <c r="A786" s="8"/>
      <c r="B786" s="2"/>
      <c r="C786" s="8"/>
      <c r="D786" s="8"/>
      <c r="E786" s="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3"/>
      <c r="W786" s="3"/>
      <c r="X786" s="3"/>
      <c r="Y786" s="3"/>
      <c r="Z786" s="3"/>
      <c r="AA786" s="3"/>
      <c r="AB786" s="3"/>
    </row>
    <row r="787" ht="15.75" customHeight="1">
      <c r="A787" s="8"/>
      <c r="B787" s="2"/>
      <c r="C787" s="8"/>
      <c r="D787" s="8"/>
      <c r="E787" s="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3"/>
      <c r="W787" s="3"/>
      <c r="X787" s="3"/>
      <c r="Y787" s="3"/>
      <c r="Z787" s="3"/>
      <c r="AA787" s="3"/>
      <c r="AB787" s="3"/>
    </row>
    <row r="788" ht="15.75" customHeight="1">
      <c r="A788" s="8"/>
      <c r="B788" s="2"/>
      <c r="C788" s="8"/>
      <c r="D788" s="8"/>
      <c r="E788" s="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"/>
      <c r="W788" s="3"/>
      <c r="X788" s="3"/>
      <c r="Y788" s="3"/>
      <c r="Z788" s="3"/>
      <c r="AA788" s="3"/>
      <c r="AB788" s="3"/>
    </row>
    <row r="789" ht="15.75" customHeight="1">
      <c r="A789" s="8"/>
      <c r="B789" s="2"/>
      <c r="C789" s="8"/>
      <c r="D789" s="8"/>
      <c r="E789" s="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3"/>
      <c r="W789" s="3"/>
      <c r="X789" s="3"/>
      <c r="Y789" s="3"/>
      <c r="Z789" s="3"/>
      <c r="AA789" s="3"/>
      <c r="AB789" s="3"/>
    </row>
    <row r="790" ht="15.75" customHeight="1">
      <c r="A790" s="8"/>
      <c r="B790" s="2"/>
      <c r="C790" s="8"/>
      <c r="D790" s="8"/>
      <c r="E790" s="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3"/>
      <c r="W790" s="3"/>
      <c r="X790" s="3"/>
      <c r="Y790" s="3"/>
      <c r="Z790" s="3"/>
      <c r="AA790" s="3"/>
      <c r="AB790" s="3"/>
    </row>
    <row r="791" ht="15.75" customHeight="1">
      <c r="A791" s="8"/>
      <c r="B791" s="2"/>
      <c r="C791" s="8"/>
      <c r="D791" s="8"/>
      <c r="E791" s="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3"/>
      <c r="W791" s="3"/>
      <c r="X791" s="3"/>
      <c r="Y791" s="3"/>
      <c r="Z791" s="3"/>
      <c r="AA791" s="3"/>
      <c r="AB791" s="3"/>
    </row>
    <row r="792" ht="15.75" customHeight="1">
      <c r="A792" s="8"/>
      <c r="B792" s="2"/>
      <c r="C792" s="8"/>
      <c r="D792" s="8"/>
      <c r="E792" s="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3"/>
      <c r="W792" s="3"/>
      <c r="X792" s="3"/>
      <c r="Y792" s="3"/>
      <c r="Z792" s="3"/>
      <c r="AA792" s="3"/>
      <c r="AB792" s="3"/>
    </row>
    <row r="793" ht="15.75" customHeight="1">
      <c r="A793" s="8"/>
      <c r="B793" s="2"/>
      <c r="C793" s="8"/>
      <c r="D793" s="8"/>
      <c r="E793" s="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3"/>
      <c r="W793" s="3"/>
      <c r="X793" s="3"/>
      <c r="Y793" s="3"/>
      <c r="Z793" s="3"/>
      <c r="AA793" s="3"/>
      <c r="AB793" s="3"/>
    </row>
    <row r="794" ht="15.75" customHeight="1">
      <c r="A794" s="8"/>
      <c r="B794" s="2"/>
      <c r="C794" s="8"/>
      <c r="D794" s="8"/>
      <c r="E794" s="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3"/>
      <c r="W794" s="3"/>
      <c r="X794" s="3"/>
      <c r="Y794" s="3"/>
      <c r="Z794" s="3"/>
      <c r="AA794" s="3"/>
      <c r="AB794" s="3"/>
    </row>
    <row r="795" ht="15.75" customHeight="1">
      <c r="A795" s="8"/>
      <c r="B795" s="2"/>
      <c r="C795" s="8"/>
      <c r="D795" s="8"/>
      <c r="E795" s="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3"/>
      <c r="W795" s="3"/>
      <c r="X795" s="3"/>
      <c r="Y795" s="3"/>
      <c r="Z795" s="3"/>
      <c r="AA795" s="3"/>
      <c r="AB795" s="3"/>
    </row>
    <row r="796" ht="15.75" customHeight="1">
      <c r="A796" s="8"/>
      <c r="B796" s="2"/>
      <c r="C796" s="8"/>
      <c r="D796" s="8"/>
      <c r="E796" s="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3"/>
      <c r="W796" s="3"/>
      <c r="X796" s="3"/>
      <c r="Y796" s="3"/>
      <c r="Z796" s="3"/>
      <c r="AA796" s="3"/>
      <c r="AB796" s="3"/>
    </row>
    <row r="797" ht="15.75" customHeight="1">
      <c r="A797" s="8"/>
      <c r="B797" s="2"/>
      <c r="C797" s="8"/>
      <c r="D797" s="8"/>
      <c r="E797" s="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3"/>
      <c r="W797" s="3"/>
      <c r="X797" s="3"/>
      <c r="Y797" s="3"/>
      <c r="Z797" s="3"/>
      <c r="AA797" s="3"/>
      <c r="AB797" s="3"/>
    </row>
    <row r="798" ht="15.75" customHeight="1">
      <c r="A798" s="8"/>
      <c r="B798" s="2"/>
      <c r="C798" s="8"/>
      <c r="D798" s="8"/>
      <c r="E798" s="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3"/>
      <c r="W798" s="3"/>
      <c r="X798" s="3"/>
      <c r="Y798" s="3"/>
      <c r="Z798" s="3"/>
      <c r="AA798" s="3"/>
      <c r="AB798" s="3"/>
    </row>
    <row r="799" ht="15.75" customHeight="1">
      <c r="A799" s="8"/>
      <c r="B799" s="2"/>
      <c r="C799" s="8"/>
      <c r="D799" s="8"/>
      <c r="E799" s="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3"/>
      <c r="W799" s="3"/>
      <c r="X799" s="3"/>
      <c r="Y799" s="3"/>
      <c r="Z799" s="3"/>
      <c r="AA799" s="3"/>
      <c r="AB799" s="3"/>
    </row>
    <row r="800" ht="15.75" customHeight="1">
      <c r="A800" s="8"/>
      <c r="B800" s="2"/>
      <c r="C800" s="8"/>
      <c r="D800" s="8"/>
      <c r="E800" s="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3"/>
      <c r="W800" s="3"/>
      <c r="X800" s="3"/>
      <c r="Y800" s="3"/>
      <c r="Z800" s="3"/>
      <c r="AA800" s="3"/>
      <c r="AB800" s="3"/>
    </row>
    <row r="801" ht="15.75" customHeight="1">
      <c r="A801" s="8"/>
      <c r="B801" s="2"/>
      <c r="C801" s="8"/>
      <c r="D801" s="8"/>
      <c r="E801" s="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3"/>
      <c r="W801" s="3"/>
      <c r="X801" s="3"/>
      <c r="Y801" s="3"/>
      <c r="Z801" s="3"/>
      <c r="AA801" s="3"/>
      <c r="AB801" s="3"/>
    </row>
    <row r="802" ht="15.75" customHeight="1">
      <c r="A802" s="8"/>
      <c r="B802" s="2"/>
      <c r="C802" s="8"/>
      <c r="D802" s="8"/>
      <c r="E802" s="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3"/>
      <c r="W802" s="3"/>
      <c r="X802" s="3"/>
      <c r="Y802" s="3"/>
      <c r="Z802" s="3"/>
      <c r="AA802" s="3"/>
      <c r="AB802" s="3"/>
    </row>
    <row r="803" ht="15.75" customHeight="1">
      <c r="A803" s="8"/>
      <c r="B803" s="2"/>
      <c r="C803" s="8"/>
      <c r="D803" s="8"/>
      <c r="E803" s="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3"/>
      <c r="W803" s="3"/>
      <c r="X803" s="3"/>
      <c r="Y803" s="3"/>
      <c r="Z803" s="3"/>
      <c r="AA803" s="3"/>
      <c r="AB803" s="3"/>
    </row>
    <row r="804" ht="15.75" customHeight="1">
      <c r="A804" s="8"/>
      <c r="B804" s="2"/>
      <c r="C804" s="8"/>
      <c r="D804" s="8"/>
      <c r="E804" s="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3"/>
      <c r="W804" s="3"/>
      <c r="X804" s="3"/>
      <c r="Y804" s="3"/>
      <c r="Z804" s="3"/>
      <c r="AA804" s="3"/>
      <c r="AB804" s="3"/>
    </row>
    <row r="805" ht="15.75" customHeight="1">
      <c r="A805" s="8"/>
      <c r="B805" s="2"/>
      <c r="C805" s="8"/>
      <c r="D805" s="8"/>
      <c r="E805" s="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3"/>
      <c r="W805" s="3"/>
      <c r="X805" s="3"/>
      <c r="Y805" s="3"/>
      <c r="Z805" s="3"/>
      <c r="AA805" s="3"/>
      <c r="AB805" s="3"/>
    </row>
    <row r="806" ht="15.75" customHeight="1">
      <c r="A806" s="8"/>
      <c r="B806" s="2"/>
      <c r="C806" s="8"/>
      <c r="D806" s="8"/>
      <c r="E806" s="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3"/>
      <c r="W806" s="3"/>
      <c r="X806" s="3"/>
      <c r="Y806" s="3"/>
      <c r="Z806" s="3"/>
      <c r="AA806" s="3"/>
      <c r="AB806" s="3"/>
    </row>
    <row r="807" ht="15.75" customHeight="1">
      <c r="A807" s="8"/>
      <c r="B807" s="2"/>
      <c r="C807" s="8"/>
      <c r="D807" s="8"/>
      <c r="E807" s="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"/>
      <c r="W807" s="3"/>
      <c r="X807" s="3"/>
      <c r="Y807" s="3"/>
      <c r="Z807" s="3"/>
      <c r="AA807" s="3"/>
      <c r="AB807" s="3"/>
    </row>
    <row r="808" ht="15.75" customHeight="1">
      <c r="A808" s="8"/>
      <c r="B808" s="2"/>
      <c r="C808" s="8"/>
      <c r="D808" s="8"/>
      <c r="E808" s="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3"/>
      <c r="W808" s="3"/>
      <c r="X808" s="3"/>
      <c r="Y808" s="3"/>
      <c r="Z808" s="3"/>
      <c r="AA808" s="3"/>
      <c r="AB808" s="3"/>
    </row>
    <row r="809" ht="15.75" customHeight="1">
      <c r="A809" s="8"/>
      <c r="B809" s="2"/>
      <c r="C809" s="8"/>
      <c r="D809" s="8"/>
      <c r="E809" s="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3"/>
      <c r="W809" s="3"/>
      <c r="X809" s="3"/>
      <c r="Y809" s="3"/>
      <c r="Z809" s="3"/>
      <c r="AA809" s="3"/>
      <c r="AB809" s="3"/>
    </row>
    <row r="810" ht="15.75" customHeight="1">
      <c r="A810" s="8"/>
      <c r="B810" s="2"/>
      <c r="C810" s="8"/>
      <c r="D810" s="8"/>
      <c r="E810" s="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3"/>
      <c r="W810" s="3"/>
      <c r="X810" s="3"/>
      <c r="Y810" s="3"/>
      <c r="Z810" s="3"/>
      <c r="AA810" s="3"/>
      <c r="AB810" s="3"/>
    </row>
    <row r="811" ht="15.75" customHeight="1">
      <c r="A811" s="8"/>
      <c r="B811" s="2"/>
      <c r="C811" s="8"/>
      <c r="D811" s="8"/>
      <c r="E811" s="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3"/>
      <c r="W811" s="3"/>
      <c r="X811" s="3"/>
      <c r="Y811" s="3"/>
      <c r="Z811" s="3"/>
      <c r="AA811" s="3"/>
      <c r="AB811" s="3"/>
    </row>
    <row r="812" ht="15.75" customHeight="1">
      <c r="A812" s="8"/>
      <c r="B812" s="2"/>
      <c r="C812" s="8"/>
      <c r="D812" s="8"/>
      <c r="E812" s="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3"/>
      <c r="W812" s="3"/>
      <c r="X812" s="3"/>
      <c r="Y812" s="3"/>
      <c r="Z812" s="3"/>
      <c r="AA812" s="3"/>
      <c r="AB812" s="3"/>
    </row>
    <row r="813" ht="15.75" customHeight="1">
      <c r="A813" s="8"/>
      <c r="B813" s="2"/>
      <c r="C813" s="8"/>
      <c r="D813" s="8"/>
      <c r="E813" s="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3"/>
      <c r="W813" s="3"/>
      <c r="X813" s="3"/>
      <c r="Y813" s="3"/>
      <c r="Z813" s="3"/>
      <c r="AA813" s="3"/>
      <c r="AB813" s="3"/>
    </row>
    <row r="814" ht="15.75" customHeight="1">
      <c r="A814" s="8"/>
      <c r="B814" s="2"/>
      <c r="C814" s="8"/>
      <c r="D814" s="8"/>
      <c r="E814" s="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3"/>
      <c r="W814" s="3"/>
      <c r="X814" s="3"/>
      <c r="Y814" s="3"/>
      <c r="Z814" s="3"/>
      <c r="AA814" s="3"/>
      <c r="AB814" s="3"/>
    </row>
    <row r="815" ht="15.75" customHeight="1">
      <c r="A815" s="8"/>
      <c r="B815" s="2"/>
      <c r="C815" s="8"/>
      <c r="D815" s="8"/>
      <c r="E815" s="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3"/>
      <c r="W815" s="3"/>
      <c r="X815" s="3"/>
      <c r="Y815" s="3"/>
      <c r="Z815" s="3"/>
      <c r="AA815" s="3"/>
      <c r="AB815" s="3"/>
    </row>
    <row r="816" ht="15.75" customHeight="1">
      <c r="A816" s="8"/>
      <c r="B816" s="2"/>
      <c r="C816" s="8"/>
      <c r="D816" s="8"/>
      <c r="E816" s="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3"/>
      <c r="W816" s="3"/>
      <c r="X816" s="3"/>
      <c r="Y816" s="3"/>
      <c r="Z816" s="3"/>
      <c r="AA816" s="3"/>
      <c r="AB816" s="3"/>
    </row>
    <row r="817" ht="15.75" customHeight="1">
      <c r="A817" s="8"/>
      <c r="B817" s="2"/>
      <c r="C817" s="8"/>
      <c r="D817" s="8"/>
      <c r="E817" s="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3"/>
      <c r="W817" s="3"/>
      <c r="X817" s="3"/>
      <c r="Y817" s="3"/>
      <c r="Z817" s="3"/>
      <c r="AA817" s="3"/>
      <c r="AB817" s="3"/>
    </row>
    <row r="818" ht="15.75" customHeight="1">
      <c r="A818" s="8"/>
      <c r="B818" s="2"/>
      <c r="C818" s="8"/>
      <c r="D818" s="8"/>
      <c r="E818" s="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3"/>
      <c r="W818" s="3"/>
      <c r="X818" s="3"/>
      <c r="Y818" s="3"/>
      <c r="Z818" s="3"/>
      <c r="AA818" s="3"/>
      <c r="AB818" s="3"/>
    </row>
    <row r="819" ht="15.75" customHeight="1">
      <c r="A819" s="8"/>
      <c r="B819" s="2"/>
      <c r="C819" s="8"/>
      <c r="D819" s="8"/>
      <c r="E819" s="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3"/>
      <c r="W819" s="3"/>
      <c r="X819" s="3"/>
      <c r="Y819" s="3"/>
      <c r="Z819" s="3"/>
      <c r="AA819" s="3"/>
      <c r="AB819" s="3"/>
    </row>
    <row r="820" ht="15.75" customHeight="1">
      <c r="A820" s="8"/>
      <c r="B820" s="2"/>
      <c r="C820" s="8"/>
      <c r="D820" s="8"/>
      <c r="E820" s="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3"/>
      <c r="W820" s="3"/>
      <c r="X820" s="3"/>
      <c r="Y820" s="3"/>
      <c r="Z820" s="3"/>
      <c r="AA820" s="3"/>
      <c r="AB820" s="3"/>
    </row>
    <row r="821" ht="15.75" customHeight="1">
      <c r="A821" s="8"/>
      <c r="B821" s="2"/>
      <c r="C821" s="8"/>
      <c r="D821" s="8"/>
      <c r="E821" s="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3"/>
      <c r="W821" s="3"/>
      <c r="X821" s="3"/>
      <c r="Y821" s="3"/>
      <c r="Z821" s="3"/>
      <c r="AA821" s="3"/>
      <c r="AB821" s="3"/>
    </row>
    <row r="822" ht="15.75" customHeight="1">
      <c r="A822" s="8"/>
      <c r="B822" s="2"/>
      <c r="C822" s="8"/>
      <c r="D822" s="8"/>
      <c r="E822" s="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3"/>
      <c r="W822" s="3"/>
      <c r="X822" s="3"/>
      <c r="Y822" s="3"/>
      <c r="Z822" s="3"/>
      <c r="AA822" s="3"/>
      <c r="AB822" s="3"/>
    </row>
    <row r="823" ht="15.75" customHeight="1">
      <c r="A823" s="8"/>
      <c r="B823" s="2"/>
      <c r="C823" s="8"/>
      <c r="D823" s="8"/>
      <c r="E823" s="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3">
    <mergeCell ref="A1:E2"/>
    <mergeCell ref="A7:E7"/>
    <mergeCell ref="A53:B53"/>
  </mergeCells>
  <printOptions horizontalCentered="1"/>
  <pageMargins bottom="0.75" footer="0.0" header="0.0" left="0.7" right="0.7" top="0.75"/>
  <pageSetup fitToHeight="0" orientation="landscape"/>
  <headerFooter>
    <oddFooter>&amp;RCTS - Estado de Resultados Grupos y Convenciones Pág. &amp;P de</oddFooter>
  </headerFooter>
  <drawing r:id="rId1"/>
  <tableParts count="1">
    <tablePart r:id="rId3"/>
  </tableParts>
</worksheet>
</file>
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ma Mallol\OneDrive\Escritorio\"/>
    </mc:Choice>
  </mc:AlternateContent>
  <xr:revisionPtr revIDLastSave="0" documentId="8_{4246C72C-DFEA-4786-9CFF-D7BB05152D46}" xr6:coauthVersionLast="47" xr6:coauthVersionMax="47" xr10:uidLastSave="{00000000-0000-0000-0000-000000000000}"/>
  <bookViews>
    <workbookView xWindow="-108" yWindow="-108" windowWidth="23256" windowHeight="12456" activeTab="2" xr2:uid="{F19F7932-AFA5-4C6F-9605-A7C27E5E5BC3}"/>
  </bookViews>
  <sheets>
    <sheet name="RESUMEN" sheetId="2" r:id="rId1"/>
    <sheet name="GASTOS" sheetId="3" r:id="rId2"/>
    <sheet name="PROVISIONES" sheetId="4" r:id="rId3"/>
  </sheets>
  <definedNames>
    <definedName name="eventos_cerrad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H5" i="3"/>
  <c r="H4" i="3"/>
  <c r="H2" i="3"/>
  <c r="B85" i="4" l="1"/>
  <c r="B84" i="4"/>
  <c r="E21" i="4"/>
  <c r="H16" i="2"/>
  <c r="H15" i="2"/>
  <c r="H14" i="2"/>
  <c r="H13" i="2"/>
  <c r="G16" i="2"/>
  <c r="G15" i="2"/>
  <c r="G18" i="2" s="1"/>
  <c r="G14" i="2"/>
  <c r="G13" i="2"/>
  <c r="F18" i="2"/>
  <c r="B37" i="2" s="1"/>
  <c r="F3" i="4"/>
  <c r="G3" i="4" s="1"/>
  <c r="G5" i="4"/>
  <c r="F4" i="4"/>
  <c r="G4" i="4" s="1"/>
  <c r="F2" i="4"/>
  <c r="G2" i="4" s="1"/>
  <c r="D22" i="2"/>
  <c r="C25" i="2"/>
  <c r="C24" i="2"/>
  <c r="C23" i="2"/>
  <c r="C22" i="2"/>
  <c r="B23" i="2"/>
  <c r="B24" i="2"/>
  <c r="B25" i="2"/>
  <c r="B22" i="2"/>
  <c r="B27" i="2" s="1"/>
  <c r="I3" i="3"/>
  <c r="D23" i="2" s="1"/>
  <c r="I2" i="3"/>
  <c r="D24" i="2" s="1"/>
  <c r="I5" i="3"/>
  <c r="D25" i="2" s="1"/>
  <c r="I4" i="3"/>
  <c r="H3" i="3"/>
  <c r="D31" i="2" l="1"/>
  <c r="D33" i="2" s="1"/>
  <c r="G21" i="4"/>
  <c r="C84" i="4"/>
  <c r="E31" i="2" s="1"/>
  <c r="B31" i="2"/>
  <c r="B33" i="2" s="1"/>
  <c r="B38" i="2" s="1"/>
  <c r="B40" i="2" s="1"/>
  <c r="C40" i="2" s="1"/>
  <c r="C31" i="2"/>
  <c r="C33" i="2" s="1"/>
  <c r="F21" i="4"/>
  <c r="H18" i="2"/>
  <c r="C27" i="2"/>
  <c r="D27" i="2"/>
  <c r="E24" i="2" s="1"/>
  <c r="C38" i="2" l="1"/>
  <c r="C37" i="2" s="1"/>
  <c r="E22" i="2"/>
  <c r="E25" i="2"/>
  <c r="E23" i="2"/>
  <c r="E27" i="2" l="1"/>
</calcChain>
</file>

<file path=xl/sharedStrings.xml><?xml version="1.0" encoding="utf-8"?>
<sst xmlns="http://schemas.openxmlformats.org/spreadsheetml/2006/main" count="124" uniqueCount="56">
  <si>
    <t>PAGADO</t>
  </si>
  <si>
    <t>PENDIENTE</t>
  </si>
  <si>
    <t>SEPTIEMBRE</t>
  </si>
  <si>
    <t>MTC2025-002</t>
  </si>
  <si>
    <t>PROVISIONES</t>
  </si>
  <si>
    <t>CLAVE EVENTO</t>
  </si>
  <si>
    <t>CIERRE INTERNO</t>
  </si>
  <si>
    <t>CLIENTE:</t>
  </si>
  <si>
    <t>MEDTRONIC</t>
  </si>
  <si>
    <t>FECHAS DEL EVENTO:</t>
  </si>
  <si>
    <t>SEDE:</t>
  </si>
  <si>
    <t>CIUDAD:</t>
  </si>
  <si>
    <t>ASESOR TERRESTRE:</t>
  </si>
  <si>
    <t>VENDEDOR DE GRUPOS:</t>
  </si>
  <si>
    <t>INGRESOS</t>
  </si>
  <si>
    <t>Status</t>
  </si>
  <si>
    <t>No. Factura</t>
  </si>
  <si>
    <t>Proveedor / Razón Social</t>
  </si>
  <si>
    <t>Concepto</t>
  </si>
  <si>
    <t>Otra Moneda</t>
  </si>
  <si>
    <t>Sub-Total</t>
  </si>
  <si>
    <t>I.V.A</t>
  </si>
  <si>
    <t>Monto a Pagar</t>
  </si>
  <si>
    <t>Exhibición Neurociencias Congreso Angeles</t>
  </si>
  <si>
    <t>Stand 6x3 Congreso Angeles.</t>
  </si>
  <si>
    <t>Flete y gastos operacionales Stand Congreso Angeles.</t>
  </si>
  <si>
    <t>Stand Hugo RAS Congreso Angeles.</t>
  </si>
  <si>
    <t>TOTAL INGRESOS</t>
  </si>
  <si>
    <t>Total</t>
  </si>
  <si>
    <t>Porcentaje</t>
  </si>
  <si>
    <t>SP´S</t>
  </si>
  <si>
    <t>COMBUSTIBLE / PEAJE</t>
  </si>
  <si>
    <t>RH</t>
  </si>
  <si>
    <t>MATERIALES</t>
  </si>
  <si>
    <t>TOTAL EGRESOS</t>
  </si>
  <si>
    <t>RESUMEN UTILIDAD</t>
  </si>
  <si>
    <t>CONCEPTO</t>
  </si>
  <si>
    <t>MONTO</t>
  </si>
  <si>
    <t>PORCENTAJE</t>
  </si>
  <si>
    <t>SUMA DE INGRESOS</t>
  </si>
  <si>
    <t>SUMA DE EGRESOS</t>
  </si>
  <si>
    <t>UTILIDAD</t>
  </si>
  <si>
    <t>Método de Pago</t>
  </si>
  <si>
    <t>Fecha de Pago</t>
  </si>
  <si>
    <t>Tipo de Gasto</t>
  </si>
  <si>
    <t>Tipo de Provision</t>
  </si>
  <si>
    <t>TRANSFERENCIA</t>
  </si>
  <si>
    <t>FAC 2265</t>
  </si>
  <si>
    <t>CEDECOM SA DE CV</t>
  </si>
  <si>
    <t>PAGO DE SERVICIO INTERNET PARA STAND MEDTRONIC</t>
  </si>
  <si>
    <t>RESUMEN PROVISIONES</t>
  </si>
  <si>
    <t>PAGADA</t>
  </si>
  <si>
    <t>EROGADA</t>
  </si>
  <si>
    <t>TOTAL PROVISIONES</t>
  </si>
  <si>
    <t>RESUMEN GASTOS</t>
  </si>
  <si>
    <t>TOTAL DE PROVISIONES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</si>
</sst>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Calibri"/>
      <family val="2"/>
    </font>
    <font>
      <b/>
      <sz val="10"/>
      <color rgb="FFFFFFFF"/>
      <name val="Aptos"/>
      <family val="2"/>
    </font>
    <font>
      <b/>
      <sz val="10"/>
      <color rgb="FF282828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74F1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82828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0" fillId="0" borderId="0" xfId="0" applyFont="1" applyAlignment="1">
      <alignment vertical="top"/>
    </xf>
    <xf numFmtId="0" fontId="0" fillId="0" borderId="1" xfId="0" applyFont="1" applyBorder="1" applyAlignment="1"/>
    <xf numFmtId="0" fontId="2" fillId="0" borderId="4" xfId="0" applyFont="1" applyBorder="1" applyAlignment="1">
      <alignment horizontal="right" vertical="center"/>
    </xf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/>
    <xf numFmtId="0" fontId="0" fillId="0" borderId="5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8" fontId="0" fillId="0" borderId="4" xfId="0" applyNumberFormat="1" applyFont="1" applyBorder="1" applyAlignment="1">
      <alignment horizontal="right" vertical="center"/>
    </xf>
    <xf numFmtId="0" fontId="0" fillId="0" borderId="5" xfId="0" applyFont="1" applyBorder="1" applyAlignment="1">
      <alignment vertical="center"/>
    </xf>
    <xf numFmtId="8" fontId="2" fillId="2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8" fontId="2" fillId="2" borderId="4" xfId="0" applyNumberFormat="1" applyFont="1" applyFill="1" applyBorder="1" applyAlignment="1">
      <alignment horizontal="right"/>
    </xf>
    <xf numFmtId="10" fontId="2" fillId="2" borderId="4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right" vertical="center"/>
    </xf>
    <xf numFmtId="8" fontId="0" fillId="0" borderId="4" xfId="0" applyNumberFormat="1" applyFont="1" applyBorder="1" applyAlignment="1">
      <alignment horizontal="center" vertical="center"/>
    </xf>
    <xf numFmtId="9" fontId="0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right" vertical="center"/>
    </xf>
    <xf numFmtId="8" fontId="5" fillId="2" borderId="4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8" fontId="0" fillId="0" borderId="0" xfId="0" applyNumberFormat="1" applyFont="1" applyBorder="1" applyAlignment="1">
      <alignment horizontal="right" vertical="center"/>
    </xf>
    <xf numFmtId="10" fontId="0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8" fontId="0" fillId="0" borderId="0" xfId="0" applyNumberFormat="1" applyFont="1" applyFill="1" applyBorder="1" applyAlignment="1">
      <alignment horizontal="right" vertical="center"/>
    </xf>
    <xf numFmtId="8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0" borderId="0" xfId="0" applyFill="1" applyBorder="1"/>
    <xf numFmtId="0" fontId="2" fillId="0" borderId="10" xfId="0" applyFont="1" applyBorder="1" applyAlignment="1">
      <alignment horizontal="center"/>
    </xf>
    <xf numFmtId="8" fontId="0" fillId="0" borderId="10" xfId="0" applyNumberFormat="1" applyFont="1" applyBorder="1" applyAlignment="1">
      <alignment horizontal="right" vertical="center"/>
    </xf>
    <xf numFmtId="10" fontId="0" fillId="0" borderId="10" xfId="0" applyNumberFormat="1" applyFont="1" applyBorder="1" applyAlignment="1">
      <alignment horizontal="center"/>
    </xf>
    <xf numFmtId="0" fontId="2" fillId="2" borderId="10" xfId="0" applyFont="1" applyFill="1" applyBorder="1" applyAlignment="1">
      <alignment horizontal="right" vertical="center"/>
    </xf>
    <xf numFmtId="8" fontId="2" fillId="2" borderId="10" xfId="0" applyNumberFormat="1" applyFont="1" applyFill="1" applyBorder="1" applyAlignment="1">
      <alignment horizontal="right"/>
    </xf>
    <xf numFmtId="10" fontId="2" fillId="2" borderId="10" xfId="0" applyNumberFormat="1" applyFont="1" applyFill="1" applyBorder="1" applyAlignment="1">
      <alignment horizontal="center"/>
    </xf>
    <xf numFmtId="8" fontId="0" fillId="0" borderId="0" xfId="0" applyNumberFormat="1" applyAlignment="1"/>
    <xf numFmtId="9" fontId="0" fillId="0" borderId="0" xfId="1" applyFont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28BB-A421-4842-AEEE-63D9F21859CA}">
  <dimension ref="A1:I41"/>
  <sheetViews>
    <sheetView topLeftCell="A15" workbookViewId="0">
      <selection activeCell="C40" sqref="C40"/>
    </sheetView>
  </sheetViews>
  <sheetFormatPr baseColWidth="10" defaultRowHeight="13.8" x14ac:dyDescent="0.3"/>
  <cols>
    <col min="1" max="1" width="20.6640625" bestFit="1" customWidth="1"/>
    <col min="2" max="2" width="11.109375" bestFit="1" customWidth="1"/>
    <col min="3" max="3" width="22.33203125" bestFit="1" customWidth="1"/>
    <col min="4" max="4" width="44.77734375" bestFit="1" customWidth="1"/>
    <col min="5" max="5" width="22.44140625" bestFit="1" customWidth="1"/>
    <col min="6" max="6" width="12.33203125" bestFit="1" customWidth="1"/>
    <col min="7" max="7" width="12.5546875" bestFit="1" customWidth="1"/>
    <col min="8" max="8" width="13" bestFit="1" customWidth="1"/>
  </cols>
  <sheetData>
    <row r="1" spans="1:9" x14ac:dyDescent="0.3">
      <c r="A1" s="33" t="s">
        <v>6</v>
      </c>
      <c r="B1" s="33"/>
      <c r="C1" s="33"/>
      <c r="D1" s="33"/>
      <c r="E1" s="33"/>
      <c r="F1" s="33"/>
      <c r="G1" s="33"/>
      <c r="H1" s="33"/>
      <c r="I1" s="3"/>
    </row>
    <row r="2" spans="1:9" ht="14.4" thickBot="1" x14ac:dyDescent="0.35">
      <c r="A2" s="6"/>
      <c r="B2" s="6"/>
      <c r="C2" s="6"/>
      <c r="D2" s="7"/>
      <c r="E2" s="8" t="s">
        <v>7</v>
      </c>
      <c r="F2" s="9" t="s">
        <v>8</v>
      </c>
      <c r="G2" s="3"/>
      <c r="H2" s="10"/>
      <c r="I2" s="3"/>
    </row>
    <row r="3" spans="1:9" ht="14.4" thickBot="1" x14ac:dyDescent="0.35">
      <c r="A3" s="3"/>
      <c r="B3" s="3"/>
      <c r="C3" s="3"/>
      <c r="D3" s="7"/>
      <c r="E3" s="8" t="s">
        <v>5</v>
      </c>
      <c r="F3" s="11" t="s">
        <v>3</v>
      </c>
      <c r="G3" s="34" t="s">
        <v>3</v>
      </c>
      <c r="H3" s="33"/>
      <c r="I3" s="3"/>
    </row>
    <row r="4" spans="1:9" ht="14.4" thickBot="1" x14ac:dyDescent="0.35">
      <c r="A4" s="3"/>
      <c r="B4" s="3"/>
      <c r="C4" s="3"/>
      <c r="D4" s="7"/>
      <c r="E4" s="8" t="s">
        <v>9</v>
      </c>
      <c r="F4" s="9" t="s">
        <v>2</v>
      </c>
      <c r="G4" s="34"/>
      <c r="H4" s="33"/>
      <c r="I4" s="3"/>
    </row>
    <row r="5" spans="1:9" ht="14.4" thickBot="1" x14ac:dyDescent="0.35">
      <c r="A5" s="3"/>
      <c r="B5" s="3"/>
      <c r="C5" s="3"/>
      <c r="D5" s="7"/>
      <c r="E5" s="8" t="s">
        <v>10</v>
      </c>
      <c r="F5" s="12"/>
      <c r="G5" s="3"/>
      <c r="H5" s="3"/>
      <c r="I5" s="3"/>
    </row>
    <row r="6" spans="1:9" ht="14.4" thickBot="1" x14ac:dyDescent="0.35">
      <c r="A6" s="3"/>
      <c r="B6" s="3"/>
      <c r="C6" s="3"/>
      <c r="D6" s="7"/>
      <c r="E6" s="8" t="s">
        <v>11</v>
      </c>
      <c r="F6" s="12"/>
      <c r="G6" s="3"/>
      <c r="H6" s="3"/>
      <c r="I6" s="3"/>
    </row>
    <row r="7" spans="1:9" ht="14.4" thickBot="1" x14ac:dyDescent="0.35">
      <c r="A7" s="3"/>
      <c r="B7" s="3"/>
      <c r="C7" s="3"/>
      <c r="D7" s="7"/>
      <c r="E7" s="8" t="s">
        <v>12</v>
      </c>
      <c r="F7" s="12"/>
      <c r="G7" s="3"/>
      <c r="H7" s="3"/>
      <c r="I7" s="3"/>
    </row>
    <row r="8" spans="1:9" ht="14.4" thickBot="1" x14ac:dyDescent="0.35">
      <c r="A8" s="3"/>
      <c r="B8" s="3"/>
      <c r="C8" s="3"/>
      <c r="D8" s="7"/>
      <c r="E8" s="8" t="s">
        <v>13</v>
      </c>
      <c r="F8" s="12"/>
      <c r="G8" s="3"/>
      <c r="H8" s="3"/>
      <c r="I8" s="3"/>
    </row>
    <row r="9" spans="1:9" x14ac:dyDescent="0.3">
      <c r="A9" s="3"/>
      <c r="B9" s="3"/>
      <c r="C9" s="3"/>
      <c r="D9" s="10"/>
      <c r="E9" s="10"/>
      <c r="F9" s="10"/>
      <c r="G9" s="3"/>
      <c r="H9" s="3"/>
      <c r="I9" s="3"/>
    </row>
    <row r="10" spans="1:9" ht="14.4" thickBot="1" x14ac:dyDescent="0.35">
      <c r="A10" s="13"/>
      <c r="B10" s="13"/>
      <c r="C10" s="13"/>
      <c r="D10" s="13"/>
      <c r="E10" s="13"/>
      <c r="F10" s="13"/>
      <c r="G10" s="13"/>
      <c r="H10" s="13"/>
      <c r="I10" s="3"/>
    </row>
    <row r="11" spans="1:9" ht="14.4" thickBot="1" x14ac:dyDescent="0.35">
      <c r="A11" s="35" t="s">
        <v>14</v>
      </c>
      <c r="B11" s="36"/>
      <c r="C11" s="36"/>
      <c r="D11" s="36"/>
      <c r="E11" s="36"/>
      <c r="F11" s="36"/>
      <c r="G11" s="36"/>
      <c r="H11" s="37"/>
      <c r="I11" s="3"/>
    </row>
    <row r="12" spans="1:9" ht="14.4" thickBot="1" x14ac:dyDescent="0.35">
      <c r="A12" s="14" t="s">
        <v>15</v>
      </c>
      <c r="B12" s="15" t="s">
        <v>16</v>
      </c>
      <c r="C12" s="15" t="s">
        <v>17</v>
      </c>
      <c r="D12" s="15" t="s">
        <v>18</v>
      </c>
      <c r="E12" s="15" t="s">
        <v>19</v>
      </c>
      <c r="F12" s="15" t="s">
        <v>20</v>
      </c>
      <c r="G12" s="15" t="s">
        <v>21</v>
      </c>
      <c r="H12" s="15" t="s">
        <v>22</v>
      </c>
      <c r="I12" s="10"/>
    </row>
    <row r="13" spans="1:9" ht="14.4" thickBot="1" x14ac:dyDescent="0.35">
      <c r="A13" s="17" t="s">
        <v>1</v>
      </c>
      <c r="B13" s="11" t="s">
        <v>1</v>
      </c>
      <c r="C13" s="11" t="s">
        <v>8</v>
      </c>
      <c r="D13" s="18" t="s">
        <v>23</v>
      </c>
      <c r="E13" s="18"/>
      <c r="F13" s="19">
        <v>150</v>
      </c>
      <c r="G13" s="19">
        <f>+F13*0.16</f>
        <v>24</v>
      </c>
      <c r="H13" s="19">
        <f>+SUM(F13:G13)</f>
        <v>174</v>
      </c>
      <c r="I13" s="10"/>
    </row>
    <row r="14" spans="1:9" ht="14.4" thickBot="1" x14ac:dyDescent="0.35">
      <c r="A14" s="17" t="s">
        <v>1</v>
      </c>
      <c r="B14" s="11" t="s">
        <v>1</v>
      </c>
      <c r="C14" s="11" t="s">
        <v>8</v>
      </c>
      <c r="D14" s="18" t="s">
        <v>24</v>
      </c>
      <c r="E14" s="18"/>
      <c r="F14" s="19">
        <v>350</v>
      </c>
      <c r="G14" s="19">
        <f t="shared" ref="G14:G16" si="0">+F14*0.16</f>
        <v>56</v>
      </c>
      <c r="H14" s="19">
        <f t="shared" ref="H14:H16" si="1">+SUM(F14:G14)</f>
        <v>406</v>
      </c>
      <c r="I14" s="10"/>
    </row>
    <row r="15" spans="1:9" ht="14.4" thickBot="1" x14ac:dyDescent="0.35">
      <c r="A15" s="17" t="s">
        <v>1</v>
      </c>
      <c r="B15" s="11" t="s">
        <v>1</v>
      </c>
      <c r="C15" s="11" t="s">
        <v>8</v>
      </c>
      <c r="D15" s="18" t="s">
        <v>25</v>
      </c>
      <c r="E15" s="18"/>
      <c r="F15" s="19">
        <v>200</v>
      </c>
      <c r="G15" s="19">
        <f t="shared" si="0"/>
        <v>32</v>
      </c>
      <c r="H15" s="19">
        <f t="shared" si="1"/>
        <v>232</v>
      </c>
      <c r="I15" s="10"/>
    </row>
    <row r="16" spans="1:9" ht="14.4" thickBot="1" x14ac:dyDescent="0.35">
      <c r="A16" s="17" t="s">
        <v>1</v>
      </c>
      <c r="B16" s="11" t="s">
        <v>1</v>
      </c>
      <c r="C16" s="11" t="s">
        <v>8</v>
      </c>
      <c r="D16" s="18" t="s">
        <v>26</v>
      </c>
      <c r="E16" s="18"/>
      <c r="F16" s="19"/>
      <c r="G16" s="19">
        <f t="shared" si="0"/>
        <v>0</v>
      </c>
      <c r="H16" s="19">
        <f t="shared" si="1"/>
        <v>0</v>
      </c>
      <c r="I16" s="10"/>
    </row>
    <row r="17" spans="1:9" ht="14.4" thickBot="1" x14ac:dyDescent="0.35">
      <c r="A17" s="20"/>
      <c r="B17" s="20"/>
      <c r="C17" s="20"/>
      <c r="D17" s="20"/>
      <c r="E17" s="20"/>
      <c r="F17" s="20"/>
      <c r="G17" s="20"/>
      <c r="H17" s="20"/>
      <c r="I17" s="10"/>
    </row>
    <row r="18" spans="1:9" ht="14.4" thickBot="1" x14ac:dyDescent="0.35">
      <c r="A18" s="38" t="s">
        <v>27</v>
      </c>
      <c r="B18" s="39"/>
      <c r="C18" s="39"/>
      <c r="D18" s="39"/>
      <c r="E18" s="40"/>
      <c r="F18" s="21">
        <f>+SUM(F13:F16)</f>
        <v>700</v>
      </c>
      <c r="G18" s="21">
        <f t="shared" ref="G18:H18" si="2">+SUM(G13:G16)</f>
        <v>112</v>
      </c>
      <c r="H18" s="21">
        <f t="shared" si="2"/>
        <v>812</v>
      </c>
      <c r="I18" s="3"/>
    </row>
    <row r="19" spans="1:9" x14ac:dyDescent="0.3">
      <c r="A19" s="10"/>
      <c r="B19" s="10"/>
      <c r="C19" s="3"/>
      <c r="D19" s="3"/>
      <c r="E19" s="3"/>
      <c r="F19" s="10"/>
      <c r="G19" s="10"/>
      <c r="H19" s="10"/>
      <c r="I19" s="3"/>
    </row>
    <row r="20" spans="1:9" x14ac:dyDescent="0.3">
      <c r="A20" s="41" t="s">
        <v>54</v>
      </c>
      <c r="B20" s="41"/>
      <c r="C20" s="41"/>
      <c r="D20" s="41"/>
      <c r="E20" s="41"/>
      <c r="F20" s="10"/>
      <c r="G20" s="10"/>
      <c r="H20" s="10"/>
      <c r="I20" s="3"/>
    </row>
    <row r="21" spans="1:9" ht="14.4" thickBot="1" x14ac:dyDescent="0.35">
      <c r="A21" s="14" t="s">
        <v>18</v>
      </c>
      <c r="B21" s="15" t="s">
        <v>20</v>
      </c>
      <c r="C21" s="15" t="s">
        <v>21</v>
      </c>
      <c r="D21" s="15" t="s">
        <v>28</v>
      </c>
      <c r="E21" s="15" t="s">
        <v>29</v>
      </c>
      <c r="F21" s="10"/>
      <c r="G21" s="10"/>
      <c r="H21" s="10"/>
      <c r="I21" s="3"/>
    </row>
    <row r="22" spans="1:9" ht="14.4" thickBot="1" x14ac:dyDescent="0.35">
      <c r="A22" s="22" t="s">
        <v>30</v>
      </c>
      <c r="B22" s="19">
        <f>+SUMIFS(GASTOS!G:G,GASTOS!A:A,$A22)</f>
        <v>0</v>
      </c>
      <c r="C22" s="19">
        <f>+SUMIFS(GASTOS!H:H,GASTOS!$A:$A,$A22)</f>
        <v>0</v>
      </c>
      <c r="D22" s="19">
        <f>+SUMIFS(GASTOS!I:I,GASTOS!$A:$A,$A22)</f>
        <v>0</v>
      </c>
      <c r="E22" s="23">
        <f>+D22/$D$27</f>
        <v>0</v>
      </c>
      <c r="F22" s="10"/>
      <c r="G22" s="10"/>
      <c r="H22" s="10"/>
      <c r="I22" s="3"/>
    </row>
    <row r="23" spans="1:9" ht="14.4" thickBot="1" x14ac:dyDescent="0.35">
      <c r="A23" s="22" t="s">
        <v>31</v>
      </c>
      <c r="B23" s="19">
        <f>+SUMIFS(GASTOS!G:G,GASTOS!A:A,$A23)</f>
        <v>50</v>
      </c>
      <c r="C23" s="19">
        <f>+SUMIFS(GASTOS!H:H,GASTOS!$A:$A,$A23)</f>
        <v>8</v>
      </c>
      <c r="D23" s="19">
        <f>+SUMIFS(GASTOS!I:I,GASTOS!$A:$A,$A23)</f>
        <v>58</v>
      </c>
      <c r="E23" s="23">
        <f t="shared" ref="E23:E25" si="3">+D23/$D$27</f>
        <v>0.11627906976744187</v>
      </c>
      <c r="F23" s="10"/>
      <c r="G23" s="10"/>
      <c r="H23" s="10"/>
      <c r="I23" s="3"/>
    </row>
    <row r="24" spans="1:9" ht="14.4" thickBot="1" x14ac:dyDescent="0.35">
      <c r="A24" s="43" t="s">
        <v>32</v>
      </c>
      <c r="B24" s="19">
        <f>+SUMIFS(GASTOS!G:G,GASTOS!A:A,$A24)</f>
        <v>220</v>
      </c>
      <c r="C24" s="19">
        <f>+SUMIFS(GASTOS!H:H,GASTOS!$A:$A,$A24)</f>
        <v>35.200000000000003</v>
      </c>
      <c r="D24" s="19">
        <f>+SUMIFS(GASTOS!I:I,GASTOS!$A:$A,$A24)</f>
        <v>255.2</v>
      </c>
      <c r="E24" s="23">
        <f t="shared" si="3"/>
        <v>0.51162790697674421</v>
      </c>
      <c r="F24" s="10"/>
      <c r="G24" s="10"/>
      <c r="H24" s="10"/>
      <c r="I24" s="3"/>
    </row>
    <row r="25" spans="1:9" ht="14.4" thickBot="1" x14ac:dyDescent="0.35">
      <c r="A25" s="54" t="s">
        <v>33</v>
      </c>
      <c r="B25" s="19">
        <f>+SUMIFS(GASTOS!G:G,GASTOS!A:A,$A25)</f>
        <v>160</v>
      </c>
      <c r="C25" s="19">
        <f>+SUMIFS(GASTOS!H:H,GASTOS!$A:$A,$A25)</f>
        <v>25.6</v>
      </c>
      <c r="D25" s="19">
        <f>+SUMIFS(GASTOS!I:I,GASTOS!$A:$A,$A25)</f>
        <v>185.6</v>
      </c>
      <c r="E25" s="23">
        <f t="shared" si="3"/>
        <v>0.37209302325581395</v>
      </c>
      <c r="F25" s="10"/>
      <c r="G25" s="10"/>
      <c r="H25" s="10"/>
      <c r="I25" s="3"/>
    </row>
    <row r="26" spans="1:9" ht="14.4" thickBot="1" x14ac:dyDescent="0.35">
      <c r="A26" s="44"/>
      <c r="B26" s="45"/>
      <c r="C26" s="45"/>
      <c r="D26" s="45"/>
      <c r="E26" s="46"/>
      <c r="F26" s="10"/>
      <c r="G26" s="10"/>
      <c r="H26" s="10"/>
      <c r="I26" s="3"/>
    </row>
    <row r="27" spans="1:9" ht="14.4" thickBot="1" x14ac:dyDescent="0.35">
      <c r="A27" s="57" t="s">
        <v>34</v>
      </c>
      <c r="B27" s="58">
        <f>+SUM(B22:B25)</f>
        <v>430</v>
      </c>
      <c r="C27" s="58">
        <f t="shared" ref="C27:D27" si="4">+SUM(C22:C25)</f>
        <v>68.800000000000011</v>
      </c>
      <c r="D27" s="58">
        <f t="shared" si="4"/>
        <v>498.79999999999995</v>
      </c>
      <c r="E27" s="59">
        <f>+SUM(E22:E25)</f>
        <v>1</v>
      </c>
      <c r="F27" s="10"/>
      <c r="G27" s="10"/>
      <c r="H27" s="10"/>
      <c r="I27" s="3"/>
    </row>
    <row r="28" spans="1:9" s="53" customFormat="1" x14ac:dyDescent="0.3">
      <c r="A28" s="47"/>
      <c r="B28" s="48"/>
      <c r="C28" s="48"/>
      <c r="D28" s="49"/>
      <c r="E28" s="50"/>
      <c r="F28" s="51"/>
      <c r="G28" s="51"/>
      <c r="H28" s="51"/>
      <c r="I28" s="52"/>
    </row>
    <row r="29" spans="1:9" s="53" customFormat="1" x14ac:dyDescent="0.3">
      <c r="A29" s="41" t="s">
        <v>50</v>
      </c>
      <c r="B29" s="41"/>
      <c r="C29" s="41"/>
      <c r="D29" s="41"/>
      <c r="E29" s="41"/>
      <c r="F29" s="51"/>
      <c r="G29" s="51"/>
      <c r="H29" s="51"/>
      <c r="I29" s="52"/>
    </row>
    <row r="30" spans="1:9" s="53" customFormat="1" ht="14.4" thickBot="1" x14ac:dyDescent="0.35">
      <c r="A30" s="14" t="s">
        <v>18</v>
      </c>
      <c r="B30" s="15" t="s">
        <v>20</v>
      </c>
      <c r="C30" s="15" t="s">
        <v>21</v>
      </c>
      <c r="D30" s="15" t="s">
        <v>28</v>
      </c>
      <c r="E30" s="15" t="s">
        <v>29</v>
      </c>
      <c r="F30" s="51"/>
      <c r="G30" s="51"/>
      <c r="H30" s="51"/>
      <c r="I30" s="52"/>
    </row>
    <row r="31" spans="1:9" ht="14.4" thickBot="1" x14ac:dyDescent="0.35">
      <c r="A31" s="54" t="s">
        <v>4</v>
      </c>
      <c r="B31" s="55">
        <f>+SUMIFS(PROVISIONES!E:E,PROVISIONES!$B:$B,"PENDIENTE")</f>
        <v>220</v>
      </c>
      <c r="C31" s="55">
        <f>+SUMIFS(PROVISIONES!F:F,PROVISIONES!$B:$B,"PENDIENTE")</f>
        <v>35.200000000000003</v>
      </c>
      <c r="D31" s="55">
        <f>+SUMIFS(PROVISIONES!G:G,PROVISIONES!$B:$B,"PENDIENTE")</f>
        <v>255.2</v>
      </c>
      <c r="E31" s="56">
        <f>+PROVISIONES!$C$84</f>
        <v>0.51162790697674421</v>
      </c>
      <c r="F31" s="10"/>
      <c r="G31" s="10"/>
      <c r="H31" s="10"/>
      <c r="I31" s="3"/>
    </row>
    <row r="32" spans="1:9" ht="14.4" thickBot="1" x14ac:dyDescent="0.35">
      <c r="A32" s="20"/>
      <c r="B32" s="20"/>
      <c r="C32" s="20"/>
      <c r="D32" s="20"/>
      <c r="E32" s="20"/>
      <c r="F32" s="10"/>
      <c r="G32" s="10"/>
      <c r="H32" s="10"/>
      <c r="I32" s="10"/>
    </row>
    <row r="33" spans="1:9" ht="14.4" thickBot="1" x14ac:dyDescent="0.35">
      <c r="A33" s="24" t="s">
        <v>53</v>
      </c>
      <c r="B33" s="25">
        <f>+SUM(B31)</f>
        <v>220</v>
      </c>
      <c r="C33" s="25">
        <f t="shared" ref="C33:D33" si="5">+SUM(C31)</f>
        <v>35.200000000000003</v>
      </c>
      <c r="D33" s="25">
        <f t="shared" si="5"/>
        <v>255.2</v>
      </c>
      <c r="E33" s="26">
        <v>0.40629999999999999</v>
      </c>
      <c r="F33" s="10"/>
      <c r="G33" s="10"/>
      <c r="H33" s="10"/>
      <c r="I33" s="3"/>
    </row>
    <row r="34" spans="1:9" x14ac:dyDescent="0.3">
      <c r="A34" s="10"/>
      <c r="B34" s="10"/>
      <c r="C34" s="3"/>
      <c r="D34" s="3"/>
      <c r="E34" s="3"/>
      <c r="F34" s="10"/>
      <c r="G34" s="10"/>
      <c r="H34" s="10"/>
      <c r="I34" s="3"/>
    </row>
    <row r="35" spans="1:9" ht="14.4" thickBot="1" x14ac:dyDescent="0.35">
      <c r="A35" s="42" t="s">
        <v>35</v>
      </c>
      <c r="B35" s="42"/>
      <c r="C35" s="42"/>
      <c r="D35" s="3"/>
      <c r="E35" s="3"/>
      <c r="F35" s="10"/>
      <c r="G35" s="10"/>
      <c r="H35" s="10"/>
      <c r="I35" s="3"/>
    </row>
    <row r="36" spans="1:9" ht="14.4" thickBot="1" x14ac:dyDescent="0.35">
      <c r="A36" s="14" t="s">
        <v>36</v>
      </c>
      <c r="B36" s="15" t="s">
        <v>37</v>
      </c>
      <c r="C36" s="15" t="s">
        <v>38</v>
      </c>
      <c r="D36" s="3"/>
      <c r="E36" s="3"/>
      <c r="F36" s="10"/>
      <c r="G36" s="10"/>
      <c r="H36" s="10"/>
      <c r="I36" s="3"/>
    </row>
    <row r="37" spans="1:9" ht="14.4" thickBot="1" x14ac:dyDescent="0.35">
      <c r="A37" s="27" t="s">
        <v>39</v>
      </c>
      <c r="B37" s="28">
        <f>+F18</f>
        <v>700</v>
      </c>
      <c r="C37" s="29">
        <f>+SUM(C38:C40)</f>
        <v>1</v>
      </c>
      <c r="D37" s="3"/>
      <c r="E37" s="3"/>
      <c r="F37" s="10"/>
      <c r="G37" s="10"/>
      <c r="H37" s="10"/>
      <c r="I37" s="3"/>
    </row>
    <row r="38" spans="1:9" ht="14.4" thickBot="1" x14ac:dyDescent="0.35">
      <c r="A38" s="27" t="s">
        <v>40</v>
      </c>
      <c r="B38" s="28">
        <f>+B27+B33</f>
        <v>650</v>
      </c>
      <c r="C38" s="29">
        <f>+B38/B37</f>
        <v>0.9285714285714286</v>
      </c>
      <c r="D38" s="3"/>
      <c r="E38" s="3"/>
      <c r="F38" s="10"/>
      <c r="G38" s="10"/>
      <c r="H38" s="10"/>
      <c r="I38" s="3"/>
    </row>
    <row r="39" spans="1:9" ht="14.4" thickBot="1" x14ac:dyDescent="0.35">
      <c r="A39" s="20"/>
      <c r="B39" s="20"/>
      <c r="C39" s="20"/>
      <c r="D39" s="10"/>
      <c r="E39" s="10"/>
      <c r="F39" s="10"/>
      <c r="G39" s="10"/>
      <c r="H39" s="10"/>
      <c r="I39" s="10"/>
    </row>
    <row r="40" spans="1:9" ht="14.4" thickBot="1" x14ac:dyDescent="0.35">
      <c r="A40" s="30" t="s">
        <v>41</v>
      </c>
      <c r="B40" s="31">
        <f>B37-B38</f>
        <v>50</v>
      </c>
      <c r="C40" s="32">
        <f>+B40/B37</f>
        <v>7.1428571428571425E-2</v>
      </c>
      <c r="D40" s="3"/>
      <c r="E40" s="3"/>
      <c r="F40" s="10"/>
      <c r="G40" s="10"/>
      <c r="H40" s="10"/>
      <c r="I40" s="3"/>
    </row>
    <row r="41" spans="1:9" x14ac:dyDescent="0.3">
      <c r="A41" s="10"/>
      <c r="B41" s="10"/>
      <c r="C41" s="3"/>
      <c r="D41" s="3"/>
      <c r="E41" s="3"/>
      <c r="F41" s="10"/>
      <c r="G41" s="10"/>
      <c r="H41" s="10"/>
      <c r="I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8E50-C062-481F-81F9-5FC999B68C39}">
  <dimension ref="A1:J6"/>
  <sheetViews>
    <sheetView workbookViewId="0">
      <selection activeCell="I3" sqref="I3"/>
    </sheetView>
  </sheetViews>
  <sheetFormatPr baseColWidth="10" defaultRowHeight="13.8" x14ac:dyDescent="0.3"/>
  <cols>
    <col min="1" max="1" width="19.33203125" bestFit="1" customWidth="1"/>
    <col min="2" max="2" width="8.33203125" bestFit="1" customWidth="1"/>
    <col min="3" max="3" width="14.88671875" bestFit="1" customWidth="1"/>
    <col min="4" max="4" width="10.44140625" bestFit="1" customWidth="1"/>
    <col min="5" max="5" width="21.21875" bestFit="1" customWidth="1"/>
    <col min="6" max="6" width="16.21875" customWidth="1"/>
    <col min="7" max="7" width="10.109375" bestFit="1" customWidth="1"/>
    <col min="8" max="8" width="9.109375" bestFit="1" customWidth="1"/>
    <col min="9" max="9" width="12.33203125" bestFit="1" customWidth="1"/>
    <col min="10" max="10" width="12.77734375" bestFit="1" customWidth="1"/>
  </cols>
  <sheetData>
    <row r="1" spans="1:10" x14ac:dyDescent="0.3">
      <c r="A1" t="s">
        <v>44</v>
      </c>
      <c r="B1" t="s">
        <v>15</v>
      </c>
      <c r="C1" t="s">
        <v>42</v>
      </c>
      <c r="D1" t="s">
        <v>16</v>
      </c>
      <c r="E1" t="s">
        <v>17</v>
      </c>
      <c r="F1" t="s">
        <v>18</v>
      </c>
      <c r="G1" t="s">
        <v>20</v>
      </c>
      <c r="H1" t="s">
        <v>21</v>
      </c>
      <c r="I1" t="s">
        <v>22</v>
      </c>
      <c r="J1" t="s">
        <v>43</v>
      </c>
    </row>
    <row r="2" spans="1:10" x14ac:dyDescent="0.3">
      <c r="A2" t="s">
        <v>32</v>
      </c>
      <c r="B2" t="s">
        <v>0</v>
      </c>
      <c r="C2" t="s">
        <v>46</v>
      </c>
      <c r="D2" t="s">
        <v>47</v>
      </c>
      <c r="E2" t="s">
        <v>48</v>
      </c>
      <c r="F2" t="s">
        <v>49</v>
      </c>
      <c r="G2" s="1">
        <v>100</v>
      </c>
      <c r="H2" s="1">
        <f t="shared" ref="H2:H5" si="0">+G2*0.16</f>
        <v>16</v>
      </c>
      <c r="I2" s="1">
        <f>+SUM(G2:H2)</f>
        <v>116</v>
      </c>
      <c r="J2" s="2">
        <v>45925</v>
      </c>
    </row>
    <row r="3" spans="1:10" x14ac:dyDescent="0.3">
      <c r="A3" t="s">
        <v>31</v>
      </c>
      <c r="B3" t="s">
        <v>0</v>
      </c>
      <c r="C3" t="s">
        <v>46</v>
      </c>
      <c r="D3" t="s">
        <v>47</v>
      </c>
      <c r="E3" t="s">
        <v>48</v>
      </c>
      <c r="F3" t="s">
        <v>49</v>
      </c>
      <c r="G3" s="1">
        <v>50</v>
      </c>
      <c r="H3" s="1">
        <f t="shared" si="0"/>
        <v>8</v>
      </c>
      <c r="I3" s="1">
        <f t="shared" ref="I3:I5" si="1">+SUM(G3:H3)</f>
        <v>58</v>
      </c>
      <c r="J3" s="2">
        <v>45925</v>
      </c>
    </row>
    <row r="4" spans="1:10" x14ac:dyDescent="0.3">
      <c r="A4" t="s">
        <v>32</v>
      </c>
      <c r="B4" t="s">
        <v>0</v>
      </c>
      <c r="C4" t="s">
        <v>46</v>
      </c>
      <c r="D4" t="s">
        <v>47</v>
      </c>
      <c r="E4" t="s">
        <v>48</v>
      </c>
      <c r="F4" t="s">
        <v>49</v>
      </c>
      <c r="G4" s="1">
        <v>120</v>
      </c>
      <c r="H4" s="1">
        <f t="shared" si="0"/>
        <v>19.2</v>
      </c>
      <c r="I4" s="1">
        <f t="shared" si="1"/>
        <v>139.19999999999999</v>
      </c>
      <c r="J4" s="2">
        <v>45925</v>
      </c>
    </row>
    <row r="5" spans="1:10" x14ac:dyDescent="0.3">
      <c r="A5" t="s">
        <v>33</v>
      </c>
      <c r="B5" t="s">
        <v>0</v>
      </c>
      <c r="C5" t="s">
        <v>46</v>
      </c>
      <c r="D5" t="s">
        <v>47</v>
      </c>
      <c r="E5" t="s">
        <v>48</v>
      </c>
      <c r="F5" t="s">
        <v>49</v>
      </c>
      <c r="G5" s="1">
        <v>160</v>
      </c>
      <c r="H5" s="1">
        <f t="shared" si="0"/>
        <v>25.6</v>
      </c>
      <c r="I5" s="1">
        <f t="shared" si="1"/>
        <v>185.6</v>
      </c>
      <c r="J5" s="2">
        <v>45925</v>
      </c>
    </row>
    <row r="6" spans="1:10" x14ac:dyDescent="0.3">
      <c r="G6" s="1"/>
      <c r="H6" s="1"/>
      <c r="I6" s="1"/>
      <c r="J6" s="2"/>
    </row>
  </sheetData>
  <dataValidations count="1">
    <dataValidation type="list" allowBlank="1" showInputMessage="1" showErrorMessage="1" sqref="A2:A6" xr:uid="{71D3B4C2-CFF5-412C-8893-6AAF321AE7BA}">
      <formula1>"SP´S, COMBUSTIBLE / PEAJE, RH, MATERIALES"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7F37-EA0E-426C-B453-9529CD7CA1FA}">
  <dimension ref="A1:H104"/>
  <sheetViews>
    <sheetView tabSelected="1" zoomScaleNormal="100" workbookViewId="0">
      <selection activeCell="G6" sqref="G6"/>
    </sheetView>
  </sheetViews>
  <sheetFormatPr baseColWidth="10" defaultRowHeight="13.8" x14ac:dyDescent="0.3"/>
  <cols>
    <col min="1" max="1" width="19.33203125" style="3" bestFit="1" customWidth="1"/>
    <col min="2" max="2" width="14.6640625" style="3" customWidth="1"/>
    <col min="3" max="3" width="21.21875" style="3" bestFit="1" customWidth="1"/>
    <col min="4" max="4" width="47.33203125" style="3" bestFit="1" customWidth="1"/>
    <col min="5" max="5" width="8.77734375" style="3" bestFit="1" customWidth="1"/>
    <col min="6" max="6" width="6.5546875" style="3" bestFit="1" customWidth="1"/>
    <col min="7" max="7" width="12.33203125" style="3" bestFit="1" customWidth="1"/>
    <col min="8" max="16384" width="11.5546875" style="5"/>
  </cols>
  <sheetData>
    <row r="1" spans="1:7" ht="14.4" x14ac:dyDescent="0.3">
      <c r="A1" s="4" t="s">
        <v>45</v>
      </c>
      <c r="B1" s="5" t="s">
        <v>52</v>
      </c>
      <c r="C1" s="5" t="s">
        <v>17</v>
      </c>
      <c r="D1" s="5" t="s">
        <v>18</v>
      </c>
      <c r="E1" s="5" t="s">
        <v>20</v>
      </c>
      <c r="F1" s="5" t="s">
        <v>21</v>
      </c>
      <c r="G1" s="5" t="s">
        <v>22</v>
      </c>
    </row>
    <row r="2" spans="1:7" x14ac:dyDescent="0.3">
      <c r="A2" t="s">
        <v>30</v>
      </c>
      <c r="B2" t="s">
        <v>1</v>
      </c>
      <c r="C2" t="s">
        <v>48</v>
      </c>
      <c r="D2" t="s">
        <v>49</v>
      </c>
      <c r="E2" s="1">
        <v>100</v>
      </c>
      <c r="F2" s="1">
        <f>+E2*0.16</f>
        <v>16</v>
      </c>
      <c r="G2" s="1">
        <f>+SUM(E2:F2)</f>
        <v>116</v>
      </c>
    </row>
    <row r="3" spans="1:7" x14ac:dyDescent="0.3">
      <c r="A3" t="s">
        <v>31</v>
      </c>
      <c r="B3" t="s">
        <v>51</v>
      </c>
      <c r="C3" t="s">
        <v>48</v>
      </c>
      <c r="D3" t="s">
        <v>49</v>
      </c>
      <c r="E3" s="1">
        <v>50</v>
      </c>
      <c r="F3" s="1">
        <f t="shared" ref="F3:F5" si="0">+E3*0.16</f>
        <v>8</v>
      </c>
      <c r="G3" s="1">
        <f t="shared" ref="G3:G5" si="1">+SUM(E3:F3)</f>
        <v>58</v>
      </c>
    </row>
    <row r="4" spans="1:7" x14ac:dyDescent="0.3">
      <c r="A4" t="s">
        <v>32</v>
      </c>
      <c r="B4" t="s">
        <v>1</v>
      </c>
      <c r="C4" t="s">
        <v>48</v>
      </c>
      <c r="D4" t="s">
        <v>49</v>
      </c>
      <c r="E4" s="1">
        <v>120</v>
      </c>
      <c r="F4" s="1">
        <f t="shared" si="0"/>
        <v>19.2</v>
      </c>
      <c r="G4" s="1">
        <f t="shared" si="1"/>
        <v>139.19999999999999</v>
      </c>
    </row>
    <row r="5" spans="1:7" x14ac:dyDescent="0.3">
      <c r="A5" t="s">
        <v>33</v>
      </c>
      <c r="B5" t="s">
        <v>51</v>
      </c>
      <c r="C5" t="s">
        <v>48</v>
      </c>
      <c r="D5" t="s">
        <v>49</v>
      </c>
      <c r="E5" s="1">
        <v>160</v>
      </c>
      <c r="F5" s="1">
        <f t="shared" si="0"/>
        <v>25.6</v>
      </c>
      <c r="G5" s="1">
        <f t="shared" si="1"/>
        <v>185.6</v>
      </c>
    </row>
    <row r="6" spans="1:7" ht="14.4" x14ac:dyDescent="0.3">
      <c r="A6" s="4"/>
      <c r="B6" s="5"/>
      <c r="C6" s="5"/>
      <c r="D6" s="5"/>
      <c r="E6" s="5"/>
      <c r="F6" s="5"/>
      <c r="G6" s="5"/>
    </row>
    <row r="7" spans="1:7" ht="14.4" x14ac:dyDescent="0.3">
      <c r="A7" s="4"/>
      <c r="B7" s="5"/>
      <c r="C7" s="5"/>
      <c r="D7" s="5"/>
      <c r="E7" s="5"/>
      <c r="F7" s="5"/>
      <c r="G7" s="5"/>
    </row>
    <row r="8" spans="1:7" ht="14.4" x14ac:dyDescent="0.3">
      <c r="A8" s="4"/>
      <c r="B8" s="5"/>
      <c r="C8" s="5"/>
      <c r="D8" s="5"/>
      <c r="E8" s="5"/>
      <c r="F8" s="5"/>
      <c r="G8" s="5"/>
    </row>
    <row r="9" spans="1:7" ht="14.4" x14ac:dyDescent="0.3">
      <c r="A9" s="4"/>
      <c r="B9" s="5"/>
      <c r="C9" s="5"/>
      <c r="D9" s="5"/>
      <c r="E9" s="5"/>
      <c r="F9" s="5"/>
      <c r="G9" s="5"/>
    </row>
    <row r="10" spans="1:7" ht="14.4" x14ac:dyDescent="0.3">
      <c r="A10" s="4"/>
      <c r="B10" s="5"/>
      <c r="C10" s="5"/>
      <c r="D10" s="5"/>
      <c r="E10" s="5"/>
      <c r="F10" s="5"/>
      <c r="G10" s="5"/>
    </row>
    <row r="11" spans="1:7" ht="19.2" customHeight="1" x14ac:dyDescent="0.3">
      <c r="A11" s="4"/>
      <c r="B11" s="5"/>
      <c r="C11" s="5"/>
      <c r="D11" s="5"/>
      <c r="E11" s="5"/>
      <c r="F11" s="5"/>
      <c r="G11" s="5"/>
    </row>
    <row r="12" spans="1:7" ht="14.4" x14ac:dyDescent="0.3">
      <c r="A12" s="16"/>
      <c r="B12" s="5"/>
      <c r="C12" s="5"/>
      <c r="D12" s="5"/>
      <c r="E12" s="5"/>
      <c r="F12" s="5"/>
      <c r="G12" s="5"/>
    </row>
    <row r="13" spans="1:7" ht="14.4" x14ac:dyDescent="0.3">
      <c r="A13" s="16"/>
      <c r="B13" s="5"/>
      <c r="C13" s="5"/>
      <c r="D13" s="5"/>
      <c r="E13" s="5"/>
      <c r="F13" s="5"/>
      <c r="G13" s="5"/>
    </row>
    <row r="14" spans="1:7" ht="14.4" x14ac:dyDescent="0.3">
      <c r="A14" s="16"/>
      <c r="B14" s="5"/>
      <c r="C14" s="5"/>
      <c r="D14" s="5"/>
      <c r="E14" s="5"/>
      <c r="F14" s="5"/>
      <c r="G14" s="5"/>
    </row>
    <row r="15" spans="1:7" ht="14.4" x14ac:dyDescent="0.3">
      <c r="A15" s="16"/>
      <c r="B15" s="5"/>
      <c r="C15" s="5"/>
      <c r="D15" s="5"/>
      <c r="E15" s="5"/>
      <c r="F15" s="5"/>
      <c r="G15" s="5"/>
    </row>
    <row r="16" spans="1:7" ht="14.4" x14ac:dyDescent="0.3">
      <c r="A16" s="16"/>
      <c r="B16" s="5"/>
      <c r="C16" s="5"/>
      <c r="D16" s="5"/>
      <c r="E16" s="5"/>
      <c r="F16" s="5"/>
      <c r="G16" s="5"/>
    </row>
    <row r="17" spans="1:7" ht="14.4" x14ac:dyDescent="0.3">
      <c r="A17" s="16"/>
      <c r="B17" s="5"/>
      <c r="C17" s="5"/>
      <c r="D17" s="5"/>
      <c r="E17" s="5"/>
      <c r="F17" s="5"/>
      <c r="G17" s="5"/>
    </row>
    <row r="18" spans="1:7" ht="14.4" x14ac:dyDescent="0.3">
      <c r="A18" s="4"/>
      <c r="B18" s="5"/>
      <c r="C18" s="5"/>
      <c r="D18" s="5"/>
      <c r="E18" s="5"/>
      <c r="F18" s="5"/>
      <c r="G18" s="5"/>
    </row>
    <row r="19" spans="1:7" ht="14.4" x14ac:dyDescent="0.3">
      <c r="A19" s="4"/>
      <c r="B19" s="5"/>
      <c r="C19" s="5"/>
      <c r="D19" s="5"/>
      <c r="E19" s="5"/>
      <c r="F19" s="5"/>
      <c r="G19" s="5"/>
    </row>
    <row r="20" spans="1:7" ht="21" customHeight="1" x14ac:dyDescent="0.3">
      <c r="A20" s="4"/>
      <c r="B20" s="5"/>
      <c r="C20" s="5"/>
      <c r="D20" s="5"/>
      <c r="E20" s="5"/>
      <c r="F20" s="5"/>
      <c r="G20" s="5"/>
    </row>
    <row r="21" spans="1:7" ht="14.4" x14ac:dyDescent="0.3">
      <c r="A21" s="4"/>
      <c r="B21" s="5"/>
      <c r="C21" s="5"/>
      <c r="D21" s="5" t="s">
        <v>55</v>
      </c>
      <c r="E21" s="60">
        <f>+SUM(E2:E20)</f>
        <v>430</v>
      </c>
      <c r="F21" s="60">
        <f t="shared" ref="F21:G21" si="2">+SUM(F2:F20)</f>
        <v>68.800000000000011</v>
      </c>
      <c r="G21" s="60">
        <f t="shared" si="2"/>
        <v>498.79999999999995</v>
      </c>
    </row>
    <row r="22" spans="1:7" ht="14.4" x14ac:dyDescent="0.3">
      <c r="A22" s="4"/>
      <c r="B22" s="5"/>
      <c r="C22" s="5"/>
      <c r="D22" s="5"/>
      <c r="E22" s="60"/>
      <c r="F22" s="60"/>
      <c r="G22" s="60"/>
    </row>
    <row r="23" spans="1:7" ht="14.4" x14ac:dyDescent="0.3">
      <c r="A23" s="4"/>
      <c r="B23" s="5"/>
      <c r="C23" s="5"/>
      <c r="D23" s="5"/>
      <c r="E23" s="60"/>
      <c r="F23" s="60"/>
      <c r="G23" s="60"/>
    </row>
    <row r="24" spans="1:7" ht="14.4" x14ac:dyDescent="0.3">
      <c r="A24" s="4"/>
      <c r="B24" s="5"/>
      <c r="C24" s="5"/>
      <c r="D24" s="5"/>
      <c r="E24" s="60"/>
      <c r="F24" s="60"/>
      <c r="G24" s="60"/>
    </row>
    <row r="25" spans="1:7" ht="14.4" x14ac:dyDescent="0.3">
      <c r="A25" s="4"/>
      <c r="B25" s="5"/>
      <c r="C25" s="5"/>
      <c r="D25" s="5"/>
      <c r="E25" s="60"/>
      <c r="F25" s="60"/>
      <c r="G25" s="60"/>
    </row>
    <row r="26" spans="1:7" ht="14.4" x14ac:dyDescent="0.3">
      <c r="A26" s="4"/>
      <c r="B26" s="5"/>
      <c r="C26" s="5"/>
      <c r="D26" s="5"/>
      <c r="E26" s="60"/>
      <c r="F26" s="60"/>
      <c r="G26" s="60"/>
    </row>
    <row r="27" spans="1:7" ht="14.4" x14ac:dyDescent="0.3">
      <c r="A27" s="4"/>
      <c r="B27" s="5"/>
      <c r="C27" s="5"/>
      <c r="D27" s="5"/>
      <c r="E27" s="60"/>
      <c r="F27" s="60"/>
      <c r="G27" s="60"/>
    </row>
    <row r="28" spans="1:7" ht="14.4" x14ac:dyDescent="0.3">
      <c r="A28" s="4"/>
      <c r="B28" s="5"/>
      <c r="C28" s="5"/>
      <c r="D28" s="5"/>
      <c r="E28" s="60"/>
      <c r="F28" s="60"/>
      <c r="G28" s="60"/>
    </row>
    <row r="29" spans="1:7" ht="14.4" x14ac:dyDescent="0.3">
      <c r="A29" s="4"/>
      <c r="B29" s="5"/>
      <c r="C29" s="5"/>
      <c r="D29" s="5"/>
      <c r="E29" s="60"/>
      <c r="F29" s="60"/>
      <c r="G29" s="60"/>
    </row>
    <row r="30" spans="1:7" ht="14.4" x14ac:dyDescent="0.3">
      <c r="A30" s="4"/>
      <c r="B30" s="5"/>
      <c r="C30" s="5"/>
      <c r="D30" s="5"/>
      <c r="E30" s="60"/>
      <c r="F30" s="60"/>
      <c r="G30" s="60"/>
    </row>
    <row r="31" spans="1:7" ht="14.4" x14ac:dyDescent="0.3">
      <c r="A31" s="4"/>
      <c r="B31" s="5"/>
      <c r="C31" s="5"/>
      <c r="D31" s="5"/>
      <c r="E31" s="60"/>
      <c r="F31" s="60"/>
      <c r="G31" s="60"/>
    </row>
    <row r="32" spans="1:7" ht="14.4" x14ac:dyDescent="0.3">
      <c r="A32" s="4"/>
      <c r="B32" s="5"/>
      <c r="C32" s="5"/>
      <c r="D32" s="5"/>
      <c r="E32" s="60"/>
      <c r="F32" s="60"/>
      <c r="G32" s="60"/>
    </row>
    <row r="33" spans="1:7" ht="14.4" x14ac:dyDescent="0.3">
      <c r="A33" s="4"/>
      <c r="B33" s="5"/>
      <c r="C33" s="5"/>
      <c r="D33" s="5"/>
      <c r="E33" s="60"/>
      <c r="F33" s="60"/>
      <c r="G33" s="60"/>
    </row>
    <row r="34" spans="1:7" ht="14.4" x14ac:dyDescent="0.3">
      <c r="A34" s="4"/>
      <c r="B34" s="5"/>
      <c r="C34" s="5"/>
      <c r="D34" s="5"/>
      <c r="E34" s="60"/>
      <c r="F34" s="60"/>
      <c r="G34" s="60"/>
    </row>
    <row r="35" spans="1:7" ht="14.4" x14ac:dyDescent="0.3">
      <c r="A35" s="4"/>
      <c r="B35" s="5"/>
      <c r="C35" s="5"/>
      <c r="D35" s="5"/>
      <c r="E35" s="60"/>
      <c r="F35" s="60"/>
      <c r="G35" s="60"/>
    </row>
    <row r="36" spans="1:7" ht="14.4" x14ac:dyDescent="0.3">
      <c r="A36" s="4"/>
      <c r="B36" s="5"/>
      <c r="C36" s="5"/>
      <c r="D36" s="5"/>
      <c r="E36" s="60"/>
      <c r="F36" s="60"/>
      <c r="G36" s="60"/>
    </row>
    <row r="37" spans="1:7" ht="14.4" x14ac:dyDescent="0.3">
      <c r="A37" s="4"/>
      <c r="B37" s="5"/>
      <c r="C37" s="5"/>
      <c r="D37" s="5"/>
      <c r="E37" s="60"/>
      <c r="F37" s="60"/>
      <c r="G37" s="60"/>
    </row>
    <row r="38" spans="1:7" ht="14.4" x14ac:dyDescent="0.3">
      <c r="A38" s="4"/>
      <c r="B38" s="5"/>
      <c r="C38" s="5"/>
      <c r="D38" s="5"/>
      <c r="E38" s="60"/>
      <c r="F38" s="60"/>
      <c r="G38" s="60"/>
    </row>
    <row r="39" spans="1:7" ht="14.4" x14ac:dyDescent="0.3">
      <c r="A39" s="4"/>
      <c r="B39" s="5"/>
      <c r="C39" s="5"/>
      <c r="D39" s="5"/>
      <c r="E39" s="60"/>
      <c r="F39" s="60"/>
      <c r="G39" s="60"/>
    </row>
    <row r="40" spans="1:7" ht="14.4" x14ac:dyDescent="0.3">
      <c r="A40" s="4"/>
      <c r="B40" s="5"/>
      <c r="C40" s="5"/>
      <c r="D40" s="5"/>
      <c r="E40" s="60"/>
      <c r="F40" s="60"/>
      <c r="G40" s="60"/>
    </row>
    <row r="41" spans="1:7" ht="14.4" x14ac:dyDescent="0.3">
      <c r="A41" s="4"/>
      <c r="B41" s="5"/>
      <c r="C41" s="5"/>
      <c r="D41" s="5"/>
      <c r="E41" s="60"/>
      <c r="F41" s="60"/>
      <c r="G41" s="60"/>
    </row>
    <row r="42" spans="1:7" ht="14.4" x14ac:dyDescent="0.3">
      <c r="A42" s="4"/>
      <c r="B42" s="5"/>
      <c r="C42" s="5"/>
      <c r="D42" s="5"/>
      <c r="E42" s="60"/>
      <c r="F42" s="60"/>
      <c r="G42" s="60"/>
    </row>
    <row r="43" spans="1:7" ht="14.4" x14ac:dyDescent="0.3">
      <c r="A43" s="4"/>
      <c r="B43" s="5"/>
      <c r="C43" s="5"/>
      <c r="D43" s="5"/>
      <c r="E43" s="60"/>
      <c r="F43" s="60"/>
      <c r="G43" s="60"/>
    </row>
    <row r="44" spans="1:7" ht="14.4" x14ac:dyDescent="0.3">
      <c r="A44" s="4"/>
      <c r="B44" s="5"/>
      <c r="C44" s="5"/>
      <c r="D44" s="5"/>
      <c r="E44" s="60"/>
      <c r="F44" s="60"/>
      <c r="G44" s="60"/>
    </row>
    <row r="45" spans="1:7" ht="14.4" x14ac:dyDescent="0.3">
      <c r="A45" s="4"/>
      <c r="B45" s="5"/>
      <c r="C45" s="5"/>
      <c r="D45" s="5"/>
      <c r="E45" s="60"/>
      <c r="F45" s="60"/>
      <c r="G45" s="60"/>
    </row>
    <row r="46" spans="1:7" ht="14.4" x14ac:dyDescent="0.3">
      <c r="A46" s="4"/>
      <c r="B46" s="5"/>
      <c r="C46" s="5"/>
      <c r="D46" s="5"/>
      <c r="E46" s="60"/>
      <c r="F46" s="60"/>
      <c r="G46" s="60"/>
    </row>
    <row r="47" spans="1:7" ht="14.4" x14ac:dyDescent="0.3">
      <c r="A47" s="4"/>
      <c r="B47" s="5"/>
      <c r="C47" s="5"/>
      <c r="D47" s="5"/>
      <c r="E47" s="60"/>
      <c r="F47" s="60"/>
      <c r="G47" s="60"/>
    </row>
    <row r="48" spans="1:7" ht="14.4" x14ac:dyDescent="0.3">
      <c r="A48" s="4"/>
      <c r="B48" s="5"/>
      <c r="C48" s="5"/>
      <c r="D48" s="5"/>
      <c r="E48" s="60"/>
      <c r="F48" s="60"/>
      <c r="G48" s="60"/>
    </row>
    <row r="49" spans="1:7" ht="14.4" x14ac:dyDescent="0.3">
      <c r="A49" s="4"/>
      <c r="B49" s="5"/>
      <c r="C49" s="5"/>
      <c r="D49" s="5"/>
      <c r="E49" s="60"/>
      <c r="F49" s="60"/>
      <c r="G49" s="60"/>
    </row>
    <row r="50" spans="1:7" ht="14.4" x14ac:dyDescent="0.3">
      <c r="A50" s="4"/>
      <c r="B50" s="5"/>
      <c r="C50" s="5"/>
      <c r="D50" s="5"/>
      <c r="E50" s="60"/>
      <c r="F50" s="60"/>
      <c r="G50" s="60"/>
    </row>
    <row r="51" spans="1:7" ht="14.4" x14ac:dyDescent="0.3">
      <c r="A51" s="4"/>
      <c r="B51" s="5"/>
      <c r="C51" s="5"/>
      <c r="D51" s="5"/>
      <c r="E51" s="60"/>
      <c r="F51" s="60"/>
      <c r="G51" s="60"/>
    </row>
    <row r="52" spans="1:7" ht="14.4" x14ac:dyDescent="0.3">
      <c r="A52" s="4"/>
      <c r="B52" s="5"/>
      <c r="C52" s="5"/>
      <c r="D52" s="5"/>
      <c r="E52" s="60"/>
      <c r="F52" s="60"/>
      <c r="G52" s="60"/>
    </row>
    <row r="53" spans="1:7" ht="14.4" x14ac:dyDescent="0.3">
      <c r="A53" s="4"/>
      <c r="B53" s="5"/>
      <c r="C53" s="5"/>
      <c r="D53" s="5"/>
      <c r="E53" s="60"/>
      <c r="F53" s="60"/>
      <c r="G53" s="60"/>
    </row>
    <row r="54" spans="1:7" ht="14.4" x14ac:dyDescent="0.3">
      <c r="A54" s="4"/>
      <c r="B54" s="5"/>
      <c r="C54" s="5"/>
      <c r="D54" s="5"/>
      <c r="E54" s="60"/>
      <c r="F54" s="60"/>
      <c r="G54" s="60"/>
    </row>
    <row r="55" spans="1:7" ht="14.4" x14ac:dyDescent="0.3">
      <c r="A55" s="4"/>
      <c r="B55" s="5"/>
      <c r="C55" s="5"/>
      <c r="D55" s="5"/>
      <c r="E55" s="60"/>
      <c r="F55" s="60"/>
      <c r="G55" s="60"/>
    </row>
    <row r="56" spans="1:7" ht="14.4" x14ac:dyDescent="0.3">
      <c r="A56" s="4"/>
      <c r="B56" s="5"/>
      <c r="C56" s="5"/>
      <c r="D56" s="5"/>
      <c r="E56" s="60"/>
      <c r="F56" s="60"/>
      <c r="G56" s="60"/>
    </row>
    <row r="57" spans="1:7" ht="14.4" x14ac:dyDescent="0.3">
      <c r="A57" s="4"/>
      <c r="B57" s="5"/>
      <c r="C57" s="5"/>
      <c r="D57" s="5"/>
      <c r="E57" s="60"/>
      <c r="F57" s="60"/>
      <c r="G57" s="60"/>
    </row>
    <row r="58" spans="1:7" ht="14.4" x14ac:dyDescent="0.3">
      <c r="A58" s="4"/>
      <c r="B58" s="5"/>
      <c r="C58" s="5"/>
      <c r="D58" s="5"/>
      <c r="E58" s="60"/>
      <c r="F58" s="60"/>
      <c r="G58" s="60"/>
    </row>
    <row r="59" spans="1:7" ht="14.4" x14ac:dyDescent="0.3">
      <c r="A59" s="4"/>
      <c r="B59" s="5"/>
      <c r="C59" s="5"/>
      <c r="D59" s="5"/>
      <c r="E59" s="60"/>
      <c r="F59" s="60"/>
      <c r="G59" s="60"/>
    </row>
    <row r="60" spans="1:7" ht="14.4" x14ac:dyDescent="0.3">
      <c r="A60" s="4"/>
      <c r="B60" s="5"/>
      <c r="C60" s="5"/>
      <c r="D60" s="5"/>
      <c r="E60" s="60"/>
      <c r="F60" s="60"/>
      <c r="G60" s="60"/>
    </row>
    <row r="61" spans="1:7" ht="14.4" x14ac:dyDescent="0.3">
      <c r="A61" s="4"/>
      <c r="B61" s="5"/>
      <c r="C61" s="5"/>
      <c r="D61" s="5"/>
      <c r="E61" s="60"/>
      <c r="F61" s="60"/>
      <c r="G61" s="60"/>
    </row>
    <row r="62" spans="1:7" ht="14.4" x14ac:dyDescent="0.3">
      <c r="A62" s="4"/>
      <c r="B62" s="5"/>
      <c r="C62" s="5"/>
      <c r="D62" s="5"/>
      <c r="E62" s="60"/>
      <c r="F62" s="60"/>
      <c r="G62" s="60"/>
    </row>
    <row r="63" spans="1:7" ht="14.4" x14ac:dyDescent="0.3">
      <c r="A63" s="4"/>
      <c r="B63" s="5"/>
      <c r="C63" s="5"/>
      <c r="D63" s="5"/>
      <c r="E63" s="60"/>
      <c r="F63" s="60"/>
      <c r="G63" s="60"/>
    </row>
    <row r="64" spans="1:7" ht="14.4" x14ac:dyDescent="0.3">
      <c r="A64" s="4"/>
      <c r="B64" s="5"/>
      <c r="C64" s="5"/>
      <c r="D64" s="5"/>
      <c r="E64" s="60"/>
      <c r="F64" s="60"/>
      <c r="G64" s="60"/>
    </row>
    <row r="65" spans="1:7" ht="14.4" x14ac:dyDescent="0.3">
      <c r="A65" s="4"/>
      <c r="B65" s="5"/>
      <c r="C65" s="5"/>
      <c r="D65" s="5"/>
      <c r="E65" s="60"/>
      <c r="F65" s="60"/>
      <c r="G65" s="60"/>
    </row>
    <row r="66" spans="1:7" ht="14.4" x14ac:dyDescent="0.3">
      <c r="A66" s="4"/>
      <c r="B66" s="5"/>
      <c r="C66" s="5"/>
      <c r="D66" s="5"/>
      <c r="E66" s="60"/>
      <c r="F66" s="60"/>
      <c r="G66" s="60"/>
    </row>
    <row r="67" spans="1:7" ht="14.4" x14ac:dyDescent="0.3">
      <c r="A67" s="4"/>
      <c r="B67" s="5"/>
      <c r="C67" s="5"/>
      <c r="D67" s="5"/>
      <c r="E67" s="60"/>
      <c r="F67" s="60"/>
      <c r="G67" s="60"/>
    </row>
    <row r="68" spans="1:7" ht="14.4" x14ac:dyDescent="0.3">
      <c r="A68" s="4"/>
      <c r="B68" s="5"/>
      <c r="C68" s="5"/>
      <c r="D68" s="5"/>
      <c r="E68" s="60"/>
      <c r="F68" s="60"/>
      <c r="G68" s="60"/>
    </row>
    <row r="69" spans="1:7" ht="14.4" x14ac:dyDescent="0.3">
      <c r="A69" s="4"/>
      <c r="B69" s="5"/>
      <c r="C69" s="5"/>
      <c r="D69" s="5"/>
      <c r="E69" s="60"/>
      <c r="F69" s="60"/>
      <c r="G69" s="60"/>
    </row>
    <row r="70" spans="1:7" ht="14.4" x14ac:dyDescent="0.3">
      <c r="A70" s="4"/>
      <c r="B70" s="5"/>
      <c r="C70" s="5"/>
      <c r="D70" s="5"/>
      <c r="E70" s="60"/>
      <c r="F70" s="60"/>
      <c r="G70" s="60"/>
    </row>
    <row r="71" spans="1:7" ht="14.4" x14ac:dyDescent="0.3">
      <c r="A71" s="4"/>
      <c r="B71" s="5"/>
      <c r="C71" s="5"/>
      <c r="D71" s="5"/>
      <c r="E71" s="60"/>
      <c r="F71" s="60"/>
      <c r="G71" s="60"/>
    </row>
    <row r="72" spans="1:7" ht="14.4" x14ac:dyDescent="0.3">
      <c r="A72" s="4"/>
      <c r="B72" s="5"/>
      <c r="C72" s="5"/>
      <c r="D72" s="5"/>
      <c r="E72" s="60"/>
      <c r="F72" s="60"/>
      <c r="G72" s="60"/>
    </row>
    <row r="73" spans="1:7" ht="14.4" x14ac:dyDescent="0.3">
      <c r="A73" s="4"/>
      <c r="B73" s="5"/>
      <c r="C73" s="5"/>
      <c r="D73" s="5"/>
      <c r="E73" s="60"/>
      <c r="F73" s="60"/>
      <c r="G73" s="60"/>
    </row>
    <row r="74" spans="1:7" ht="14.4" x14ac:dyDescent="0.3">
      <c r="A74" s="4"/>
      <c r="B74" s="5"/>
      <c r="C74" s="5"/>
      <c r="D74" s="5"/>
      <c r="E74" s="60"/>
      <c r="F74" s="60"/>
      <c r="G74" s="60"/>
    </row>
    <row r="75" spans="1:7" ht="14.4" x14ac:dyDescent="0.3">
      <c r="A75" s="4"/>
      <c r="B75" s="5"/>
      <c r="C75" s="5"/>
      <c r="D75" s="5"/>
      <c r="E75" s="60"/>
      <c r="F75" s="60"/>
      <c r="G75" s="60"/>
    </row>
    <row r="76" spans="1:7" ht="14.4" x14ac:dyDescent="0.3">
      <c r="A76" s="4"/>
      <c r="B76" s="5"/>
      <c r="C76" s="5"/>
      <c r="D76" s="5"/>
      <c r="E76" s="60"/>
      <c r="F76" s="60"/>
      <c r="G76" s="60"/>
    </row>
    <row r="77" spans="1:7" ht="14.4" x14ac:dyDescent="0.3">
      <c r="A77" s="4"/>
      <c r="B77" s="5"/>
      <c r="C77" s="5"/>
      <c r="D77" s="5"/>
      <c r="E77" s="60"/>
      <c r="F77" s="60"/>
      <c r="G77" s="60"/>
    </row>
    <row r="78" spans="1:7" ht="14.4" x14ac:dyDescent="0.3">
      <c r="A78" s="4"/>
      <c r="B78" s="5"/>
      <c r="C78" s="5"/>
      <c r="D78" s="5"/>
      <c r="E78" s="60"/>
      <c r="F78" s="60"/>
      <c r="G78" s="60"/>
    </row>
    <row r="79" spans="1:7" ht="14.4" x14ac:dyDescent="0.3">
      <c r="A79" s="4"/>
      <c r="B79" s="5"/>
      <c r="C79" s="5"/>
      <c r="D79" s="5"/>
      <c r="E79" s="60"/>
      <c r="F79" s="60"/>
      <c r="G79" s="60"/>
    </row>
    <row r="80" spans="1:7" ht="14.4" x14ac:dyDescent="0.3">
      <c r="A80" s="4"/>
      <c r="B80" s="5"/>
      <c r="C80" s="5"/>
      <c r="D80" s="5"/>
      <c r="E80" s="60"/>
      <c r="F80" s="60"/>
      <c r="G80" s="60"/>
    </row>
    <row r="81" spans="1:7" ht="14.4" x14ac:dyDescent="0.3">
      <c r="A81" s="4"/>
      <c r="B81" s="5"/>
      <c r="C81" s="5"/>
      <c r="D81" s="5"/>
      <c r="E81" s="60"/>
      <c r="F81" s="60"/>
      <c r="G81" s="60"/>
    </row>
    <row r="82" spans="1:7" ht="14.4" x14ac:dyDescent="0.3">
      <c r="A82" s="4"/>
      <c r="B82" s="5"/>
      <c r="C82" s="5"/>
      <c r="D82" s="5"/>
      <c r="E82" s="60"/>
      <c r="F82" s="60"/>
      <c r="G82" s="60"/>
    </row>
    <row r="83" spans="1:7" ht="14.4" x14ac:dyDescent="0.3">
      <c r="A83" s="4"/>
      <c r="B83" s="5"/>
      <c r="C83" s="5"/>
      <c r="D83" s="5"/>
      <c r="E83" s="5"/>
      <c r="F83" s="5"/>
      <c r="G83" s="5"/>
    </row>
    <row r="84" spans="1:7" ht="14.4" x14ac:dyDescent="0.3">
      <c r="A84" s="4" t="s">
        <v>1</v>
      </c>
      <c r="B84" s="5">
        <f>+SUMIFS(E1:E19,B1:B19,A84)</f>
        <v>220</v>
      </c>
      <c r="C84" s="61">
        <f>+B84/E21</f>
        <v>0.51162790697674421</v>
      </c>
      <c r="D84" s="60"/>
      <c r="E84" s="5"/>
      <c r="F84" s="5"/>
      <c r="G84" s="5"/>
    </row>
    <row r="85" spans="1:7" ht="14.4" x14ac:dyDescent="0.3">
      <c r="A85" s="4" t="s">
        <v>51</v>
      </c>
      <c r="B85" s="5">
        <f>+SUMIFS(E2:E20,B2:B20,A85)</f>
        <v>210</v>
      </c>
      <c r="C85" s="5"/>
      <c r="D85" s="5"/>
      <c r="E85" s="5"/>
      <c r="F85" s="5"/>
      <c r="G85" s="5"/>
    </row>
    <row r="86" spans="1:7" ht="14.4" x14ac:dyDescent="0.3">
      <c r="A86" s="4"/>
      <c r="B86" s="5"/>
      <c r="C86" s="5"/>
      <c r="D86" s="5"/>
      <c r="E86" s="5"/>
      <c r="F86" s="5"/>
      <c r="G86" s="5"/>
    </row>
    <row r="87" spans="1:7" ht="14.4" x14ac:dyDescent="0.3">
      <c r="A87" s="4"/>
      <c r="B87" s="5"/>
      <c r="C87" s="5"/>
      <c r="D87" s="5"/>
      <c r="E87" s="5"/>
      <c r="F87" s="5"/>
      <c r="G87" s="5"/>
    </row>
    <row r="88" spans="1:7" ht="14.4" x14ac:dyDescent="0.3">
      <c r="A88" s="16"/>
      <c r="B88" s="5"/>
      <c r="C88" s="5"/>
      <c r="D88" s="5"/>
      <c r="E88" s="5"/>
      <c r="F88" s="5"/>
      <c r="G88" s="5"/>
    </row>
    <row r="89" spans="1:7" ht="14.4" x14ac:dyDescent="0.3">
      <c r="A89" s="4"/>
      <c r="B89" s="5"/>
      <c r="C89" s="5"/>
      <c r="D89" s="5"/>
      <c r="E89" s="5"/>
      <c r="F89" s="5"/>
      <c r="G89" s="5"/>
    </row>
    <row r="90" spans="1:7" ht="14.4" x14ac:dyDescent="0.3">
      <c r="A90" s="4"/>
      <c r="B90" s="5"/>
      <c r="C90" s="5"/>
      <c r="D90" s="5"/>
      <c r="E90" s="5"/>
      <c r="F90" s="5"/>
      <c r="G90" s="5"/>
    </row>
    <row r="91" spans="1:7" ht="20.399999999999999" customHeight="1" x14ac:dyDescent="0.3">
      <c r="A91" s="4"/>
      <c r="B91" s="5"/>
      <c r="C91" s="5"/>
      <c r="D91" s="5"/>
      <c r="E91" s="5"/>
      <c r="F91" s="5"/>
      <c r="G91" s="5"/>
    </row>
    <row r="92" spans="1:7" ht="14.4" x14ac:dyDescent="0.3">
      <c r="A92" s="4"/>
      <c r="B92" s="5"/>
      <c r="C92" s="5"/>
      <c r="D92" s="5"/>
      <c r="E92" s="5"/>
      <c r="F92" s="5"/>
      <c r="G92" s="5"/>
    </row>
    <row r="93" spans="1:7" ht="14.4" x14ac:dyDescent="0.3">
      <c r="A93" s="4"/>
      <c r="B93" s="5"/>
      <c r="C93" s="5"/>
      <c r="D93" s="5"/>
      <c r="E93" s="5"/>
      <c r="F93" s="5"/>
      <c r="G93" s="5"/>
    </row>
    <row r="94" spans="1:7" ht="14.4" x14ac:dyDescent="0.3">
      <c r="A94" s="4"/>
      <c r="B94" s="5"/>
      <c r="C94" s="5"/>
      <c r="D94" s="5"/>
      <c r="E94" s="5"/>
      <c r="F94" s="5"/>
      <c r="G94" s="5"/>
    </row>
    <row r="95" spans="1:7" ht="14.4" x14ac:dyDescent="0.3">
      <c r="A95" s="16"/>
      <c r="B95" s="5"/>
      <c r="C95" s="5"/>
      <c r="D95" s="5"/>
      <c r="E95" s="5"/>
      <c r="F95" s="5"/>
      <c r="G95" s="5"/>
    </row>
    <row r="96" spans="1:7" ht="14.4" x14ac:dyDescent="0.3">
      <c r="A96" s="4"/>
      <c r="B96" s="5"/>
      <c r="C96" s="5"/>
      <c r="D96" s="5"/>
      <c r="E96" s="5"/>
      <c r="F96" s="5"/>
      <c r="G96" s="5"/>
    </row>
    <row r="97" spans="1:8" ht="14.4" x14ac:dyDescent="0.3">
      <c r="A97" s="4"/>
      <c r="B97" s="5"/>
      <c r="C97" s="5"/>
      <c r="D97" s="5"/>
      <c r="E97" s="5"/>
      <c r="F97" s="5"/>
      <c r="G97" s="5"/>
    </row>
    <row r="98" spans="1:8" ht="14.4" x14ac:dyDescent="0.3">
      <c r="A98" s="10"/>
      <c r="D98" s="10"/>
      <c r="E98" s="10"/>
      <c r="F98" s="10"/>
      <c r="H98" s="4"/>
    </row>
    <row r="99" spans="1:8" ht="14.4" x14ac:dyDescent="0.3">
      <c r="A99" s="10"/>
      <c r="D99" s="10"/>
      <c r="E99" s="10"/>
      <c r="F99" s="10"/>
      <c r="H99" s="4"/>
    </row>
    <row r="100" spans="1:8" ht="14.4" x14ac:dyDescent="0.3">
      <c r="H100" s="4"/>
    </row>
    <row r="101" spans="1:8" ht="14.4" x14ac:dyDescent="0.3">
      <c r="H101" s="4"/>
    </row>
    <row r="102" spans="1:8" ht="14.4" x14ac:dyDescent="0.3">
      <c r="H102" s="4"/>
    </row>
    <row r="103" spans="1:8" ht="14.4" x14ac:dyDescent="0.3">
      <c r="H103" s="4"/>
    </row>
    <row r="104" spans="1:8" ht="14.4" x14ac:dyDescent="0.3">
      <c r="H104" s="4"/>
    </row>
  </sheetData>
  <dataValidations count="2">
    <dataValidation type="list" allowBlank="1" showInputMessage="1" showErrorMessage="1" sqref="A2:A5" xr:uid="{51CD2852-A667-4E7C-8716-460989460350}">
      <formula1>"SP´S, COMBUSTIBLE / PEAJE, RH, MATERIALES"</formula1>
    </dataValidation>
    <dataValidation type="list" allowBlank="1" showInputMessage="1" showErrorMessage="1" sqref="B2:B5" xr:uid="{D574FCFE-CB8F-4B68-A997-372994EB358A}">
      <formula1>"PAGADA, PENDIENTE"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GASTOS</vt:lpstr>
      <vt:lpstr>PROVISIONES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Omar Velázquez López</dc:creator>
  <cp:lastModifiedBy>Cristian Omar Velázquez López</cp:lastModifiedBy>
  <dcterms:created xsi:type="dcterms:W3CDTF">2025-11-25T14:45:30Z</dcterms:created>
  <dcterms:modified xsi:type="dcterms:W3CDTF">2025-11-25T22:57:33Z</dcterms:modified>
</cp:coreProperties>
</file>
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rive 2025\Desktop\"/>
    </mc:Choice>
  </mc:AlternateContent>
  <xr:revisionPtr revIDLastSave="0" documentId="8_{0D699E83-E472-47A9-98DB-02E8A054D7CE}" xr6:coauthVersionLast="47" xr6:coauthVersionMax="47" xr10:uidLastSave="{00000000-0000-0000-0000-000000000000}"/>
  <bookViews>
    <workbookView xWindow="-28665" yWindow="-22605" windowWidth="29040" windowHeight="15720" activeTab="2" xr2:uid="{00000000-000D-0000-FFFF-FFFF00000000}"/>
  </bookViews>
  <sheets>
    <sheet name="CONCENTRADO" sheetId="1" r:id="rId1"/>
    <sheet name="CUENTAS" sheetId="13" state="hidden" r:id="rId2"/>
    <sheet name="ENE25" sheetId="12" r:id="rId3"/>
    <sheet name="FEB25" sheetId="14" r:id="rId4"/>
    <sheet name="MAR25" sheetId="15" r:id="rId5"/>
    <sheet name="ABR25" sheetId="16" r:id="rId6"/>
    <sheet name="MAY25" sheetId="17" r:id="rId7"/>
    <sheet name="JUN25" sheetId="18" r:id="rId8"/>
    <sheet name="JUL25" sheetId="19" r:id="rId9"/>
    <sheet name="AGO25" sheetId="20" r:id="rId10"/>
    <sheet name="SEP25" sheetId="21" r:id="rId11"/>
    <sheet name="OCT25" sheetId="22" r:id="rId12"/>
    <sheet name="NOV25" sheetId="23" r:id="rId13"/>
    <sheet name="DIC25" sheetId="24" r:id="rId14"/>
  </sheets>
  <definedNames>
    <definedName name="_xlnm._FilterDatabase" localSheetId="2" hidden="1">'ENE25'!$A$1:$N$112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9" i="24" l="1"/>
  <c r="I88" i="24"/>
  <c r="I87" i="24"/>
  <c r="I86" i="24"/>
  <c r="I85" i="24"/>
  <c r="I84" i="24"/>
  <c r="I83" i="24"/>
  <c r="I82" i="24"/>
  <c r="I81" i="24"/>
  <c r="I80" i="24"/>
  <c r="I79" i="24"/>
  <c r="I78" i="24"/>
  <c r="I77" i="24"/>
  <c r="I76" i="24"/>
  <c r="I75" i="24"/>
  <c r="I74" i="24"/>
  <c r="I73" i="24"/>
  <c r="I72" i="24"/>
  <c r="I71" i="24"/>
  <c r="I70" i="24"/>
  <c r="I69" i="24"/>
  <c r="I68" i="24"/>
  <c r="I67" i="24"/>
  <c r="I66" i="24"/>
  <c r="I65" i="24"/>
  <c r="I64" i="24"/>
  <c r="I63" i="24"/>
  <c r="I62" i="24"/>
  <c r="I61" i="24"/>
  <c r="I60" i="24"/>
  <c r="I59" i="24"/>
  <c r="I58" i="24"/>
  <c r="I57" i="24"/>
  <c r="I56" i="24"/>
  <c r="I55" i="24"/>
  <c r="I54" i="24"/>
  <c r="I53" i="24"/>
  <c r="I52" i="24"/>
  <c r="I51" i="24"/>
  <c r="I50" i="24"/>
  <c r="I49" i="24"/>
  <c r="I48" i="24"/>
  <c r="I47" i="24"/>
  <c r="I46" i="24"/>
  <c r="I45" i="24"/>
  <c r="I44" i="24"/>
  <c r="I43" i="24"/>
  <c r="I42" i="24"/>
  <c r="I41" i="24"/>
  <c r="I40" i="24"/>
  <c r="I39" i="24"/>
  <c r="I38" i="24"/>
  <c r="I37" i="24"/>
  <c r="I36" i="24"/>
  <c r="I35" i="24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I6" i="24"/>
  <c r="I5" i="24"/>
  <c r="I4" i="24"/>
  <c r="I3" i="24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E89" i="24"/>
  <c r="D89" i="24"/>
  <c r="E88" i="24"/>
  <c r="D88" i="24"/>
  <c r="E87" i="24"/>
  <c r="D87" i="24"/>
  <c r="E86" i="24"/>
  <c r="D86" i="24"/>
  <c r="E85" i="24"/>
  <c r="D85" i="24"/>
  <c r="E84" i="24"/>
  <c r="D84" i="24"/>
  <c r="E83" i="24"/>
  <c r="D83" i="24"/>
  <c r="E82" i="24"/>
  <c r="D82" i="24"/>
  <c r="E81" i="24"/>
  <c r="D81" i="24"/>
  <c r="E80" i="24"/>
  <c r="D80" i="24"/>
  <c r="E79" i="24"/>
  <c r="D79" i="24"/>
  <c r="E78" i="24"/>
  <c r="D78" i="24"/>
  <c r="E77" i="24"/>
  <c r="D77" i="24"/>
  <c r="E76" i="24"/>
  <c r="D76" i="24"/>
  <c r="E75" i="24"/>
  <c r="D75" i="24"/>
  <c r="E74" i="24"/>
  <c r="D74" i="24"/>
  <c r="E73" i="24"/>
  <c r="D73" i="24"/>
  <c r="E72" i="24"/>
  <c r="D72" i="24"/>
  <c r="E71" i="24"/>
  <c r="D71" i="24"/>
  <c r="E70" i="24"/>
  <c r="D70" i="24"/>
  <c r="E69" i="24"/>
  <c r="D69" i="24"/>
  <c r="E68" i="24"/>
  <c r="D68" i="24"/>
  <c r="E67" i="24"/>
  <c r="D67" i="24"/>
  <c r="E66" i="24"/>
  <c r="D66" i="24"/>
  <c r="E65" i="24"/>
  <c r="D65" i="24"/>
  <c r="E64" i="24"/>
  <c r="D64" i="24"/>
  <c r="E63" i="24"/>
  <c r="D63" i="24"/>
  <c r="E62" i="24"/>
  <c r="D62" i="24"/>
  <c r="E61" i="24"/>
  <c r="D61" i="24"/>
  <c r="E60" i="24"/>
  <c r="D60" i="24"/>
  <c r="E59" i="24"/>
  <c r="D59" i="24"/>
  <c r="E58" i="24"/>
  <c r="D58" i="24"/>
  <c r="E57" i="24"/>
  <c r="D57" i="24"/>
  <c r="E56" i="24"/>
  <c r="D56" i="24"/>
  <c r="E55" i="24"/>
  <c r="D55" i="24"/>
  <c r="E54" i="24"/>
  <c r="D54" i="24"/>
  <c r="E53" i="24"/>
  <c r="D53" i="24"/>
  <c r="E52" i="24"/>
  <c r="D52" i="24"/>
  <c r="E51" i="24"/>
  <c r="D51" i="24"/>
  <c r="E50" i="24"/>
  <c r="D50" i="24"/>
  <c r="E49" i="24"/>
  <c r="D49" i="24"/>
  <c r="E48" i="24"/>
  <c r="D48" i="24"/>
  <c r="E47" i="24"/>
  <c r="D47" i="24"/>
  <c r="E46" i="24"/>
  <c r="D46" i="24"/>
  <c r="E45" i="24"/>
  <c r="D45" i="24"/>
  <c r="E44" i="24"/>
  <c r="D44" i="24"/>
  <c r="E43" i="24"/>
  <c r="D43" i="24"/>
  <c r="E42" i="24"/>
  <c r="D42" i="24"/>
  <c r="E41" i="24"/>
  <c r="D41" i="24"/>
  <c r="E40" i="24"/>
  <c r="D40" i="24"/>
  <c r="E39" i="24"/>
  <c r="D39" i="24"/>
  <c r="E38" i="24"/>
  <c r="D38" i="24"/>
  <c r="E37" i="24"/>
  <c r="D37" i="24"/>
  <c r="E36" i="24"/>
  <c r="D36" i="24"/>
  <c r="E35" i="24"/>
  <c r="D35" i="24"/>
  <c r="E34" i="24"/>
  <c r="D34" i="24"/>
  <c r="E33" i="24"/>
  <c r="D33" i="24"/>
  <c r="E32" i="24"/>
  <c r="D32" i="24"/>
  <c r="E31" i="24"/>
  <c r="D31" i="24"/>
  <c r="E30" i="24"/>
  <c r="D30" i="24"/>
  <c r="E29" i="24"/>
  <c r="D29" i="24"/>
  <c r="E28" i="24"/>
  <c r="D28" i="24"/>
  <c r="E27" i="24"/>
  <c r="D27" i="24"/>
  <c r="E26" i="24"/>
  <c r="D26" i="24"/>
  <c r="E25" i="24"/>
  <c r="D25" i="24"/>
  <c r="E24" i="24"/>
  <c r="D24" i="24"/>
  <c r="E23" i="24"/>
  <c r="D23" i="24"/>
  <c r="E22" i="24"/>
  <c r="D22" i="24"/>
  <c r="E21" i="24"/>
  <c r="D21" i="24"/>
  <c r="E20" i="24"/>
  <c r="D20" i="24"/>
  <c r="E19" i="24"/>
  <c r="D19" i="24"/>
  <c r="E18" i="24"/>
  <c r="D18" i="24"/>
  <c r="E17" i="24"/>
  <c r="D17" i="24"/>
  <c r="E16" i="24"/>
  <c r="D16" i="24"/>
  <c r="E15" i="24"/>
  <c r="D15" i="24"/>
  <c r="E14" i="24"/>
  <c r="D14" i="24"/>
  <c r="E13" i="24"/>
  <c r="D13" i="24"/>
  <c r="E12" i="24"/>
  <c r="D12" i="24"/>
  <c r="E11" i="24"/>
  <c r="D11" i="24"/>
  <c r="E10" i="24"/>
  <c r="D10" i="24"/>
  <c r="E9" i="24"/>
  <c r="D9" i="24"/>
  <c r="E8" i="24"/>
  <c r="D8" i="24"/>
  <c r="E7" i="24"/>
  <c r="D7" i="24"/>
  <c r="E6" i="24"/>
  <c r="D6" i="24"/>
  <c r="E5" i="24"/>
  <c r="D5" i="24"/>
  <c r="E4" i="24"/>
  <c r="D4" i="24"/>
  <c r="E3" i="24"/>
  <c r="D3" i="24"/>
  <c r="I2" i="24"/>
  <c r="E2" i="24"/>
  <c r="D2" i="24"/>
  <c r="I2" i="23"/>
  <c r="D2" i="23"/>
  <c r="E2" i="23"/>
  <c r="D3" i="23"/>
  <c r="E3" i="23"/>
  <c r="D4" i="23"/>
  <c r="E4" i="23"/>
  <c r="D5" i="23"/>
  <c r="E5" i="23"/>
  <c r="D6" i="23"/>
  <c r="E6" i="23"/>
  <c r="D7" i="23"/>
  <c r="E7" i="23"/>
  <c r="D8" i="23"/>
  <c r="E8" i="23"/>
  <c r="D9" i="23"/>
  <c r="E9" i="23"/>
  <c r="D10" i="23"/>
  <c r="E10" i="23"/>
  <c r="D11" i="23"/>
  <c r="E11" i="23"/>
  <c r="D12" i="23"/>
  <c r="E12" i="23"/>
  <c r="D13" i="23"/>
  <c r="E13" i="23"/>
  <c r="D14" i="23"/>
  <c r="E14" i="23"/>
  <c r="D15" i="23"/>
  <c r="E15" i="23"/>
  <c r="D16" i="23"/>
  <c r="E16" i="23"/>
  <c r="D17" i="23"/>
  <c r="E17" i="23"/>
  <c r="D18" i="23"/>
  <c r="E18" i="23"/>
  <c r="D19" i="23"/>
  <c r="E19" i="23"/>
  <c r="D20" i="23"/>
  <c r="E20" i="23"/>
  <c r="D21" i="23"/>
  <c r="E21" i="23"/>
  <c r="D22" i="23"/>
  <c r="E22" i="23"/>
  <c r="D23" i="23"/>
  <c r="E23" i="23"/>
  <c r="D24" i="23"/>
  <c r="E24" i="23"/>
  <c r="D25" i="23"/>
  <c r="E25" i="23"/>
  <c r="D26" i="23"/>
  <c r="E26" i="23"/>
  <c r="D27" i="23"/>
  <c r="E27" i="23"/>
  <c r="D28" i="23"/>
  <c r="E28" i="23"/>
  <c r="D29" i="23"/>
  <c r="E29" i="23"/>
  <c r="D30" i="23"/>
  <c r="E30" i="23"/>
  <c r="D31" i="23"/>
  <c r="E31" i="23"/>
  <c r="D32" i="23"/>
  <c r="E32" i="23"/>
  <c r="D33" i="23"/>
  <c r="E33" i="23"/>
  <c r="D34" i="23"/>
  <c r="E34" i="23"/>
  <c r="D35" i="23"/>
  <c r="E35" i="23"/>
  <c r="D36" i="23"/>
  <c r="E36" i="23"/>
  <c r="D37" i="23"/>
  <c r="E37" i="23"/>
  <c r="D38" i="23"/>
  <c r="E38" i="23"/>
  <c r="D39" i="23"/>
  <c r="E39" i="23"/>
  <c r="D40" i="23"/>
  <c r="E40" i="23"/>
  <c r="D41" i="23"/>
  <c r="E41" i="23"/>
  <c r="D42" i="23"/>
  <c r="E42" i="23"/>
  <c r="D43" i="23"/>
  <c r="E43" i="23"/>
  <c r="D44" i="23"/>
  <c r="E44" i="23"/>
  <c r="D45" i="23"/>
  <c r="E45" i="23"/>
  <c r="D46" i="23"/>
  <c r="E46" i="23"/>
  <c r="D47" i="23"/>
  <c r="E47" i="23"/>
  <c r="D48" i="23"/>
  <c r="E48" i="23"/>
  <c r="D49" i="23"/>
  <c r="E49" i="23"/>
  <c r="D50" i="23"/>
  <c r="E50" i="23"/>
  <c r="D51" i="23"/>
  <c r="E51" i="23"/>
  <c r="D52" i="23"/>
  <c r="E52" i="23"/>
  <c r="D53" i="23"/>
  <c r="E53" i="23"/>
  <c r="D54" i="23"/>
  <c r="E54" i="23"/>
  <c r="D55" i="23"/>
  <c r="E55" i="23"/>
  <c r="D56" i="23"/>
  <c r="E56" i="23"/>
  <c r="D57" i="23"/>
  <c r="E57" i="23"/>
  <c r="D58" i="23"/>
  <c r="E58" i="23"/>
  <c r="D59" i="23"/>
  <c r="E59" i="23"/>
  <c r="D60" i="23"/>
  <c r="E60" i="23"/>
  <c r="D61" i="23"/>
  <c r="E61" i="23"/>
  <c r="D62" i="23"/>
  <c r="E62" i="23"/>
  <c r="D63" i="23"/>
  <c r="E63" i="23"/>
  <c r="D64" i="23"/>
  <c r="E64" i="23"/>
  <c r="D65" i="23"/>
  <c r="E65" i="23"/>
  <c r="D66" i="23"/>
  <c r="E66" i="23"/>
  <c r="D67" i="23"/>
  <c r="E67" i="23"/>
  <c r="D68" i="23"/>
  <c r="E68" i="23"/>
  <c r="D69" i="23"/>
  <c r="E69" i="23"/>
  <c r="D70" i="23"/>
  <c r="E70" i="23"/>
  <c r="D71" i="23"/>
  <c r="E71" i="23"/>
  <c r="D72" i="23"/>
  <c r="E72" i="23"/>
  <c r="D73" i="23"/>
  <c r="E73" i="23"/>
  <c r="D74" i="23"/>
  <c r="E74" i="23"/>
  <c r="D75" i="23"/>
  <c r="E75" i="23"/>
  <c r="D76" i="23"/>
  <c r="E76" i="23"/>
  <c r="D77" i="23"/>
  <c r="E77" i="23"/>
  <c r="D78" i="23"/>
  <c r="E78" i="23"/>
  <c r="D79" i="23"/>
  <c r="E79" i="23"/>
  <c r="D80" i="23"/>
  <c r="E80" i="23"/>
  <c r="D81" i="23"/>
  <c r="E81" i="23"/>
  <c r="D82" i="23"/>
  <c r="E82" i="23"/>
  <c r="D83" i="23"/>
  <c r="E83" i="23"/>
  <c r="D84" i="23"/>
  <c r="E84" i="23"/>
  <c r="D85" i="23"/>
  <c r="E85" i="23"/>
  <c r="D86" i="23"/>
  <c r="E86" i="23"/>
  <c r="D87" i="23"/>
  <c r="E87" i="23"/>
  <c r="D88" i="23"/>
  <c r="E88" i="23"/>
  <c r="D89" i="23"/>
  <c r="E89" i="23"/>
  <c r="O242" i="22"/>
  <c r="O241" i="22"/>
  <c r="O240" i="22"/>
  <c r="I218" i="22"/>
  <c r="I217" i="22"/>
  <c r="I216" i="22"/>
  <c r="I215" i="22"/>
  <c r="I214" i="22"/>
  <c r="I213" i="22"/>
  <c r="I212" i="22"/>
  <c r="I211" i="22"/>
  <c r="I210" i="22"/>
  <c r="I209" i="22"/>
  <c r="I208" i="22"/>
  <c r="I207" i="22"/>
  <c r="I206" i="22"/>
  <c r="I205" i="22"/>
  <c r="I204" i="22"/>
  <c r="I203" i="22"/>
  <c r="I202" i="22"/>
  <c r="I201" i="22"/>
  <c r="I200" i="22"/>
  <c r="I199" i="22"/>
  <c r="I198" i="22"/>
  <c r="I197" i="22"/>
  <c r="I196" i="22"/>
  <c r="I195" i="22"/>
  <c r="I194" i="22"/>
  <c r="I193" i="22"/>
  <c r="I192" i="22"/>
  <c r="I191" i="22"/>
  <c r="I190" i="22"/>
  <c r="I189" i="22"/>
  <c r="I188" i="22"/>
  <c r="I187" i="22"/>
  <c r="I186" i="22"/>
  <c r="I185" i="22"/>
  <c r="I184" i="22"/>
  <c r="I183" i="22"/>
  <c r="I182" i="22"/>
  <c r="I181" i="22"/>
  <c r="I180" i="22"/>
  <c r="I179" i="22"/>
  <c r="I178" i="22"/>
  <c r="I177" i="22"/>
  <c r="I176" i="22"/>
  <c r="I175" i="22"/>
  <c r="I174" i="22"/>
  <c r="I173" i="22"/>
  <c r="I172" i="22"/>
  <c r="I171" i="22"/>
  <c r="I170" i="22"/>
  <c r="I169" i="22"/>
  <c r="I168" i="22"/>
  <c r="I167" i="22"/>
  <c r="I166" i="22"/>
  <c r="I165" i="22"/>
  <c r="I164" i="22"/>
  <c r="I163" i="22"/>
  <c r="I162" i="22"/>
  <c r="I161" i="22"/>
  <c r="I160" i="22"/>
  <c r="I159" i="22"/>
  <c r="I158" i="22"/>
  <c r="I157" i="22"/>
  <c r="I156" i="22"/>
  <c r="I155" i="22"/>
  <c r="I154" i="22"/>
  <c r="I153" i="22"/>
  <c r="I152" i="22"/>
  <c r="I151" i="22"/>
  <c r="I150" i="22"/>
  <c r="I149" i="22"/>
  <c r="I148" i="22"/>
  <c r="I147" i="22"/>
  <c r="I146" i="22"/>
  <c r="I145" i="22"/>
  <c r="I144" i="22"/>
  <c r="I143" i="22"/>
  <c r="I142" i="22"/>
  <c r="I141" i="22"/>
  <c r="I140" i="22"/>
  <c r="I139" i="22"/>
  <c r="I138" i="22"/>
  <c r="I137" i="22"/>
  <c r="I136" i="22"/>
  <c r="I135" i="22"/>
  <c r="I134" i="22"/>
  <c r="I133" i="22"/>
  <c r="I132" i="22"/>
  <c r="I131" i="22"/>
  <c r="I130" i="22"/>
  <c r="I129" i="22"/>
  <c r="I128" i="22"/>
  <c r="I127" i="22"/>
  <c r="I126" i="22"/>
  <c r="I125" i="22"/>
  <c r="I124" i="22"/>
  <c r="I123" i="22"/>
  <c r="I122" i="22"/>
  <c r="I121" i="22"/>
  <c r="I120" i="22"/>
  <c r="I119" i="22"/>
  <c r="I118" i="22"/>
  <c r="I117" i="22"/>
  <c r="I116" i="22"/>
  <c r="I115" i="22"/>
  <c r="I114" i="22"/>
  <c r="I113" i="22"/>
  <c r="I112" i="22"/>
  <c r="I111" i="22"/>
  <c r="I110" i="22"/>
  <c r="I109" i="22"/>
  <c r="I108" i="22"/>
  <c r="I107" i="22"/>
  <c r="I106" i="22"/>
  <c r="I105" i="22"/>
  <c r="I104" i="22"/>
  <c r="I103" i="22"/>
  <c r="I102" i="22"/>
  <c r="I101" i="22"/>
  <c r="I100" i="22"/>
  <c r="I99" i="22"/>
  <c r="I98" i="22"/>
  <c r="I97" i="22"/>
  <c r="I96" i="22"/>
  <c r="I95" i="22"/>
  <c r="I94" i="22"/>
  <c r="I93" i="22"/>
  <c r="I92" i="22"/>
  <c r="I91" i="22"/>
  <c r="I90" i="22"/>
  <c r="I89" i="22"/>
  <c r="I88" i="22"/>
  <c r="I87" i="22"/>
  <c r="I86" i="22"/>
  <c r="I85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72" i="22"/>
  <c r="I71" i="22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3" i="22"/>
  <c r="I2" i="22"/>
  <c r="O185" i="21"/>
  <c r="O184" i="21"/>
  <c r="O183" i="21"/>
  <c r="I180" i="21"/>
  <c r="I179" i="21"/>
  <c r="I178" i="21"/>
  <c r="I177" i="21"/>
  <c r="I176" i="21"/>
  <c r="I175" i="21"/>
  <c r="I174" i="21"/>
  <c r="I173" i="21"/>
  <c r="I172" i="21"/>
  <c r="I171" i="21"/>
  <c r="I170" i="21"/>
  <c r="I169" i="21"/>
  <c r="I168" i="21"/>
  <c r="I167" i="21"/>
  <c r="I166" i="21"/>
  <c r="I165" i="21"/>
  <c r="I164" i="21"/>
  <c r="I163" i="21"/>
  <c r="I162" i="21"/>
  <c r="I161" i="21"/>
  <c r="I160" i="21"/>
  <c r="I159" i="21"/>
  <c r="I158" i="21"/>
  <c r="I157" i="21"/>
  <c r="I156" i="21"/>
  <c r="I155" i="21"/>
  <c r="I154" i="21"/>
  <c r="I153" i="21"/>
  <c r="I152" i="21"/>
  <c r="I151" i="21"/>
  <c r="I150" i="21"/>
  <c r="I149" i="21"/>
  <c r="I148" i="21"/>
  <c r="I147" i="21"/>
  <c r="I146" i="21"/>
  <c r="I145" i="21"/>
  <c r="I144" i="21"/>
  <c r="I143" i="21"/>
  <c r="I142" i="21"/>
  <c r="I141" i="21"/>
  <c r="I140" i="21"/>
  <c r="I139" i="21"/>
  <c r="I138" i="21"/>
  <c r="I137" i="21"/>
  <c r="I136" i="21"/>
  <c r="I135" i="21"/>
  <c r="I134" i="21"/>
  <c r="I133" i="21"/>
  <c r="I132" i="21"/>
  <c r="I131" i="21"/>
  <c r="I130" i="21"/>
  <c r="I129" i="21"/>
  <c r="I128" i="21"/>
  <c r="I127" i="21"/>
  <c r="I126" i="21"/>
  <c r="I125" i="21"/>
  <c r="I124" i="21"/>
  <c r="I123" i="21"/>
  <c r="I122" i="21"/>
  <c r="I121" i="21"/>
  <c r="I120" i="21"/>
  <c r="I119" i="21"/>
  <c r="I118" i="21"/>
  <c r="I117" i="21"/>
  <c r="I116" i="21"/>
  <c r="I115" i="21"/>
  <c r="I114" i="21"/>
  <c r="I113" i="21"/>
  <c r="I112" i="21"/>
  <c r="I111" i="21"/>
  <c r="I110" i="21"/>
  <c r="I109" i="21"/>
  <c r="I108" i="21"/>
  <c r="I107" i="21"/>
  <c r="I106" i="21"/>
  <c r="I105" i="21"/>
  <c r="I104" i="21"/>
  <c r="I103" i="21"/>
  <c r="I102" i="21"/>
  <c r="I101" i="21"/>
  <c r="I100" i="21"/>
  <c r="I99" i="21"/>
  <c r="I98" i="21"/>
  <c r="I97" i="21"/>
  <c r="I96" i="21"/>
  <c r="I95" i="21"/>
  <c r="I94" i="21"/>
  <c r="I93" i="21"/>
  <c r="I92" i="21"/>
  <c r="I91" i="21"/>
  <c r="I90" i="21"/>
  <c r="I89" i="21"/>
  <c r="I88" i="21"/>
  <c r="I87" i="21"/>
  <c r="I86" i="21"/>
  <c r="I85" i="21"/>
  <c r="I84" i="21"/>
  <c r="I83" i="21"/>
  <c r="I82" i="21"/>
  <c r="I81" i="21"/>
  <c r="I80" i="21"/>
  <c r="I79" i="21"/>
  <c r="I78" i="21"/>
  <c r="I77" i="21"/>
  <c r="I76" i="21"/>
  <c r="I75" i="21"/>
  <c r="I74" i="21"/>
  <c r="I73" i="21"/>
  <c r="I72" i="21"/>
  <c r="I71" i="21"/>
  <c r="I70" i="21"/>
  <c r="I69" i="21"/>
  <c r="I68" i="21"/>
  <c r="I67" i="21"/>
  <c r="I66" i="21"/>
  <c r="I65" i="21"/>
  <c r="I64" i="21"/>
  <c r="I63" i="21"/>
  <c r="I62" i="21"/>
  <c r="I61" i="21"/>
  <c r="I60" i="21"/>
  <c r="I59" i="21"/>
  <c r="I58" i="21"/>
  <c r="I57" i="21"/>
  <c r="I56" i="21"/>
  <c r="I55" i="21"/>
  <c r="I54" i="21"/>
  <c r="I53" i="21"/>
  <c r="I52" i="21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3" i="21"/>
  <c r="I2" i="21"/>
  <c r="O207" i="20"/>
  <c r="O206" i="20"/>
  <c r="O205" i="20"/>
  <c r="I202" i="20"/>
  <c r="I201" i="20"/>
  <c r="I200" i="20"/>
  <c r="I199" i="20"/>
  <c r="I198" i="20"/>
  <c r="I197" i="20"/>
  <c r="I196" i="20"/>
  <c r="I195" i="20"/>
  <c r="I194" i="20"/>
  <c r="I193" i="20"/>
  <c r="I192" i="20"/>
  <c r="I191" i="20"/>
  <c r="I190" i="20"/>
  <c r="I189" i="20"/>
  <c r="I188" i="20"/>
  <c r="I187" i="20"/>
  <c r="I186" i="20"/>
  <c r="I185" i="20"/>
  <c r="I184" i="20"/>
  <c r="I183" i="20"/>
  <c r="I182" i="20"/>
  <c r="I181" i="20"/>
  <c r="I180" i="20"/>
  <c r="I179" i="20"/>
  <c r="I178" i="20"/>
  <c r="I177" i="20"/>
  <c r="I176" i="20"/>
  <c r="I175" i="20"/>
  <c r="I174" i="20"/>
  <c r="I173" i="20"/>
  <c r="I172" i="20"/>
  <c r="I171" i="20"/>
  <c r="I170" i="20"/>
  <c r="I169" i="20"/>
  <c r="I168" i="20"/>
  <c r="I167" i="20"/>
  <c r="I166" i="20"/>
  <c r="I165" i="20"/>
  <c r="I164" i="20"/>
  <c r="I163" i="20"/>
  <c r="I162" i="20"/>
  <c r="I161" i="20"/>
  <c r="I160" i="20"/>
  <c r="I159" i="20"/>
  <c r="I158" i="20"/>
  <c r="I157" i="20"/>
  <c r="I156" i="20"/>
  <c r="I155" i="20"/>
  <c r="I154" i="20"/>
  <c r="I153" i="20"/>
  <c r="I152" i="20"/>
  <c r="I151" i="20"/>
  <c r="I150" i="20"/>
  <c r="I149" i="20"/>
  <c r="I148" i="20"/>
  <c r="I147" i="20"/>
  <c r="I146" i="20"/>
  <c r="I145" i="20"/>
  <c r="I144" i="20"/>
  <c r="I143" i="20"/>
  <c r="I142" i="20"/>
  <c r="I141" i="20"/>
  <c r="I140" i="20"/>
  <c r="I139" i="20"/>
  <c r="I138" i="20"/>
  <c r="I137" i="20"/>
  <c r="I136" i="20"/>
  <c r="I135" i="20"/>
  <c r="I134" i="20"/>
  <c r="I133" i="20"/>
  <c r="I132" i="20"/>
  <c r="I131" i="20"/>
  <c r="I130" i="20"/>
  <c r="I129" i="20"/>
  <c r="I128" i="20"/>
  <c r="I127" i="20"/>
  <c r="I126" i="20"/>
  <c r="I125" i="20"/>
  <c r="I124" i="20"/>
  <c r="I123" i="20"/>
  <c r="I122" i="20"/>
  <c r="I121" i="20"/>
  <c r="I120" i="20"/>
  <c r="I119" i="20"/>
  <c r="I118" i="20"/>
  <c r="I117" i="20"/>
  <c r="I116" i="20"/>
  <c r="I115" i="20"/>
  <c r="I114" i="20"/>
  <c r="I113" i="20"/>
  <c r="I112" i="20"/>
  <c r="I111" i="20"/>
  <c r="I110" i="20"/>
  <c r="I109" i="20"/>
  <c r="I108" i="20"/>
  <c r="I107" i="20"/>
  <c r="I106" i="20"/>
  <c r="I105" i="20"/>
  <c r="I104" i="20"/>
  <c r="I103" i="20"/>
  <c r="I102" i="20"/>
  <c r="I101" i="20"/>
  <c r="I100" i="20"/>
  <c r="I99" i="20"/>
  <c r="I98" i="20"/>
  <c r="I97" i="20"/>
  <c r="I96" i="20"/>
  <c r="I95" i="20"/>
  <c r="I94" i="20"/>
  <c r="I93" i="20"/>
  <c r="I92" i="20"/>
  <c r="I91" i="20"/>
  <c r="I90" i="20"/>
  <c r="I89" i="20"/>
  <c r="I88" i="20"/>
  <c r="I87" i="20"/>
  <c r="I86" i="20"/>
  <c r="I85" i="20"/>
  <c r="I84" i="20"/>
  <c r="I83" i="20"/>
  <c r="I82" i="20"/>
  <c r="I81" i="20"/>
  <c r="I80" i="20"/>
  <c r="I79" i="20"/>
  <c r="I78" i="20"/>
  <c r="I77" i="20"/>
  <c r="I76" i="20"/>
  <c r="I75" i="20"/>
  <c r="I74" i="20"/>
  <c r="I73" i="20"/>
  <c r="I72" i="20"/>
  <c r="I71" i="20"/>
  <c r="I70" i="20"/>
  <c r="I69" i="20"/>
  <c r="I68" i="20"/>
  <c r="I67" i="20"/>
  <c r="I66" i="20"/>
  <c r="I65" i="20"/>
  <c r="I64" i="20"/>
  <c r="I63" i="20"/>
  <c r="I62" i="20"/>
  <c r="I61" i="20"/>
  <c r="I60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I4" i="20"/>
  <c r="I3" i="20"/>
  <c r="I2" i="20"/>
  <c r="O251" i="19"/>
  <c r="O250" i="19"/>
  <c r="O249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O217" i="18"/>
  <c r="O216" i="18"/>
  <c r="O215" i="18"/>
  <c r="I209" i="18"/>
  <c r="I208" i="18"/>
  <c r="I207" i="18"/>
  <c r="I206" i="18"/>
  <c r="I205" i="18"/>
  <c r="I204" i="18"/>
  <c r="I203" i="18"/>
  <c r="I202" i="18"/>
  <c r="I201" i="18"/>
  <c r="I200" i="18"/>
  <c r="I199" i="18"/>
  <c r="I198" i="18"/>
  <c r="I197" i="18"/>
  <c r="I196" i="18"/>
  <c r="I195" i="18"/>
  <c r="I194" i="18"/>
  <c r="I193" i="18"/>
  <c r="I192" i="18"/>
  <c r="I191" i="18"/>
  <c r="I190" i="18"/>
  <c r="I189" i="18"/>
  <c r="I188" i="18"/>
  <c r="I187" i="18"/>
  <c r="I186" i="18"/>
  <c r="I185" i="18"/>
  <c r="I184" i="18"/>
  <c r="I183" i="18"/>
  <c r="I182" i="18"/>
  <c r="I181" i="18"/>
  <c r="I180" i="18"/>
  <c r="I179" i="18"/>
  <c r="I178" i="18"/>
  <c r="I177" i="18"/>
  <c r="I176" i="18"/>
  <c r="I175" i="18"/>
  <c r="I174" i="18"/>
  <c r="I173" i="18"/>
  <c r="I172" i="18"/>
  <c r="I171" i="18"/>
  <c r="I170" i="18"/>
  <c r="I169" i="18"/>
  <c r="I168" i="18"/>
  <c r="I167" i="18"/>
  <c r="I166" i="18"/>
  <c r="I165" i="18"/>
  <c r="I164" i="18"/>
  <c r="I163" i="18"/>
  <c r="I162" i="18"/>
  <c r="I161" i="18"/>
  <c r="I160" i="18"/>
  <c r="I159" i="18"/>
  <c r="I158" i="18"/>
  <c r="I157" i="18"/>
  <c r="I156" i="18"/>
  <c r="I155" i="18"/>
  <c r="I154" i="18"/>
  <c r="I153" i="18"/>
  <c r="I152" i="18"/>
  <c r="I151" i="18"/>
  <c r="I150" i="18"/>
  <c r="I149" i="18"/>
  <c r="I148" i="18"/>
  <c r="I147" i="18"/>
  <c r="I146" i="18"/>
  <c r="I145" i="18"/>
  <c r="I144" i="18"/>
  <c r="I143" i="18"/>
  <c r="I142" i="18"/>
  <c r="I141" i="18"/>
  <c r="I140" i="18"/>
  <c r="I139" i="18"/>
  <c r="I138" i="18"/>
  <c r="I137" i="18"/>
  <c r="I136" i="18"/>
  <c r="I135" i="18"/>
  <c r="I134" i="18"/>
  <c r="I133" i="18"/>
  <c r="I132" i="18"/>
  <c r="I131" i="18"/>
  <c r="I130" i="18"/>
  <c r="I129" i="18"/>
  <c r="I128" i="18"/>
  <c r="I127" i="18"/>
  <c r="I126" i="18"/>
  <c r="I125" i="18"/>
  <c r="I124" i="18"/>
  <c r="I123" i="18"/>
  <c r="I122" i="18"/>
  <c r="I121" i="18"/>
  <c r="I120" i="18"/>
  <c r="I119" i="18"/>
  <c r="I118" i="18"/>
  <c r="I117" i="18"/>
  <c r="I116" i="18"/>
  <c r="I115" i="18"/>
  <c r="I114" i="18"/>
  <c r="I113" i="18"/>
  <c r="I112" i="18"/>
  <c r="I111" i="18"/>
  <c r="I110" i="18"/>
  <c r="I109" i="18"/>
  <c r="I108" i="18"/>
  <c r="I107" i="18"/>
  <c r="I106" i="18"/>
  <c r="I105" i="18"/>
  <c r="I104" i="18"/>
  <c r="I103" i="18"/>
  <c r="I102" i="18"/>
  <c r="I101" i="18"/>
  <c r="I100" i="18"/>
  <c r="I99" i="18"/>
  <c r="I98" i="18"/>
  <c r="I97" i="18"/>
  <c r="I96" i="18"/>
  <c r="I95" i="18"/>
  <c r="I94" i="18"/>
  <c r="I93" i="18"/>
  <c r="I92" i="18"/>
  <c r="I91" i="18"/>
  <c r="I90" i="18"/>
  <c r="I89" i="18"/>
  <c r="I88" i="18"/>
  <c r="I87" i="18"/>
  <c r="I86" i="18"/>
  <c r="I85" i="18"/>
  <c r="I84" i="18"/>
  <c r="I83" i="18"/>
  <c r="I82" i="18"/>
  <c r="I81" i="18"/>
  <c r="I80" i="18"/>
  <c r="I79" i="18"/>
  <c r="I78" i="18"/>
  <c r="I77" i="18"/>
  <c r="I76" i="18"/>
  <c r="I75" i="18"/>
  <c r="I74" i="18"/>
  <c r="I73" i="18"/>
  <c r="I72" i="18"/>
  <c r="I71" i="18"/>
  <c r="I70" i="18"/>
  <c r="I69" i="18"/>
  <c r="I68" i="18"/>
  <c r="I67" i="18"/>
  <c r="I66" i="18"/>
  <c r="I65" i="18"/>
  <c r="I64" i="18"/>
  <c r="I63" i="18"/>
  <c r="I62" i="18"/>
  <c r="I61" i="18"/>
  <c r="I60" i="18"/>
  <c r="I59" i="18"/>
  <c r="I58" i="18"/>
  <c r="I57" i="18"/>
  <c r="I56" i="18"/>
  <c r="I55" i="18"/>
  <c r="I54" i="18"/>
  <c r="I53" i="18"/>
  <c r="I52" i="18"/>
  <c r="I51" i="18"/>
  <c r="I50" i="18"/>
  <c r="I49" i="18"/>
  <c r="I48" i="18"/>
  <c r="I47" i="18"/>
  <c r="I46" i="18"/>
  <c r="I45" i="18"/>
  <c r="I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I2" i="18"/>
  <c r="O218" i="17"/>
  <c r="O217" i="17"/>
  <c r="O216" i="17"/>
  <c r="I209" i="17"/>
  <c r="I208" i="17"/>
  <c r="I207" i="17"/>
  <c r="I206" i="17"/>
  <c r="I205" i="17"/>
  <c r="I204" i="17"/>
  <c r="I203" i="17"/>
  <c r="I202" i="17"/>
  <c r="I201" i="17"/>
  <c r="I200" i="17"/>
  <c r="I199" i="17"/>
  <c r="I198" i="17"/>
  <c r="I197" i="17"/>
  <c r="I196" i="17"/>
  <c r="I195" i="17"/>
  <c r="I194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181" i="17"/>
  <c r="I180" i="17"/>
  <c r="I179" i="17"/>
  <c r="I178" i="17"/>
  <c r="I177" i="17"/>
  <c r="I176" i="17"/>
  <c r="I175" i="17"/>
  <c r="I174" i="17"/>
  <c r="I173" i="17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52" i="17"/>
  <c r="I151" i="17"/>
  <c r="I150" i="17"/>
  <c r="I149" i="17"/>
  <c r="I148" i="17"/>
  <c r="I147" i="17"/>
  <c r="I146" i="17"/>
  <c r="I145" i="17"/>
  <c r="I144" i="17"/>
  <c r="I143" i="17"/>
  <c r="I142" i="17"/>
  <c r="I141" i="17"/>
  <c r="I140" i="17"/>
  <c r="I139" i="17"/>
  <c r="I138" i="17"/>
  <c r="I137" i="17"/>
  <c r="I136" i="17"/>
  <c r="I135" i="17"/>
  <c r="I134" i="17"/>
  <c r="I133" i="17"/>
  <c r="I132" i="17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O170" i="16"/>
  <c r="O169" i="16"/>
  <c r="O168" i="16"/>
  <c r="I2" i="17"/>
  <c r="I165" i="16"/>
  <c r="I164" i="16"/>
  <c r="I163" i="16"/>
  <c r="I162" i="16"/>
  <c r="I161" i="16"/>
  <c r="I160" i="16"/>
  <c r="I159" i="16"/>
  <c r="I158" i="16"/>
  <c r="I157" i="16"/>
  <c r="I156" i="16"/>
  <c r="I155" i="16"/>
  <c r="I154" i="16"/>
  <c r="I153" i="16"/>
  <c r="I152" i="16"/>
  <c r="I151" i="16"/>
  <c r="I150" i="16"/>
  <c r="I149" i="16"/>
  <c r="I148" i="16"/>
  <c r="I147" i="16"/>
  <c r="I146" i="16"/>
  <c r="I145" i="16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2" i="16"/>
  <c r="O237" i="15"/>
  <c r="O236" i="15"/>
  <c r="O235" i="15"/>
  <c r="I232" i="15"/>
  <c r="I231" i="15"/>
  <c r="I230" i="15"/>
  <c r="I229" i="15"/>
  <c r="I228" i="15"/>
  <c r="I227" i="15"/>
  <c r="I226" i="15"/>
  <c r="I225" i="15"/>
  <c r="I224" i="15"/>
  <c r="I223" i="15"/>
  <c r="I222" i="15"/>
  <c r="I221" i="15"/>
  <c r="I220" i="15"/>
  <c r="I219" i="15"/>
  <c r="I218" i="15"/>
  <c r="I217" i="15"/>
  <c r="I216" i="15"/>
  <c r="I215" i="15"/>
  <c r="I214" i="15"/>
  <c r="I213" i="15"/>
  <c r="I212" i="15"/>
  <c r="I211" i="15"/>
  <c r="I210" i="15"/>
  <c r="I209" i="15"/>
  <c r="I208" i="15"/>
  <c r="I207" i="15"/>
  <c r="I206" i="15"/>
  <c r="I205" i="15"/>
  <c r="I204" i="15"/>
  <c r="I203" i="15"/>
  <c r="I202" i="15"/>
  <c r="I201" i="15"/>
  <c r="I200" i="15"/>
  <c r="I199" i="15"/>
  <c r="I198" i="15"/>
  <c r="I197" i="15"/>
  <c r="I196" i="15"/>
  <c r="I195" i="15"/>
  <c r="I194" i="15"/>
  <c r="I193" i="15"/>
  <c r="I192" i="15"/>
  <c r="I191" i="15"/>
  <c r="I190" i="15"/>
  <c r="I189" i="15"/>
  <c r="I188" i="15"/>
  <c r="I187" i="15"/>
  <c r="I186" i="15"/>
  <c r="I185" i="15"/>
  <c r="I184" i="15"/>
  <c r="I183" i="15"/>
  <c r="I182" i="15"/>
  <c r="I181" i="15"/>
  <c r="I180" i="15"/>
  <c r="I179" i="15"/>
  <c r="I178" i="15"/>
  <c r="I177" i="15"/>
  <c r="I176" i="15"/>
  <c r="I175" i="15"/>
  <c r="I174" i="15"/>
  <c r="I173" i="15"/>
  <c r="I172" i="15"/>
  <c r="I171" i="15"/>
  <c r="I170" i="15"/>
  <c r="I169" i="15"/>
  <c r="I168" i="15"/>
  <c r="I167" i="15"/>
  <c r="I166" i="15"/>
  <c r="I165" i="15"/>
  <c r="I164" i="15"/>
  <c r="I163" i="15"/>
  <c r="I162" i="15"/>
  <c r="I161" i="15"/>
  <c r="I160" i="15"/>
  <c r="I159" i="15"/>
  <c r="I158" i="15"/>
  <c r="I157" i="15"/>
  <c r="I156" i="15"/>
  <c r="I155" i="15"/>
  <c r="I154" i="15"/>
  <c r="I153" i="15"/>
  <c r="I152" i="15"/>
  <c r="I151" i="15"/>
  <c r="I150" i="15"/>
  <c r="I149" i="15"/>
  <c r="I148" i="15"/>
  <c r="I147" i="15"/>
  <c r="I146" i="15"/>
  <c r="I145" i="15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31" i="15"/>
  <c r="I130" i="15"/>
  <c r="I129" i="15"/>
  <c r="I128" i="15"/>
  <c r="I127" i="15"/>
  <c r="I126" i="15"/>
  <c r="I125" i="15"/>
  <c r="I124" i="15"/>
  <c r="I123" i="15"/>
  <c r="I122" i="15"/>
  <c r="I121" i="15"/>
  <c r="I120" i="15"/>
  <c r="I119" i="15"/>
  <c r="I118" i="15"/>
  <c r="I117" i="15"/>
  <c r="I116" i="15"/>
  <c r="I115" i="15"/>
  <c r="I114" i="15"/>
  <c r="I113" i="15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0" i="15"/>
  <c r="I99" i="15"/>
  <c r="I98" i="15"/>
  <c r="I97" i="15"/>
  <c r="I96" i="15"/>
  <c r="I95" i="15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I2" i="15"/>
  <c r="O119" i="14"/>
  <c r="O118" i="14"/>
  <c r="O117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2" i="14"/>
  <c r="I2" i="12"/>
  <c r="O174" i="12"/>
  <c r="O173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62" i="12"/>
  <c r="I163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E180" i="21"/>
  <c r="D180" i="21"/>
  <c r="E179" i="21"/>
  <c r="D179" i="21"/>
  <c r="E178" i="21"/>
  <c r="D178" i="21"/>
  <c r="E177" i="21"/>
  <c r="D177" i="21"/>
  <c r="E176" i="21"/>
  <c r="D176" i="21"/>
  <c r="E175" i="21"/>
  <c r="D175" i="21"/>
  <c r="E174" i="21"/>
  <c r="D174" i="21"/>
  <c r="E173" i="21"/>
  <c r="D173" i="21"/>
  <c r="E172" i="21"/>
  <c r="D172" i="21"/>
  <c r="E171" i="21"/>
  <c r="D171" i="21"/>
  <c r="E170" i="21"/>
  <c r="D170" i="21"/>
  <c r="E169" i="21"/>
  <c r="D169" i="21"/>
  <c r="E156" i="21"/>
  <c r="D156" i="21"/>
  <c r="E155" i="21"/>
  <c r="D155" i="21"/>
  <c r="E154" i="21"/>
  <c r="D154" i="21"/>
  <c r="E153" i="21"/>
  <c r="D153" i="21"/>
  <c r="E152" i="21"/>
  <c r="D152" i="21"/>
  <c r="E151" i="21"/>
  <c r="D151" i="21"/>
  <c r="E150" i="21"/>
  <c r="D150" i="21"/>
  <c r="E149" i="21"/>
  <c r="D149" i="21"/>
  <c r="E148" i="21"/>
  <c r="D148" i="21"/>
  <c r="E147" i="21"/>
  <c r="D147" i="21"/>
  <c r="E146" i="21"/>
  <c r="D146" i="21"/>
  <c r="E145" i="21"/>
  <c r="D145" i="21"/>
  <c r="E143" i="21"/>
  <c r="D143" i="21"/>
  <c r="N79" i="1"/>
  <c r="E129" i="21"/>
  <c r="D129" i="21"/>
  <c r="E128" i="21"/>
  <c r="D128" i="21"/>
  <c r="E127" i="21"/>
  <c r="D127" i="21"/>
  <c r="E126" i="21"/>
  <c r="D126" i="21"/>
  <c r="E125" i="21"/>
  <c r="D125" i="21"/>
  <c r="E124" i="21"/>
  <c r="D124" i="21"/>
  <c r="E123" i="21"/>
  <c r="D123" i="21"/>
  <c r="E122" i="21"/>
  <c r="D122" i="21"/>
  <c r="E121" i="21"/>
  <c r="D121" i="21"/>
  <c r="E120" i="21"/>
  <c r="D120" i="21"/>
  <c r="E119" i="21"/>
  <c r="D119" i="21"/>
  <c r="E118" i="21"/>
  <c r="D118" i="21"/>
  <c r="E117" i="21"/>
  <c r="D117" i="21"/>
  <c r="E116" i="21"/>
  <c r="D116" i="21"/>
  <c r="E115" i="21"/>
  <c r="D115" i="21"/>
  <c r="E114" i="21"/>
  <c r="D114" i="21"/>
  <c r="E113" i="21"/>
  <c r="D113" i="21"/>
  <c r="E112" i="21"/>
  <c r="D112" i="21"/>
  <c r="E111" i="21"/>
  <c r="D111" i="21"/>
  <c r="E110" i="21"/>
  <c r="D110" i="21"/>
  <c r="E109" i="21"/>
  <c r="D109" i="21"/>
  <c r="E108" i="21"/>
  <c r="D108" i="21"/>
  <c r="E107" i="21"/>
  <c r="D107" i="21"/>
  <c r="E106" i="21"/>
  <c r="D106" i="21"/>
  <c r="E105" i="21"/>
  <c r="D105" i="21"/>
  <c r="E104" i="21"/>
  <c r="D104" i="21"/>
  <c r="E103" i="21"/>
  <c r="D103" i="21"/>
  <c r="E102" i="21"/>
  <c r="D102" i="21"/>
  <c r="E101" i="21"/>
  <c r="D101" i="21"/>
  <c r="E100" i="21"/>
  <c r="D100" i="21"/>
  <c r="E99" i="21"/>
  <c r="D99" i="21"/>
  <c r="E98" i="21"/>
  <c r="D98" i="21"/>
  <c r="E97" i="21"/>
  <c r="D97" i="21"/>
  <c r="E96" i="21"/>
  <c r="D96" i="21"/>
  <c r="E95" i="21"/>
  <c r="D95" i="21"/>
  <c r="E94" i="21"/>
  <c r="D94" i="21"/>
  <c r="E93" i="21"/>
  <c r="D93" i="21"/>
  <c r="E92" i="21"/>
  <c r="D92" i="21"/>
  <c r="E91" i="21"/>
  <c r="D91" i="21"/>
  <c r="E90" i="21"/>
  <c r="D90" i="21"/>
  <c r="E89" i="21"/>
  <c r="D89" i="21"/>
  <c r="E88" i="21"/>
  <c r="D88" i="21"/>
  <c r="E87" i="21"/>
  <c r="D87" i="21"/>
  <c r="E86" i="21"/>
  <c r="D86" i="21"/>
  <c r="E85" i="21"/>
  <c r="D85" i="21"/>
  <c r="E84" i="21"/>
  <c r="D84" i="21"/>
  <c r="E83" i="21"/>
  <c r="D83" i="21"/>
  <c r="E82" i="21"/>
  <c r="D82" i="21"/>
  <c r="E81" i="21"/>
  <c r="D81" i="21"/>
  <c r="E80" i="21"/>
  <c r="D80" i="21"/>
  <c r="E79" i="21"/>
  <c r="D79" i="21"/>
  <c r="E78" i="21"/>
  <c r="D78" i="21"/>
  <c r="E77" i="21"/>
  <c r="D77" i="21"/>
  <c r="E76" i="21"/>
  <c r="D76" i="21"/>
  <c r="E75" i="21"/>
  <c r="D75" i="21"/>
  <c r="E74" i="21"/>
  <c r="D74" i="21"/>
  <c r="E73" i="21"/>
  <c r="D73" i="21"/>
  <c r="E72" i="21"/>
  <c r="D72" i="21"/>
  <c r="E71" i="21"/>
  <c r="D71" i="21"/>
  <c r="E70" i="21"/>
  <c r="D70" i="21"/>
  <c r="E69" i="21"/>
  <c r="D69" i="21"/>
  <c r="E68" i="21"/>
  <c r="D68" i="21"/>
  <c r="E67" i="21"/>
  <c r="D67" i="21"/>
  <c r="E66" i="21"/>
  <c r="D66" i="21"/>
  <c r="E65" i="21"/>
  <c r="D65" i="21"/>
  <c r="E64" i="21"/>
  <c r="D64" i="21"/>
  <c r="E63" i="21"/>
  <c r="D63" i="21"/>
  <c r="E62" i="21"/>
  <c r="D62" i="21"/>
  <c r="E61" i="21"/>
  <c r="D61" i="21"/>
  <c r="E60" i="21"/>
  <c r="D60" i="21"/>
  <c r="E59" i="21"/>
  <c r="D59" i="21"/>
  <c r="E58" i="21"/>
  <c r="D58" i="21"/>
  <c r="E57" i="21"/>
  <c r="D57" i="21"/>
  <c r="E56" i="21"/>
  <c r="D56" i="21"/>
  <c r="E55" i="21"/>
  <c r="D55" i="21"/>
  <c r="E54" i="21"/>
  <c r="D54" i="21"/>
  <c r="E53" i="21"/>
  <c r="D53" i="21"/>
  <c r="E52" i="21"/>
  <c r="D52" i="21"/>
  <c r="E51" i="21"/>
  <c r="D51" i="21"/>
  <c r="M79" i="1"/>
  <c r="J79" i="1"/>
  <c r="I79" i="1"/>
  <c r="H79" i="1"/>
  <c r="G79" i="1"/>
  <c r="E199" i="22"/>
  <c r="D199" i="22"/>
  <c r="E198" i="22"/>
  <c r="D198" i="22"/>
  <c r="E197" i="22"/>
  <c r="D197" i="22"/>
  <c r="E196" i="22"/>
  <c r="D196" i="22"/>
  <c r="E195" i="22"/>
  <c r="D195" i="22"/>
  <c r="E194" i="22"/>
  <c r="D194" i="22"/>
  <c r="E192" i="22"/>
  <c r="D192" i="22"/>
  <c r="E191" i="22"/>
  <c r="D191" i="22"/>
  <c r="E190" i="22"/>
  <c r="D190" i="22"/>
  <c r="E189" i="22"/>
  <c r="D189" i="22"/>
  <c r="E188" i="22"/>
  <c r="D188" i="22"/>
  <c r="E187" i="22"/>
  <c r="D187" i="22"/>
  <c r="E186" i="22"/>
  <c r="D186" i="22"/>
  <c r="E185" i="22"/>
  <c r="D185" i="22"/>
  <c r="E184" i="22"/>
  <c r="D184" i="22"/>
  <c r="E183" i="22"/>
  <c r="D183" i="22"/>
  <c r="E182" i="22"/>
  <c r="D182" i="22"/>
  <c r="E181" i="22"/>
  <c r="D181" i="22"/>
  <c r="E180" i="22"/>
  <c r="D180" i="22"/>
  <c r="E179" i="22"/>
  <c r="D179" i="22"/>
  <c r="E178" i="22"/>
  <c r="D178" i="22"/>
  <c r="E177" i="22"/>
  <c r="D177" i="22"/>
  <c r="E176" i="22"/>
  <c r="D176" i="22"/>
  <c r="E175" i="22"/>
  <c r="D175" i="22"/>
  <c r="E174" i="22"/>
  <c r="D174" i="22"/>
  <c r="E173" i="22"/>
  <c r="D173" i="22"/>
  <c r="E172" i="22"/>
  <c r="D172" i="22"/>
  <c r="E171" i="22"/>
  <c r="D171" i="22"/>
  <c r="E170" i="22"/>
  <c r="D170" i="22"/>
  <c r="E169" i="22"/>
  <c r="D169" i="22"/>
  <c r="E168" i="22"/>
  <c r="D168" i="22"/>
  <c r="E167" i="22"/>
  <c r="D167" i="22"/>
  <c r="E165" i="22"/>
  <c r="D165" i="22"/>
  <c r="E237" i="22"/>
  <c r="D237" i="22"/>
  <c r="E218" i="22"/>
  <c r="D218" i="22"/>
  <c r="E217" i="22"/>
  <c r="D217" i="22"/>
  <c r="E216" i="22"/>
  <c r="D216" i="22"/>
  <c r="E215" i="22"/>
  <c r="D215" i="22"/>
  <c r="E214" i="22"/>
  <c r="D214" i="22"/>
  <c r="E213" i="22"/>
  <c r="D213" i="22"/>
  <c r="E211" i="22"/>
  <c r="D211" i="22"/>
  <c r="E210" i="22"/>
  <c r="D210" i="22"/>
  <c r="E209" i="22"/>
  <c r="D209" i="22"/>
  <c r="E208" i="22"/>
  <c r="D208" i="22"/>
  <c r="E207" i="22"/>
  <c r="D207" i="22"/>
  <c r="E206" i="22"/>
  <c r="D206" i="22"/>
  <c r="E205" i="22"/>
  <c r="D205" i="22"/>
  <c r="E204" i="22"/>
  <c r="D204" i="22"/>
  <c r="E203" i="22"/>
  <c r="D203" i="22"/>
  <c r="E202" i="22"/>
  <c r="D202" i="22"/>
  <c r="E201" i="22"/>
  <c r="D201" i="22"/>
  <c r="E200" i="22"/>
  <c r="D200" i="22"/>
  <c r="E164" i="22"/>
  <c r="D164" i="22"/>
  <c r="E163" i="22"/>
  <c r="D163" i="22"/>
  <c r="E162" i="22"/>
  <c r="D162" i="22"/>
  <c r="E161" i="22"/>
  <c r="D161" i="22"/>
  <c r="E160" i="22"/>
  <c r="D160" i="22"/>
  <c r="E159" i="22"/>
  <c r="D159" i="22"/>
  <c r="E158" i="22"/>
  <c r="D158" i="22"/>
  <c r="E157" i="22"/>
  <c r="D157" i="22"/>
  <c r="E156" i="22"/>
  <c r="D156" i="22"/>
  <c r="E155" i="22"/>
  <c r="D155" i="22"/>
  <c r="E154" i="22"/>
  <c r="D154" i="22"/>
  <c r="E153" i="22"/>
  <c r="D153" i="22"/>
  <c r="E152" i="22"/>
  <c r="D152" i="22"/>
  <c r="E151" i="22"/>
  <c r="D151" i="22"/>
  <c r="E150" i="22"/>
  <c r="D150" i="22"/>
  <c r="E149" i="22"/>
  <c r="D149" i="22"/>
  <c r="E148" i="22"/>
  <c r="D148" i="22"/>
  <c r="E147" i="22"/>
  <c r="D147" i="22"/>
  <c r="E146" i="22"/>
  <c r="D146" i="22"/>
  <c r="E145" i="22"/>
  <c r="D145" i="22"/>
  <c r="E144" i="22"/>
  <c r="D144" i="22"/>
  <c r="E143" i="22"/>
  <c r="D143" i="22"/>
  <c r="E142" i="22"/>
  <c r="D142" i="22"/>
  <c r="E141" i="22"/>
  <c r="D141" i="22"/>
  <c r="E140" i="22"/>
  <c r="D140" i="22"/>
  <c r="E139" i="22"/>
  <c r="D139" i="22"/>
  <c r="E138" i="22"/>
  <c r="D138" i="22"/>
  <c r="E137" i="22"/>
  <c r="D137" i="22"/>
  <c r="E136" i="22"/>
  <c r="D136" i="22"/>
  <c r="E135" i="22"/>
  <c r="D135" i="22"/>
  <c r="E134" i="22"/>
  <c r="D134" i="22"/>
  <c r="E133" i="22"/>
  <c r="D133" i="22"/>
  <c r="E132" i="22"/>
  <c r="D132" i="22"/>
  <c r="E131" i="22"/>
  <c r="D131" i="22"/>
  <c r="E130" i="22"/>
  <c r="D130" i="22"/>
  <c r="E129" i="22"/>
  <c r="D129" i="22"/>
  <c r="E128" i="22"/>
  <c r="D128" i="22"/>
  <c r="E127" i="22"/>
  <c r="D127" i="22"/>
  <c r="E126" i="22"/>
  <c r="D126" i="22"/>
  <c r="E125" i="22"/>
  <c r="D125" i="22"/>
  <c r="E124" i="22"/>
  <c r="D124" i="22"/>
  <c r="E123" i="22"/>
  <c r="D123" i="22"/>
  <c r="E122" i="22"/>
  <c r="D122" i="22"/>
  <c r="E121" i="22"/>
  <c r="D121" i="22"/>
  <c r="E120" i="22"/>
  <c r="D120" i="22"/>
  <c r="E119" i="22"/>
  <c r="D119" i="22"/>
  <c r="E118" i="22"/>
  <c r="D118" i="22"/>
  <c r="E117" i="22"/>
  <c r="D117" i="22"/>
  <c r="E116" i="22"/>
  <c r="D116" i="22"/>
  <c r="E115" i="22"/>
  <c r="D115" i="22"/>
  <c r="E114" i="22"/>
  <c r="D114" i="22"/>
  <c r="E113" i="22"/>
  <c r="D113" i="22"/>
  <c r="E112" i="22"/>
  <c r="D112" i="22"/>
  <c r="E111" i="22"/>
  <c r="D111" i="22"/>
  <c r="E110" i="22"/>
  <c r="D110" i="22"/>
  <c r="E109" i="22"/>
  <c r="D109" i="22"/>
  <c r="E108" i="22"/>
  <c r="D108" i="22"/>
  <c r="E107" i="22"/>
  <c r="D107" i="22"/>
  <c r="E106" i="22"/>
  <c r="D106" i="22"/>
  <c r="E105" i="22"/>
  <c r="D105" i="22"/>
  <c r="E104" i="22"/>
  <c r="D104" i="22"/>
  <c r="E103" i="22"/>
  <c r="D103" i="22"/>
  <c r="E102" i="22"/>
  <c r="D102" i="22"/>
  <c r="E101" i="22"/>
  <c r="D101" i="22"/>
  <c r="E100" i="22"/>
  <c r="D100" i="22"/>
  <c r="E99" i="22"/>
  <c r="D99" i="22"/>
  <c r="E98" i="22"/>
  <c r="D98" i="22"/>
  <c r="E97" i="22"/>
  <c r="D97" i="22"/>
  <c r="E96" i="22"/>
  <c r="D96" i="22"/>
  <c r="E95" i="22"/>
  <c r="D95" i="22"/>
  <c r="E94" i="22"/>
  <c r="D94" i="22"/>
  <c r="E93" i="22"/>
  <c r="D93" i="22"/>
  <c r="E92" i="22"/>
  <c r="D92" i="22"/>
  <c r="E91" i="22"/>
  <c r="D91" i="22"/>
  <c r="E90" i="22"/>
  <c r="D90" i="22"/>
  <c r="E89" i="22"/>
  <c r="D89" i="22"/>
  <c r="E88" i="22"/>
  <c r="D88" i="22"/>
  <c r="E87" i="22"/>
  <c r="D87" i="22"/>
  <c r="E86" i="22"/>
  <c r="D86" i="22"/>
  <c r="E85" i="22"/>
  <c r="D85" i="22"/>
  <c r="E84" i="22"/>
  <c r="D84" i="22"/>
  <c r="E83" i="22"/>
  <c r="D83" i="22"/>
  <c r="E82" i="22"/>
  <c r="D82" i="22"/>
  <c r="E81" i="22"/>
  <c r="D81" i="22"/>
  <c r="E80" i="22"/>
  <c r="D80" i="22"/>
  <c r="E79" i="22"/>
  <c r="D79" i="22"/>
  <c r="E78" i="22"/>
  <c r="D78" i="22"/>
  <c r="E77" i="22"/>
  <c r="D77" i="22"/>
  <c r="E76" i="22"/>
  <c r="D76" i="22"/>
  <c r="E161" i="21"/>
  <c r="D161" i="21"/>
  <c r="E160" i="21"/>
  <c r="D160" i="21"/>
  <c r="E159" i="21"/>
  <c r="D159" i="21"/>
  <c r="E158" i="21"/>
  <c r="D158" i="21"/>
  <c r="E110" i="20"/>
  <c r="D110" i="20"/>
  <c r="E109" i="20"/>
  <c r="D109" i="20"/>
  <c r="E108" i="20"/>
  <c r="D108" i="20"/>
  <c r="E107" i="20"/>
  <c r="D107" i="20"/>
  <c r="E106" i="20"/>
  <c r="D106" i="20"/>
  <c r="E105" i="20"/>
  <c r="D105" i="20"/>
  <c r="E104" i="20"/>
  <c r="D104" i="20"/>
  <c r="E103" i="20"/>
  <c r="D103" i="20"/>
  <c r="E102" i="20"/>
  <c r="D102" i="20"/>
  <c r="E100" i="20"/>
  <c r="D100" i="20"/>
  <c r="E99" i="20"/>
  <c r="D99" i="20"/>
  <c r="E98" i="20"/>
  <c r="D98" i="20"/>
  <c r="E97" i="20"/>
  <c r="D97" i="20"/>
  <c r="E96" i="20"/>
  <c r="D96" i="20"/>
  <c r="E95" i="20"/>
  <c r="D95" i="20"/>
  <c r="E94" i="20"/>
  <c r="D94" i="20"/>
  <c r="E93" i="20"/>
  <c r="D93" i="20"/>
  <c r="E92" i="20"/>
  <c r="D92" i="20"/>
  <c r="E91" i="20"/>
  <c r="D91" i="20"/>
  <c r="E90" i="20"/>
  <c r="D90" i="20"/>
  <c r="E89" i="20"/>
  <c r="D89" i="20"/>
  <c r="E88" i="20"/>
  <c r="D88" i="20"/>
  <c r="E87" i="20"/>
  <c r="D87" i="20"/>
  <c r="E86" i="20"/>
  <c r="D86" i="20"/>
  <c r="E80" i="20"/>
  <c r="D80" i="20"/>
  <c r="E79" i="20"/>
  <c r="D79" i="20"/>
  <c r="E78" i="20"/>
  <c r="D78" i="20"/>
  <c r="E77" i="20"/>
  <c r="D77" i="20"/>
  <c r="E76" i="20"/>
  <c r="D76" i="20"/>
  <c r="E75" i="20"/>
  <c r="D75" i="20"/>
  <c r="E74" i="20"/>
  <c r="D74" i="20"/>
  <c r="E73" i="20"/>
  <c r="D73" i="20"/>
  <c r="E72" i="20"/>
  <c r="D72" i="20"/>
  <c r="E71" i="20"/>
  <c r="D71" i="20"/>
  <c r="E70" i="20"/>
  <c r="D70" i="20"/>
  <c r="E69" i="20"/>
  <c r="D69" i="20"/>
  <c r="E68" i="20"/>
  <c r="D68" i="20"/>
  <c r="E67" i="20"/>
  <c r="D67" i="20"/>
  <c r="E66" i="20"/>
  <c r="D66" i="20"/>
  <c r="E65" i="20"/>
  <c r="D65" i="20"/>
  <c r="E64" i="20"/>
  <c r="D64" i="20"/>
  <c r="E63" i="20"/>
  <c r="D63" i="20"/>
  <c r="E62" i="20"/>
  <c r="D62" i="20"/>
  <c r="E61" i="20"/>
  <c r="D61" i="20"/>
  <c r="E60" i="20"/>
  <c r="D60" i="20"/>
  <c r="E59" i="20"/>
  <c r="D59" i="20"/>
  <c r="E58" i="20"/>
  <c r="D58" i="20"/>
  <c r="E57" i="20"/>
  <c r="D57" i="20"/>
  <c r="E56" i="20"/>
  <c r="D56" i="20"/>
  <c r="E55" i="20"/>
  <c r="D55" i="20"/>
  <c r="E54" i="20"/>
  <c r="D54" i="20"/>
  <c r="E53" i="20"/>
  <c r="D53" i="20"/>
  <c r="E52" i="20"/>
  <c r="D52" i="20"/>
  <c r="E51" i="20"/>
  <c r="D51" i="20"/>
  <c r="E185" i="20"/>
  <c r="D185" i="20"/>
  <c r="E184" i="20"/>
  <c r="D184" i="20"/>
  <c r="E183" i="20"/>
  <c r="D183" i="20"/>
  <c r="E182" i="20"/>
  <c r="D182" i="20"/>
  <c r="E181" i="20"/>
  <c r="D181" i="20"/>
  <c r="E180" i="20"/>
  <c r="D180" i="20"/>
  <c r="E179" i="20"/>
  <c r="D179" i="20"/>
  <c r="E178" i="20"/>
  <c r="D178" i="20"/>
  <c r="E177" i="20"/>
  <c r="D177" i="20"/>
  <c r="E176" i="20"/>
  <c r="D176" i="20"/>
  <c r="E175" i="20"/>
  <c r="D175" i="20"/>
  <c r="E174" i="20"/>
  <c r="D174" i="20"/>
  <c r="E173" i="20"/>
  <c r="D173" i="20"/>
  <c r="E172" i="20"/>
  <c r="D172" i="20"/>
  <c r="E171" i="20"/>
  <c r="D171" i="20"/>
  <c r="E170" i="20"/>
  <c r="D170" i="20"/>
  <c r="E169" i="20"/>
  <c r="D169" i="20"/>
  <c r="E168" i="20"/>
  <c r="D168" i="20"/>
  <c r="E167" i="20"/>
  <c r="D167" i="20"/>
  <c r="E166" i="20"/>
  <c r="D166" i="20"/>
  <c r="E165" i="20"/>
  <c r="D165" i="20"/>
  <c r="E164" i="20"/>
  <c r="D164" i="20"/>
  <c r="E163" i="20"/>
  <c r="D163" i="20"/>
  <c r="E162" i="20"/>
  <c r="D162" i="20"/>
  <c r="E161" i="20"/>
  <c r="D161" i="20"/>
  <c r="E160" i="20"/>
  <c r="D160" i="20"/>
  <c r="E159" i="20"/>
  <c r="D159" i="20"/>
  <c r="E158" i="20"/>
  <c r="D158" i="20"/>
  <c r="E157" i="20"/>
  <c r="D157" i="20"/>
  <c r="E156" i="20"/>
  <c r="D156" i="20"/>
  <c r="E155" i="20"/>
  <c r="D155" i="20"/>
  <c r="E154" i="20"/>
  <c r="D154" i="20"/>
  <c r="E153" i="20"/>
  <c r="D153" i="20"/>
  <c r="E152" i="20"/>
  <c r="D152" i="20"/>
  <c r="E151" i="20"/>
  <c r="D151" i="20"/>
  <c r="E150" i="20"/>
  <c r="D150" i="20"/>
  <c r="E149" i="20"/>
  <c r="D149" i="20"/>
  <c r="E148" i="20"/>
  <c r="D148" i="20"/>
  <c r="E147" i="20"/>
  <c r="D147" i="20"/>
  <c r="E146" i="20"/>
  <c r="D146" i="20"/>
  <c r="E145" i="20"/>
  <c r="D145" i="20"/>
  <c r="E144" i="20"/>
  <c r="D144" i="20"/>
  <c r="E143" i="20"/>
  <c r="D143" i="20"/>
  <c r="E142" i="20"/>
  <c r="D142" i="20"/>
  <c r="E141" i="20"/>
  <c r="D141" i="20"/>
  <c r="E140" i="20"/>
  <c r="D140" i="20"/>
  <c r="E139" i="20"/>
  <c r="D139" i="20"/>
  <c r="E138" i="20"/>
  <c r="D138" i="20"/>
  <c r="E137" i="20"/>
  <c r="D137" i="20"/>
  <c r="E136" i="20"/>
  <c r="D136" i="20"/>
  <c r="E135" i="20"/>
  <c r="D135" i="20"/>
  <c r="E134" i="20"/>
  <c r="D134" i="20"/>
  <c r="E133" i="20"/>
  <c r="D133" i="20"/>
  <c r="E132" i="20"/>
  <c r="D132" i="20"/>
  <c r="E131" i="20"/>
  <c r="D131" i="20"/>
  <c r="E130" i="20"/>
  <c r="D130" i="20"/>
  <c r="E129" i="20"/>
  <c r="D129" i="20"/>
  <c r="E128" i="20"/>
  <c r="D128" i="20"/>
  <c r="E127" i="20"/>
  <c r="D127" i="20"/>
  <c r="E126" i="20"/>
  <c r="D126" i="20"/>
  <c r="E125" i="20"/>
  <c r="D125" i="20"/>
  <c r="E124" i="20"/>
  <c r="D124" i="20"/>
  <c r="E123" i="20"/>
  <c r="D123" i="20"/>
  <c r="E122" i="20"/>
  <c r="D122" i="20"/>
  <c r="E121" i="20"/>
  <c r="D121" i="20"/>
  <c r="E120" i="20"/>
  <c r="D120" i="20"/>
  <c r="E119" i="20"/>
  <c r="D119" i="20"/>
  <c r="E118" i="20"/>
  <c r="D118" i="20"/>
  <c r="E117" i="20"/>
  <c r="D117" i="20"/>
  <c r="E116" i="20"/>
  <c r="D116" i="20"/>
  <c r="E115" i="20"/>
  <c r="D115" i="20"/>
  <c r="E114" i="20"/>
  <c r="D114" i="20"/>
  <c r="E113" i="20"/>
  <c r="D113" i="20"/>
  <c r="E202" i="20"/>
  <c r="D202" i="20"/>
  <c r="E201" i="20"/>
  <c r="D201" i="20"/>
  <c r="E200" i="20"/>
  <c r="D200" i="20"/>
  <c r="E199" i="20"/>
  <c r="D199" i="20"/>
  <c r="E198" i="20"/>
  <c r="D198" i="20"/>
  <c r="E197" i="20"/>
  <c r="D197" i="20"/>
  <c r="E196" i="20"/>
  <c r="D196" i="20"/>
  <c r="E195" i="20"/>
  <c r="D195" i="20"/>
  <c r="E194" i="20"/>
  <c r="D194" i="20"/>
  <c r="E193" i="20"/>
  <c r="D193" i="20"/>
  <c r="E192" i="20"/>
  <c r="D192" i="20"/>
  <c r="E191" i="20"/>
  <c r="D191" i="20"/>
  <c r="E190" i="20"/>
  <c r="D190" i="20"/>
  <c r="E189" i="20"/>
  <c r="D189" i="20"/>
  <c r="E188" i="20"/>
  <c r="D188" i="20"/>
  <c r="E187" i="20"/>
  <c r="D187" i="20"/>
  <c r="E127" i="19"/>
  <c r="D127" i="19"/>
  <c r="E126" i="19"/>
  <c r="D126" i="19"/>
  <c r="E125" i="19"/>
  <c r="D125" i="19"/>
  <c r="E124" i="19"/>
  <c r="D124" i="19"/>
  <c r="E123" i="19"/>
  <c r="D123" i="19"/>
  <c r="E122" i="19"/>
  <c r="D122" i="19"/>
  <c r="E121" i="19"/>
  <c r="D121" i="19"/>
  <c r="E120" i="19"/>
  <c r="D120" i="19"/>
  <c r="E119" i="19"/>
  <c r="D119" i="19"/>
  <c r="E215" i="19"/>
  <c r="D215" i="19"/>
  <c r="E214" i="19"/>
  <c r="D214" i="19"/>
  <c r="E213" i="19"/>
  <c r="D213" i="19"/>
  <c r="E212" i="19"/>
  <c r="D212" i="19"/>
  <c r="E211" i="19"/>
  <c r="D211" i="19"/>
  <c r="E210" i="19"/>
  <c r="D210" i="19"/>
  <c r="E209" i="19"/>
  <c r="D209" i="19"/>
  <c r="E208" i="19"/>
  <c r="D208" i="19"/>
  <c r="E207" i="19"/>
  <c r="D207" i="19"/>
  <c r="E206" i="19"/>
  <c r="D206" i="19"/>
  <c r="E205" i="19"/>
  <c r="D205" i="19"/>
  <c r="E204" i="19"/>
  <c r="D204" i="19"/>
  <c r="E203" i="19"/>
  <c r="D203" i="19"/>
  <c r="E202" i="19"/>
  <c r="D202" i="19"/>
  <c r="E201" i="19"/>
  <c r="D201" i="19"/>
  <c r="E200" i="19"/>
  <c r="D200" i="19"/>
  <c r="E199" i="19"/>
  <c r="D199" i="19"/>
  <c r="E198" i="19"/>
  <c r="D198" i="19"/>
  <c r="E197" i="19"/>
  <c r="D197" i="19"/>
  <c r="E196" i="19"/>
  <c r="D196" i="19"/>
  <c r="E195" i="19"/>
  <c r="D195" i="19"/>
  <c r="E194" i="19"/>
  <c r="D194" i="19"/>
  <c r="E193" i="19"/>
  <c r="D193" i="19"/>
  <c r="E192" i="19"/>
  <c r="D192" i="19"/>
  <c r="E191" i="19"/>
  <c r="D191" i="19"/>
  <c r="E190" i="19"/>
  <c r="D190" i="19"/>
  <c r="E189" i="19"/>
  <c r="D189" i="19"/>
  <c r="E188" i="19"/>
  <c r="D188" i="19"/>
  <c r="E187" i="19"/>
  <c r="D187" i="19"/>
  <c r="E186" i="19"/>
  <c r="D186" i="19"/>
  <c r="E185" i="19"/>
  <c r="D185" i="19"/>
  <c r="E184" i="19"/>
  <c r="D184" i="19"/>
  <c r="E183" i="19"/>
  <c r="D183" i="19"/>
  <c r="E182" i="19"/>
  <c r="D182" i="19"/>
  <c r="E181" i="19"/>
  <c r="D181" i="19"/>
  <c r="E180" i="19"/>
  <c r="D180" i="19"/>
  <c r="E179" i="19"/>
  <c r="D179" i="19"/>
  <c r="E178" i="19"/>
  <c r="D178" i="19"/>
  <c r="E177" i="19"/>
  <c r="D177" i="19"/>
  <c r="E176" i="19"/>
  <c r="D176" i="19"/>
  <c r="E175" i="19"/>
  <c r="D175" i="19"/>
  <c r="E174" i="19"/>
  <c r="D174" i="19"/>
  <c r="E173" i="19"/>
  <c r="D173" i="19"/>
  <c r="E172" i="19"/>
  <c r="D172" i="19"/>
  <c r="E171" i="19"/>
  <c r="D171" i="19"/>
  <c r="E170" i="19"/>
  <c r="D170" i="19"/>
  <c r="E169" i="19"/>
  <c r="D169" i="19"/>
  <c r="E168" i="19"/>
  <c r="D168" i="19"/>
  <c r="E167" i="19"/>
  <c r="D167" i="19"/>
  <c r="E166" i="19"/>
  <c r="D166" i="19"/>
  <c r="E165" i="19"/>
  <c r="D165" i="19"/>
  <c r="E164" i="19"/>
  <c r="D164" i="19"/>
  <c r="E163" i="19"/>
  <c r="D163" i="19"/>
  <c r="E162" i="19"/>
  <c r="D162" i="19"/>
  <c r="E161" i="19"/>
  <c r="D161" i="19"/>
  <c r="E160" i="19"/>
  <c r="D160" i="19"/>
  <c r="E159" i="19"/>
  <c r="D159" i="19"/>
  <c r="E158" i="19"/>
  <c r="D158" i="19"/>
  <c r="E157" i="19"/>
  <c r="D157" i="19"/>
  <c r="E156" i="19"/>
  <c r="D156" i="19"/>
  <c r="E155" i="19"/>
  <c r="D155" i="19"/>
  <c r="E154" i="19"/>
  <c r="D154" i="19"/>
  <c r="E153" i="19"/>
  <c r="D153" i="19"/>
  <c r="E152" i="19"/>
  <c r="D152" i="19"/>
  <c r="E151" i="19"/>
  <c r="D151" i="19"/>
  <c r="E150" i="19"/>
  <c r="D150" i="19"/>
  <c r="E149" i="19"/>
  <c r="D149" i="19"/>
  <c r="E148" i="19"/>
  <c r="D148" i="19"/>
  <c r="E147" i="19"/>
  <c r="D147" i="19"/>
  <c r="E146" i="19"/>
  <c r="D146" i="19"/>
  <c r="E145" i="19"/>
  <c r="D145" i="19"/>
  <c r="E144" i="19"/>
  <c r="D144" i="19"/>
  <c r="E143" i="19"/>
  <c r="D143" i="19"/>
  <c r="E142" i="19"/>
  <c r="D142" i="19"/>
  <c r="E141" i="19"/>
  <c r="D141" i="19"/>
  <c r="E140" i="19"/>
  <c r="D140" i="19"/>
  <c r="E139" i="19"/>
  <c r="D139" i="19"/>
  <c r="E138" i="19"/>
  <c r="D138" i="19"/>
  <c r="E137" i="19"/>
  <c r="D137" i="19"/>
  <c r="E136" i="19"/>
  <c r="D136" i="19"/>
  <c r="E135" i="19"/>
  <c r="D135" i="19"/>
  <c r="E134" i="19"/>
  <c r="D134" i="19"/>
  <c r="E133" i="19"/>
  <c r="D133" i="19"/>
  <c r="E132" i="19"/>
  <c r="D132" i="19"/>
  <c r="E131" i="19"/>
  <c r="D131" i="19"/>
  <c r="E130" i="19"/>
  <c r="D130" i="19"/>
  <c r="E129" i="19"/>
  <c r="D129" i="19"/>
  <c r="E246" i="19"/>
  <c r="D246" i="19"/>
  <c r="E245" i="19"/>
  <c r="D245" i="19"/>
  <c r="E244" i="19"/>
  <c r="D244" i="19"/>
  <c r="E243" i="19"/>
  <c r="D243" i="19"/>
  <c r="E242" i="19"/>
  <c r="D242" i="19"/>
  <c r="E241" i="19"/>
  <c r="D241" i="19"/>
  <c r="E240" i="19"/>
  <c r="D240" i="19"/>
  <c r="E239" i="19"/>
  <c r="D239" i="19"/>
  <c r="E238" i="19"/>
  <c r="D238" i="19"/>
  <c r="E237" i="19"/>
  <c r="D237" i="19"/>
  <c r="E236" i="19"/>
  <c r="D236" i="19"/>
  <c r="E235" i="19"/>
  <c r="D235" i="19"/>
  <c r="E234" i="19"/>
  <c r="D234" i="19"/>
  <c r="E233" i="19"/>
  <c r="D233" i="19"/>
  <c r="E232" i="19"/>
  <c r="D232" i="19"/>
  <c r="E231" i="19"/>
  <c r="D231" i="19"/>
  <c r="E230" i="19"/>
  <c r="D230" i="19"/>
  <c r="E229" i="19"/>
  <c r="D229" i="19"/>
  <c r="E228" i="19"/>
  <c r="D228" i="19"/>
  <c r="E227" i="19"/>
  <c r="D227" i="19"/>
  <c r="E226" i="19"/>
  <c r="D226" i="19"/>
  <c r="E225" i="19"/>
  <c r="D225" i="19"/>
  <c r="E106" i="18"/>
  <c r="D106" i="18"/>
  <c r="E105" i="18"/>
  <c r="D105" i="18"/>
  <c r="E104" i="18"/>
  <c r="D104" i="18"/>
  <c r="E101" i="18"/>
  <c r="D101" i="18"/>
  <c r="E100" i="18"/>
  <c r="D100" i="18"/>
  <c r="E99" i="18"/>
  <c r="D99" i="18"/>
  <c r="E98" i="18"/>
  <c r="D98" i="18"/>
  <c r="E97" i="18"/>
  <c r="D97" i="18"/>
  <c r="E96" i="18"/>
  <c r="D96" i="18"/>
  <c r="E95" i="18"/>
  <c r="D95" i="18"/>
  <c r="E94" i="18"/>
  <c r="D94" i="18"/>
  <c r="E93" i="18"/>
  <c r="D93" i="18"/>
  <c r="E92" i="18"/>
  <c r="D92" i="18"/>
  <c r="E91" i="18"/>
  <c r="D91" i="18"/>
  <c r="E90" i="18"/>
  <c r="D90" i="18"/>
  <c r="E89" i="18"/>
  <c r="D89" i="18"/>
  <c r="E88" i="18"/>
  <c r="D88" i="18"/>
  <c r="E87" i="18"/>
  <c r="D87" i="18"/>
  <c r="E86" i="18"/>
  <c r="D86" i="18"/>
  <c r="E85" i="18"/>
  <c r="D85" i="18"/>
  <c r="E84" i="18"/>
  <c r="D84" i="18"/>
  <c r="E83" i="18"/>
  <c r="D83" i="18"/>
  <c r="E82" i="18"/>
  <c r="D82" i="18"/>
  <c r="E81" i="18"/>
  <c r="D81" i="18"/>
  <c r="E80" i="18"/>
  <c r="D80" i="18"/>
  <c r="E79" i="18"/>
  <c r="D79" i="18"/>
  <c r="E78" i="18"/>
  <c r="D78" i="18"/>
  <c r="E77" i="18"/>
  <c r="D77" i="18"/>
  <c r="E76" i="18"/>
  <c r="D76" i="18"/>
  <c r="E75" i="18"/>
  <c r="D75" i="18"/>
  <c r="E74" i="18"/>
  <c r="D74" i="18"/>
  <c r="E73" i="18"/>
  <c r="D73" i="18"/>
  <c r="E72" i="18"/>
  <c r="D72" i="18"/>
  <c r="E71" i="18"/>
  <c r="D71" i="18"/>
  <c r="E70" i="18"/>
  <c r="D70" i="18"/>
  <c r="E69" i="18"/>
  <c r="D69" i="18"/>
  <c r="E68" i="18"/>
  <c r="D68" i="18"/>
  <c r="E67" i="18"/>
  <c r="D67" i="18"/>
  <c r="E66" i="18"/>
  <c r="D66" i="18"/>
  <c r="E65" i="18"/>
  <c r="D65" i="18"/>
  <c r="E177" i="18"/>
  <c r="D177" i="18"/>
  <c r="E176" i="18"/>
  <c r="D176" i="18"/>
  <c r="E175" i="18"/>
  <c r="D175" i="18"/>
  <c r="E174" i="18"/>
  <c r="D174" i="18"/>
  <c r="E173" i="18"/>
  <c r="D173" i="18"/>
  <c r="E172" i="18"/>
  <c r="D172" i="18"/>
  <c r="E171" i="18"/>
  <c r="D171" i="18"/>
  <c r="E170" i="18"/>
  <c r="D170" i="18"/>
  <c r="E169" i="18"/>
  <c r="D169" i="18"/>
  <c r="E168" i="18"/>
  <c r="D168" i="18"/>
  <c r="E167" i="18"/>
  <c r="D167" i="18"/>
  <c r="E166" i="18"/>
  <c r="D166" i="18"/>
  <c r="E165" i="18"/>
  <c r="D165" i="18"/>
  <c r="E164" i="18"/>
  <c r="D164" i="18"/>
  <c r="E163" i="18"/>
  <c r="D163" i="18"/>
  <c r="E162" i="18"/>
  <c r="D162" i="18"/>
  <c r="E161" i="18"/>
  <c r="D161" i="18"/>
  <c r="E160" i="18"/>
  <c r="D160" i="18"/>
  <c r="E159" i="18"/>
  <c r="D159" i="18"/>
  <c r="E158" i="18"/>
  <c r="D158" i="18"/>
  <c r="E157" i="18"/>
  <c r="D157" i="18"/>
  <c r="E156" i="18"/>
  <c r="D156" i="18"/>
  <c r="E155" i="18"/>
  <c r="D155" i="18"/>
  <c r="E154" i="18"/>
  <c r="D154" i="18"/>
  <c r="E153" i="18"/>
  <c r="D153" i="18"/>
  <c r="E152" i="18"/>
  <c r="D152" i="18"/>
  <c r="E151" i="18"/>
  <c r="D151" i="18"/>
  <c r="E150" i="18"/>
  <c r="D150" i="18"/>
  <c r="E149" i="18"/>
  <c r="D149" i="18"/>
  <c r="E148" i="18"/>
  <c r="D148" i="18"/>
  <c r="E147" i="18"/>
  <c r="D147" i="18"/>
  <c r="E146" i="18"/>
  <c r="D146" i="18"/>
  <c r="E145" i="18"/>
  <c r="D145" i="18"/>
  <c r="E144" i="18"/>
  <c r="D144" i="18"/>
  <c r="E143" i="18"/>
  <c r="D143" i="18"/>
  <c r="E142" i="18"/>
  <c r="D142" i="18"/>
  <c r="E141" i="18"/>
  <c r="D141" i="18"/>
  <c r="E140" i="18"/>
  <c r="D140" i="18"/>
  <c r="E139" i="18"/>
  <c r="D139" i="18"/>
  <c r="E138" i="18"/>
  <c r="D138" i="18"/>
  <c r="E137" i="18"/>
  <c r="D137" i="18"/>
  <c r="E136" i="18"/>
  <c r="D136" i="18"/>
  <c r="E135" i="18"/>
  <c r="D135" i="18"/>
  <c r="E134" i="18"/>
  <c r="D134" i="18"/>
  <c r="E133" i="18"/>
  <c r="D133" i="18"/>
  <c r="E132" i="18"/>
  <c r="D132" i="18"/>
  <c r="E131" i="18"/>
  <c r="D131" i="18"/>
  <c r="E130" i="18"/>
  <c r="D130" i="18"/>
  <c r="E129" i="18"/>
  <c r="D129" i="18"/>
  <c r="E128" i="18"/>
  <c r="D128" i="18"/>
  <c r="E127" i="18"/>
  <c r="D127" i="18"/>
  <c r="E126" i="18"/>
  <c r="D126" i="18"/>
  <c r="E125" i="18"/>
  <c r="D125" i="18"/>
  <c r="E124" i="18"/>
  <c r="D124" i="18"/>
  <c r="E123" i="18"/>
  <c r="D123" i="18"/>
  <c r="E122" i="18"/>
  <c r="D122" i="18"/>
  <c r="E121" i="18"/>
  <c r="D121" i="18"/>
  <c r="E120" i="18"/>
  <c r="D120" i="18"/>
  <c r="E119" i="18"/>
  <c r="D119" i="18"/>
  <c r="E118" i="18"/>
  <c r="D118" i="18"/>
  <c r="E117" i="18"/>
  <c r="D117" i="18"/>
  <c r="E116" i="18"/>
  <c r="D116" i="18"/>
  <c r="E115" i="18"/>
  <c r="D115" i="18"/>
  <c r="E114" i="18"/>
  <c r="D114" i="18"/>
  <c r="E113" i="18"/>
  <c r="D113" i="18"/>
  <c r="E112" i="18"/>
  <c r="D112" i="18"/>
  <c r="E111" i="18"/>
  <c r="D111" i="18"/>
  <c r="E110" i="18"/>
  <c r="D110" i="18"/>
  <c r="E109" i="18"/>
  <c r="D109" i="18"/>
  <c r="E108" i="18"/>
  <c r="D108" i="18"/>
  <c r="E209" i="18"/>
  <c r="D209" i="18"/>
  <c r="E208" i="18"/>
  <c r="D208" i="18"/>
  <c r="E207" i="18"/>
  <c r="D207" i="18"/>
  <c r="E206" i="18"/>
  <c r="D206" i="18"/>
  <c r="E205" i="18"/>
  <c r="D205" i="18"/>
  <c r="E204" i="18"/>
  <c r="D204" i="18"/>
  <c r="E203" i="18"/>
  <c r="D203" i="18"/>
  <c r="E202" i="18"/>
  <c r="D202" i="18"/>
  <c r="E201" i="18"/>
  <c r="D201" i="18"/>
  <c r="E200" i="18"/>
  <c r="D200" i="18"/>
  <c r="E199" i="18"/>
  <c r="D199" i="18"/>
  <c r="E198" i="18"/>
  <c r="D198" i="18"/>
  <c r="E197" i="18"/>
  <c r="D197" i="18"/>
  <c r="E196" i="18"/>
  <c r="D196" i="18"/>
  <c r="E195" i="18"/>
  <c r="D195" i="18"/>
  <c r="E194" i="18"/>
  <c r="D194" i="18"/>
  <c r="E193" i="18"/>
  <c r="D193" i="18"/>
  <c r="E192" i="18"/>
  <c r="D192" i="18"/>
  <c r="E191" i="18"/>
  <c r="D191" i="18"/>
  <c r="E190" i="18"/>
  <c r="D190" i="18"/>
  <c r="E189" i="18"/>
  <c r="D189" i="18"/>
  <c r="E188" i="18"/>
  <c r="D188" i="18"/>
  <c r="E195" i="17"/>
  <c r="D195" i="17"/>
  <c r="E194" i="17"/>
  <c r="D194" i="17"/>
  <c r="E193" i="17"/>
  <c r="D193" i="17"/>
  <c r="E192" i="17"/>
  <c r="D192" i="17"/>
  <c r="E160" i="17"/>
  <c r="D160" i="17"/>
  <c r="E159" i="17"/>
  <c r="D159" i="17"/>
  <c r="E158" i="17"/>
  <c r="D158" i="17"/>
  <c r="E157" i="17"/>
  <c r="D157" i="17"/>
  <c r="E156" i="17"/>
  <c r="D156" i="17"/>
  <c r="E155" i="17"/>
  <c r="D155" i="17"/>
  <c r="E154" i="17"/>
  <c r="D154" i="17"/>
  <c r="E153" i="17"/>
  <c r="D153" i="17"/>
  <c r="E152" i="17"/>
  <c r="D152" i="17"/>
  <c r="E151" i="17"/>
  <c r="D151" i="17"/>
  <c r="E150" i="17"/>
  <c r="D150" i="17"/>
  <c r="E149" i="17"/>
  <c r="D149" i="17"/>
  <c r="E148" i="17"/>
  <c r="D148" i="17"/>
  <c r="E147" i="17"/>
  <c r="D147" i="17"/>
  <c r="E146" i="17"/>
  <c r="D146" i="17"/>
  <c r="E145" i="17"/>
  <c r="D145" i="17"/>
  <c r="E144" i="17"/>
  <c r="D144" i="17"/>
  <c r="E143" i="17"/>
  <c r="D143" i="17"/>
  <c r="E142" i="17"/>
  <c r="D142" i="17"/>
  <c r="E141" i="17"/>
  <c r="D141" i="17"/>
  <c r="E140" i="17"/>
  <c r="D140" i="17"/>
  <c r="E139" i="17"/>
  <c r="D139" i="17"/>
  <c r="E138" i="17"/>
  <c r="D138" i="17"/>
  <c r="E137" i="17"/>
  <c r="D137" i="17"/>
  <c r="E136" i="17"/>
  <c r="D136" i="17"/>
  <c r="E135" i="17"/>
  <c r="D135" i="17"/>
  <c r="E133" i="17"/>
  <c r="D133" i="17"/>
  <c r="E132" i="17"/>
  <c r="D132" i="17"/>
  <c r="E131" i="17"/>
  <c r="D131" i="17"/>
  <c r="E130" i="17"/>
  <c r="D130" i="17"/>
  <c r="E129" i="17"/>
  <c r="D129" i="17"/>
  <c r="E128" i="17"/>
  <c r="D128" i="17"/>
  <c r="E127" i="17"/>
  <c r="D127" i="17"/>
  <c r="E209" i="17"/>
  <c r="D209" i="17"/>
  <c r="E208" i="17"/>
  <c r="D208" i="17"/>
  <c r="E207" i="17"/>
  <c r="D207" i="17"/>
  <c r="E206" i="17"/>
  <c r="D206" i="17"/>
  <c r="E205" i="17"/>
  <c r="D205" i="17"/>
  <c r="E204" i="17"/>
  <c r="D204" i="17"/>
  <c r="E203" i="17"/>
  <c r="D203" i="17"/>
  <c r="E202" i="17"/>
  <c r="D202" i="17"/>
  <c r="E201" i="17"/>
  <c r="D201" i="17"/>
  <c r="E200" i="17"/>
  <c r="D200" i="17"/>
  <c r="E199" i="17"/>
  <c r="D199" i="17"/>
  <c r="E171" i="17"/>
  <c r="D171" i="17"/>
  <c r="E170" i="17"/>
  <c r="D170" i="17"/>
  <c r="E169" i="17"/>
  <c r="D169" i="17"/>
  <c r="E168" i="17"/>
  <c r="D168" i="17"/>
  <c r="E167" i="17"/>
  <c r="D167" i="17"/>
  <c r="E166" i="17"/>
  <c r="D166" i="17"/>
  <c r="E165" i="17"/>
  <c r="D165" i="17"/>
  <c r="E164" i="17"/>
  <c r="D164" i="17"/>
  <c r="E163" i="17"/>
  <c r="D163" i="17"/>
  <c r="E126" i="17"/>
  <c r="D126" i="17"/>
  <c r="E125" i="17"/>
  <c r="D125" i="17"/>
  <c r="E124" i="17"/>
  <c r="D124" i="17"/>
  <c r="E123" i="17"/>
  <c r="D123" i="17"/>
  <c r="E122" i="17"/>
  <c r="D122" i="17"/>
  <c r="E121" i="17"/>
  <c r="D121" i="17"/>
  <c r="E120" i="17"/>
  <c r="D120" i="17"/>
  <c r="E119" i="17"/>
  <c r="D119" i="17"/>
  <c r="E118" i="17"/>
  <c r="D118" i="17"/>
  <c r="E117" i="17"/>
  <c r="D117" i="17"/>
  <c r="E116" i="17"/>
  <c r="D116" i="17"/>
  <c r="E115" i="17"/>
  <c r="D115" i="17"/>
  <c r="E114" i="17"/>
  <c r="D114" i="17"/>
  <c r="E113" i="17"/>
  <c r="D113" i="17"/>
  <c r="E112" i="17"/>
  <c r="D112" i="17"/>
  <c r="E111" i="17"/>
  <c r="D111" i="17"/>
  <c r="E110" i="17"/>
  <c r="D110" i="17"/>
  <c r="E109" i="17"/>
  <c r="D109" i="17"/>
  <c r="E108" i="17"/>
  <c r="D108" i="17"/>
  <c r="E107" i="17"/>
  <c r="D107" i="17"/>
  <c r="E106" i="17"/>
  <c r="D106" i="17"/>
  <c r="E105" i="17"/>
  <c r="D105" i="17"/>
  <c r="E104" i="17"/>
  <c r="D104" i="17"/>
  <c r="E103" i="17"/>
  <c r="D103" i="17"/>
  <c r="E102" i="17"/>
  <c r="D102" i="17"/>
  <c r="E101" i="17"/>
  <c r="D101" i="17"/>
  <c r="E100" i="17"/>
  <c r="D100" i="17"/>
  <c r="E99" i="17"/>
  <c r="D99" i="17"/>
  <c r="E98" i="17"/>
  <c r="D98" i="17"/>
  <c r="E97" i="17"/>
  <c r="D97" i="17"/>
  <c r="E96" i="17"/>
  <c r="D96" i="17"/>
  <c r="E95" i="17"/>
  <c r="D95" i="17"/>
  <c r="E94" i="17"/>
  <c r="D94" i="17"/>
  <c r="E93" i="17"/>
  <c r="D93" i="17"/>
  <c r="E92" i="17"/>
  <c r="D92" i="17"/>
  <c r="E91" i="17"/>
  <c r="D91" i="17"/>
  <c r="E90" i="17"/>
  <c r="D90" i="17"/>
  <c r="E89" i="17"/>
  <c r="D89" i="17"/>
  <c r="E88" i="17"/>
  <c r="D88" i="17"/>
  <c r="E87" i="17"/>
  <c r="D87" i="17"/>
  <c r="E86" i="17"/>
  <c r="D86" i="17"/>
  <c r="E85" i="17"/>
  <c r="D85" i="17"/>
  <c r="E84" i="17"/>
  <c r="D84" i="17"/>
  <c r="E83" i="17"/>
  <c r="D83" i="17"/>
  <c r="E82" i="17"/>
  <c r="D82" i="17"/>
  <c r="E81" i="17"/>
  <c r="D81" i="17"/>
  <c r="E80" i="17"/>
  <c r="D80" i="17"/>
  <c r="E79" i="17"/>
  <c r="D79" i="17"/>
  <c r="E78" i="17"/>
  <c r="D78" i="17"/>
  <c r="E77" i="17"/>
  <c r="D77" i="17"/>
  <c r="E76" i="17"/>
  <c r="D76" i="17"/>
  <c r="E75" i="17"/>
  <c r="D75" i="17"/>
  <c r="E74" i="17"/>
  <c r="D74" i="17"/>
  <c r="E73" i="17"/>
  <c r="D73" i="17"/>
  <c r="E72" i="17"/>
  <c r="D72" i="17"/>
  <c r="E71" i="17"/>
  <c r="D71" i="17"/>
  <c r="E70" i="17"/>
  <c r="D70" i="17"/>
  <c r="E69" i="17"/>
  <c r="D69" i="17"/>
  <c r="E68" i="17"/>
  <c r="D68" i="17"/>
  <c r="E67" i="17"/>
  <c r="D67" i="17"/>
  <c r="E66" i="17"/>
  <c r="D66" i="17"/>
  <c r="E65" i="17"/>
  <c r="D65" i="17"/>
  <c r="E64" i="17"/>
  <c r="D64" i="17"/>
  <c r="E63" i="17"/>
  <c r="D63" i="17"/>
  <c r="E62" i="17"/>
  <c r="D62" i="17"/>
  <c r="E61" i="17"/>
  <c r="D61" i="17"/>
  <c r="E60" i="17"/>
  <c r="D60" i="17"/>
  <c r="E59" i="17"/>
  <c r="D59" i="17"/>
  <c r="E58" i="17"/>
  <c r="D58" i="17"/>
  <c r="E57" i="17"/>
  <c r="D57" i="17"/>
  <c r="E56" i="17"/>
  <c r="D56" i="17"/>
  <c r="E55" i="17"/>
  <c r="D55" i="17"/>
  <c r="E54" i="17"/>
  <c r="D54" i="17"/>
  <c r="E53" i="17"/>
  <c r="D53" i="17"/>
  <c r="E52" i="17"/>
  <c r="D52" i="17"/>
  <c r="E51" i="17"/>
  <c r="D51" i="17"/>
  <c r="E50" i="17"/>
  <c r="D50" i="17"/>
  <c r="E49" i="17"/>
  <c r="D49" i="17"/>
  <c r="E48" i="17"/>
  <c r="D48" i="17"/>
  <c r="E47" i="17"/>
  <c r="D47" i="17"/>
  <c r="E46" i="17"/>
  <c r="D46" i="17"/>
  <c r="E45" i="17"/>
  <c r="D45" i="17"/>
  <c r="E44" i="17"/>
  <c r="D44" i="17"/>
  <c r="E43" i="17"/>
  <c r="D43" i="17"/>
  <c r="E42" i="17"/>
  <c r="D42" i="17"/>
  <c r="E41" i="17"/>
  <c r="D41" i="17"/>
  <c r="E40" i="17"/>
  <c r="D40" i="17"/>
  <c r="E39" i="17"/>
  <c r="D39" i="17"/>
  <c r="E38" i="17"/>
  <c r="D38" i="17"/>
  <c r="E37" i="17"/>
  <c r="D37" i="17"/>
  <c r="E36" i="17"/>
  <c r="D36" i="17"/>
  <c r="E35" i="17"/>
  <c r="D35" i="17"/>
  <c r="E34" i="17"/>
  <c r="D34" i="17"/>
  <c r="E33" i="17"/>
  <c r="D33" i="17"/>
  <c r="E32" i="17"/>
  <c r="D32" i="17"/>
  <c r="E31" i="17"/>
  <c r="D31" i="17"/>
  <c r="E30" i="17"/>
  <c r="D30" i="17"/>
  <c r="E29" i="17"/>
  <c r="D29" i="17"/>
  <c r="E28" i="17"/>
  <c r="D28" i="17"/>
  <c r="E27" i="17"/>
  <c r="D27" i="17"/>
  <c r="E26" i="17"/>
  <c r="D26" i="17"/>
  <c r="E25" i="17"/>
  <c r="D25" i="17"/>
  <c r="E24" i="17"/>
  <c r="D24" i="17"/>
  <c r="E23" i="17"/>
  <c r="D23" i="17"/>
  <c r="E22" i="17"/>
  <c r="D22" i="17"/>
  <c r="E21" i="17"/>
  <c r="D21" i="17"/>
  <c r="E20" i="17"/>
  <c r="D20" i="17"/>
  <c r="E19" i="17"/>
  <c r="D19" i="17"/>
  <c r="E18" i="17"/>
  <c r="D18" i="17"/>
  <c r="E17" i="17"/>
  <c r="D17" i="17"/>
  <c r="E16" i="17"/>
  <c r="D16" i="17"/>
  <c r="E15" i="17"/>
  <c r="D15" i="17"/>
  <c r="E14" i="17"/>
  <c r="D14" i="17"/>
  <c r="E13" i="17"/>
  <c r="D13" i="17"/>
  <c r="E12" i="17"/>
  <c r="D12" i="17"/>
  <c r="E11" i="17"/>
  <c r="D11" i="17"/>
  <c r="E10" i="17"/>
  <c r="D10" i="17"/>
  <c r="E9" i="17"/>
  <c r="D9" i="17"/>
  <c r="E8" i="17"/>
  <c r="D8" i="17"/>
  <c r="E7" i="17"/>
  <c r="D7" i="17"/>
  <c r="E6" i="17"/>
  <c r="D6" i="17"/>
  <c r="E5" i="17"/>
  <c r="D5" i="17"/>
  <c r="E4" i="17"/>
  <c r="D4" i="17"/>
  <c r="E3" i="17"/>
  <c r="D3" i="17"/>
  <c r="E145" i="16"/>
  <c r="D145" i="16"/>
  <c r="E144" i="16"/>
  <c r="D144" i="16"/>
  <c r="E143" i="16"/>
  <c r="D143" i="16"/>
  <c r="E114" i="16"/>
  <c r="D114" i="16"/>
  <c r="E113" i="16"/>
  <c r="D113" i="16"/>
  <c r="E112" i="16"/>
  <c r="D112" i="16"/>
  <c r="E111" i="16"/>
  <c r="D111" i="16"/>
  <c r="E110" i="16"/>
  <c r="D110" i="16"/>
  <c r="E109" i="16"/>
  <c r="D109" i="16"/>
  <c r="E108" i="16"/>
  <c r="D108" i="16"/>
  <c r="E107" i="16"/>
  <c r="D107" i="16"/>
  <c r="E106" i="16"/>
  <c r="D106" i="16"/>
  <c r="E165" i="16"/>
  <c r="D165" i="16"/>
  <c r="E164" i="16"/>
  <c r="D164" i="16"/>
  <c r="E163" i="16"/>
  <c r="D163" i="16"/>
  <c r="E162" i="16"/>
  <c r="D162" i="16"/>
  <c r="E161" i="16"/>
  <c r="D161" i="16"/>
  <c r="E160" i="16"/>
  <c r="D160" i="16"/>
  <c r="E159" i="16"/>
  <c r="D159" i="16"/>
  <c r="E158" i="16"/>
  <c r="D158" i="16"/>
  <c r="E157" i="16"/>
  <c r="D157" i="16"/>
  <c r="E156" i="16"/>
  <c r="D156" i="16"/>
  <c r="E155" i="16"/>
  <c r="D155" i="16"/>
  <c r="E152" i="16"/>
  <c r="E153" i="16"/>
  <c r="E154" i="16"/>
  <c r="E142" i="16"/>
  <c r="D142" i="16"/>
  <c r="E141" i="16"/>
  <c r="D141" i="16"/>
  <c r="E140" i="16"/>
  <c r="D140" i="16"/>
  <c r="E139" i="16"/>
  <c r="D139" i="16"/>
  <c r="E138" i="16"/>
  <c r="D138" i="16"/>
  <c r="E137" i="16"/>
  <c r="D137" i="16"/>
  <c r="E136" i="16"/>
  <c r="D136" i="16"/>
  <c r="E135" i="16"/>
  <c r="D135" i="16"/>
  <c r="E134" i="16"/>
  <c r="D134" i="16"/>
  <c r="E133" i="16"/>
  <c r="D133" i="16"/>
  <c r="E132" i="16"/>
  <c r="D132" i="16"/>
  <c r="E131" i="16"/>
  <c r="D131" i="16"/>
  <c r="E130" i="16"/>
  <c r="D130" i="16"/>
  <c r="E133" i="15"/>
  <c r="D133" i="15"/>
  <c r="E132" i="15"/>
  <c r="D132" i="15"/>
  <c r="E131" i="15"/>
  <c r="D131" i="15"/>
  <c r="E130" i="15"/>
  <c r="D130" i="15"/>
  <c r="E129" i="15"/>
  <c r="D129" i="15"/>
  <c r="E128" i="15"/>
  <c r="D128" i="15"/>
  <c r="E127" i="15"/>
  <c r="D127" i="15"/>
  <c r="E126" i="15"/>
  <c r="D126" i="15"/>
  <c r="E125" i="15"/>
  <c r="D125" i="15"/>
  <c r="E206" i="15"/>
  <c r="D206" i="15"/>
  <c r="E205" i="15"/>
  <c r="D205" i="15"/>
  <c r="E204" i="15"/>
  <c r="D204" i="15"/>
  <c r="E203" i="15"/>
  <c r="D203" i="15"/>
  <c r="E202" i="15"/>
  <c r="D202" i="15"/>
  <c r="E201" i="15"/>
  <c r="D201" i="15"/>
  <c r="E200" i="15"/>
  <c r="D200" i="15"/>
  <c r="E199" i="15"/>
  <c r="D199" i="15"/>
  <c r="E154" i="15"/>
  <c r="D154" i="15"/>
  <c r="E153" i="15"/>
  <c r="D153" i="15"/>
  <c r="E152" i="15"/>
  <c r="D152" i="15"/>
  <c r="E151" i="15"/>
  <c r="D151" i="15"/>
  <c r="E150" i="15"/>
  <c r="D150" i="15"/>
  <c r="E149" i="15"/>
  <c r="D149" i="15"/>
  <c r="E148" i="15"/>
  <c r="D148" i="15"/>
  <c r="E147" i="15"/>
  <c r="D147" i="15"/>
  <c r="E146" i="15"/>
  <c r="D146" i="15"/>
  <c r="E145" i="15"/>
  <c r="D145" i="15"/>
  <c r="E144" i="15"/>
  <c r="D144" i="15"/>
  <c r="E143" i="15"/>
  <c r="D143" i="15"/>
  <c r="E142" i="15"/>
  <c r="D142" i="15"/>
  <c r="E141" i="15"/>
  <c r="D141" i="15"/>
  <c r="E140" i="15"/>
  <c r="D140" i="15"/>
  <c r="E139" i="15"/>
  <c r="D139" i="15"/>
  <c r="E138" i="15"/>
  <c r="D138" i="15"/>
  <c r="E198" i="15"/>
  <c r="D198" i="15"/>
  <c r="E197" i="15"/>
  <c r="D197" i="15"/>
  <c r="E196" i="15"/>
  <c r="D196" i="15"/>
  <c r="E195" i="15"/>
  <c r="D195" i="15"/>
  <c r="E194" i="15"/>
  <c r="D194" i="15"/>
  <c r="E193" i="15"/>
  <c r="D193" i="15"/>
  <c r="E192" i="15"/>
  <c r="D192" i="15"/>
  <c r="E191" i="15"/>
  <c r="D191" i="15"/>
  <c r="E190" i="15"/>
  <c r="D190" i="15"/>
  <c r="E189" i="15"/>
  <c r="D189" i="15"/>
  <c r="E124" i="15"/>
  <c r="D124" i="15"/>
  <c r="E123" i="15"/>
  <c r="D123" i="15"/>
  <c r="E122" i="15"/>
  <c r="D122" i="15"/>
  <c r="E121" i="15"/>
  <c r="D121" i="15"/>
  <c r="E120" i="15"/>
  <c r="D120" i="15"/>
  <c r="E119" i="15"/>
  <c r="D119" i="15"/>
  <c r="E118" i="15"/>
  <c r="D118" i="15"/>
  <c r="E117" i="15"/>
  <c r="D117" i="15"/>
  <c r="E116" i="15"/>
  <c r="D116" i="15"/>
  <c r="E115" i="15"/>
  <c r="D115" i="15"/>
  <c r="E114" i="15"/>
  <c r="D114" i="15"/>
  <c r="E113" i="15"/>
  <c r="D113" i="15"/>
  <c r="E112" i="15"/>
  <c r="D112" i="15"/>
  <c r="E111" i="15"/>
  <c r="D111" i="15"/>
  <c r="E110" i="15"/>
  <c r="D110" i="15"/>
  <c r="E109" i="15"/>
  <c r="D109" i="15"/>
  <c r="E232" i="15"/>
  <c r="D232" i="15"/>
  <c r="E231" i="15"/>
  <c r="D231" i="15"/>
  <c r="E230" i="15"/>
  <c r="D230" i="15"/>
  <c r="E229" i="15"/>
  <c r="D229" i="15"/>
  <c r="E228" i="15"/>
  <c r="D228" i="15"/>
  <c r="E227" i="15"/>
  <c r="D227" i="15"/>
  <c r="E226" i="15"/>
  <c r="D226" i="15"/>
  <c r="E225" i="15"/>
  <c r="D225" i="15"/>
  <c r="E224" i="15"/>
  <c r="D224" i="15"/>
  <c r="E223" i="15"/>
  <c r="D223" i="15"/>
  <c r="E222" i="15"/>
  <c r="D222" i="15"/>
  <c r="E188" i="15"/>
  <c r="D188" i="15"/>
  <c r="E187" i="15"/>
  <c r="D187" i="15"/>
  <c r="E186" i="15"/>
  <c r="D186" i="15"/>
  <c r="E185" i="15"/>
  <c r="D185" i="15"/>
  <c r="E184" i="15"/>
  <c r="D184" i="15"/>
  <c r="E183" i="15"/>
  <c r="D183" i="15"/>
  <c r="E182" i="15"/>
  <c r="D182" i="15"/>
  <c r="E181" i="15"/>
  <c r="D181" i="15"/>
  <c r="E180" i="15"/>
  <c r="D180" i="15"/>
  <c r="E179" i="15"/>
  <c r="D179" i="15"/>
  <c r="E178" i="15"/>
  <c r="D178" i="15"/>
  <c r="E177" i="15"/>
  <c r="D177" i="15"/>
  <c r="E176" i="15"/>
  <c r="D176" i="15"/>
  <c r="E175" i="15"/>
  <c r="D175" i="15"/>
  <c r="E174" i="15"/>
  <c r="D174" i="15"/>
  <c r="E173" i="15"/>
  <c r="D173" i="15"/>
  <c r="E172" i="15"/>
  <c r="D172" i="15"/>
  <c r="E171" i="15"/>
  <c r="D171" i="15"/>
  <c r="E170" i="15"/>
  <c r="D170" i="15"/>
  <c r="E169" i="15"/>
  <c r="D169" i="15"/>
  <c r="E168" i="15"/>
  <c r="D168" i="15"/>
  <c r="E167" i="15"/>
  <c r="D167" i="15"/>
  <c r="E166" i="15"/>
  <c r="D166" i="15"/>
  <c r="E165" i="15"/>
  <c r="D165" i="15"/>
  <c r="E164" i="15"/>
  <c r="D164" i="15"/>
  <c r="E163" i="15"/>
  <c r="D163" i="15"/>
  <c r="E162" i="15"/>
  <c r="D162" i="15"/>
  <c r="E161" i="15"/>
  <c r="D161" i="15"/>
  <c r="E160" i="15"/>
  <c r="D160" i="15"/>
  <c r="E159" i="15"/>
  <c r="D159" i="15"/>
  <c r="E158" i="15"/>
  <c r="D158" i="15"/>
  <c r="E157" i="15"/>
  <c r="D157" i="15"/>
  <c r="E156" i="15"/>
  <c r="D156" i="15"/>
  <c r="E108" i="15"/>
  <c r="D108" i="15"/>
  <c r="E107" i="15"/>
  <c r="D107" i="15"/>
  <c r="E106" i="15"/>
  <c r="D106" i="15"/>
  <c r="E105" i="15"/>
  <c r="D105" i="15"/>
  <c r="E104" i="15"/>
  <c r="D104" i="15"/>
  <c r="E103" i="15"/>
  <c r="D103" i="15"/>
  <c r="E102" i="15"/>
  <c r="D102" i="15"/>
  <c r="E101" i="15"/>
  <c r="D101" i="15"/>
  <c r="E100" i="15"/>
  <c r="D100" i="15"/>
  <c r="E99" i="15"/>
  <c r="D99" i="15"/>
  <c r="E98" i="15"/>
  <c r="D98" i="15"/>
  <c r="E97" i="15"/>
  <c r="D97" i="15"/>
  <c r="E96" i="15"/>
  <c r="D96" i="15"/>
  <c r="E95" i="15"/>
  <c r="D95" i="15"/>
  <c r="E94" i="15"/>
  <c r="D94" i="15"/>
  <c r="E93" i="15"/>
  <c r="D93" i="15"/>
  <c r="E92" i="15"/>
  <c r="D92" i="15"/>
  <c r="E91" i="15"/>
  <c r="D91" i="15"/>
  <c r="E90" i="15"/>
  <c r="D90" i="15"/>
  <c r="E89" i="15"/>
  <c r="D89" i="15"/>
  <c r="E88" i="15"/>
  <c r="D88" i="15"/>
  <c r="E87" i="15"/>
  <c r="D87" i="15"/>
  <c r="E86" i="15"/>
  <c r="D86" i="15"/>
  <c r="E85" i="15"/>
  <c r="D85" i="15"/>
  <c r="E84" i="15"/>
  <c r="D84" i="15"/>
  <c r="E83" i="15"/>
  <c r="D83" i="15"/>
  <c r="E82" i="15"/>
  <c r="D82" i="15"/>
  <c r="E81" i="15"/>
  <c r="D81" i="15"/>
  <c r="E80" i="15"/>
  <c r="D80" i="15"/>
  <c r="E79" i="15"/>
  <c r="D79" i="15"/>
  <c r="E78" i="15"/>
  <c r="D78" i="15"/>
  <c r="E77" i="15"/>
  <c r="D77" i="15"/>
  <c r="E76" i="15"/>
  <c r="D76" i="15"/>
  <c r="E75" i="15"/>
  <c r="D75" i="15"/>
  <c r="E74" i="15"/>
  <c r="D74" i="15"/>
  <c r="E73" i="15"/>
  <c r="D73" i="15"/>
  <c r="E72" i="15"/>
  <c r="D72" i="15"/>
  <c r="E71" i="15"/>
  <c r="D71" i="15"/>
  <c r="E70" i="15"/>
  <c r="D70" i="15"/>
  <c r="E69" i="15"/>
  <c r="D69" i="15"/>
  <c r="E68" i="15"/>
  <c r="D68" i="15"/>
  <c r="E67" i="15"/>
  <c r="D67" i="15"/>
  <c r="E66" i="15"/>
  <c r="D66" i="15"/>
  <c r="E65" i="15"/>
  <c r="D65" i="15"/>
  <c r="E64" i="15"/>
  <c r="D64" i="15"/>
  <c r="E63" i="15"/>
  <c r="D63" i="15"/>
  <c r="E62" i="15"/>
  <c r="D62" i="15"/>
  <c r="E61" i="15"/>
  <c r="D61" i="15"/>
  <c r="E60" i="15"/>
  <c r="D60" i="15"/>
  <c r="E59" i="15"/>
  <c r="D59" i="15"/>
  <c r="E58" i="15"/>
  <c r="D58" i="15"/>
  <c r="E57" i="15"/>
  <c r="D57" i="15"/>
  <c r="E56" i="15"/>
  <c r="D56" i="15"/>
  <c r="E55" i="15"/>
  <c r="D55" i="15"/>
  <c r="E54" i="15"/>
  <c r="D54" i="15"/>
  <c r="E53" i="15"/>
  <c r="D53" i="15"/>
  <c r="E52" i="15"/>
  <c r="D52" i="15"/>
  <c r="E51" i="15"/>
  <c r="D51" i="15"/>
  <c r="E50" i="15"/>
  <c r="D50" i="15"/>
  <c r="E49" i="15"/>
  <c r="D49" i="15"/>
  <c r="E48" i="15"/>
  <c r="D48" i="15"/>
  <c r="E47" i="15"/>
  <c r="D47" i="15"/>
  <c r="E46" i="15"/>
  <c r="D46" i="15"/>
  <c r="E45" i="15"/>
  <c r="D45" i="15"/>
  <c r="E44" i="15"/>
  <c r="D44" i="15"/>
  <c r="E43" i="15"/>
  <c r="D43" i="15"/>
  <c r="E42" i="15"/>
  <c r="D42" i="15"/>
  <c r="E41" i="15"/>
  <c r="D41" i="15"/>
  <c r="E40" i="15"/>
  <c r="D40" i="15"/>
  <c r="E39" i="15"/>
  <c r="D39" i="15"/>
  <c r="E38" i="15"/>
  <c r="D38" i="15"/>
  <c r="E37" i="15"/>
  <c r="D37" i="15"/>
  <c r="E36" i="15"/>
  <c r="D36" i="15"/>
  <c r="E35" i="15"/>
  <c r="D35" i="15"/>
  <c r="E34" i="15"/>
  <c r="D34" i="15"/>
  <c r="E33" i="15"/>
  <c r="D33" i="15"/>
  <c r="E32" i="15"/>
  <c r="D32" i="15"/>
  <c r="E31" i="15"/>
  <c r="D31" i="15"/>
  <c r="E30" i="15"/>
  <c r="D30" i="15"/>
  <c r="E29" i="15"/>
  <c r="D29" i="15"/>
  <c r="E28" i="15"/>
  <c r="D28" i="15"/>
  <c r="E27" i="15"/>
  <c r="D27" i="15"/>
  <c r="E26" i="15"/>
  <c r="D26" i="15"/>
  <c r="E25" i="15"/>
  <c r="D25" i="15"/>
  <c r="E24" i="15"/>
  <c r="D24" i="15"/>
  <c r="E23" i="15"/>
  <c r="D23" i="15"/>
  <c r="E22" i="15"/>
  <c r="D22" i="15"/>
  <c r="E21" i="15"/>
  <c r="D21" i="15"/>
  <c r="E20" i="15"/>
  <c r="D20" i="15"/>
  <c r="E19" i="15"/>
  <c r="D19" i="15"/>
  <c r="E18" i="15"/>
  <c r="D18" i="15"/>
  <c r="E17" i="15"/>
  <c r="D17" i="15"/>
  <c r="E16" i="15"/>
  <c r="D16" i="15"/>
  <c r="E15" i="15"/>
  <c r="D15" i="15"/>
  <c r="E14" i="15"/>
  <c r="D14" i="15"/>
  <c r="E13" i="15"/>
  <c r="D13" i="15"/>
  <c r="E12" i="15"/>
  <c r="D12" i="15"/>
  <c r="E11" i="15"/>
  <c r="D11" i="15"/>
  <c r="E10" i="15"/>
  <c r="D10" i="15"/>
  <c r="E9" i="15"/>
  <c r="D9" i="15"/>
  <c r="E8" i="15"/>
  <c r="D8" i="15"/>
  <c r="E7" i="15"/>
  <c r="D7" i="15"/>
  <c r="E6" i="15"/>
  <c r="D6" i="15"/>
  <c r="E5" i="15"/>
  <c r="D5" i="15"/>
  <c r="E4" i="15"/>
  <c r="D4" i="15"/>
  <c r="E3" i="15"/>
  <c r="D3" i="15"/>
  <c r="E114" i="14"/>
  <c r="D114" i="14"/>
  <c r="E113" i="14"/>
  <c r="D113" i="14"/>
  <c r="E112" i="14"/>
  <c r="D112" i="14"/>
  <c r="E111" i="14"/>
  <c r="D111" i="14"/>
  <c r="E110" i="14"/>
  <c r="D110" i="14"/>
  <c r="E109" i="14"/>
  <c r="D109" i="14"/>
  <c r="E76" i="14"/>
  <c r="E75" i="14"/>
  <c r="E74" i="14"/>
  <c r="D76" i="14"/>
  <c r="D75" i="14"/>
  <c r="D74" i="14"/>
  <c r="E23" i="14"/>
  <c r="D23" i="14"/>
  <c r="E212" i="22"/>
  <c r="D212" i="22"/>
  <c r="E193" i="22"/>
  <c r="D193" i="22"/>
  <c r="E166" i="22"/>
  <c r="D166" i="22"/>
  <c r="E75" i="22"/>
  <c r="D75" i="22"/>
  <c r="E74" i="22"/>
  <c r="D74" i="22"/>
  <c r="E73" i="22"/>
  <c r="D73" i="22"/>
  <c r="E72" i="22"/>
  <c r="D72" i="22"/>
  <c r="E71" i="22"/>
  <c r="D71" i="22"/>
  <c r="E70" i="22"/>
  <c r="D70" i="22"/>
  <c r="E69" i="22"/>
  <c r="D69" i="22"/>
  <c r="E68" i="22"/>
  <c r="D68" i="22"/>
  <c r="E67" i="22"/>
  <c r="D67" i="22"/>
  <c r="E66" i="22"/>
  <c r="D66" i="22"/>
  <c r="E65" i="22"/>
  <c r="D65" i="22"/>
  <c r="E64" i="22"/>
  <c r="D64" i="22"/>
  <c r="E63" i="22"/>
  <c r="D63" i="22"/>
  <c r="E62" i="22"/>
  <c r="D62" i="22"/>
  <c r="E61" i="22"/>
  <c r="D61" i="22"/>
  <c r="E60" i="22"/>
  <c r="D60" i="22"/>
  <c r="E59" i="22"/>
  <c r="D59" i="22"/>
  <c r="E58" i="22"/>
  <c r="D58" i="22"/>
  <c r="E57" i="22"/>
  <c r="D57" i="22"/>
  <c r="E56" i="22"/>
  <c r="D56" i="22"/>
  <c r="E55" i="22"/>
  <c r="D55" i="22"/>
  <c r="E54" i="22"/>
  <c r="D54" i="22"/>
  <c r="E53" i="22"/>
  <c r="D53" i="22"/>
  <c r="E52" i="22"/>
  <c r="D52" i="22"/>
  <c r="E51" i="22"/>
  <c r="D51" i="22"/>
  <c r="E50" i="22"/>
  <c r="D50" i="22"/>
  <c r="E49" i="22"/>
  <c r="D49" i="22"/>
  <c r="E48" i="22"/>
  <c r="D48" i="22"/>
  <c r="E47" i="22"/>
  <c r="D47" i="22"/>
  <c r="E46" i="22"/>
  <c r="D46" i="22"/>
  <c r="E45" i="22"/>
  <c r="D45" i="22"/>
  <c r="E44" i="22"/>
  <c r="D44" i="22"/>
  <c r="E43" i="22"/>
  <c r="D43" i="22"/>
  <c r="E42" i="22"/>
  <c r="D42" i="22"/>
  <c r="E41" i="22"/>
  <c r="D41" i="22"/>
  <c r="E40" i="22"/>
  <c r="D40" i="22"/>
  <c r="E39" i="22"/>
  <c r="D39" i="22"/>
  <c r="E38" i="22"/>
  <c r="D38" i="22"/>
  <c r="E37" i="22"/>
  <c r="D37" i="22"/>
  <c r="E36" i="22"/>
  <c r="D36" i="22"/>
  <c r="E35" i="22"/>
  <c r="D35" i="22"/>
  <c r="E34" i="22"/>
  <c r="D34" i="22"/>
  <c r="E33" i="22"/>
  <c r="D33" i="22"/>
  <c r="E32" i="22"/>
  <c r="D32" i="22"/>
  <c r="E31" i="22"/>
  <c r="D31" i="22"/>
  <c r="E30" i="22"/>
  <c r="D30" i="22"/>
  <c r="E29" i="22"/>
  <c r="D29" i="22"/>
  <c r="E28" i="22"/>
  <c r="D28" i="22"/>
  <c r="E27" i="22"/>
  <c r="D27" i="22"/>
  <c r="E26" i="22"/>
  <c r="D26" i="22"/>
  <c r="E25" i="22"/>
  <c r="D25" i="22"/>
  <c r="E24" i="22"/>
  <c r="D24" i="22"/>
  <c r="E23" i="22"/>
  <c r="D23" i="22"/>
  <c r="E22" i="22"/>
  <c r="D22" i="22"/>
  <c r="E21" i="22"/>
  <c r="D21" i="22"/>
  <c r="E20" i="22"/>
  <c r="D20" i="22"/>
  <c r="E19" i="22"/>
  <c r="D19" i="22"/>
  <c r="E18" i="22"/>
  <c r="D18" i="22"/>
  <c r="E17" i="22"/>
  <c r="D17" i="22"/>
  <c r="E16" i="22"/>
  <c r="D16" i="22"/>
  <c r="E15" i="22"/>
  <c r="D15" i="22"/>
  <c r="E14" i="22"/>
  <c r="D14" i="22"/>
  <c r="E13" i="22"/>
  <c r="D13" i="22"/>
  <c r="E12" i="22"/>
  <c r="D12" i="22"/>
  <c r="E11" i="22"/>
  <c r="D11" i="22"/>
  <c r="E10" i="22"/>
  <c r="D10" i="22"/>
  <c r="E9" i="22"/>
  <c r="D9" i="22"/>
  <c r="E8" i="22"/>
  <c r="D8" i="22"/>
  <c r="E7" i="22"/>
  <c r="D7" i="22"/>
  <c r="E6" i="22"/>
  <c r="D6" i="22"/>
  <c r="E5" i="22"/>
  <c r="D5" i="22"/>
  <c r="E4" i="22"/>
  <c r="D4" i="22"/>
  <c r="E3" i="22"/>
  <c r="D3" i="22"/>
  <c r="E2" i="22"/>
  <c r="D2" i="22"/>
  <c r="E168" i="21"/>
  <c r="D168" i="21"/>
  <c r="E167" i="21"/>
  <c r="D167" i="21"/>
  <c r="E166" i="21"/>
  <c r="D166" i="21"/>
  <c r="E165" i="21"/>
  <c r="D165" i="21"/>
  <c r="E164" i="21"/>
  <c r="D164" i="21"/>
  <c r="E163" i="21"/>
  <c r="D163" i="21"/>
  <c r="E162" i="21"/>
  <c r="D162" i="21"/>
  <c r="E157" i="21"/>
  <c r="D157" i="21"/>
  <c r="E144" i="21"/>
  <c r="D144" i="21"/>
  <c r="E142" i="21"/>
  <c r="D142" i="21"/>
  <c r="E141" i="21"/>
  <c r="D141" i="21"/>
  <c r="E140" i="21"/>
  <c r="D140" i="21"/>
  <c r="E139" i="21"/>
  <c r="D139" i="21"/>
  <c r="E138" i="21"/>
  <c r="D138" i="21"/>
  <c r="E137" i="21"/>
  <c r="D137" i="21"/>
  <c r="E136" i="21"/>
  <c r="D136" i="21"/>
  <c r="E135" i="21"/>
  <c r="D135" i="21"/>
  <c r="E134" i="21"/>
  <c r="D134" i="21"/>
  <c r="E133" i="21"/>
  <c r="D133" i="21"/>
  <c r="E132" i="21"/>
  <c r="D132" i="21"/>
  <c r="E131" i="21"/>
  <c r="D131" i="21"/>
  <c r="E130" i="21"/>
  <c r="D130" i="21"/>
  <c r="E50" i="21"/>
  <c r="D50" i="21"/>
  <c r="E49" i="21"/>
  <c r="D49" i="21"/>
  <c r="E48" i="21"/>
  <c r="D48" i="21"/>
  <c r="E47" i="21"/>
  <c r="D47" i="21"/>
  <c r="E46" i="21"/>
  <c r="D46" i="21"/>
  <c r="E45" i="21"/>
  <c r="D45" i="21"/>
  <c r="E44" i="21"/>
  <c r="D44" i="21"/>
  <c r="E43" i="21"/>
  <c r="D43" i="21"/>
  <c r="E42" i="21"/>
  <c r="D42" i="21"/>
  <c r="E41" i="21"/>
  <c r="D41" i="21"/>
  <c r="E40" i="21"/>
  <c r="D40" i="21"/>
  <c r="E39" i="21"/>
  <c r="D39" i="21"/>
  <c r="E38" i="21"/>
  <c r="D38" i="21"/>
  <c r="E37" i="21"/>
  <c r="D37" i="21"/>
  <c r="E36" i="21"/>
  <c r="D36" i="21"/>
  <c r="E35" i="21"/>
  <c r="D35" i="21"/>
  <c r="E34" i="21"/>
  <c r="D34" i="21"/>
  <c r="E33" i="21"/>
  <c r="D33" i="21"/>
  <c r="E32" i="21"/>
  <c r="D32" i="21"/>
  <c r="E31" i="21"/>
  <c r="D31" i="21"/>
  <c r="E30" i="21"/>
  <c r="D30" i="21"/>
  <c r="E29" i="21"/>
  <c r="D29" i="21"/>
  <c r="E28" i="21"/>
  <c r="D28" i="21"/>
  <c r="E27" i="21"/>
  <c r="D27" i="21"/>
  <c r="E26" i="21"/>
  <c r="D26" i="21"/>
  <c r="E25" i="21"/>
  <c r="D25" i="21"/>
  <c r="E24" i="21"/>
  <c r="D24" i="21"/>
  <c r="E23" i="21"/>
  <c r="D23" i="21"/>
  <c r="E22" i="21"/>
  <c r="D22" i="21"/>
  <c r="E21" i="21"/>
  <c r="D21" i="21"/>
  <c r="E20" i="21"/>
  <c r="D20" i="21"/>
  <c r="E19" i="21"/>
  <c r="D19" i="21"/>
  <c r="E18" i="21"/>
  <c r="D18" i="21"/>
  <c r="E17" i="21"/>
  <c r="D17" i="21"/>
  <c r="E16" i="21"/>
  <c r="D16" i="21"/>
  <c r="E15" i="21"/>
  <c r="D15" i="21"/>
  <c r="E14" i="21"/>
  <c r="D14" i="21"/>
  <c r="E13" i="21"/>
  <c r="D13" i="21"/>
  <c r="E12" i="21"/>
  <c r="D12" i="21"/>
  <c r="E11" i="21"/>
  <c r="D11" i="21"/>
  <c r="E10" i="21"/>
  <c r="D10" i="21"/>
  <c r="E9" i="21"/>
  <c r="D9" i="21"/>
  <c r="E8" i="21"/>
  <c r="D8" i="21"/>
  <c r="E7" i="21"/>
  <c r="D7" i="21"/>
  <c r="E6" i="21"/>
  <c r="D6" i="21"/>
  <c r="E5" i="21"/>
  <c r="D5" i="21"/>
  <c r="E4" i="21"/>
  <c r="D4" i="21"/>
  <c r="E3" i="21"/>
  <c r="D3" i="21"/>
  <c r="E2" i="21"/>
  <c r="D2" i="21"/>
  <c r="E186" i="20"/>
  <c r="D186" i="20"/>
  <c r="E112" i="20"/>
  <c r="D112" i="20"/>
  <c r="E111" i="20"/>
  <c r="D111" i="20"/>
  <c r="E101" i="20"/>
  <c r="D101" i="20"/>
  <c r="E85" i="20"/>
  <c r="D85" i="20"/>
  <c r="E84" i="20"/>
  <c r="D84" i="20"/>
  <c r="E83" i="20"/>
  <c r="D83" i="20"/>
  <c r="E82" i="20"/>
  <c r="D82" i="20"/>
  <c r="E81" i="20"/>
  <c r="D81" i="20"/>
  <c r="E50" i="20"/>
  <c r="D50" i="20"/>
  <c r="E49" i="20"/>
  <c r="D49" i="20"/>
  <c r="E48" i="20"/>
  <c r="D48" i="20"/>
  <c r="E47" i="20"/>
  <c r="D47" i="20"/>
  <c r="E46" i="20"/>
  <c r="D46" i="20"/>
  <c r="E45" i="20"/>
  <c r="D45" i="20"/>
  <c r="E44" i="20"/>
  <c r="D44" i="20"/>
  <c r="E43" i="20"/>
  <c r="D43" i="20"/>
  <c r="E42" i="20"/>
  <c r="D42" i="20"/>
  <c r="E41" i="20"/>
  <c r="D41" i="20"/>
  <c r="E40" i="20"/>
  <c r="D40" i="20"/>
  <c r="E39" i="20"/>
  <c r="D39" i="20"/>
  <c r="E38" i="20"/>
  <c r="D38" i="20"/>
  <c r="E37" i="20"/>
  <c r="D37" i="20"/>
  <c r="E36" i="20"/>
  <c r="D36" i="20"/>
  <c r="E35" i="20"/>
  <c r="D35" i="20"/>
  <c r="E34" i="20"/>
  <c r="D34" i="20"/>
  <c r="E33" i="20"/>
  <c r="D33" i="20"/>
  <c r="E32" i="20"/>
  <c r="D32" i="20"/>
  <c r="E31" i="20"/>
  <c r="D31" i="20"/>
  <c r="E30" i="20"/>
  <c r="D30" i="20"/>
  <c r="E29" i="20"/>
  <c r="D29" i="20"/>
  <c r="E28" i="20"/>
  <c r="D28" i="20"/>
  <c r="E27" i="20"/>
  <c r="D27" i="20"/>
  <c r="E26" i="20"/>
  <c r="D26" i="20"/>
  <c r="E25" i="20"/>
  <c r="D25" i="20"/>
  <c r="E24" i="20"/>
  <c r="D24" i="20"/>
  <c r="E23" i="20"/>
  <c r="D23" i="20"/>
  <c r="E22" i="20"/>
  <c r="D22" i="20"/>
  <c r="E21" i="20"/>
  <c r="D21" i="20"/>
  <c r="E20" i="20"/>
  <c r="D20" i="20"/>
  <c r="E19" i="20"/>
  <c r="D19" i="20"/>
  <c r="E18" i="20"/>
  <c r="D18" i="20"/>
  <c r="E17" i="20"/>
  <c r="D17" i="20"/>
  <c r="E16" i="20"/>
  <c r="D16" i="20"/>
  <c r="E15" i="20"/>
  <c r="D15" i="20"/>
  <c r="E14" i="20"/>
  <c r="D14" i="20"/>
  <c r="E13" i="20"/>
  <c r="D13" i="20"/>
  <c r="E12" i="20"/>
  <c r="D12" i="20"/>
  <c r="E11" i="20"/>
  <c r="D11" i="20"/>
  <c r="E10" i="20"/>
  <c r="D10" i="20"/>
  <c r="E9" i="20"/>
  <c r="D9" i="20"/>
  <c r="E8" i="20"/>
  <c r="D8" i="20"/>
  <c r="E7" i="20"/>
  <c r="D7" i="20"/>
  <c r="E6" i="20"/>
  <c r="D6" i="20"/>
  <c r="E5" i="20"/>
  <c r="D5" i="20"/>
  <c r="E4" i="20"/>
  <c r="D4" i="20"/>
  <c r="E3" i="20"/>
  <c r="D3" i="20"/>
  <c r="E2" i="20"/>
  <c r="D2" i="20"/>
  <c r="E224" i="19"/>
  <c r="D224" i="19"/>
  <c r="E223" i="19"/>
  <c r="D223" i="19"/>
  <c r="E222" i="19"/>
  <c r="D222" i="19"/>
  <c r="E221" i="19"/>
  <c r="D221" i="19"/>
  <c r="E220" i="19"/>
  <c r="D220" i="19"/>
  <c r="E219" i="19"/>
  <c r="D219" i="19"/>
  <c r="E218" i="19"/>
  <c r="D218" i="19"/>
  <c r="E217" i="19"/>
  <c r="D217" i="19"/>
  <c r="E216" i="19"/>
  <c r="D216" i="19"/>
  <c r="E128" i="19"/>
  <c r="D128" i="19"/>
  <c r="E118" i="19"/>
  <c r="D118" i="19"/>
  <c r="E117" i="19"/>
  <c r="D117" i="19"/>
  <c r="E116" i="19"/>
  <c r="D116" i="19"/>
  <c r="E115" i="19"/>
  <c r="D115" i="19"/>
  <c r="E114" i="19"/>
  <c r="D114" i="19"/>
  <c r="E113" i="19"/>
  <c r="D113" i="19"/>
  <c r="E112" i="19"/>
  <c r="D112" i="19"/>
  <c r="E111" i="19"/>
  <c r="D111" i="19"/>
  <c r="E110" i="19"/>
  <c r="D110" i="19"/>
  <c r="E109" i="19"/>
  <c r="D109" i="19"/>
  <c r="E108" i="19"/>
  <c r="D108" i="19"/>
  <c r="E107" i="19"/>
  <c r="D107" i="19"/>
  <c r="E106" i="19"/>
  <c r="D106" i="19"/>
  <c r="E105" i="19"/>
  <c r="D105" i="19"/>
  <c r="E104" i="19"/>
  <c r="D104" i="19"/>
  <c r="E103" i="19"/>
  <c r="D103" i="19"/>
  <c r="E102" i="19"/>
  <c r="D102" i="19"/>
  <c r="E101" i="19"/>
  <c r="D101" i="19"/>
  <c r="E100" i="19"/>
  <c r="D100" i="19"/>
  <c r="E99" i="19"/>
  <c r="D99" i="19"/>
  <c r="E98" i="19"/>
  <c r="D98" i="19"/>
  <c r="E97" i="19"/>
  <c r="D97" i="19"/>
  <c r="E96" i="19"/>
  <c r="D96" i="19"/>
  <c r="E95" i="19"/>
  <c r="D95" i="19"/>
  <c r="E94" i="19"/>
  <c r="D94" i="19"/>
  <c r="E93" i="19"/>
  <c r="D93" i="19"/>
  <c r="E92" i="19"/>
  <c r="D92" i="19"/>
  <c r="E91" i="19"/>
  <c r="D91" i="19"/>
  <c r="E90" i="19"/>
  <c r="D90" i="19"/>
  <c r="E89" i="19"/>
  <c r="D89" i="19"/>
  <c r="E88" i="19"/>
  <c r="D88" i="19"/>
  <c r="E87" i="19"/>
  <c r="D87" i="19"/>
  <c r="E86" i="19"/>
  <c r="D86" i="19"/>
  <c r="E85" i="19"/>
  <c r="D85" i="19"/>
  <c r="E84" i="19"/>
  <c r="D84" i="19"/>
  <c r="E83" i="19"/>
  <c r="D83" i="19"/>
  <c r="E82" i="19"/>
  <c r="D82" i="19"/>
  <c r="E81" i="19"/>
  <c r="D81" i="19"/>
  <c r="E80" i="19"/>
  <c r="D80" i="19"/>
  <c r="E79" i="19"/>
  <c r="D79" i="19"/>
  <c r="E78" i="19"/>
  <c r="D78" i="19"/>
  <c r="E77" i="19"/>
  <c r="D77" i="19"/>
  <c r="E76" i="19"/>
  <c r="D76" i="19"/>
  <c r="E75" i="19"/>
  <c r="D75" i="19"/>
  <c r="E74" i="19"/>
  <c r="D74" i="19"/>
  <c r="E73" i="19"/>
  <c r="D73" i="19"/>
  <c r="E72" i="19"/>
  <c r="D72" i="19"/>
  <c r="E71" i="19"/>
  <c r="D71" i="19"/>
  <c r="E70" i="19"/>
  <c r="D70" i="19"/>
  <c r="E69" i="19"/>
  <c r="D69" i="19"/>
  <c r="E68" i="19"/>
  <c r="D68" i="19"/>
  <c r="E67" i="19"/>
  <c r="D67" i="19"/>
  <c r="E66" i="19"/>
  <c r="D66" i="19"/>
  <c r="E65" i="19"/>
  <c r="D65" i="19"/>
  <c r="E64" i="19"/>
  <c r="D64" i="19"/>
  <c r="E63" i="19"/>
  <c r="D63" i="19"/>
  <c r="E62" i="19"/>
  <c r="D62" i="19"/>
  <c r="E61" i="19"/>
  <c r="D61" i="19"/>
  <c r="E60" i="19"/>
  <c r="D60" i="19"/>
  <c r="E59" i="19"/>
  <c r="D59" i="19"/>
  <c r="E58" i="19"/>
  <c r="D58" i="19"/>
  <c r="E57" i="19"/>
  <c r="D57" i="19"/>
  <c r="E56" i="19"/>
  <c r="D56" i="19"/>
  <c r="E55" i="19"/>
  <c r="D55" i="19"/>
  <c r="E54" i="19"/>
  <c r="D54" i="19"/>
  <c r="E53" i="19"/>
  <c r="D53" i="19"/>
  <c r="E52" i="19"/>
  <c r="D52" i="19"/>
  <c r="E51" i="19"/>
  <c r="D51" i="19"/>
  <c r="E50" i="19"/>
  <c r="D50" i="19"/>
  <c r="E49" i="19"/>
  <c r="D49" i="19"/>
  <c r="E48" i="19"/>
  <c r="D48" i="19"/>
  <c r="E47" i="19"/>
  <c r="D47" i="19"/>
  <c r="E46" i="19"/>
  <c r="D46" i="19"/>
  <c r="E45" i="19"/>
  <c r="D45" i="19"/>
  <c r="E44" i="19"/>
  <c r="D44" i="19"/>
  <c r="E43" i="19"/>
  <c r="D43" i="19"/>
  <c r="E42" i="19"/>
  <c r="D42" i="19"/>
  <c r="E41" i="19"/>
  <c r="D41" i="19"/>
  <c r="E40" i="19"/>
  <c r="D40" i="19"/>
  <c r="E39" i="19"/>
  <c r="D39" i="19"/>
  <c r="E38" i="19"/>
  <c r="D38" i="19"/>
  <c r="E37" i="19"/>
  <c r="D37" i="19"/>
  <c r="E36" i="19"/>
  <c r="D36" i="19"/>
  <c r="E35" i="19"/>
  <c r="D35" i="19"/>
  <c r="E34" i="19"/>
  <c r="D34" i="19"/>
  <c r="E33" i="19"/>
  <c r="D33" i="19"/>
  <c r="E32" i="19"/>
  <c r="D32" i="19"/>
  <c r="E31" i="19"/>
  <c r="D31" i="19"/>
  <c r="E30" i="19"/>
  <c r="D30" i="19"/>
  <c r="E29" i="19"/>
  <c r="D29" i="19"/>
  <c r="E28" i="19"/>
  <c r="D28" i="19"/>
  <c r="E27" i="19"/>
  <c r="D27" i="19"/>
  <c r="E26" i="19"/>
  <c r="D26" i="19"/>
  <c r="E25" i="19"/>
  <c r="D25" i="19"/>
  <c r="E24" i="19"/>
  <c r="D24" i="19"/>
  <c r="E23" i="19"/>
  <c r="D23" i="19"/>
  <c r="E22" i="19"/>
  <c r="D22" i="19"/>
  <c r="E21" i="19"/>
  <c r="D21" i="19"/>
  <c r="E20" i="19"/>
  <c r="D20" i="19"/>
  <c r="E19" i="19"/>
  <c r="D19" i="19"/>
  <c r="E18" i="19"/>
  <c r="D18" i="19"/>
  <c r="E17" i="19"/>
  <c r="D17" i="19"/>
  <c r="E16" i="19"/>
  <c r="D16" i="19"/>
  <c r="E15" i="19"/>
  <c r="D15" i="19"/>
  <c r="E14" i="19"/>
  <c r="D14" i="19"/>
  <c r="E13" i="19"/>
  <c r="D13" i="19"/>
  <c r="E12" i="19"/>
  <c r="D12" i="19"/>
  <c r="E11" i="19"/>
  <c r="D11" i="19"/>
  <c r="E10" i="19"/>
  <c r="D10" i="19"/>
  <c r="E9" i="19"/>
  <c r="D9" i="19"/>
  <c r="E8" i="19"/>
  <c r="D8" i="19"/>
  <c r="E7" i="19"/>
  <c r="D7" i="19"/>
  <c r="E6" i="19"/>
  <c r="D6" i="19"/>
  <c r="E5" i="19"/>
  <c r="D5" i="19"/>
  <c r="E4" i="19"/>
  <c r="D4" i="19"/>
  <c r="E3" i="19"/>
  <c r="D3" i="19"/>
  <c r="E2" i="19"/>
  <c r="D2" i="19"/>
  <c r="E212" i="18"/>
  <c r="D212" i="18"/>
  <c r="E211" i="18"/>
  <c r="D211" i="18"/>
  <c r="E210" i="18"/>
  <c r="D210" i="18"/>
  <c r="E187" i="18"/>
  <c r="D187" i="18"/>
  <c r="E186" i="18"/>
  <c r="D186" i="18"/>
  <c r="E185" i="18"/>
  <c r="D185" i="18"/>
  <c r="E184" i="18"/>
  <c r="D184" i="18"/>
  <c r="E183" i="18"/>
  <c r="D183" i="18"/>
  <c r="E182" i="18"/>
  <c r="D182" i="18"/>
  <c r="E181" i="18"/>
  <c r="D181" i="18"/>
  <c r="E180" i="18"/>
  <c r="D180" i="18"/>
  <c r="E179" i="18"/>
  <c r="D179" i="18"/>
  <c r="E178" i="18"/>
  <c r="D178" i="18"/>
  <c r="E107" i="18"/>
  <c r="D107" i="18"/>
  <c r="E103" i="18"/>
  <c r="D103" i="18"/>
  <c r="E102" i="18"/>
  <c r="D102" i="18"/>
  <c r="E64" i="18"/>
  <c r="D64" i="18"/>
  <c r="E63" i="18"/>
  <c r="D63" i="18"/>
  <c r="E62" i="18"/>
  <c r="D62" i="18"/>
  <c r="E61" i="18"/>
  <c r="D61" i="18"/>
  <c r="E60" i="18"/>
  <c r="D60" i="18"/>
  <c r="E59" i="18"/>
  <c r="D59" i="18"/>
  <c r="E58" i="18"/>
  <c r="D58" i="18"/>
  <c r="E57" i="18"/>
  <c r="D57" i="18"/>
  <c r="E56" i="18"/>
  <c r="D56" i="18"/>
  <c r="E55" i="18"/>
  <c r="D55" i="18"/>
  <c r="E54" i="18"/>
  <c r="D54" i="18"/>
  <c r="E53" i="18"/>
  <c r="D53" i="18"/>
  <c r="E52" i="18"/>
  <c r="D52" i="18"/>
  <c r="E51" i="18"/>
  <c r="D51" i="18"/>
  <c r="E50" i="18"/>
  <c r="D50" i="18"/>
  <c r="E49" i="18"/>
  <c r="D49" i="18"/>
  <c r="E48" i="18"/>
  <c r="D48" i="18"/>
  <c r="E47" i="18"/>
  <c r="D47" i="18"/>
  <c r="E46" i="18"/>
  <c r="D46" i="18"/>
  <c r="E45" i="18"/>
  <c r="D45" i="18"/>
  <c r="E44" i="18"/>
  <c r="D44" i="18"/>
  <c r="E43" i="18"/>
  <c r="D43" i="18"/>
  <c r="E42" i="18"/>
  <c r="D42" i="18"/>
  <c r="E41" i="18"/>
  <c r="D41" i="18"/>
  <c r="E40" i="18"/>
  <c r="D40" i="18"/>
  <c r="E39" i="18"/>
  <c r="D39" i="18"/>
  <c r="E38" i="18"/>
  <c r="D38" i="18"/>
  <c r="E37" i="18"/>
  <c r="D37" i="18"/>
  <c r="E36" i="18"/>
  <c r="D36" i="18"/>
  <c r="E35" i="18"/>
  <c r="D35" i="18"/>
  <c r="E34" i="18"/>
  <c r="D34" i="18"/>
  <c r="E33" i="18"/>
  <c r="D33" i="18"/>
  <c r="E32" i="18"/>
  <c r="D32" i="18"/>
  <c r="E31" i="18"/>
  <c r="D31" i="18"/>
  <c r="E30" i="18"/>
  <c r="D30" i="18"/>
  <c r="E29" i="18"/>
  <c r="D29" i="18"/>
  <c r="E28" i="18"/>
  <c r="D28" i="18"/>
  <c r="E27" i="18"/>
  <c r="D27" i="18"/>
  <c r="E26" i="18"/>
  <c r="D26" i="18"/>
  <c r="E25" i="18"/>
  <c r="D25" i="18"/>
  <c r="E24" i="18"/>
  <c r="D24" i="18"/>
  <c r="E23" i="18"/>
  <c r="D23" i="18"/>
  <c r="E22" i="18"/>
  <c r="D22" i="18"/>
  <c r="E21" i="18"/>
  <c r="D21" i="18"/>
  <c r="E20" i="18"/>
  <c r="D20" i="18"/>
  <c r="E19" i="18"/>
  <c r="D19" i="18"/>
  <c r="E18" i="18"/>
  <c r="D18" i="18"/>
  <c r="E17" i="18"/>
  <c r="D17" i="18"/>
  <c r="E16" i="18"/>
  <c r="D16" i="18"/>
  <c r="E15" i="18"/>
  <c r="D15" i="18"/>
  <c r="E14" i="18"/>
  <c r="D14" i="18"/>
  <c r="E13" i="18"/>
  <c r="D13" i="18"/>
  <c r="E12" i="18"/>
  <c r="D12" i="18"/>
  <c r="E11" i="18"/>
  <c r="D11" i="18"/>
  <c r="E10" i="18"/>
  <c r="D10" i="18"/>
  <c r="E9" i="18"/>
  <c r="D9" i="18"/>
  <c r="E8" i="18"/>
  <c r="D8" i="18"/>
  <c r="E7" i="18"/>
  <c r="D7" i="18"/>
  <c r="E6" i="18"/>
  <c r="D6" i="18"/>
  <c r="E5" i="18"/>
  <c r="D5" i="18"/>
  <c r="E4" i="18"/>
  <c r="D4" i="18"/>
  <c r="E3" i="18"/>
  <c r="D3" i="18"/>
  <c r="E2" i="18"/>
  <c r="D2" i="18"/>
  <c r="E213" i="17"/>
  <c r="D213" i="17"/>
  <c r="E212" i="17"/>
  <c r="D212" i="17"/>
  <c r="E211" i="17"/>
  <c r="D211" i="17"/>
  <c r="E210" i="17"/>
  <c r="D210" i="17"/>
  <c r="E198" i="17"/>
  <c r="D198" i="17"/>
  <c r="E197" i="17"/>
  <c r="D197" i="17"/>
  <c r="E196" i="17"/>
  <c r="D196" i="17"/>
  <c r="E191" i="17"/>
  <c r="D191" i="17"/>
  <c r="E190" i="17"/>
  <c r="D190" i="17"/>
  <c r="E189" i="17"/>
  <c r="D189" i="17"/>
  <c r="E188" i="17"/>
  <c r="D188" i="17"/>
  <c r="E187" i="17"/>
  <c r="D187" i="17"/>
  <c r="E186" i="17"/>
  <c r="D186" i="17"/>
  <c r="E185" i="17"/>
  <c r="D185" i="17"/>
  <c r="E184" i="17"/>
  <c r="D184" i="17"/>
  <c r="E183" i="17"/>
  <c r="D183" i="17"/>
  <c r="E182" i="17"/>
  <c r="D182" i="17"/>
  <c r="E181" i="17"/>
  <c r="D181" i="17"/>
  <c r="E180" i="17"/>
  <c r="D180" i="17"/>
  <c r="E179" i="17"/>
  <c r="D179" i="17"/>
  <c r="E178" i="17"/>
  <c r="D178" i="17"/>
  <c r="E177" i="17"/>
  <c r="D177" i="17"/>
  <c r="E176" i="17"/>
  <c r="D176" i="17"/>
  <c r="E175" i="17"/>
  <c r="D175" i="17"/>
  <c r="E174" i="17"/>
  <c r="D174" i="17"/>
  <c r="E173" i="17"/>
  <c r="D173" i="17"/>
  <c r="E172" i="17"/>
  <c r="D172" i="17"/>
  <c r="E162" i="17"/>
  <c r="D162" i="17"/>
  <c r="E161" i="17"/>
  <c r="D161" i="17"/>
  <c r="E134" i="17"/>
  <c r="D134" i="17"/>
  <c r="E2" i="17"/>
  <c r="D2" i="17"/>
  <c r="D154" i="16"/>
  <c r="D153" i="16"/>
  <c r="D152" i="16"/>
  <c r="E151" i="16"/>
  <c r="D151" i="16"/>
  <c r="E150" i="16"/>
  <c r="D150" i="16"/>
  <c r="E149" i="16"/>
  <c r="D149" i="16"/>
  <c r="E148" i="16"/>
  <c r="D148" i="16"/>
  <c r="E147" i="16"/>
  <c r="D147" i="16"/>
  <c r="E146" i="16"/>
  <c r="D146" i="16"/>
  <c r="E129" i="16"/>
  <c r="D129" i="16"/>
  <c r="E128" i="16"/>
  <c r="D128" i="16"/>
  <c r="E127" i="16"/>
  <c r="D127" i="16"/>
  <c r="E126" i="16"/>
  <c r="D126" i="16"/>
  <c r="E125" i="16"/>
  <c r="D125" i="16"/>
  <c r="E124" i="16"/>
  <c r="D124" i="16"/>
  <c r="E123" i="16"/>
  <c r="D123" i="16"/>
  <c r="E122" i="16"/>
  <c r="D122" i="16"/>
  <c r="E121" i="16"/>
  <c r="D121" i="16"/>
  <c r="E120" i="16"/>
  <c r="D120" i="16"/>
  <c r="E119" i="16"/>
  <c r="D119" i="16"/>
  <c r="E118" i="16"/>
  <c r="D118" i="16"/>
  <c r="E117" i="16"/>
  <c r="D117" i="16"/>
  <c r="E116" i="16"/>
  <c r="D116" i="16"/>
  <c r="E115" i="16"/>
  <c r="D115" i="16"/>
  <c r="E105" i="16"/>
  <c r="D105" i="16"/>
  <c r="E104" i="16"/>
  <c r="D104" i="16"/>
  <c r="E103" i="16"/>
  <c r="D103" i="16"/>
  <c r="E102" i="16"/>
  <c r="D102" i="16"/>
  <c r="E101" i="16"/>
  <c r="D101" i="16"/>
  <c r="E100" i="16"/>
  <c r="D100" i="16"/>
  <c r="E99" i="16"/>
  <c r="D99" i="16"/>
  <c r="E98" i="16"/>
  <c r="D98" i="16"/>
  <c r="E97" i="16"/>
  <c r="D97" i="16"/>
  <c r="E96" i="16"/>
  <c r="D96" i="16"/>
  <c r="E95" i="16"/>
  <c r="D95" i="16"/>
  <c r="E94" i="16"/>
  <c r="D94" i="16"/>
  <c r="E93" i="16"/>
  <c r="D93" i="16"/>
  <c r="E92" i="16"/>
  <c r="D92" i="16"/>
  <c r="E91" i="16"/>
  <c r="D91" i="16"/>
  <c r="E90" i="16"/>
  <c r="D90" i="16"/>
  <c r="E89" i="16"/>
  <c r="D89" i="16"/>
  <c r="E88" i="16"/>
  <c r="D88" i="16"/>
  <c r="E87" i="16"/>
  <c r="D87" i="16"/>
  <c r="E86" i="16"/>
  <c r="D86" i="16"/>
  <c r="E85" i="16"/>
  <c r="D85" i="16"/>
  <c r="E84" i="16"/>
  <c r="D84" i="16"/>
  <c r="E83" i="16"/>
  <c r="D83" i="16"/>
  <c r="E82" i="16"/>
  <c r="D82" i="16"/>
  <c r="E81" i="16"/>
  <c r="D81" i="16"/>
  <c r="E80" i="16"/>
  <c r="D80" i="16"/>
  <c r="E79" i="16"/>
  <c r="D79" i="16"/>
  <c r="E78" i="16"/>
  <c r="D78" i="16"/>
  <c r="E77" i="16"/>
  <c r="D77" i="16"/>
  <c r="E76" i="16"/>
  <c r="D76" i="16"/>
  <c r="E75" i="16"/>
  <c r="D75" i="16"/>
  <c r="E74" i="16"/>
  <c r="D74" i="16"/>
  <c r="E73" i="16"/>
  <c r="D73" i="16"/>
  <c r="E72" i="16"/>
  <c r="D72" i="16"/>
  <c r="E71" i="16"/>
  <c r="D71" i="16"/>
  <c r="E70" i="16"/>
  <c r="D70" i="16"/>
  <c r="E69" i="16"/>
  <c r="D69" i="16"/>
  <c r="E68" i="16"/>
  <c r="D68" i="16"/>
  <c r="E67" i="16"/>
  <c r="D67" i="16"/>
  <c r="E66" i="16"/>
  <c r="D66" i="16"/>
  <c r="E65" i="16"/>
  <c r="D65" i="16"/>
  <c r="E64" i="16"/>
  <c r="D64" i="16"/>
  <c r="E63" i="16"/>
  <c r="D63" i="16"/>
  <c r="E62" i="16"/>
  <c r="D62" i="16"/>
  <c r="E61" i="16"/>
  <c r="D61" i="16"/>
  <c r="E60" i="16"/>
  <c r="D60" i="16"/>
  <c r="E59" i="16"/>
  <c r="D59" i="16"/>
  <c r="E58" i="16"/>
  <c r="D58" i="16"/>
  <c r="E57" i="16"/>
  <c r="D57" i="16"/>
  <c r="E56" i="16"/>
  <c r="D56" i="16"/>
  <c r="E55" i="16"/>
  <c r="D55" i="16"/>
  <c r="E54" i="16"/>
  <c r="D54" i="16"/>
  <c r="E53" i="16"/>
  <c r="D53" i="16"/>
  <c r="E52" i="16"/>
  <c r="D52" i="16"/>
  <c r="E51" i="16"/>
  <c r="D51" i="16"/>
  <c r="E50" i="16"/>
  <c r="D50" i="16"/>
  <c r="E49" i="16"/>
  <c r="D49" i="16"/>
  <c r="E48" i="16"/>
  <c r="D48" i="16"/>
  <c r="E47" i="16"/>
  <c r="D47" i="16"/>
  <c r="E46" i="16"/>
  <c r="D46" i="16"/>
  <c r="E45" i="16"/>
  <c r="D45" i="16"/>
  <c r="E44" i="16"/>
  <c r="D44" i="16"/>
  <c r="E43" i="16"/>
  <c r="D43" i="16"/>
  <c r="E42" i="16"/>
  <c r="D42" i="16"/>
  <c r="E41" i="16"/>
  <c r="D41" i="16"/>
  <c r="E40" i="16"/>
  <c r="D40" i="16"/>
  <c r="E39" i="16"/>
  <c r="D39" i="16"/>
  <c r="E38" i="16"/>
  <c r="D38" i="16"/>
  <c r="E37" i="16"/>
  <c r="D37" i="16"/>
  <c r="E36" i="16"/>
  <c r="D36" i="16"/>
  <c r="E35" i="16"/>
  <c r="D35" i="16"/>
  <c r="E34" i="16"/>
  <c r="D34" i="16"/>
  <c r="E33" i="16"/>
  <c r="D33" i="16"/>
  <c r="E32" i="16"/>
  <c r="D32" i="16"/>
  <c r="E31" i="16"/>
  <c r="D31" i="16"/>
  <c r="E30" i="16"/>
  <c r="D30" i="16"/>
  <c r="E29" i="16"/>
  <c r="D29" i="16"/>
  <c r="E28" i="16"/>
  <c r="D28" i="16"/>
  <c r="E27" i="16"/>
  <c r="D27" i="16"/>
  <c r="E26" i="16"/>
  <c r="D26" i="16"/>
  <c r="E25" i="16"/>
  <c r="D25" i="16"/>
  <c r="E24" i="16"/>
  <c r="D24" i="16"/>
  <c r="E23" i="16"/>
  <c r="D23" i="16"/>
  <c r="E22" i="16"/>
  <c r="D22" i="16"/>
  <c r="E21" i="16"/>
  <c r="D21" i="16"/>
  <c r="E20" i="16"/>
  <c r="D20" i="16"/>
  <c r="E19" i="16"/>
  <c r="D19" i="16"/>
  <c r="E18" i="16"/>
  <c r="D18" i="16"/>
  <c r="E17" i="16"/>
  <c r="D17" i="16"/>
  <c r="E16" i="16"/>
  <c r="D16" i="16"/>
  <c r="E15" i="16"/>
  <c r="D15" i="16"/>
  <c r="E14" i="16"/>
  <c r="D14" i="16"/>
  <c r="E13" i="16"/>
  <c r="D13" i="16"/>
  <c r="E12" i="16"/>
  <c r="D12" i="16"/>
  <c r="E11" i="16"/>
  <c r="D11" i="16"/>
  <c r="E10" i="16"/>
  <c r="D10" i="16"/>
  <c r="E9" i="16"/>
  <c r="D9" i="16"/>
  <c r="E8" i="16"/>
  <c r="D8" i="16"/>
  <c r="E7" i="16"/>
  <c r="D7" i="16"/>
  <c r="E6" i="16"/>
  <c r="D6" i="16"/>
  <c r="E5" i="16"/>
  <c r="D5" i="16"/>
  <c r="E4" i="16"/>
  <c r="D4" i="16"/>
  <c r="E3" i="16"/>
  <c r="D3" i="16"/>
  <c r="E2" i="16"/>
  <c r="D2" i="16"/>
  <c r="E221" i="15"/>
  <c r="D221" i="15"/>
  <c r="E220" i="15"/>
  <c r="D220" i="15"/>
  <c r="E219" i="15"/>
  <c r="D219" i="15"/>
  <c r="E218" i="15"/>
  <c r="D218" i="15"/>
  <c r="E217" i="15"/>
  <c r="D217" i="15"/>
  <c r="E216" i="15"/>
  <c r="D216" i="15"/>
  <c r="E215" i="15"/>
  <c r="D215" i="15"/>
  <c r="E214" i="15"/>
  <c r="D214" i="15"/>
  <c r="E213" i="15"/>
  <c r="D213" i="15"/>
  <c r="E212" i="15"/>
  <c r="D212" i="15"/>
  <c r="E211" i="15"/>
  <c r="D211" i="15"/>
  <c r="E210" i="15"/>
  <c r="D210" i="15"/>
  <c r="E209" i="15"/>
  <c r="D209" i="15"/>
  <c r="E208" i="15"/>
  <c r="D208" i="15"/>
  <c r="E207" i="15"/>
  <c r="D207" i="15"/>
  <c r="E155" i="15"/>
  <c r="D155" i="15"/>
  <c r="E137" i="15"/>
  <c r="D137" i="15"/>
  <c r="E136" i="15"/>
  <c r="D136" i="15"/>
  <c r="E135" i="15"/>
  <c r="D135" i="15"/>
  <c r="E134" i="15"/>
  <c r="D134" i="15"/>
  <c r="E2" i="15"/>
  <c r="D2" i="15"/>
  <c r="E108" i="14"/>
  <c r="D108" i="14"/>
  <c r="E107" i="14"/>
  <c r="D107" i="14"/>
  <c r="E106" i="14"/>
  <c r="D106" i="14"/>
  <c r="E105" i="14"/>
  <c r="D105" i="14"/>
  <c r="E104" i="14"/>
  <c r="D104" i="14"/>
  <c r="E103" i="14"/>
  <c r="D103" i="14"/>
  <c r="E102" i="14"/>
  <c r="D102" i="14"/>
  <c r="E101" i="14"/>
  <c r="D101" i="14"/>
  <c r="E100" i="14"/>
  <c r="D100" i="14"/>
  <c r="E99" i="14"/>
  <c r="D99" i="14"/>
  <c r="E98" i="14"/>
  <c r="D98" i="14"/>
  <c r="E97" i="14"/>
  <c r="D97" i="14"/>
  <c r="E96" i="14"/>
  <c r="D96" i="14"/>
  <c r="E95" i="14"/>
  <c r="D95" i="14"/>
  <c r="E94" i="14"/>
  <c r="D94" i="14"/>
  <c r="E93" i="14"/>
  <c r="D93" i="14"/>
  <c r="E92" i="14"/>
  <c r="D92" i="14"/>
  <c r="E91" i="14"/>
  <c r="D91" i="14"/>
  <c r="E90" i="14"/>
  <c r="D90" i="14"/>
  <c r="E89" i="14"/>
  <c r="D89" i="14"/>
  <c r="E88" i="14"/>
  <c r="D88" i="14"/>
  <c r="E87" i="14"/>
  <c r="D87" i="14"/>
  <c r="E86" i="14"/>
  <c r="D86" i="14"/>
  <c r="E85" i="14"/>
  <c r="D85" i="14"/>
  <c r="E84" i="14"/>
  <c r="D84" i="14"/>
  <c r="E83" i="14"/>
  <c r="D83" i="14"/>
  <c r="E82" i="14"/>
  <c r="D82" i="14"/>
  <c r="E81" i="14"/>
  <c r="D81" i="14"/>
  <c r="E80" i="14"/>
  <c r="D80" i="14"/>
  <c r="E79" i="14"/>
  <c r="D79" i="14"/>
  <c r="E78" i="14"/>
  <c r="D78" i="14"/>
  <c r="E77" i="14"/>
  <c r="D77" i="14"/>
  <c r="E73" i="14"/>
  <c r="D73" i="14"/>
  <c r="E72" i="14"/>
  <c r="D72" i="14"/>
  <c r="E71" i="14"/>
  <c r="D71" i="14"/>
  <c r="E70" i="14"/>
  <c r="D70" i="14"/>
  <c r="E69" i="14"/>
  <c r="D69" i="14"/>
  <c r="E68" i="14"/>
  <c r="D68" i="14"/>
  <c r="E67" i="14"/>
  <c r="D67" i="14"/>
  <c r="E66" i="14"/>
  <c r="D66" i="14"/>
  <c r="E65" i="14"/>
  <c r="D65" i="14"/>
  <c r="E64" i="14"/>
  <c r="D64" i="14"/>
  <c r="E63" i="14"/>
  <c r="D63" i="14"/>
  <c r="E62" i="14"/>
  <c r="D62" i="14"/>
  <c r="E61" i="14"/>
  <c r="D61" i="14"/>
  <c r="E60" i="14"/>
  <c r="D60" i="14"/>
  <c r="E59" i="14"/>
  <c r="D59" i="14"/>
  <c r="E58" i="14"/>
  <c r="D58" i="14"/>
  <c r="E57" i="14"/>
  <c r="D57" i="14"/>
  <c r="E56" i="14"/>
  <c r="D56" i="14"/>
  <c r="E55" i="14"/>
  <c r="D55" i="14"/>
  <c r="E54" i="14"/>
  <c r="D54" i="14"/>
  <c r="E53" i="14"/>
  <c r="D53" i="14"/>
  <c r="E52" i="14"/>
  <c r="D52" i="14"/>
  <c r="E51" i="14"/>
  <c r="D51" i="14"/>
  <c r="E50" i="14"/>
  <c r="D50" i="14"/>
  <c r="E49" i="14"/>
  <c r="D49" i="14"/>
  <c r="E48" i="14"/>
  <c r="D48" i="14"/>
  <c r="E47" i="14"/>
  <c r="D47" i="14"/>
  <c r="E46" i="14"/>
  <c r="D46" i="14"/>
  <c r="E45" i="14"/>
  <c r="D45" i="14"/>
  <c r="E44" i="14"/>
  <c r="D44" i="14"/>
  <c r="E43" i="14"/>
  <c r="D43" i="14"/>
  <c r="E42" i="14"/>
  <c r="D42" i="14"/>
  <c r="E41" i="14"/>
  <c r="D41" i="14"/>
  <c r="E40" i="14"/>
  <c r="D40" i="14"/>
  <c r="E39" i="14"/>
  <c r="D39" i="14"/>
  <c r="E38" i="14"/>
  <c r="D38" i="14"/>
  <c r="E37" i="14"/>
  <c r="D37" i="14"/>
  <c r="E36" i="14"/>
  <c r="D36" i="14"/>
  <c r="E35" i="14"/>
  <c r="D35" i="14"/>
  <c r="E34" i="14"/>
  <c r="D34" i="14"/>
  <c r="E33" i="14"/>
  <c r="D33" i="14"/>
  <c r="E32" i="14"/>
  <c r="D32" i="14"/>
  <c r="E31" i="14"/>
  <c r="D31" i="14"/>
  <c r="E30" i="14"/>
  <c r="D30" i="14"/>
  <c r="E29" i="14"/>
  <c r="D29" i="14"/>
  <c r="E28" i="14"/>
  <c r="D28" i="14"/>
  <c r="E27" i="14"/>
  <c r="D27" i="14"/>
  <c r="E26" i="14"/>
  <c r="D26" i="14"/>
  <c r="E25" i="14"/>
  <c r="D25" i="14"/>
  <c r="E24" i="14"/>
  <c r="D24" i="14"/>
  <c r="E22" i="14"/>
  <c r="D22" i="14"/>
  <c r="E21" i="14"/>
  <c r="D21" i="14"/>
  <c r="E20" i="14"/>
  <c r="D20" i="14"/>
  <c r="E19" i="14"/>
  <c r="D19" i="14"/>
  <c r="E18" i="14"/>
  <c r="D18" i="14"/>
  <c r="E17" i="14"/>
  <c r="D17" i="14"/>
  <c r="E16" i="14"/>
  <c r="D16" i="14"/>
  <c r="E15" i="14"/>
  <c r="D15" i="14"/>
  <c r="E14" i="14"/>
  <c r="D14" i="14"/>
  <c r="E13" i="14"/>
  <c r="D13" i="14"/>
  <c r="E12" i="14"/>
  <c r="D12" i="14"/>
  <c r="E11" i="14"/>
  <c r="D11" i="14"/>
  <c r="E10" i="14"/>
  <c r="D10" i="14"/>
  <c r="E9" i="14"/>
  <c r="D9" i="14"/>
  <c r="E8" i="14"/>
  <c r="D8" i="14"/>
  <c r="E7" i="14"/>
  <c r="D7" i="14"/>
  <c r="E6" i="14"/>
  <c r="D6" i="14"/>
  <c r="E5" i="14"/>
  <c r="D5" i="14"/>
  <c r="E4" i="14"/>
  <c r="D4" i="14"/>
  <c r="E3" i="14"/>
  <c r="D3" i="14"/>
  <c r="E2" i="14"/>
  <c r="D2" i="14"/>
  <c r="F161" i="12"/>
  <c r="I161" i="12" s="1"/>
  <c r="F160" i="12"/>
  <c r="I160" i="12" s="1"/>
  <c r="F159" i="12"/>
  <c r="I159" i="12" s="1"/>
  <c r="F158" i="12"/>
  <c r="I158" i="12" s="1"/>
  <c r="F157" i="12"/>
  <c r="I157" i="12" s="1"/>
  <c r="F156" i="12"/>
  <c r="I156" i="12" s="1"/>
  <c r="F155" i="12"/>
  <c r="I155" i="12" s="1"/>
  <c r="F154" i="12"/>
  <c r="I154" i="12" s="1"/>
  <c r="F153" i="12"/>
  <c r="I153" i="12" s="1"/>
  <c r="F152" i="12"/>
  <c r="I152" i="12" s="1"/>
  <c r="E151" i="12"/>
  <c r="D151" i="12"/>
  <c r="E150" i="12"/>
  <c r="D150" i="12"/>
  <c r="E149" i="12"/>
  <c r="D149" i="12"/>
  <c r="E148" i="12"/>
  <c r="D148" i="12"/>
  <c r="E147" i="12"/>
  <c r="D147" i="12"/>
  <c r="E146" i="12"/>
  <c r="D146" i="12"/>
  <c r="E145" i="12"/>
  <c r="D145" i="12"/>
  <c r="E144" i="12"/>
  <c r="D144" i="12"/>
  <c r="E143" i="12"/>
  <c r="D143" i="12"/>
  <c r="E142" i="12"/>
  <c r="D142" i="12"/>
  <c r="E141" i="12"/>
  <c r="D141" i="12"/>
  <c r="E140" i="12"/>
  <c r="D140" i="12"/>
  <c r="E139" i="12"/>
  <c r="D139" i="12"/>
  <c r="E138" i="12"/>
  <c r="D138" i="12"/>
  <c r="E137" i="12"/>
  <c r="D137" i="12"/>
  <c r="E136" i="12"/>
  <c r="D136" i="12"/>
  <c r="E135" i="12"/>
  <c r="D135" i="12"/>
  <c r="E132" i="12"/>
  <c r="E133" i="12"/>
  <c r="E134" i="12"/>
  <c r="E126" i="12"/>
  <c r="D126" i="12"/>
  <c r="E125" i="12"/>
  <c r="D125" i="12"/>
  <c r="E124" i="12"/>
  <c r="D124" i="12"/>
  <c r="E123" i="12"/>
  <c r="D123" i="12"/>
  <c r="E122" i="12"/>
  <c r="D122" i="12"/>
  <c r="E121" i="12"/>
  <c r="D121" i="12"/>
  <c r="E120" i="12"/>
  <c r="D120" i="12"/>
  <c r="E119" i="12"/>
  <c r="D119" i="12"/>
  <c r="E118" i="12"/>
  <c r="D118" i="12"/>
  <c r="E117" i="12"/>
  <c r="D117" i="12"/>
  <c r="E116" i="12"/>
  <c r="D116" i="12"/>
  <c r="E115" i="12"/>
  <c r="D115" i="12"/>
  <c r="E114" i="12"/>
  <c r="D114" i="12"/>
  <c r="D16" i="12"/>
  <c r="E112" i="12"/>
  <c r="D112" i="12"/>
  <c r="E111" i="12"/>
  <c r="D111" i="12"/>
  <c r="E110" i="12"/>
  <c r="D110" i="12"/>
  <c r="E109" i="12"/>
  <c r="D109" i="12"/>
  <c r="E108" i="12"/>
  <c r="D108" i="12"/>
  <c r="E107" i="12"/>
  <c r="D107" i="12"/>
  <c r="E106" i="12"/>
  <c r="D106" i="12"/>
  <c r="E105" i="12"/>
  <c r="D105" i="12"/>
  <c r="E104" i="12"/>
  <c r="D104" i="12"/>
  <c r="E103" i="12"/>
  <c r="D103" i="12"/>
  <c r="E102" i="12"/>
  <c r="D102" i="12"/>
  <c r="E101" i="12"/>
  <c r="D101" i="12"/>
  <c r="E100" i="12"/>
  <c r="D100" i="12"/>
  <c r="E99" i="12"/>
  <c r="D99" i="12"/>
  <c r="E98" i="12"/>
  <c r="D98" i="12"/>
  <c r="E97" i="12"/>
  <c r="D97" i="12"/>
  <c r="E96" i="12"/>
  <c r="D96" i="12"/>
  <c r="E95" i="12"/>
  <c r="D95" i="12"/>
  <c r="E94" i="12"/>
  <c r="D94" i="12"/>
  <c r="E93" i="12"/>
  <c r="D93" i="12"/>
  <c r="E92" i="12"/>
  <c r="D92" i="12"/>
  <c r="E91" i="12"/>
  <c r="D91" i="12"/>
  <c r="E90" i="12"/>
  <c r="D90" i="12"/>
  <c r="E89" i="12"/>
  <c r="D89" i="12"/>
  <c r="E88" i="12"/>
  <c r="D88" i="12"/>
  <c r="E87" i="12"/>
  <c r="D87" i="12"/>
  <c r="E86" i="12"/>
  <c r="D86" i="12"/>
  <c r="E85" i="12"/>
  <c r="D85" i="12"/>
  <c r="E84" i="12"/>
  <c r="D84" i="12"/>
  <c r="E83" i="12"/>
  <c r="D83" i="12"/>
  <c r="E82" i="12"/>
  <c r="D82" i="12"/>
  <c r="E81" i="12"/>
  <c r="D81" i="12"/>
  <c r="E80" i="12"/>
  <c r="D80" i="12"/>
  <c r="E79" i="12"/>
  <c r="D79" i="12"/>
  <c r="E78" i="12"/>
  <c r="D78" i="12"/>
  <c r="E77" i="12"/>
  <c r="D77" i="12"/>
  <c r="E76" i="12"/>
  <c r="D76" i="12"/>
  <c r="E75" i="12"/>
  <c r="D75" i="12"/>
  <c r="E74" i="12"/>
  <c r="D74" i="12"/>
  <c r="E73" i="12"/>
  <c r="D73" i="12"/>
  <c r="E72" i="12"/>
  <c r="D72" i="12"/>
  <c r="E71" i="12"/>
  <c r="D71" i="12"/>
  <c r="E70" i="12"/>
  <c r="D70" i="12"/>
  <c r="E69" i="12"/>
  <c r="D69" i="12"/>
  <c r="E68" i="12"/>
  <c r="D68" i="12"/>
  <c r="E67" i="12"/>
  <c r="D67" i="12"/>
  <c r="E66" i="12"/>
  <c r="D66" i="12"/>
  <c r="E65" i="12"/>
  <c r="D65" i="12"/>
  <c r="E64" i="12"/>
  <c r="D64" i="12"/>
  <c r="E63" i="12"/>
  <c r="D63" i="12"/>
  <c r="E62" i="12"/>
  <c r="D62" i="12"/>
  <c r="E61" i="12"/>
  <c r="D61" i="12"/>
  <c r="E60" i="12"/>
  <c r="D60" i="12"/>
  <c r="E59" i="12"/>
  <c r="D59" i="12"/>
  <c r="E58" i="12"/>
  <c r="D58" i="12"/>
  <c r="E57" i="12"/>
  <c r="D57" i="12"/>
  <c r="E56" i="12"/>
  <c r="D56" i="12"/>
  <c r="E55" i="12"/>
  <c r="D55" i="12"/>
  <c r="E54" i="12"/>
  <c r="D54" i="12"/>
  <c r="E53" i="12"/>
  <c r="D53" i="12"/>
  <c r="E52" i="12"/>
  <c r="D52" i="12"/>
  <c r="E51" i="12"/>
  <c r="D51" i="12"/>
  <c r="E50" i="12"/>
  <c r="D50" i="12"/>
  <c r="E49" i="12"/>
  <c r="D49" i="12"/>
  <c r="E48" i="12"/>
  <c r="D48" i="12"/>
  <c r="E47" i="12"/>
  <c r="D47" i="12"/>
  <c r="E46" i="12"/>
  <c r="D46" i="12"/>
  <c r="E45" i="12"/>
  <c r="D45" i="12"/>
  <c r="E44" i="12"/>
  <c r="D44" i="12"/>
  <c r="E43" i="12"/>
  <c r="D43" i="12"/>
  <c r="E42" i="12"/>
  <c r="D42" i="12"/>
  <c r="E41" i="12"/>
  <c r="D41" i="12"/>
  <c r="E40" i="12"/>
  <c r="D40" i="12"/>
  <c r="E39" i="12"/>
  <c r="D39" i="12"/>
  <c r="E38" i="12"/>
  <c r="D38" i="12"/>
  <c r="E37" i="12"/>
  <c r="D37" i="12"/>
  <c r="E36" i="12"/>
  <c r="D36" i="12"/>
  <c r="E35" i="12"/>
  <c r="D35" i="12"/>
  <c r="E34" i="12"/>
  <c r="D34" i="12"/>
  <c r="E33" i="12"/>
  <c r="D33" i="12"/>
  <c r="E32" i="12"/>
  <c r="D32" i="12"/>
  <c r="E31" i="12"/>
  <c r="D31" i="12"/>
  <c r="E30" i="12"/>
  <c r="D30" i="12"/>
  <c r="E29" i="12"/>
  <c r="D29" i="12"/>
  <c r="E28" i="12"/>
  <c r="D28" i="12"/>
  <c r="E27" i="12"/>
  <c r="D27" i="12"/>
  <c r="E26" i="12"/>
  <c r="D26" i="12"/>
  <c r="E25" i="12"/>
  <c r="D25" i="12"/>
  <c r="E24" i="12"/>
  <c r="D24" i="12"/>
  <c r="E23" i="12"/>
  <c r="D23" i="12"/>
  <c r="E22" i="12"/>
  <c r="D22" i="12"/>
  <c r="E21" i="12"/>
  <c r="D21" i="12"/>
  <c r="E20" i="12"/>
  <c r="D20" i="12"/>
  <c r="E19" i="12"/>
  <c r="D19" i="12"/>
  <c r="E18" i="12"/>
  <c r="D18" i="12"/>
  <c r="E17" i="12"/>
  <c r="D17" i="12"/>
  <c r="E16" i="12"/>
  <c r="E15" i="12"/>
  <c r="D15" i="12"/>
  <c r="E14" i="12"/>
  <c r="D14" i="12"/>
  <c r="E13" i="12"/>
  <c r="D13" i="12"/>
  <c r="E12" i="12"/>
  <c r="D12" i="12"/>
  <c r="E11" i="12"/>
  <c r="D11" i="12"/>
  <c r="E10" i="12"/>
  <c r="D10" i="12"/>
  <c r="E9" i="12"/>
  <c r="D9" i="12"/>
  <c r="E8" i="12"/>
  <c r="D8" i="12"/>
  <c r="E7" i="12"/>
  <c r="D7" i="12"/>
  <c r="E6" i="12"/>
  <c r="D6" i="12"/>
  <c r="E5" i="12"/>
  <c r="D5" i="12"/>
  <c r="E4" i="12"/>
  <c r="D4" i="12"/>
  <c r="E3" i="12"/>
  <c r="D3" i="12"/>
  <c r="E77" i="1"/>
  <c r="E163" i="12"/>
  <c r="D163" i="12"/>
  <c r="E162" i="12"/>
  <c r="D162" i="12"/>
  <c r="E161" i="12"/>
  <c r="D161" i="12"/>
  <c r="E160" i="12"/>
  <c r="D160" i="12"/>
  <c r="E159" i="12"/>
  <c r="D159" i="12"/>
  <c r="E158" i="12"/>
  <c r="D158" i="12"/>
  <c r="E157" i="12"/>
  <c r="D157" i="12"/>
  <c r="E156" i="12"/>
  <c r="D156" i="12"/>
  <c r="E155" i="12"/>
  <c r="D155" i="12"/>
  <c r="E154" i="12"/>
  <c r="D154" i="12"/>
  <c r="E153" i="12"/>
  <c r="D153" i="12"/>
  <c r="E152" i="12"/>
  <c r="D152" i="12"/>
  <c r="D134" i="12"/>
  <c r="D133" i="12"/>
  <c r="D132" i="12"/>
  <c r="E131" i="12"/>
  <c r="D131" i="12"/>
  <c r="E130" i="12"/>
  <c r="D130" i="12"/>
  <c r="E129" i="12"/>
  <c r="D129" i="12"/>
  <c r="E128" i="12"/>
  <c r="D128" i="12"/>
  <c r="E127" i="12"/>
  <c r="D127" i="12"/>
  <c r="E113" i="12"/>
  <c r="D113" i="12"/>
  <c r="E2" i="12"/>
  <c r="D2" i="12"/>
  <c r="P185" i="21" l="1"/>
  <c r="O186" i="21" s="1"/>
  <c r="P207" i="20"/>
  <c r="O208" i="20" s="1"/>
  <c r="P251" i="19"/>
  <c r="O252" i="19" s="1"/>
  <c r="P217" i="18"/>
  <c r="O218" i="18" s="1"/>
  <c r="P170" i="16"/>
  <c r="O171" i="16" s="1"/>
  <c r="P237" i="15"/>
  <c r="O238" i="15" s="1"/>
  <c r="O79" i="1"/>
  <c r="L79" i="1"/>
  <c r="P218" i="17"/>
  <c r="O219" i="17" s="1"/>
  <c r="K79" i="1"/>
  <c r="P119" i="14"/>
  <c r="O120" i="14" s="1"/>
  <c r="O172" i="12"/>
  <c r="J34" i="1"/>
  <c r="Q79" i="1"/>
  <c r="P79" i="1"/>
  <c r="J11" i="1"/>
  <c r="J33" i="1"/>
  <c r="J63" i="1"/>
  <c r="J62" i="1"/>
  <c r="J61" i="1"/>
  <c r="J60" i="1"/>
  <c r="J59" i="1"/>
  <c r="J55" i="1"/>
  <c r="J51" i="1"/>
  <c r="J27" i="1"/>
  <c r="J18" i="1"/>
  <c r="J2" i="1"/>
  <c r="J48" i="1"/>
  <c r="J17" i="1"/>
  <c r="J16" i="1"/>
  <c r="J69" i="1"/>
  <c r="J46" i="1"/>
  <c r="J15" i="1"/>
  <c r="J14" i="1"/>
  <c r="J66" i="1"/>
  <c r="J44" i="1"/>
  <c r="J13" i="1"/>
  <c r="J50" i="1"/>
  <c r="J71" i="1"/>
  <c r="J47" i="1"/>
  <c r="J67" i="1"/>
  <c r="J45" i="1"/>
  <c r="J65" i="1"/>
  <c r="J43" i="1"/>
  <c r="J12" i="1"/>
  <c r="J32" i="1"/>
  <c r="J31" i="1"/>
  <c r="J30" i="1"/>
  <c r="J29" i="1"/>
  <c r="J28" i="1"/>
  <c r="J49" i="1"/>
  <c r="J3" i="1"/>
  <c r="J64" i="1"/>
  <c r="J39" i="1"/>
  <c r="J74" i="1"/>
  <c r="J42" i="1"/>
  <c r="J26" i="1"/>
  <c r="J10" i="1"/>
  <c r="J41" i="1"/>
  <c r="J25" i="1"/>
  <c r="J9" i="1"/>
  <c r="J58" i="1"/>
  <c r="J73" i="1"/>
  <c r="J57" i="1"/>
  <c r="J72" i="1"/>
  <c r="J56" i="1"/>
  <c r="J40" i="1"/>
  <c r="J24" i="1"/>
  <c r="J8" i="1"/>
  <c r="J23" i="1"/>
  <c r="J7" i="1"/>
  <c r="J70" i="1"/>
  <c r="J54" i="1"/>
  <c r="J38" i="1"/>
  <c r="J22" i="1"/>
  <c r="J6" i="1"/>
  <c r="J53" i="1"/>
  <c r="J37" i="1"/>
  <c r="J21" i="1"/>
  <c r="J5" i="1"/>
  <c r="J68" i="1"/>
  <c r="J52" i="1"/>
  <c r="J36" i="1"/>
  <c r="J20" i="1"/>
  <c r="J4" i="1"/>
  <c r="J35" i="1"/>
  <c r="J19" i="1"/>
  <c r="F4" i="1"/>
  <c r="F79" i="1"/>
  <c r="O65" i="1"/>
  <c r="P242" i="22"/>
  <c r="O243" i="22" s="1"/>
  <c r="O18" i="1"/>
  <c r="O72" i="1"/>
  <c r="O58" i="1"/>
  <c r="O43" i="1"/>
  <c r="O33" i="1"/>
  <c r="N61" i="1"/>
  <c r="N29" i="1"/>
  <c r="N16" i="1"/>
  <c r="N4" i="1"/>
  <c r="N40" i="1"/>
  <c r="M70" i="1"/>
  <c r="M9" i="1"/>
  <c r="M47" i="1"/>
  <c r="L48" i="1"/>
  <c r="L15" i="1"/>
  <c r="L57" i="1"/>
  <c r="L73" i="1"/>
  <c r="K39" i="1"/>
  <c r="K41" i="1"/>
  <c r="F26" i="1"/>
  <c r="F44" i="1"/>
  <c r="F6" i="1"/>
  <c r="I69" i="1"/>
  <c r="F32" i="1"/>
  <c r="F27" i="1"/>
  <c r="I4" i="1"/>
  <c r="F69" i="1"/>
  <c r="F47" i="1"/>
  <c r="F45" i="1"/>
  <c r="I34" i="1"/>
  <c r="F51" i="1"/>
  <c r="F5" i="1"/>
  <c r="F61" i="1"/>
  <c r="F39" i="1"/>
  <c r="F38" i="1"/>
  <c r="F14" i="1"/>
  <c r="F25" i="1"/>
  <c r="L35" i="1"/>
  <c r="M4" i="1"/>
  <c r="F11" i="1"/>
  <c r="F55" i="1"/>
  <c r="N10" i="1"/>
  <c r="M65" i="1"/>
  <c r="O54" i="1"/>
  <c r="F43" i="1"/>
  <c r="F34" i="1"/>
  <c r="F22" i="1"/>
  <c r="F10" i="1"/>
  <c r="O11" i="1"/>
  <c r="F63" i="1"/>
  <c r="F72" i="1"/>
  <c r="F68" i="1"/>
  <c r="F13" i="1"/>
  <c r="L4" i="1"/>
  <c r="F24" i="1"/>
  <c r="F66" i="1"/>
  <c r="F35" i="1"/>
  <c r="M22" i="1"/>
  <c r="F74" i="1"/>
  <c r="F65" i="1"/>
  <c r="F54" i="1"/>
  <c r="I42" i="1"/>
  <c r="F21" i="1"/>
  <c r="Q3" i="1"/>
  <c r="F17" i="1"/>
  <c r="F49" i="1"/>
  <c r="F3" i="1"/>
  <c r="F37" i="1"/>
  <c r="F67" i="1"/>
  <c r="L66" i="1"/>
  <c r="F12" i="1"/>
  <c r="F56" i="1"/>
  <c r="F23" i="1"/>
  <c r="N64" i="1"/>
  <c r="F42" i="1"/>
  <c r="F33" i="1"/>
  <c r="F20" i="1"/>
  <c r="F9" i="1"/>
  <c r="P17" i="1"/>
  <c r="F73" i="1"/>
  <c r="F64" i="1"/>
  <c r="F53" i="1"/>
  <c r="F19" i="1"/>
  <c r="F8" i="1"/>
  <c r="F7" i="1"/>
  <c r="F62" i="1"/>
  <c r="F40" i="1"/>
  <c r="F71" i="1"/>
  <c r="F70" i="1"/>
  <c r="F60" i="1"/>
  <c r="F28" i="1"/>
  <c r="F16" i="1"/>
  <c r="F31" i="1"/>
  <c r="F18" i="1"/>
  <c r="F52" i="1"/>
  <c r="F50" i="1"/>
  <c r="F29" i="1"/>
  <c r="F59" i="1"/>
  <c r="F15" i="1"/>
  <c r="K4" i="1"/>
  <c r="N22" i="1"/>
  <c r="F41" i="1"/>
  <c r="F30" i="1"/>
  <c r="F36" i="1"/>
  <c r="F48" i="1"/>
  <c r="F58" i="1"/>
  <c r="F46" i="1"/>
  <c r="F57" i="1"/>
  <c r="N43" i="1"/>
  <c r="H30" i="1"/>
  <c r="H14" i="1"/>
  <c r="H62" i="1"/>
  <c r="H4" i="1"/>
  <c r="H46" i="1"/>
  <c r="G9" i="1"/>
  <c r="G6" i="1"/>
  <c r="P58" i="1"/>
  <c r="P13" i="1"/>
  <c r="P40" i="1"/>
  <c r="Q22" i="1"/>
  <c r="Q16" i="1"/>
  <c r="Q35" i="1"/>
  <c r="Q71" i="1"/>
  <c r="Q40" i="1"/>
  <c r="Q34" i="1"/>
  <c r="Q14" i="1"/>
  <c r="Q51" i="1"/>
  <c r="Q63" i="1"/>
  <c r="Q44" i="1"/>
  <c r="Q13" i="1"/>
  <c r="Q25" i="1"/>
  <c r="Q73" i="1"/>
  <c r="Q67" i="1"/>
  <c r="Q5" i="1"/>
  <c r="Q53" i="1"/>
  <c r="Q70" i="1"/>
  <c r="Q45" i="1"/>
  <c r="Q19" i="1"/>
  <c r="Q68" i="1"/>
  <c r="Q18" i="1"/>
  <c r="Q38" i="1"/>
  <c r="Q55" i="1"/>
  <c r="Q37" i="1"/>
  <c r="Q31" i="1"/>
  <c r="Q24" i="1"/>
  <c r="Q17" i="1"/>
  <c r="Q11" i="1"/>
  <c r="Q65" i="1"/>
  <c r="Q29" i="1"/>
  <c r="Q15" i="1"/>
  <c r="Q58" i="1"/>
  <c r="Q64" i="1"/>
  <c r="Q20" i="1"/>
  <c r="Q39" i="1"/>
  <c r="Q7" i="1"/>
  <c r="Q62" i="1"/>
  <c r="Q32" i="1"/>
  <c r="Q49" i="1"/>
  <c r="Q42" i="1"/>
  <c r="Q66" i="1"/>
  <c r="Q4" i="1"/>
  <c r="Q9" i="1"/>
  <c r="Q46" i="1"/>
  <c r="Q28" i="1"/>
  <c r="Q52" i="1"/>
  <c r="Q8" i="1"/>
  <c r="Q69" i="1"/>
  <c r="Q26" i="1"/>
  <c r="Q50" i="1"/>
  <c r="Q74" i="1"/>
  <c r="Q6" i="1"/>
  <c r="Q12" i="1"/>
  <c r="Q61" i="1"/>
  <c r="Q72" i="1"/>
  <c r="Q54" i="1"/>
  <c r="Q36" i="1"/>
  <c r="Q30" i="1"/>
  <c r="Q23" i="1"/>
  <c r="Q10" i="1"/>
  <c r="Q59" i="1"/>
  <c r="Q21" i="1"/>
  <c r="Q27" i="1"/>
  <c r="Q33" i="1"/>
  <c r="Q57" i="1"/>
  <c r="Q43" i="1"/>
  <c r="Q56" i="1"/>
  <c r="Q48" i="1"/>
  <c r="Q60" i="1"/>
  <c r="Q47" i="1"/>
  <c r="Q41" i="1"/>
  <c r="P26" i="1"/>
  <c r="P70" i="1"/>
  <c r="P39" i="1"/>
  <c r="P30" i="1"/>
  <c r="P25" i="1"/>
  <c r="P11" i="1"/>
  <c r="P74" i="1"/>
  <c r="P65" i="1"/>
  <c r="P61" i="1"/>
  <c r="P52" i="1"/>
  <c r="P47" i="1"/>
  <c r="P34" i="1"/>
  <c r="P20" i="1"/>
  <c r="P44" i="1"/>
  <c r="P12" i="1"/>
  <c r="P15" i="1"/>
  <c r="P56" i="1"/>
  <c r="P51" i="1"/>
  <c r="P19" i="1"/>
  <c r="P60" i="1"/>
  <c r="P46" i="1"/>
  <c r="P33" i="1"/>
  <c r="P5" i="1"/>
  <c r="P8" i="1"/>
  <c r="P48" i="1"/>
  <c r="P7" i="1"/>
  <c r="P10" i="1"/>
  <c r="P24" i="1"/>
  <c r="P64" i="1"/>
  <c r="P55" i="1"/>
  <c r="P14" i="1"/>
  <c r="P3" i="1"/>
  <c r="P66" i="1"/>
  <c r="P62" i="1"/>
  <c r="P35" i="1"/>
  <c r="P21" i="1"/>
  <c r="P6" i="1"/>
  <c r="P42" i="1"/>
  <c r="P38" i="1"/>
  <c r="P68" i="1"/>
  <c r="P41" i="1"/>
  <c r="P37" i="1"/>
  <c r="P28" i="1"/>
  <c r="P23" i="1"/>
  <c r="P18" i="1"/>
  <c r="P9" i="1"/>
  <c r="P71" i="1"/>
  <c r="P31" i="1"/>
  <c r="P16" i="1"/>
  <c r="P43" i="1"/>
  <c r="P69" i="1"/>
  <c r="P29" i="1"/>
  <c r="P50" i="1"/>
  <c r="P72" i="1"/>
  <c r="P59" i="1"/>
  <c r="P4" i="1"/>
  <c r="P53" i="1"/>
  <c r="P54" i="1"/>
  <c r="P45" i="1"/>
  <c r="P32" i="1"/>
  <c r="P57" i="1"/>
  <c r="P73" i="1"/>
  <c r="P67" i="1"/>
  <c r="P63" i="1"/>
  <c r="P49" i="1"/>
  <c r="P36" i="1"/>
  <c r="P27" i="1"/>
  <c r="P22" i="1"/>
  <c r="O50" i="1"/>
  <c r="O36" i="1"/>
  <c r="O3" i="1"/>
  <c r="O39" i="1"/>
  <c r="O71" i="1"/>
  <c r="O64" i="1"/>
  <c r="O53" i="1"/>
  <c r="O42" i="1"/>
  <c r="O49" i="1"/>
  <c r="O35" i="1"/>
  <c r="O28" i="1"/>
  <c r="O6" i="1"/>
  <c r="O67" i="1"/>
  <c r="O24" i="1"/>
  <c r="O13" i="1"/>
  <c r="O7" i="1"/>
  <c r="O61" i="1"/>
  <c r="O17" i="1"/>
  <c r="O20" i="1"/>
  <c r="O70" i="1"/>
  <c r="O38" i="1"/>
  <c r="O23" i="1"/>
  <c r="O19" i="1"/>
  <c r="O14" i="1"/>
  <c r="O32" i="1"/>
  <c r="O60" i="1"/>
  <c r="O31" i="1"/>
  <c r="O52" i="1"/>
  <c r="O27" i="1"/>
  <c r="O66" i="1"/>
  <c r="O55" i="1"/>
  <c r="O44" i="1"/>
  <c r="O30" i="1"/>
  <c r="O15" i="1"/>
  <c r="O29" i="1"/>
  <c r="O68" i="1"/>
  <c r="O46" i="1"/>
  <c r="O74" i="1"/>
  <c r="O16" i="1"/>
  <c r="O56" i="1"/>
  <c r="O63" i="1"/>
  <c r="O5" i="1"/>
  <c r="O34" i="1"/>
  <c r="O73" i="1"/>
  <c r="O69" i="1"/>
  <c r="O62" i="1"/>
  <c r="O51" i="1"/>
  <c r="O37" i="1"/>
  <c r="O26" i="1"/>
  <c r="O8" i="1"/>
  <c r="O4" i="1"/>
  <c r="O25" i="1"/>
  <c r="O10" i="1"/>
  <c r="O57" i="1"/>
  <c r="O21" i="1"/>
  <c r="O9" i="1"/>
  <c r="O45" i="1"/>
  <c r="O48" i="1"/>
  <c r="O41" i="1"/>
  <c r="O12" i="1"/>
  <c r="O59" i="1"/>
  <c r="O47" i="1"/>
  <c r="O40" i="1"/>
  <c r="O22" i="1"/>
  <c r="N25" i="1"/>
  <c r="N69" i="1"/>
  <c r="N9" i="1"/>
  <c r="N18" i="1"/>
  <c r="N12" i="1"/>
  <c r="N6" i="1"/>
  <c r="N19" i="1"/>
  <c r="N54" i="1"/>
  <c r="N45" i="1"/>
  <c r="N36" i="1"/>
  <c r="N33" i="1"/>
  <c r="N30" i="1"/>
  <c r="N27" i="1"/>
  <c r="N24" i="1"/>
  <c r="N21" i="1"/>
  <c r="N37" i="1"/>
  <c r="N13" i="1"/>
  <c r="N28" i="1"/>
  <c r="N65" i="1"/>
  <c r="N59" i="1"/>
  <c r="N44" i="1"/>
  <c r="N41" i="1"/>
  <c r="N35" i="1"/>
  <c r="N17" i="1"/>
  <c r="N14" i="1"/>
  <c r="N11" i="1"/>
  <c r="N5" i="1"/>
  <c r="N66" i="1"/>
  <c r="N51" i="1"/>
  <c r="N15" i="1"/>
  <c r="N7" i="1"/>
  <c r="N48" i="1"/>
  <c r="N42" i="1"/>
  <c r="N63" i="1"/>
  <c r="N3" i="1"/>
  <c r="N71" i="1"/>
  <c r="N53" i="1"/>
  <c r="N47" i="1"/>
  <c r="N68" i="1"/>
  <c r="N62" i="1"/>
  <c r="N56" i="1"/>
  <c r="N38" i="1"/>
  <c r="N32" i="1"/>
  <c r="N26" i="1"/>
  <c r="N23" i="1"/>
  <c r="N20" i="1"/>
  <c r="N8" i="1"/>
  <c r="N34" i="1"/>
  <c r="N31" i="1"/>
  <c r="N57" i="1"/>
  <c r="N39" i="1"/>
  <c r="N74" i="1"/>
  <c r="N50" i="1"/>
  <c r="N73" i="1"/>
  <c r="N70" i="1"/>
  <c r="N49" i="1"/>
  <c r="N72" i="1"/>
  <c r="N60" i="1"/>
  <c r="N67" i="1"/>
  <c r="N58" i="1"/>
  <c r="N55" i="1"/>
  <c r="N52" i="1"/>
  <c r="N46" i="1"/>
  <c r="M32" i="1"/>
  <c r="M44" i="1"/>
  <c r="M34" i="1"/>
  <c r="M11" i="1"/>
  <c r="M59" i="1"/>
  <c r="M51" i="1"/>
  <c r="M26" i="1"/>
  <c r="M31" i="1"/>
  <c r="M18" i="1"/>
  <c r="M61" i="1"/>
  <c r="M43" i="1"/>
  <c r="M10" i="1"/>
  <c r="M38" i="1"/>
  <c r="M63" i="1"/>
  <c r="M73" i="1"/>
  <c r="M68" i="1"/>
  <c r="M50" i="1"/>
  <c r="M45" i="1"/>
  <c r="M40" i="1"/>
  <c r="M35" i="1"/>
  <c r="M25" i="1"/>
  <c r="M7" i="1"/>
  <c r="M52" i="1"/>
  <c r="M27" i="1"/>
  <c r="M19" i="1"/>
  <c r="M67" i="1"/>
  <c r="M6" i="1"/>
  <c r="M54" i="1"/>
  <c r="M16" i="1"/>
  <c r="M29" i="1"/>
  <c r="M69" i="1"/>
  <c r="M64" i="1"/>
  <c r="M41" i="1"/>
  <c r="M53" i="1"/>
  <c r="M23" i="1"/>
  <c r="M58" i="1"/>
  <c r="M28" i="1"/>
  <c r="M20" i="1"/>
  <c r="M55" i="1"/>
  <c r="M30" i="1"/>
  <c r="M17" i="1"/>
  <c r="M12" i="1"/>
  <c r="M57" i="1"/>
  <c r="M37" i="1"/>
  <c r="M14" i="1"/>
  <c r="M62" i="1"/>
  <c r="M49" i="1"/>
  <c r="M39" i="1"/>
  <c r="M72" i="1"/>
  <c r="M24" i="1"/>
  <c r="M3" i="1"/>
  <c r="M46" i="1"/>
  <c r="M21" i="1"/>
  <c r="M74" i="1"/>
  <c r="M36" i="1"/>
  <c r="M8" i="1"/>
  <c r="M56" i="1"/>
  <c r="M13" i="1"/>
  <c r="M66" i="1"/>
  <c r="M48" i="1"/>
  <c r="M5" i="1"/>
  <c r="M71" i="1"/>
  <c r="M15" i="1"/>
  <c r="M33" i="1"/>
  <c r="M60" i="1"/>
  <c r="M42" i="1"/>
  <c r="L24" i="1"/>
  <c r="L59" i="1"/>
  <c r="L39" i="1"/>
  <c r="L17" i="1"/>
  <c r="L70" i="1"/>
  <c r="L45" i="1"/>
  <c r="L3" i="1"/>
  <c r="L56" i="1"/>
  <c r="L34" i="1"/>
  <c r="L23" i="1"/>
  <c r="L67" i="1"/>
  <c r="L36" i="1"/>
  <c r="L6" i="1"/>
  <c r="L50" i="1"/>
  <c r="L37" i="1"/>
  <c r="L8" i="1"/>
  <c r="L61" i="1"/>
  <c r="L43" i="1"/>
  <c r="L10" i="1"/>
  <c r="L63" i="1"/>
  <c r="L54" i="1"/>
  <c r="L32" i="1"/>
  <c r="L21" i="1"/>
  <c r="L65" i="1"/>
  <c r="L14" i="1"/>
  <c r="L58" i="1"/>
  <c r="L16" i="1"/>
  <c r="L7" i="1"/>
  <c r="L51" i="1"/>
  <c r="L42" i="1"/>
  <c r="L38" i="1"/>
  <c r="L18" i="1"/>
  <c r="L71" i="1"/>
  <c r="L62" i="1"/>
  <c r="L44" i="1"/>
  <c r="L29" i="1"/>
  <c r="L20" i="1"/>
  <c r="L11" i="1"/>
  <c r="L64" i="1"/>
  <c r="L55" i="1"/>
  <c r="L46" i="1"/>
  <c r="L31" i="1"/>
  <c r="L68" i="1"/>
  <c r="L26" i="1"/>
  <c r="L41" i="1"/>
  <c r="L52" i="1"/>
  <c r="L28" i="1"/>
  <c r="L19" i="1"/>
  <c r="L72" i="1"/>
  <c r="L30" i="1"/>
  <c r="L12" i="1"/>
  <c r="L74" i="1"/>
  <c r="L47" i="1"/>
  <c r="L5" i="1"/>
  <c r="L49" i="1"/>
  <c r="L25" i="1"/>
  <c r="L69" i="1"/>
  <c r="L60" i="1"/>
  <c r="L40" i="1"/>
  <c r="L27" i="1"/>
  <c r="L9" i="1"/>
  <c r="L53" i="1"/>
  <c r="L33" i="1"/>
  <c r="L22" i="1"/>
  <c r="L13" i="1"/>
  <c r="K70" i="1"/>
  <c r="K68" i="1"/>
  <c r="K64" i="1"/>
  <c r="K62" i="1"/>
  <c r="K27" i="1"/>
  <c r="K58" i="1"/>
  <c r="K54" i="1"/>
  <c r="K17" i="1"/>
  <c r="K48" i="1"/>
  <c r="K13" i="1"/>
  <c r="K11" i="1"/>
  <c r="K44" i="1"/>
  <c r="K7" i="1"/>
  <c r="K3" i="1"/>
  <c r="K40" i="1"/>
  <c r="K38" i="1"/>
  <c r="K34" i="1"/>
  <c r="K32" i="1"/>
  <c r="K71" i="1"/>
  <c r="K69" i="1"/>
  <c r="K67" i="1"/>
  <c r="K65" i="1"/>
  <c r="K63" i="1"/>
  <c r="K28" i="1"/>
  <c r="K26" i="1"/>
  <c r="K61" i="1"/>
  <c r="K59" i="1"/>
  <c r="K57" i="1"/>
  <c r="K55" i="1"/>
  <c r="K53" i="1"/>
  <c r="K24" i="1"/>
  <c r="K22" i="1"/>
  <c r="K20" i="1"/>
  <c r="K18" i="1"/>
  <c r="K16" i="1"/>
  <c r="K14" i="1"/>
  <c r="K37" i="1"/>
  <c r="K72" i="1"/>
  <c r="K19" i="1"/>
  <c r="K12" i="1"/>
  <c r="K10" i="1"/>
  <c r="K35" i="1"/>
  <c r="K33" i="1"/>
  <c r="K74" i="1"/>
  <c r="K31" i="1"/>
  <c r="K66" i="1"/>
  <c r="K29" i="1"/>
  <c r="K25" i="1"/>
  <c r="K60" i="1"/>
  <c r="K56" i="1"/>
  <c r="K23" i="1"/>
  <c r="K21" i="1"/>
  <c r="K15" i="1"/>
  <c r="K52" i="1"/>
  <c r="K50" i="1"/>
  <c r="K46" i="1"/>
  <c r="K9" i="1"/>
  <c r="K42" i="1"/>
  <c r="K5" i="1"/>
  <c r="K36" i="1"/>
  <c r="K73" i="1"/>
  <c r="K30" i="1"/>
  <c r="K51" i="1"/>
  <c r="K49" i="1"/>
  <c r="K47" i="1"/>
  <c r="K45" i="1"/>
  <c r="K43" i="1"/>
  <c r="K8" i="1"/>
  <c r="K6" i="1"/>
  <c r="I61" i="1"/>
  <c r="I26" i="1"/>
  <c r="I10" i="1"/>
  <c r="I40" i="1"/>
  <c r="I24" i="1"/>
  <c r="I70" i="1"/>
  <c r="I35" i="1"/>
  <c r="I27" i="1"/>
  <c r="I57" i="1"/>
  <c r="I14" i="1"/>
  <c r="I68" i="1"/>
  <c r="I41" i="1"/>
  <c r="I52" i="1"/>
  <c r="I17" i="1"/>
  <c r="I71" i="1"/>
  <c r="I9" i="1"/>
  <c r="I55" i="1"/>
  <c r="I47" i="1"/>
  <c r="I28" i="1"/>
  <c r="I20" i="1"/>
  <c r="I53" i="1"/>
  <c r="I7" i="1"/>
  <c r="I72" i="1"/>
  <c r="I45" i="1"/>
  <c r="I48" i="1"/>
  <c r="I21" i="1"/>
  <c r="I13" i="1"/>
  <c r="I59" i="1"/>
  <c r="I5" i="1"/>
  <c r="I62" i="1"/>
  <c r="I54" i="1"/>
  <c r="I19" i="1"/>
  <c r="I30" i="1"/>
  <c r="I12" i="1"/>
  <c r="I18" i="1"/>
  <c r="I64" i="1"/>
  <c r="I37" i="1"/>
  <c r="I56" i="1"/>
  <c r="I29" i="1"/>
  <c r="I67" i="1"/>
  <c r="I32" i="1"/>
  <c r="I51" i="1"/>
  <c r="I16" i="1"/>
  <c r="I43" i="1"/>
  <c r="I46" i="1"/>
  <c r="I8" i="1"/>
  <c r="I73" i="1"/>
  <c r="I65" i="1"/>
  <c r="I38" i="1"/>
  <c r="I11" i="1"/>
  <c r="I49" i="1"/>
  <c r="I22" i="1"/>
  <c r="I3" i="1"/>
  <c r="I33" i="1"/>
  <c r="I60" i="1"/>
  <c r="I25" i="1"/>
  <c r="I6" i="1"/>
  <c r="I63" i="1"/>
  <c r="I44" i="1"/>
  <c r="I36" i="1"/>
  <c r="I74" i="1"/>
  <c r="I66" i="1"/>
  <c r="I39" i="1"/>
  <c r="I31" i="1"/>
  <c r="I58" i="1"/>
  <c r="I50" i="1"/>
  <c r="I23" i="1"/>
  <c r="I15" i="1"/>
  <c r="H7" i="1"/>
  <c r="H59" i="1"/>
  <c r="H43" i="1"/>
  <c r="H27" i="1"/>
  <c r="H11" i="1"/>
  <c r="H72" i="1"/>
  <c r="H56" i="1"/>
  <c r="H40" i="1"/>
  <c r="H24" i="1"/>
  <c r="H69" i="1"/>
  <c r="H53" i="1"/>
  <c r="H37" i="1"/>
  <c r="H21" i="1"/>
  <c r="H8" i="1"/>
  <c r="H66" i="1"/>
  <c r="H50" i="1"/>
  <c r="H34" i="1"/>
  <c r="H18" i="1"/>
  <c r="H5" i="1"/>
  <c r="H63" i="1"/>
  <c r="H47" i="1"/>
  <c r="H31" i="1"/>
  <c r="H15" i="1"/>
  <c r="H60" i="1"/>
  <c r="H44" i="1"/>
  <c r="H28" i="1"/>
  <c r="H12" i="1"/>
  <c r="H73" i="1"/>
  <c r="H57" i="1"/>
  <c r="H41" i="1"/>
  <c r="H25" i="1"/>
  <c r="H9" i="1"/>
  <c r="H70" i="1"/>
  <c r="H54" i="1"/>
  <c r="H38" i="1"/>
  <c r="H22" i="1"/>
  <c r="H67" i="1"/>
  <c r="H51" i="1"/>
  <c r="H35" i="1"/>
  <c r="H19" i="1"/>
  <c r="H6" i="1"/>
  <c r="H64" i="1"/>
  <c r="H48" i="1"/>
  <c r="H32" i="1"/>
  <c r="H16" i="1"/>
  <c r="H3" i="1"/>
  <c r="H61" i="1"/>
  <c r="H45" i="1"/>
  <c r="H29" i="1"/>
  <c r="H13" i="1"/>
  <c r="H74" i="1"/>
  <c r="H58" i="1"/>
  <c r="H42" i="1"/>
  <c r="H26" i="1"/>
  <c r="H10" i="1"/>
  <c r="H71" i="1"/>
  <c r="H55" i="1"/>
  <c r="H39" i="1"/>
  <c r="H23" i="1"/>
  <c r="H68" i="1"/>
  <c r="H52" i="1"/>
  <c r="H36" i="1"/>
  <c r="H20" i="1"/>
  <c r="H65" i="1"/>
  <c r="H49" i="1"/>
  <c r="H33" i="1"/>
  <c r="H17" i="1"/>
  <c r="G5" i="1"/>
  <c r="G13" i="1"/>
  <c r="G7" i="1"/>
  <c r="G66" i="1"/>
  <c r="G54" i="1"/>
  <c r="G11" i="1"/>
  <c r="G68" i="1"/>
  <c r="G60" i="1"/>
  <c r="G52" i="1"/>
  <c r="G44" i="1"/>
  <c r="G36" i="1"/>
  <c r="G28" i="1"/>
  <c r="G20" i="1"/>
  <c r="G12" i="1"/>
  <c r="G4" i="1"/>
  <c r="G74" i="1"/>
  <c r="G70" i="1"/>
  <c r="G58" i="1"/>
  <c r="G42" i="1"/>
  <c r="G38" i="1"/>
  <c r="G30" i="1"/>
  <c r="G26" i="1"/>
  <c r="G18" i="1"/>
  <c r="G14" i="1"/>
  <c r="G63" i="1"/>
  <c r="G51" i="1"/>
  <c r="G47" i="1"/>
  <c r="G35" i="1"/>
  <c r="G23" i="1"/>
  <c r="G19" i="1"/>
  <c r="G3" i="1"/>
  <c r="G72" i="1"/>
  <c r="G64" i="1"/>
  <c r="G56" i="1"/>
  <c r="G48" i="1"/>
  <c r="G40" i="1"/>
  <c r="G32" i="1"/>
  <c r="G24" i="1"/>
  <c r="G16" i="1"/>
  <c r="G8" i="1"/>
  <c r="G62" i="1"/>
  <c r="G50" i="1"/>
  <c r="G46" i="1"/>
  <c r="G34" i="1"/>
  <c r="G22" i="1"/>
  <c r="G10" i="1"/>
  <c r="G71" i="1"/>
  <c r="G67" i="1"/>
  <c r="G59" i="1"/>
  <c r="G55" i="1"/>
  <c r="G43" i="1"/>
  <c r="G39" i="1"/>
  <c r="G31" i="1"/>
  <c r="G27" i="1"/>
  <c r="G15" i="1"/>
  <c r="G73" i="1"/>
  <c r="G69" i="1"/>
  <c r="G65" i="1"/>
  <c r="G61" i="1"/>
  <c r="G57" i="1"/>
  <c r="G53" i="1"/>
  <c r="G49" i="1"/>
  <c r="G45" i="1"/>
  <c r="G41" i="1"/>
  <c r="G37" i="1"/>
  <c r="G33" i="1"/>
  <c r="G29" i="1"/>
  <c r="G25" i="1"/>
  <c r="G21" i="1"/>
  <c r="G17" i="1"/>
  <c r="P174" i="12"/>
  <c r="O175" i="12" s="1"/>
  <c r="N2" i="1"/>
  <c r="O2" i="1"/>
  <c r="H2" i="1"/>
  <c r="L2" i="1"/>
  <c r="M2" i="1"/>
  <c r="Q2" i="1"/>
  <c r="P2" i="1"/>
  <c r="K2" i="1"/>
  <c r="I2" i="1"/>
  <c r="G2" i="1"/>
  <c r="F2" i="1"/>
  <c r="J219" i="17" l="1"/>
  <c r="R72" i="1"/>
  <c r="S72" i="1" s="1"/>
  <c r="R38" i="1"/>
  <c r="S38" i="1" s="1"/>
  <c r="R15" i="1"/>
  <c r="S15" i="1" s="1"/>
  <c r="R70" i="1"/>
  <c r="S70" i="1" s="1"/>
  <c r="R39" i="1"/>
  <c r="S39" i="1" s="1"/>
  <c r="R59" i="1"/>
  <c r="S59" i="1" s="1"/>
  <c r="R42" i="1"/>
  <c r="S42" i="1" s="1"/>
  <c r="R10" i="1"/>
  <c r="S10" i="1" s="1"/>
  <c r="R4" i="1"/>
  <c r="S4" i="1" s="1"/>
  <c r="R33" i="1"/>
  <c r="S33" i="1" s="1"/>
  <c r="R41" i="1"/>
  <c r="S41" i="1" s="1"/>
  <c r="R62" i="1"/>
  <c r="S62" i="1" s="1"/>
  <c r="R18" i="1"/>
  <c r="S18" i="1" s="1"/>
  <c r="R29" i="1"/>
  <c r="S29" i="1" s="1"/>
  <c r="R53" i="1"/>
  <c r="S53" i="1" s="1"/>
  <c r="R22" i="1"/>
  <c r="S22" i="1" s="1"/>
  <c r="R35" i="1"/>
  <c r="S35" i="1" s="1"/>
  <c r="R9" i="1"/>
  <c r="S9" i="1" s="1"/>
  <c r="R49" i="1"/>
  <c r="S49" i="1" s="1"/>
  <c r="R71" i="1"/>
  <c r="S71" i="1" s="1"/>
  <c r="R27" i="1"/>
  <c r="S27" i="1" s="1"/>
  <c r="R21" i="1"/>
  <c r="S21" i="1" s="1"/>
  <c r="R34" i="1"/>
  <c r="S34" i="1" s="1"/>
  <c r="R20" i="1"/>
  <c r="S20" i="1" s="1"/>
  <c r="R32" i="1"/>
  <c r="S32" i="1" s="1"/>
  <c r="R30" i="1"/>
  <c r="S30" i="1" s="1"/>
  <c r="R51" i="1"/>
  <c r="S51" i="1" s="1"/>
  <c r="R73" i="1"/>
  <c r="S73" i="1" s="1"/>
  <c r="R24" i="1"/>
  <c r="S24" i="1" s="1"/>
  <c r="R74" i="1"/>
  <c r="S74" i="1" s="1"/>
  <c r="R55" i="1"/>
  <c r="S55" i="1" s="1"/>
  <c r="R44" i="1"/>
  <c r="S44" i="1" s="1"/>
  <c r="R26" i="1"/>
  <c r="S26" i="1" s="1"/>
  <c r="R12" i="1"/>
  <c r="S12" i="1" s="1"/>
  <c r="R57" i="1"/>
  <c r="S57" i="1" s="1"/>
  <c r="R17" i="1"/>
  <c r="S17" i="1" s="1"/>
  <c r="R61" i="1"/>
  <c r="S61" i="1" s="1"/>
  <c r="R52" i="1"/>
  <c r="S52" i="1" s="1"/>
  <c r="R37" i="1"/>
  <c r="S37" i="1" s="1"/>
  <c r="R23" i="1"/>
  <c r="S23" i="1" s="1"/>
  <c r="R14" i="1"/>
  <c r="S14" i="1" s="1"/>
  <c r="R54" i="1"/>
  <c r="S54" i="1" s="1"/>
  <c r="R66" i="1"/>
  <c r="S66" i="1" s="1"/>
  <c r="R8" i="1"/>
  <c r="S8" i="1" s="1"/>
  <c r="R48" i="1"/>
  <c r="S48" i="1" s="1"/>
  <c r="R43" i="1"/>
  <c r="S43" i="1" s="1"/>
  <c r="R7" i="1"/>
  <c r="S7" i="1" s="1"/>
  <c r="R56" i="1"/>
  <c r="S56" i="1" s="1"/>
  <c r="R46" i="1"/>
  <c r="S46" i="1" s="1"/>
  <c r="R67" i="1"/>
  <c r="S67" i="1" s="1"/>
  <c r="R68" i="1"/>
  <c r="S68" i="1" s="1"/>
  <c r="R31" i="1"/>
  <c r="S31" i="1" s="1"/>
  <c r="R11" i="1"/>
  <c r="S11" i="1" s="1"/>
  <c r="R69" i="1"/>
  <c r="S69" i="1" s="1"/>
  <c r="R58" i="1"/>
  <c r="S58" i="1" s="1"/>
  <c r="R36" i="1"/>
  <c r="S36" i="1" s="1"/>
  <c r="R64" i="1"/>
  <c r="S64" i="1" s="1"/>
  <c r="R3" i="1"/>
  <c r="S3" i="1" s="1"/>
  <c r="R50" i="1"/>
  <c r="S50" i="1" s="1"/>
  <c r="R28" i="1"/>
  <c r="S28" i="1" s="1"/>
  <c r="R13" i="1"/>
  <c r="S13" i="1" s="1"/>
  <c r="R16" i="1"/>
  <c r="S16" i="1" s="1"/>
  <c r="R25" i="1"/>
  <c r="S25" i="1" s="1"/>
  <c r="R45" i="1"/>
  <c r="S45" i="1" s="1"/>
  <c r="R19" i="1"/>
  <c r="S19" i="1" s="1"/>
  <c r="R63" i="1"/>
  <c r="S63" i="1" s="1"/>
  <c r="R60" i="1"/>
  <c r="S60" i="1" s="1"/>
  <c r="R5" i="1"/>
  <c r="S5" i="1" s="1"/>
  <c r="R40" i="1"/>
  <c r="S40" i="1" s="1"/>
  <c r="R6" i="1"/>
  <c r="S6" i="1" s="1"/>
  <c r="R47" i="1"/>
  <c r="S47" i="1" s="1"/>
  <c r="R65" i="1"/>
  <c r="S65" i="1" s="1"/>
  <c r="H77" i="1"/>
  <c r="H81" i="1" s="1"/>
  <c r="O77" i="1"/>
  <c r="O81" i="1" s="1"/>
  <c r="N77" i="1"/>
  <c r="N81" i="1" s="1"/>
  <c r="Q77" i="1"/>
  <c r="Q81" i="1" s="1"/>
  <c r="L77" i="1"/>
  <c r="L81" i="1" s="1"/>
  <c r="M77" i="1"/>
  <c r="M81" i="1" s="1"/>
  <c r="G77" i="1"/>
  <c r="G81" i="1" s="1"/>
  <c r="R2" i="1"/>
  <c r="S2" i="1" s="1"/>
  <c r="K77" i="1"/>
  <c r="K81" i="1" s="1"/>
  <c r="J77" i="1"/>
  <c r="J81" i="1" s="1"/>
  <c r="I77" i="1"/>
  <c r="I81" i="1" s="1"/>
  <c r="P77" i="1"/>
  <c r="P81" i="1" s="1"/>
  <c r="R77" i="1" l="1"/>
  <c r="F77" i="1" l="1"/>
  <c r="F8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0" authorId="0" shapeId="0" xr:uid="{78E9D733-F2DB-415A-B46C-D2DF3C1C9EE8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H40" authorId="0" shapeId="0" xr:uid="{9AA6A60C-2F61-4175-8C33-726BD619EC1F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I40" authorId="0" shapeId="0" xr:uid="{5CC523C7-C455-4EFC-9C83-791E6BCEE921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J40" authorId="0" shapeId="0" xr:uid="{FC7EADA4-AFA5-420B-A71F-B2569303448D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K40" authorId="0" shapeId="0" xr:uid="{F3C20627-EF73-4AD7-8059-2D6C7F7A91C5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L40" authorId="0" shapeId="0" xr:uid="{F627F914-7C41-41F7-92E8-E890C6EF04AA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M40" authorId="0" shapeId="0" xr:uid="{94578B0A-8776-431C-82E3-BE0D2A23EEAC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N40" authorId="0" shapeId="0" xr:uid="{34A1D208-250C-4789-9C88-61CBBB5526B9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O40" authorId="0" shapeId="0" xr:uid="{BCF81C7B-7E71-4F9E-83B6-4FDE69A01306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P40" authorId="0" shapeId="0" xr:uid="{15D96541-DD5B-465F-BC63-2DE7DC93D14D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Q40" authorId="0" shapeId="0" xr:uid="{17B5F49D-2539-4F46-AD4D-9B416A752449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G41" authorId="0" shapeId="0" xr:uid="{58099B44-2D56-404E-AC7E-16DD19E2BB31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H41" authorId="0" shapeId="0" xr:uid="{E55D1B60-46DC-4C75-92C7-77C156735255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I41" authorId="0" shapeId="0" xr:uid="{E0F7715E-11C1-41EA-9F58-50ED2FC79499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J41" authorId="0" shapeId="0" xr:uid="{0B015E76-3A21-4CBF-8542-1117B46FBC53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K41" authorId="0" shapeId="0" xr:uid="{B94A375E-BB58-49A3-8D56-B7FA5B49EABA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L41" authorId="0" shapeId="0" xr:uid="{AC0F951F-1C87-4935-8E76-3884AEBB2769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M41" authorId="0" shapeId="0" xr:uid="{6F24297C-EA7F-4F13-B674-BC83CF9BB140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N41" authorId="0" shapeId="0" xr:uid="{7A7AE812-9558-47AF-9994-804642C1D289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O41" authorId="0" shapeId="0" xr:uid="{07CA1885-AC75-4598-BC2C-0AB8FE323093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P41" authorId="0" shapeId="0" xr:uid="{CD8746E4-5842-439A-B2D1-5223FF33AEB4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Q41" authorId="0" shapeId="0" xr:uid="{C137C1BB-C279-4733-A35E-897C98A65CEC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  <comment ref="F55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======
ID#AAABQaSjUiE
tc={BEAA360A-FCE8-4B06-B620-774BE43D1F66}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Cases, lijadora, pistola neumática</t>
        </r>
      </text>
    </comment>
    <comment ref="F56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ID#AAABQaSjUiQ
tc={23CAD02A-56A0-4155-B52A-767120F6033C}    (2024-07-01 23:28:30)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Intercomunicadores</t>
        </r>
      </text>
    </comment>
  </commentList>
</comments>
</file>

<file path=xl/sharedStrings.xml><?xml version="1.0" encoding="utf-8"?>
<sst xmlns="http://schemas.openxmlformats.org/spreadsheetml/2006/main" count="14157" uniqueCount="3268">
  <si>
    <t>CLAVE</t>
  </si>
  <si>
    <t>CONCEPTO</t>
  </si>
  <si>
    <t>SUBCLAVE</t>
  </si>
  <si>
    <t>PRESUPUESTO</t>
  </si>
  <si>
    <t>ENERO</t>
  </si>
  <si>
    <t>FEBRERO</t>
  </si>
  <si>
    <t>MARZO</t>
  </si>
  <si>
    <t xml:space="preserve">ABRIL 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</si>
  <si>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</si>
  <si>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</si>
  <si>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</si>
  <si>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</si>
  <si>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</si>
  <si>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</si>
  <si>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</si>
  <si>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</si>
  <si>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ACUMULADO</t>
  </si>
  <si>
    <t>OBSERVACIONES</t>
  </si>
  <si>
    <t>MDE2025-001</t>
  </si>
  <si>
    <t>DISEÑADORES BODEGA</t>
  </si>
  <si>
    <t>Diseñadores Bodega</t>
  </si>
  <si>
    <t>MDE2025-002</t>
  </si>
  <si>
    <t>GASTOS FIJOS</t>
  </si>
  <si>
    <t>MDE2025-002A</t>
  </si>
  <si>
    <t>MDE2025-002B</t>
  </si>
  <si>
    <t>Agua embotellada</t>
  </si>
  <si>
    <t>MDE2025-002C</t>
  </si>
  <si>
    <t>MDE2025-002D</t>
  </si>
  <si>
    <t>Rentas</t>
  </si>
  <si>
    <t>MDE2025-002E</t>
  </si>
  <si>
    <t>Agua potable</t>
  </si>
  <si>
    <t>MDE2025-002F</t>
  </si>
  <si>
    <t>Servicios telefónicos e internet</t>
  </si>
  <si>
    <t>MDE2025-002G</t>
  </si>
  <si>
    <t>Comisiones e intereses bancarios</t>
  </si>
  <si>
    <t>MDE2025-002H</t>
  </si>
  <si>
    <t>MDE2025-002I</t>
  </si>
  <si>
    <t>MDE2025-002J</t>
  </si>
  <si>
    <t>Licencias y certificaciones</t>
  </si>
  <si>
    <t>MDE2025-002K</t>
  </si>
  <si>
    <t>Vigilancia</t>
  </si>
  <si>
    <t>MDE2025-002L</t>
  </si>
  <si>
    <t>MDE2025-002M</t>
  </si>
  <si>
    <t>MDE2025-002N</t>
  </si>
  <si>
    <t>MDE2025-002O</t>
  </si>
  <si>
    <t>MDE2025-002P</t>
  </si>
  <si>
    <t>MDE2025-002Q</t>
  </si>
  <si>
    <t>MDE2025-002R</t>
  </si>
  <si>
    <t>MDE 2025-003</t>
  </si>
  <si>
    <t>GASTOS VARIOS</t>
  </si>
  <si>
    <t>MDE2025-003A</t>
  </si>
  <si>
    <t>Papelería e insumos de limpieza</t>
  </si>
  <si>
    <t>MDE2025-003B</t>
  </si>
  <si>
    <t>MDE2025-003C</t>
  </si>
  <si>
    <t>MDE2025-003E</t>
  </si>
  <si>
    <t>MDE2025-003F</t>
  </si>
  <si>
    <t>MDE2025-003H</t>
  </si>
  <si>
    <t>MDE2025-003I</t>
  </si>
  <si>
    <t>Vuelos staff</t>
  </si>
  <si>
    <t>Proyectos futuros</t>
  </si>
  <si>
    <t>MDE 2025-004</t>
  </si>
  <si>
    <t>MATERIALES</t>
  </si>
  <si>
    <t>MDE2025-004</t>
  </si>
  <si>
    <t>Pool de materiales</t>
  </si>
  <si>
    <t>MDE2025-004A</t>
  </si>
  <si>
    <t>Materiales bodega</t>
  </si>
  <si>
    <t>MDE2025-005</t>
  </si>
  <si>
    <t>MDE2025-006</t>
  </si>
  <si>
    <t>LOGISTICA</t>
  </si>
  <si>
    <t>MDE2025-006A</t>
  </si>
  <si>
    <t>MDE2025-006B</t>
  </si>
  <si>
    <t>MDE2025-006C</t>
  </si>
  <si>
    <t>MDE2025-006D</t>
  </si>
  <si>
    <t>MDE2025-006F</t>
  </si>
  <si>
    <t>MDE 2025-007</t>
  </si>
  <si>
    <t>ACTIVOS FIJOS</t>
  </si>
  <si>
    <t>MDE2025-007F</t>
  </si>
  <si>
    <t>Aplicaciones digitales</t>
  </si>
  <si>
    <t>MDE2025-007G</t>
  </si>
  <si>
    <t>MDE2025-007H</t>
  </si>
  <si>
    <t>MDE2025-007I</t>
  </si>
  <si>
    <t>MDE2025-007J</t>
  </si>
  <si>
    <t>Seguridad</t>
  </si>
  <si>
    <t>MDE 2025-008</t>
  </si>
  <si>
    <t>EVENTOS INTERNOS</t>
  </si>
  <si>
    <t>MDE2025-008A</t>
  </si>
  <si>
    <t>Cursos y capacitaciones</t>
  </si>
  <si>
    <t>MDE2025-008B</t>
  </si>
  <si>
    <t>Regalos y Patrocinios Clientes</t>
  </si>
  <si>
    <t>MDE 2025-009</t>
  </si>
  <si>
    <t>MANTENIMIENTO</t>
  </si>
  <si>
    <t>TOK2025-001</t>
  </si>
  <si>
    <t>TOKA</t>
  </si>
  <si>
    <t>TOK2025-001A</t>
  </si>
  <si>
    <t>Gastos Toka</t>
  </si>
  <si>
    <t>TOK2025-001B</t>
  </si>
  <si>
    <t>Combustible Toka</t>
  </si>
  <si>
    <t>TOK2025-001C</t>
  </si>
  <si>
    <t>Comisiones Toka</t>
  </si>
  <si>
    <t>PROVEEDOR</t>
  </si>
  <si>
    <t>SUBCUENTA</t>
  </si>
  <si>
    <t>TOTAL</t>
  </si>
  <si>
    <t>EJECUTIVO</t>
  </si>
  <si>
    <t>STATUS</t>
  </si>
  <si>
    <t>FECHA</t>
  </si>
  <si>
    <t>FACTURA</t>
  </si>
  <si>
    <t>SUBTOTAL</t>
  </si>
  <si>
    <t>IVA</t>
  </si>
  <si>
    <t>FORMA DE PAGO</t>
  </si>
  <si>
    <t>SERVICIO Y MANTENIMIENTO DE UNIDADES DE TRANSPORTE</t>
  </si>
  <si>
    <t>RENTAS</t>
  </si>
  <si>
    <t>PROYECTOS FUTUROS</t>
  </si>
  <si>
    <t>MDE2025-003K</t>
  </si>
  <si>
    <t>UNIFORMES Y EPP</t>
  </si>
  <si>
    <t>COMISIONES E INTERESES BANCARIOS</t>
  </si>
  <si>
    <t>AGUA POTABLE</t>
  </si>
  <si>
    <t>NOMINAS</t>
  </si>
  <si>
    <t>COMBUSTIBLE</t>
  </si>
  <si>
    <t>SPS</t>
  </si>
  <si>
    <t>MDE2025-009B</t>
  </si>
  <si>
    <t>COMISIONES TOKA</t>
  </si>
  <si>
    <t>VIGILANCIA</t>
  </si>
  <si>
    <t>MDE2025-007B</t>
  </si>
  <si>
    <t>MAQUINARIA Y HERRAMIENTAS</t>
  </si>
  <si>
    <t>MDE2025-007C</t>
  </si>
  <si>
    <t>AGUA EMBOTELLADA</t>
  </si>
  <si>
    <t>EQUIPO DE TRANSPORTE</t>
  </si>
  <si>
    <t>MDE2025-007A</t>
  </si>
  <si>
    <t>SOCIAL MEDIA Y WEB MASTER</t>
  </si>
  <si>
    <t>MDE2025-007D</t>
  </si>
  <si>
    <t>MATERIALES BODEGA</t>
  </si>
  <si>
    <t>MDE2025-003L</t>
  </si>
  <si>
    <t>MDE2025-007E</t>
  </si>
  <si>
    <t>AMEX</t>
  </si>
  <si>
    <t>LICENCIAS Y CERTIFICACIONES</t>
  </si>
  <si>
    <t>REGALOS Y PATROCINIOS CLIENTES</t>
  </si>
  <si>
    <t>MDE2025-009A</t>
  </si>
  <si>
    <t>CAJA CHICA</t>
  </si>
  <si>
    <t>LOGÍSTICA</t>
  </si>
  <si>
    <t>MOBILIARIO Y EQUIPO DE OFICINA</t>
  </si>
  <si>
    <t>VERIFICACIONES Y TENENCIAS</t>
  </si>
  <si>
    <t>AMEX VARIOS</t>
  </si>
  <si>
    <t>CERTIFICACIONES Y USO DE MARCA</t>
  </si>
  <si>
    <t>SERVICIO DE LUZ</t>
  </si>
  <si>
    <t>MANIOBRAS EXTERNOS</t>
  </si>
  <si>
    <t>ALIMENTOS Y CONSUMOS</t>
  </si>
  <si>
    <t>GASTOS TOKA</t>
  </si>
  <si>
    <t>ILUMINACIÓN, AUDIO Y VIDEO</t>
  </si>
  <si>
    <t>CURSOS Y CAPACITACIONES</t>
  </si>
  <si>
    <t>TOTAL GTO NO IMP.</t>
  </si>
  <si>
    <t>DISEÑOS</t>
  </si>
  <si>
    <t>SERVICIOS TELEFÓNICOS E INTERNET</t>
  </si>
  <si>
    <t>IMPUESTO PREDIAL</t>
  </si>
  <si>
    <t>NÓMINA SEMANAL BODEGA</t>
  </si>
  <si>
    <t>CARGA SOCIAL DE NÓMINA SEMANAL</t>
  </si>
  <si>
    <t>COMISIÓN DE NÓMINA SEMANAL</t>
  </si>
  <si>
    <t>COMISIÓN DE NÓMINA QUINCENAL</t>
  </si>
  <si>
    <t>PRÉSTAMOS PERSONALES</t>
  </si>
  <si>
    <t>NÓMINA EN EFECTIVO</t>
  </si>
  <si>
    <t>PAPELERÍA E INSUMOS DE LIMPIEZA</t>
  </si>
  <si>
    <t>TELEFONÍA E INTERNET</t>
  </si>
  <si>
    <t>ESTACIONAMIENTO Y SERVICIOS DE TRANSPORTE</t>
  </si>
  <si>
    <t>FARMACIA/SALUD</t>
  </si>
  <si>
    <t>HOSPEDAJE STAFF</t>
  </si>
  <si>
    <t>MDE2025-003J</t>
  </si>
  <si>
    <t>VUELOS STAFF</t>
  </si>
  <si>
    <t>GASTOS DE TRANSPORTE</t>
  </si>
  <si>
    <t>PEAJE-CASETA-TAG</t>
  </si>
  <si>
    <t>EQUIPO DE CÓMPUTO Y TELEFONÍA</t>
  </si>
  <si>
    <t>APLICACIONES DIGITALES</t>
  </si>
  <si>
    <t>HERRAMIENTAS DANIELA A.</t>
  </si>
  <si>
    <t>MDE2025-009C</t>
  </si>
  <si>
    <t>RENTA DE ADICIONALES (CIMBRA, ANDAMIOS, ETC.)</t>
  </si>
  <si>
    <t>COMBUSTIBLE TOKA</t>
  </si>
  <si>
    <t>CUENTA</t>
  </si>
  <si>
    <t>SANTANDER</t>
  </si>
  <si>
    <t>EFECTIVO</t>
  </si>
  <si>
    <t>SERVICIO DE RECOLECCION DE BASURA Y DESECHOS INDUSTRIALES</t>
  </si>
  <si>
    <t>NÓMINA QUINCENAL FIJA</t>
  </si>
  <si>
    <t>Servicio de recolección de basura y desechos industriales</t>
  </si>
  <si>
    <t>Servicio de luz</t>
  </si>
  <si>
    <t>Impuesto predial</t>
  </si>
  <si>
    <t>Social media y web master</t>
  </si>
  <si>
    <t>Nómina semanal bodega</t>
  </si>
  <si>
    <t>Carga social de nómina semanal</t>
  </si>
  <si>
    <t>Comisión de nómina semanal</t>
  </si>
  <si>
    <t>Nómina quincenal fija</t>
  </si>
  <si>
    <t>Comisión de nómina quincenal</t>
  </si>
  <si>
    <t>Préstamos personales</t>
  </si>
  <si>
    <t>Nómina en efectivo</t>
  </si>
  <si>
    <t>Uniformes y EPP</t>
  </si>
  <si>
    <t>Telefonía e internet</t>
  </si>
  <si>
    <t>Farmacia/salud</t>
  </si>
  <si>
    <t>Alimentos y consumos</t>
  </si>
  <si>
    <t>Hospedaje staff</t>
  </si>
  <si>
    <t>AMEX varios</t>
  </si>
  <si>
    <t>FONDEO PARA CAJA CHICA</t>
  </si>
  <si>
    <t>Fondeo para caja chica</t>
  </si>
  <si>
    <t>Insumos para mantenimiento bodega</t>
  </si>
  <si>
    <t>Mantenimiento y reparación varios</t>
  </si>
  <si>
    <t>Renta de adicionales (cimbra, andamios, etc.)</t>
  </si>
  <si>
    <t>EDIFICIOS</t>
  </si>
  <si>
    <t>SEGURIDAD</t>
  </si>
  <si>
    <t>Equipo de transporte</t>
  </si>
  <si>
    <t>Equipo de cómputo y telefonía</t>
  </si>
  <si>
    <t>Maquinaria y herramientas</t>
  </si>
  <si>
    <t>Iluminación, audio y video</t>
  </si>
  <si>
    <t>Mobiliario y equipo de oficina</t>
  </si>
  <si>
    <t>Certificaciones y uso de marca</t>
  </si>
  <si>
    <t>Herramientas Daniela A.</t>
  </si>
  <si>
    <t>Edificios</t>
  </si>
  <si>
    <t>MDE2025-006G</t>
  </si>
  <si>
    <t>MDE2025-006H</t>
  </si>
  <si>
    <t>Servicio y mantenimiento de unidades de transporte</t>
  </si>
  <si>
    <t>Verificaciones y tenencias</t>
  </si>
  <si>
    <t>Gastos de transporte</t>
  </si>
  <si>
    <t>Peaje-caseta-tag</t>
  </si>
  <si>
    <t>Estacionamiento y servicios de transporte</t>
  </si>
  <si>
    <t>Multas y asuntos legales</t>
  </si>
  <si>
    <t>Maniobras externas</t>
  </si>
  <si>
    <t>Combustible</t>
  </si>
  <si>
    <t>MULTAS Y ASUNTOS LEGALES</t>
  </si>
  <si>
    <t>INSUMOS PARA MANTENIMIENTO BODEGA</t>
  </si>
  <si>
    <t>MANTENIMIENTO Y REPARACIÓN VARIOS</t>
  </si>
  <si>
    <t>POOL DE MATERIALES</t>
  </si>
  <si>
    <t>BBVA</t>
  </si>
  <si>
    <t>PENDIENTE</t>
  </si>
  <si>
    <t>PAGADO</t>
  </si>
  <si>
    <t>JOSE E ZEPEDA BURGOS</t>
  </si>
  <si>
    <t>REEMBOLSO COMPRA DISCO DURO / AMEX PLATINO</t>
  </si>
  <si>
    <t>VIDAL ESTRADA</t>
  </si>
  <si>
    <t>COMPRA DE MATERIAL DE PLOMERIA</t>
  </si>
  <si>
    <t>DEKOMADERA SA DE CV</t>
  </si>
  <si>
    <t>COMPRA DE MATERIALES QUE YA ESTAN EN CIERRES DA198638,DA199206,DA201123
,DA199634.DA200074,DA200512,DA202792,DA203155, DA204491</t>
  </si>
  <si>
    <t>UNALANA PAY</t>
  </si>
  <si>
    <t>COMISIONES BANCARIOS</t>
  </si>
  <si>
    <t>EVODIO DE JESUS GOMEZ</t>
  </si>
  <si>
    <t>PAGO MANO DE OBRA TRABAJO NUEVAS OFICINAS - EVODIO DE JESUS</t>
  </si>
  <si>
    <t>TIRSO DE JESUS DE LA CRUZ</t>
  </si>
  <si>
    <t>PAGO MANO DE OBRA TRABAJO NUEVAS OFICINAS - TIRSO DE JESUS</t>
  </si>
  <si>
    <t>BENITO AVILA DIAZ</t>
  </si>
  <si>
    <t>PAGO MANO DE OBRA - OFICINAS NUEVAS</t>
  </si>
  <si>
    <t>UNALANAPAY</t>
  </si>
  <si>
    <t>COMISIONES BANCARIAS</t>
  </si>
  <si>
    <t>LUIS ANTONIO GARDUÑO TAPIA</t>
  </si>
  <si>
    <t>MO - TRABAJO PORTON BODEGA</t>
  </si>
  <si>
    <t>VICTOR AARON RODRIGUEZ MIRANDA</t>
  </si>
  <si>
    <t>DISEÑO Y RENDER PARA STAND ALEN 6X3 MTS - CAMBIO EXPO WALMART 2025</t>
  </si>
  <si>
    <t>RICARDO MONTENEGRO</t>
  </si>
  <si>
    <t>AFINACION MOTOR BALEROS FRENOS ALINEACION Y BALANCEO - JEEP</t>
  </si>
  <si>
    <t>NORMA ELENA BURGOS REYES</t>
  </si>
  <si>
    <t>RENTA BODEGA DICIEMBRE 2024</t>
  </si>
  <si>
    <t>PAGO RENTA DE CASA SUAREZ ENERO 25</t>
  </si>
  <si>
    <t>PAGO COMPLEMENTO MANO DE OBRA DOMINGO 5 ENE 25 - OFICINAS NUEVAS</t>
  </si>
  <si>
    <t>CONTINENTAL MOBILITY SA DE CV</t>
  </si>
  <si>
    <t>COMPRA DE AUTO KAWIR</t>
  </si>
  <si>
    <t>SISTEMA DE CORTE CNC METAL SA DE CV</t>
  </si>
  <si>
    <t>COMPLEMENTO DE PAGO PARA COMPRA DE MANGUERA Y COSTALES PARA ASRRIN</t>
  </si>
  <si>
    <t>JUAN CARLOS CASTAÑEDA GUTIERREZ</t>
  </si>
  <si>
    <t>PAGO LIQUIDACION</t>
  </si>
  <si>
    <t>OCTAVIO ALVARADO MEJIA</t>
  </si>
  <si>
    <t>COMPRA DE 20 BULTOS DE CEMENTO OFICINAS</t>
  </si>
  <si>
    <t>ALBERTO SUÁREZ JIMENEZ</t>
  </si>
  <si>
    <t>MANO DE OBRA - REJA DE ALMACEN 2</t>
  </si>
  <si>
    <t>GUILLERMO SUÁREZ JIMENEZ</t>
  </si>
  <si>
    <t>ALEJANDRO SUÁREZ JIMENEZ</t>
  </si>
  <si>
    <t>OSCAR SUÁREZ JIMENEZ</t>
  </si>
  <si>
    <t>QUALITAS COMPAÑÍA DE SEGUROS, SA DE CV</t>
  </si>
  <si>
    <t>PAGO SEGURO EQUIPO PESADO RABON EQ HYUNDAI EX8 4X2 160 HP DIESEL</t>
  </si>
  <si>
    <t>PAGO MANO DE OBRA TRABAJO NUEVAS OFICINAS</t>
  </si>
  <si>
    <t>VICTOR HUGO MARTINEZ GONZALEZ</t>
  </si>
  <si>
    <t>MANO DE OBRA - TRABAJOS DE PLOMERIA EN OFICINAS NUEVAS</t>
  </si>
  <si>
    <t>SECRETARIA DE FINANZAS</t>
  </si>
  <si>
    <t>TENENCIA 2025 - JEEP T/A PATRIOT LATITUDE</t>
  </si>
  <si>
    <t>TENENCIA 2025 - HIACE PASAJEROS T/M PANEL 12 PASAJ</t>
  </si>
  <si>
    <t>365 INTELIGENCIA EN SEGURIDAD PRIVADA</t>
  </si>
  <si>
    <t>SERVICIO DE VIGILANCIA DEL 01 AL 15 DE ENERO 2025</t>
  </si>
  <si>
    <t>MARIA NANCY QUEZADA HERNANDEZ</t>
  </si>
  <si>
    <t>COMPRA DE ARENA, GRAVA Y CEMENTO OFICINAS</t>
  </si>
  <si>
    <t>COMISION FEDERAL DE ELECTRICIDAD</t>
  </si>
  <si>
    <t>PAGO LUZ DEL 10DIC24 AL 09ENE25</t>
  </si>
  <si>
    <t>MARIANA GONZALEZ VARA</t>
  </si>
  <si>
    <t>PAGO MENSUAL SOCIAL MEDIA MES DE ENERO 2025</t>
  </si>
  <si>
    <t>Toka internacional S.A.P.I. de C.V.</t>
  </si>
  <si>
    <t>VICTOR MANUEL RUIZ ZARATE</t>
  </si>
  <si>
    <t>REEMBOLSO COMPRA DE 10 TAQUETE ARPON Y TORNILLOS PARA ZAGUÁN 13/ENE/25</t>
  </si>
  <si>
    <t>TENENCIA 2025 - NAVISTAR INTERNATION CHASIS CABINA MV CUMMINS ISB6.7 197/214/239/242/279/280/289HP</t>
  </si>
  <si>
    <t>TENENCIA 2025 - FORD RANGER T/M CREW CAB XLT 2.5L 4CIL 4A TELA/PIEL</t>
  </si>
  <si>
    <t>VOCCOPO SA DE CV</t>
  </si>
  <si>
    <t>SERVICIO TELEFONICO ENERO 2025</t>
  </si>
  <si>
    <t>COVARRUBIAS LAMA YAJAIRA ALEJANDRA</t>
  </si>
  <si>
    <t>COMPRA DE LLANTAS PARA MUEBLES MUESTRA BOSCH Y LAVANDERIA</t>
  </si>
  <si>
    <t>REEMBOLSO COMPRA DE 2 PZ DE RODAJA GIRATORIA TRACTOR Y 2 PZ DE RODAJA FIJA TRACTOR DE 4" 15ENE25</t>
  </si>
  <si>
    <t>REEMBOLSO COMPRA DE XRO ROLLO MALLA 6-6-6-6 15ENE25</t>
  </si>
  <si>
    <t>COMPRA DE CLAVOS Y SAPO BAÑO</t>
  </si>
  <si>
    <t>PAGO A BENITO POR REPARACIÓN DEL PORTÓN</t>
  </si>
  <si>
    <t>ASFALTO ENTRADA BODEGA</t>
  </si>
  <si>
    <t>PAGO DE MANO DE OBRA CONSTRUCCION DE OFICINAS</t>
  </si>
  <si>
    <t>PAGO MANO DE OBRA - CONSTRUCCION OFICINAS</t>
  </si>
  <si>
    <t>CINDY PINEDA VAZQUEZ</t>
  </si>
  <si>
    <t>SALDO 50% TAPIZADO DE SILLAS</t>
  </si>
  <si>
    <t>ANGIE PEREZ</t>
  </si>
  <si>
    <t>REEMBOLSO COMPRA DE TAPETE - VIGILANCIA</t>
  </si>
  <si>
    <t>REEMBOLSO COMPRA DE MESA- VIGILANCIA</t>
  </si>
  <si>
    <t>MANO DE OBRA - PROYECTOS FUTUROS 2025</t>
  </si>
  <si>
    <t>REEMBOLSO PAGO DE LOZA ACERO - BENITO HERRERO</t>
  </si>
  <si>
    <t>COMPRA DE MATERIALES QUE YA ESTAN EN CIERRES DA198638,DA199206,DA201123
,DA199634.DA200074,</t>
  </si>
  <si>
    <t>ECONOCOMEX INTERNACIONAL SA DE CV</t>
  </si>
  <si>
    <t>COMPRA DE 10 CUBETAS DE PRIMER BLANCO</t>
  </si>
  <si>
    <t>COMPRA DE MATERIALES PARA EXHIBIDORES, SALDO A FAVOR</t>
  </si>
  <si>
    <t>NORA LIZ PINEDA PEREZ</t>
  </si>
  <si>
    <t>COMPRA DE ROLLOS DE PLAYO, SANITAS, CINTAS DOBLE CARA Y CINTA DIUREX BODEGA MES DE DICIEMBRE</t>
  </si>
  <si>
    <t>PAGO SEGURO DOLPHIN MINIPLUS 5P ELECTRICO F DEL 20ENE25 AL 20ENE26</t>
  </si>
  <si>
    <t>COMPRA DE TIRAS LED PARA FOREOY JACOBS</t>
  </si>
  <si>
    <t>PAGO DE CASETA Y ESTACIONAMIENTO SCOUTING</t>
  </si>
  <si>
    <t>COMPRA DE MATERIAL PARA BODEGA OFICINAS</t>
  </si>
  <si>
    <t>TENENCIA 2025 - ISUZU MV CUMMINS ISB6.7 197/214/239/242/279/280/289HP</t>
  </si>
  <si>
    <t>ALFREDO NAVARRETE ARCHUNDIA</t>
  </si>
  <si>
    <t>GPS CAMIONES Y AUTOS</t>
  </si>
  <si>
    <t>OPERADORA CONCESINARIA MEXIQUENSE SA DE CV</t>
  </si>
  <si>
    <t>CALCOMANIA PARA CRUCES CASETAS</t>
  </si>
  <si>
    <t>COMPRA DE LOTE DE MDF DE DIFERENTES MEDIDAS</t>
  </si>
  <si>
    <t>PAGO TRABAJOS HERRERIA OFICINAS NUEVAS - SR. NUEVO</t>
  </si>
  <si>
    <t>PAGO MANO DE OBRA (CARGADOR) - CONSTRUCCION OFICINAS</t>
  </si>
  <si>
    <t>RENTA BODEGA ENERO2025</t>
  </si>
  <si>
    <t>LUIS DANIEL GALICIA DE GANTE</t>
  </si>
  <si>
    <t>Stand Electrolit. MDE2025-001</t>
  </si>
  <si>
    <t>PAGO POR SUSTITUCIÓN DE BATERIA Y SISTEMA DE ARRANQUE - MALIBÚ</t>
  </si>
  <si>
    <t>Operadora Concesionaria Mexiquense SA de CV</t>
  </si>
  <si>
    <t>Contratación servicio flotilla MADE_3933411 - Garantia</t>
  </si>
  <si>
    <t>SERVICIO DE VIGILNCIA DEL 16 AL 31 DE ENERO 2025</t>
  </si>
  <si>
    <t>VIDEOSTAFF S.A. de C.V.</t>
  </si>
  <si>
    <t>Switcher para Streaming FeelWorld LIVEPRO L4 Series: L4A2400988</t>
  </si>
  <si>
    <t>COMPRA DE MADERA PARA APLANADO</t>
  </si>
  <si>
    <t>INTERCONTINENTAL SERVICES TLC</t>
  </si>
  <si>
    <t>BOLIGRAFO MADE</t>
  </si>
  <si>
    <t>REEMBOLSO COMPRA TAQUETES, PIJAS - BODEGA 21ENE25</t>
  </si>
  <si>
    <t>REEMBOLSO (2 PARES DE GUANTES,1 PAR CANDADOS,18 AMARTIGUADOR PARA PUERTA) 29/ENE/25 VICTOR RUIZ</t>
  </si>
  <si>
    <t>REEMBOLSO MATERIAL PLOMERIA OFICINAS NUEVAS - AMEX PLAT</t>
  </si>
  <si>
    <t>TENENCIA, PLACAS Y TARJETA CIRCULACION DOLPHIN ELECTRICO 2025</t>
  </si>
  <si>
    <t>COMPRA DE MATERIALES PVC PARA CONSTRUCCION DE OFICINAS NUEVAS</t>
  </si>
  <si>
    <t>FERNANDO BECERRIL</t>
  </si>
  <si>
    <t>REEMBOLSO CASETAS PEDRO GOMEZ 30JUN25 - REVISION HYUNDAI</t>
  </si>
  <si>
    <t>REEMBOLSO CADENAS Y CANDADOS PARA ALMACEN</t>
  </si>
  <si>
    <t>ESTEFANY VICTORIA ROCHA</t>
  </si>
  <si>
    <t>FINIQUITO</t>
  </si>
  <si>
    <t>MANO DE OBRA - PROYECTOS FUTUROS</t>
  </si>
  <si>
    <t>REEMBOLSO EUROELECTRICA - OFICINAS NUEVAS</t>
  </si>
  <si>
    <t>JULIO SERRANO</t>
  </si>
  <si>
    <t>COMPRA DE MONITOR</t>
  </si>
  <si>
    <t>TENENCIA 2025 - HYUNDAI EX8 CHASIS CABINA 2 ejes, DIESEL, 4500-9500Kg PBV</t>
  </si>
  <si>
    <t>REEMBOLSO DE CASETAS - BFM, HEIZ, RBM /FERNANDO BECERRIL</t>
  </si>
  <si>
    <t>REEMBOLSO DE CASETAS Y VERIFICACION TOYOTA FERNANDO BECERRIL</t>
  </si>
  <si>
    <t>REEMBOLSO DE CASETAS, TALACHAS MULTAS Y COMBUSTIBLE</t>
  </si>
  <si>
    <t>SUAREZ</t>
  </si>
  <si>
    <t>PAGO MANO DE OBRA REJA CUARTO COMPRESOR</t>
  </si>
  <si>
    <t>ALEXIS/LESLIE</t>
  </si>
  <si>
    <t>ALEJANDRA</t>
  </si>
  <si>
    <t>KAWIR</t>
  </si>
  <si>
    <t>CAROLINA</t>
  </si>
  <si>
    <t>ENRIQUE</t>
  </si>
  <si>
    <t>LESLIE</t>
  </si>
  <si>
    <t>FERNANDO</t>
  </si>
  <si>
    <t>NAYELI</t>
  </si>
  <si>
    <t>ANGIE</t>
  </si>
  <si>
    <t>PRISCILA</t>
  </si>
  <si>
    <t>ELISA</t>
  </si>
  <si>
    <t>JAVIER</t>
  </si>
  <si>
    <t>COMPROBANTE</t>
  </si>
  <si>
    <t>FACT13287</t>
  </si>
  <si>
    <t>DA-30551</t>
  </si>
  <si>
    <t>N/A</t>
  </si>
  <si>
    <t>NOMINA</t>
  </si>
  <si>
    <t>COMISIONES</t>
  </si>
  <si>
    <t>FACT 465</t>
  </si>
  <si>
    <t>FACT61842</t>
  </si>
  <si>
    <t>FAC13305</t>
  </si>
  <si>
    <t>POL7114</t>
  </si>
  <si>
    <t>FACT 473</t>
  </si>
  <si>
    <t>FACT T360365</t>
  </si>
  <si>
    <t>FAC PENDIENTE</t>
  </si>
  <si>
    <t>FACT89602</t>
  </si>
  <si>
    <t>FACT 3465099</t>
  </si>
  <si>
    <t>DA30553</t>
  </si>
  <si>
    <t>F34406</t>
  </si>
  <si>
    <t>F34436</t>
  </si>
  <si>
    <t>POLIZA 6040046054</t>
  </si>
  <si>
    <t>COMPROBANTES</t>
  </si>
  <si>
    <t>A24</t>
  </si>
  <si>
    <t>COTIZACIÓN</t>
  </si>
  <si>
    <t>DA-30565</t>
  </si>
  <si>
    <t>333593A1</t>
  </si>
  <si>
    <t>FA24603</t>
  </si>
  <si>
    <t>A_3596</t>
  </si>
  <si>
    <t>COT508</t>
  </si>
  <si>
    <t>COMPRA DE MOBILIARIO DE OFICINA</t>
  </si>
  <si>
    <t>ENVIO DOCUMENTOS VOLKSWAGEN ALEMANIA</t>
  </si>
  <si>
    <t>RENOVACION DE PLANES CELULAR LOGISTICA</t>
  </si>
  <si>
    <t>REGALOS CLIENTES</t>
  </si>
  <si>
    <t>SERVICIO TOYOTA</t>
  </si>
  <si>
    <t>LICENCIA SHUTTERSTOCK</t>
  </si>
  <si>
    <t>OPENPAY*STARLINK CIUDAD DE MEXIC</t>
  </si>
  <si>
    <t>MATERIALES PARA CONSTRUCCION OFICINAS NUEVAS</t>
  </si>
  <si>
    <t>COMPRA DE CELULAR ALEJANDRA COVARRUBIAS</t>
  </si>
  <si>
    <t>ALEXIS</t>
  </si>
  <si>
    <t>JESSICA</t>
  </si>
  <si>
    <t>JAVIER MENA</t>
  </si>
  <si>
    <t>ARIADNA</t>
  </si>
  <si>
    <t>1D5C0944-000F</t>
  </si>
  <si>
    <t>CEL</t>
  </si>
  <si>
    <t>RECIBO</t>
  </si>
  <si>
    <t>XBA60007</t>
  </si>
  <si>
    <t>INVOICE</t>
  </si>
  <si>
    <t>GASOL EST MULATA 3488</t>
  </si>
  <si>
    <t>COMPRA DE REGALOS CLIENTES</t>
  </si>
  <si>
    <t>MULTISERVS DUAL</t>
  </si>
  <si>
    <t>MOV VARIOS</t>
  </si>
  <si>
    <t>GAS LEVET 3</t>
  </si>
  <si>
    <t>COMPRAS MISCELANEAS</t>
  </si>
  <si>
    <t>GASOL MOBIL METEPEC</t>
  </si>
  <si>
    <t>ENRIQUE ZEPEDA</t>
  </si>
  <si>
    <t>AUTOMOTRIZ HF</t>
  </si>
  <si>
    <t>CUMBRES METEPEC ROGELIO V</t>
  </si>
  <si>
    <t>MDE2025-003D</t>
  </si>
  <si>
    <t>COMBUSTIBLE LOGÍSTICA</t>
  </si>
  <si>
    <t>EDUARDO</t>
  </si>
  <si>
    <t>ROGELIO V</t>
  </si>
  <si>
    <t>W231834</t>
  </si>
  <si>
    <t>W230941</t>
  </si>
  <si>
    <t>6410 ALVT</t>
  </si>
  <si>
    <t>SIN FACT</t>
  </si>
  <si>
    <t>AT&amp;T</t>
  </si>
  <si>
    <t>CHIP ATT PARA ADMON</t>
  </si>
  <si>
    <t>LAVANDERIA SEÑOR BURBUJA</t>
  </si>
  <si>
    <t>SERV LAVANDERIA UNIFORMES</t>
  </si>
  <si>
    <t>PROMOTORA Y ADMINISTRADORA DE CARRETERAS</t>
  </si>
  <si>
    <t>CASETAS PEDRO 02ENE25 / MOV MADE</t>
  </si>
  <si>
    <t>TIENDA SORIANA SA DE CV</t>
  </si>
  <si>
    <t>ROSCA DE REYES</t>
  </si>
  <si>
    <t>JOSE NICANOR</t>
  </si>
  <si>
    <t>RECOLECCION DE BASURA 07ENE25</t>
  </si>
  <si>
    <t>CERRAJERIA SAN BARTOLO</t>
  </si>
  <si>
    <t>DUPLICADO DE LLAVES PARA BAÑO</t>
  </si>
  <si>
    <t>PAPELERIA LA MAGDALENA</t>
  </si>
  <si>
    <t>LIBRETAS PROFESIONALES PARA ADMON</t>
  </si>
  <si>
    <t>RECOLECCION DE BASURA 14ENE25</t>
  </si>
  <si>
    <t>COMITE DE AGUA POTABLE STA MARIA MAGDALENA</t>
  </si>
  <si>
    <t>PAGO AGUA BIM NOV-DIC24</t>
  </si>
  <si>
    <t>DISTRIBUIDORA JBC</t>
  </si>
  <si>
    <t>DESARMADOR DE PUNTA 1*2"</t>
  </si>
  <si>
    <t>PROMETOR</t>
  </si>
  <si>
    <t>PIJA C/PLANA GALVANIZADA</t>
  </si>
  <si>
    <t>TORNILLOS Y RONDANAS</t>
  </si>
  <si>
    <t>CADENA COMERCIAL OXXO</t>
  </si>
  <si>
    <t>8 GARRAFONES DE AGUA</t>
  </si>
  <si>
    <t>PEDRO GOMEZ</t>
  </si>
  <si>
    <t>PAGO POR COLAR LOZA OFICINAS NUEVAS</t>
  </si>
  <si>
    <t>REFRESCOS Y COMIDA PERSONAL COLADO OFICINAS</t>
  </si>
  <si>
    <t>RECOLECCION DE BASURA 20ENE25</t>
  </si>
  <si>
    <t>GRUPO ALCIONE SA DE CV</t>
  </si>
  <si>
    <t>FOCO PARA FAROL BODEGA</t>
  </si>
  <si>
    <t>BRANDON AGUILAR</t>
  </si>
  <si>
    <t>RECOLECCION BASURA AL 30ENE25</t>
  </si>
  <si>
    <t>MADEKO</t>
  </si>
  <si>
    <t>MARCO DE PINO DE 30CM</t>
  </si>
  <si>
    <t>5 DISCO DE CORTE</t>
  </si>
  <si>
    <t>T1793</t>
  </si>
  <si>
    <t>PEDRO</t>
  </si>
  <si>
    <t>FACT 9056487</t>
  </si>
  <si>
    <t>BAJGI125286</t>
  </si>
  <si>
    <t>VALE</t>
  </si>
  <si>
    <t>RP5984</t>
  </si>
  <si>
    <t>VICTOR</t>
  </si>
  <si>
    <t>E20458</t>
  </si>
  <si>
    <t>NV38152</t>
  </si>
  <si>
    <t>NV38147</t>
  </si>
  <si>
    <t>T439622</t>
  </si>
  <si>
    <t>FVE11904724</t>
  </si>
  <si>
    <t>DA214424</t>
  </si>
  <si>
    <t>NV38645</t>
  </si>
  <si>
    <t>KAWIR GRUPO SA DE CV</t>
  </si>
  <si>
    <t>NOMINA SEMANAL DEL 20 AL 26ENE25</t>
  </si>
  <si>
    <t>NOMINA SEMANAL DEL 13 AL 19ENE25</t>
  </si>
  <si>
    <t>NOMINA SEMANAL DEL 6 AL 12 ENE25</t>
  </si>
  <si>
    <t>NOMINA SEMANAL DEL 30DIC24 AL 05ENE25</t>
  </si>
  <si>
    <t>NOMINA QUINCENAL 1-15ENE25 FISCAL</t>
  </si>
  <si>
    <t>NOMINA QUINCENAL 1-15ENE25 ASIMILADOS</t>
  </si>
  <si>
    <t>DESC PRESTAMOS 1-15ENE25</t>
  </si>
  <si>
    <t>NOMINA QUINCENAL 16 AL 31ENE25 FISCAL</t>
  </si>
  <si>
    <t>NOMINA QUINCENAL ASIMILADOS 16 AL 31ENE25</t>
  </si>
  <si>
    <t>DESC PRESTAMOS 16 AL 31ENE25</t>
  </si>
  <si>
    <t>JESSICA GARCIA</t>
  </si>
  <si>
    <t>COMPLEMENTO DE NOMINA - DESC IMPROCEDENTE</t>
  </si>
  <si>
    <t>CAROLINA ABIGAIL GARCIA MEDINA</t>
  </si>
  <si>
    <t>PAGO FINIQUITO</t>
  </si>
  <si>
    <t>Combustibles</t>
  </si>
  <si>
    <t>PENDIENTE / DEVOLUCION</t>
  </si>
  <si>
    <t>$ 25,000 DEVOLUCIÓN</t>
  </si>
  <si>
    <t>REEMBOLSO CHAVETA INOXIDABLE - BODEGA</t>
  </si>
  <si>
    <t>COMPRA DE MATERIAL PARA DRENAJE DE OFICINAS NUEVAS</t>
  </si>
  <si>
    <t>COMPRA DE 1/2 TONELADA DE CEMENTO PARA OFICINAS NUEVAS</t>
  </si>
  <si>
    <t>TAMBO DE THINNER PARA BODEGA</t>
  </si>
  <si>
    <t>REEMBOLSO MO LUIS ELECTRICO - OFICINAS NUEVAS 03FEB25</t>
  </si>
  <si>
    <t>REEMBOLSO MO DANIEL ARELLANO - PROYECTOS FUTUROS 31ENE25</t>
  </si>
  <si>
    <t>REEMBOLSO MANTENIMIENTO HIACE- LOGISTICA</t>
  </si>
  <si>
    <t>REEMBOLSO DE PILAS PARA LASER 05FEB25</t>
  </si>
  <si>
    <t>MO POR DRENAJE $4500, BOMBA $1800Y $800 TINACO</t>
  </si>
  <si>
    <t>REFERENCIA POR DEPÓSITO EN FONDE DE GARANTÍA</t>
  </si>
  <si>
    <t>PAULA OLIVIA MOLINA HERNANDEZ</t>
  </si>
  <si>
    <t>SOPORTE TECNICO</t>
  </si>
  <si>
    <t>SERVICIO DE VIGILANCIA DEL 1 AL 15FEB25</t>
  </si>
  <si>
    <t>DAVID CORTES ARROYO</t>
  </si>
  <si>
    <t>GESTORIA PLACAS BYD</t>
  </si>
  <si>
    <t>PAGO RENTA DE CASA SUAREZ FEBRERO 25</t>
  </si>
  <si>
    <t>REEMBOLSO COMPRAS 1 TINACO, 1 LIMPIADOR PVC 07FEB25- BODEGA</t>
  </si>
  <si>
    <t>REEMBOLSO COMPRAS TAQUETE, TORNILLOS, ETC- 07FEB25-BODEGA</t>
  </si>
  <si>
    <t>SEGRA MEX</t>
  </si>
  <si>
    <t>COMPRA DE CABEZALES, CARTUCHO DE MANTENIMIENTO PLOTTER 700</t>
  </si>
  <si>
    <t>COMPRA DE 1/2 TONELADA DE CEMENTO Y 5 BULTOS MÁS PARA OFICINAS NUEVAS</t>
  </si>
  <si>
    <t>JUAN JOSE BALDERAS CHAVEZ</t>
  </si>
  <si>
    <t>PATROCINIOS</t>
  </si>
  <si>
    <t>COMPRA DE LACAS PARA MUEBLES BOSCH SHOW ROMM, PHOTO OPP ULKRO, LACAS DE FOREO POLANCO Y MATERIAL BODEGA</t>
  </si>
  <si>
    <t>LIQUIDACION DE LOTE DE MDF DE DIFERENTES MEDIDAS</t>
  </si>
  <si>
    <t>REEMBOLSO COMPRA DE TUBO, CONECTOR, TUERCA, CODO, COPLE, CONECTOR Y PEGAMENTO PARA BOMBA DE AGUA, 18FEB25</t>
  </si>
  <si>
    <t>FIX SOUND</t>
  </si>
  <si>
    <t>PAGO DE MTTO SUB TARJETA ELECTRONICA DE FUENTE Y AMPLIFICACIÓN</t>
  </si>
  <si>
    <t>REEMBOLSO COMPRA DE MATERIALES LIMPIEZA</t>
  </si>
  <si>
    <t>SERVICIO TELEFONICO FEBRERO 2025</t>
  </si>
  <si>
    <t>PAGO LUZ DEL 10ENE25 AL 09FEB25</t>
  </si>
  <si>
    <t>REEMBOLSO COMPRA 3 MENSULAS REFORZADAS 30 CM, 19FEB25</t>
  </si>
  <si>
    <t>REEMBOLSO COMPRA TUERCA UNION, CODO P/PICHANCHA, REDUCCIÒN, CONEXION FLEX, TUBO PVC, CONTADOR PICHANCHA, 19FEB25 PARA BOMBA DE AGUA</t>
  </si>
  <si>
    <t>REEMBOLSO COMPRA PIÑATA CHICA, 9 KOLALOKA GOTERO, GARRUCHA 1 1/2, PIOLA TRENSADA 6MMX15MM, 18FEB25</t>
  </si>
  <si>
    <t>REEMBOLSO CASETAS MOV DE PERSONA, VERIFICACION HYUNDAI 1-2025 Y PAGO PERMISO CIRCULACION BDY</t>
  </si>
  <si>
    <t>COMPRA DE 20 SACOS ESTUCO Y 25 SACOS CEMENTO TOLTECA - 17FEB25</t>
  </si>
  <si>
    <t>RODRIGO JOEL RUBALCAVA CRUZ</t>
  </si>
  <si>
    <t>CANALEJA, BOVINA, CORDON POR 14, CLAVIJA Y CONTACTO DUPLEX - MAT BODEGA</t>
  </si>
  <si>
    <t>COMPRA DE JUEGOS DE TINTAS PLOTTER 700</t>
  </si>
  <si>
    <t>COMPRA DE PINTURAS PARA KIMBERLY, ARMAZONES Y FELPAS</t>
  </si>
  <si>
    <t>DISTRIBUIDOR PAPELERO DE TOLUCA</t>
  </si>
  <si>
    <t>TINTAS,CINTA DE EMPAQUE,MARCATEXTOS, HOJAS BLANCAS, PRITT</t>
  </si>
  <si>
    <t>PAGO POR MANTENIMIENTO DE MOTOR, AFINACIÓN Y ALINEACIÓN BALATAS - RANGER CD JUAREZ</t>
  </si>
  <si>
    <t>HECTOR MIRANDA DE LA ROSA</t>
  </si>
  <si>
    <t>COMPRA DE INSUMOS DE LIMPIEZA</t>
  </si>
  <si>
    <t>CALZADO VAN VIEN SA DE CV</t>
  </si>
  <si>
    <t>COMPRA DE CALZADO DE SEGURIDAD PARA MARTIN, ARIADNA Y EDGAR O</t>
  </si>
  <si>
    <t>REEMBOLSO DE10 PZAS CINTA DOBLE CARA 1/2 X50MTS</t>
  </si>
  <si>
    <t>REEMBOLSO 2PZAS MASKING AZUL USO PROFESIONAL</t>
  </si>
  <si>
    <t>REEMBOLSO TIJERAS PODA, PERICO, LLAVES STILSON Y DESARMADOR DUO PARA JARDINERIA</t>
  </si>
  <si>
    <t>REEMBOLSO VINIL REFLEJANTE PARA AUTO</t>
  </si>
  <si>
    <t>REEMBOLSO CINTA METRICA 3M, ALICATES DE CORTE ALAMBRE, BUS SERIE UNIVERSAL</t>
  </si>
  <si>
    <t>REEMBOLSO TIRA DE 6 MILTICONTACTOS CON PROTECTOS D/PICOS</t>
  </si>
  <si>
    <t>REEMBOLSO COMPRA DE KIT DE REPARACIÒN DEVILBISS- 20FEB25</t>
  </si>
  <si>
    <t>PAGO MENSUAL SOCIAL MEDIA MES DE FEBRERO 2025</t>
  </si>
  <si>
    <t>RENTA BODEGA FEBRERO2025</t>
  </si>
  <si>
    <t>COMPRA DE THINER,ESTOPA, LACA</t>
  </si>
  <si>
    <t>SERVICIO DE VIGILANCIA DEL 16 AL 28 FEB2025</t>
  </si>
  <si>
    <t>ANETT MICHELL SANCHEZ SANCHEZ</t>
  </si>
  <si>
    <t>CAMION DE ARENA AZUL</t>
  </si>
  <si>
    <t>REEMBOLSO COMPRA DE 3 CINTA DOBLE CARA- 24FEB25</t>
  </si>
  <si>
    <t>ENRIQUE CRUZ CARDEÑA</t>
  </si>
  <si>
    <t>PAGO DISEÑO MUEBLE FULTIFUNCIONAL BOSCH</t>
  </si>
  <si>
    <t>COMPRA DE 8 BULTOS DE MORTERO SAB22FEB25</t>
  </si>
  <si>
    <t>ANGEL GUADALUPE ALBARRAN PEREA</t>
  </si>
  <si>
    <t>50% ALUMINIO PARA VENTANAS OFICINAS NUEVAS</t>
  </si>
  <si>
    <t>MANO DE OBRA- LETREROS BOSCH</t>
  </si>
  <si>
    <t>INSUMOS PARA MANTENIMIENTO</t>
  </si>
  <si>
    <t>COT0339</t>
  </si>
  <si>
    <t>F34462</t>
  </si>
  <si>
    <t>FAC 05102</t>
  </si>
  <si>
    <t>NA</t>
  </si>
  <si>
    <t>PREFACTURA</t>
  </si>
  <si>
    <t>B0C15F</t>
  </si>
  <si>
    <t>FAC 510</t>
  </si>
  <si>
    <t>FAC13391</t>
  </si>
  <si>
    <t>FACT 2818</t>
  </si>
  <si>
    <t>A18544</t>
  </si>
  <si>
    <t>COT 1949</t>
  </si>
  <si>
    <t>F34494</t>
  </si>
  <si>
    <t xml:space="preserve">COMPROBANTE </t>
  </si>
  <si>
    <t>h8956</t>
  </si>
  <si>
    <t>MEX42147</t>
  </si>
  <si>
    <t>F34548</t>
  </si>
  <si>
    <t>COT176157</t>
  </si>
  <si>
    <t>7316E</t>
  </si>
  <si>
    <t>COT</t>
  </si>
  <si>
    <t>FACT TM88986</t>
  </si>
  <si>
    <t>F10188</t>
  </si>
  <si>
    <t>F54821</t>
  </si>
  <si>
    <t>F2852</t>
  </si>
  <si>
    <t>C089</t>
  </si>
  <si>
    <t>F466656</t>
  </si>
  <si>
    <t>FACTURA 0699D</t>
  </si>
  <si>
    <t>FACT 522</t>
  </si>
  <si>
    <t>FOL0601</t>
  </si>
  <si>
    <t>COT WHATS</t>
  </si>
  <si>
    <t>MUEBLES PARA BAÑOS OFICINAS NUEVAS</t>
  </si>
  <si>
    <t>COMPRA DE CELULAR .</t>
  </si>
  <si>
    <t>COMPRA DE CELULAR COMPRAS ARIANA</t>
  </si>
  <si>
    <t>PAGO ANTENA DE INTERNET</t>
  </si>
  <si>
    <t>316-164685</t>
  </si>
  <si>
    <t>A287356B</t>
  </si>
  <si>
    <t>89DE8231OCCA</t>
  </si>
  <si>
    <t>NOMINA QUINCENAL</t>
  </si>
  <si>
    <t>DEL 1 AL 15 FEB25</t>
  </si>
  <si>
    <t>YAIR CRESENCIO PEREZ MONTES DE OCA</t>
  </si>
  <si>
    <t>COMPLEMENTO DE NOMINA DEL 27ENERO AL 02FEB25</t>
  </si>
  <si>
    <t>SOLICITUD DE EFECTIVO</t>
  </si>
  <si>
    <t>PAGO NOMINA EFECTIVO</t>
  </si>
  <si>
    <t>FERRELU</t>
  </si>
  <si>
    <t>ABRAZADERA, CONECTOR Y EMPAQUE PARA MANGUERA</t>
  </si>
  <si>
    <t>ADAPTADOR Y ABRAZADERA SIN FIN</t>
  </si>
  <si>
    <t>PAPELERIA LA ECONOMICA</t>
  </si>
  <si>
    <t>LIBRETA, AGENDA Y POSTIT</t>
  </si>
  <si>
    <t>RECOLECCION BASURA AL 06FEB25</t>
  </si>
  <si>
    <t>RECOLECCION BASURA AL 13FEB25</t>
  </si>
  <si>
    <t>RECOLECCION BASURA AL 20FEB25</t>
  </si>
  <si>
    <t>VIDAL EUGENIO ESTRADA LARA</t>
  </si>
  <si>
    <t>LLAVE DE PASO 1/2 PARA BOMBA AGUA</t>
  </si>
  <si>
    <t>RECARGA CEL ADMON2</t>
  </si>
  <si>
    <t>DON LOLO</t>
  </si>
  <si>
    <t>30CM DE PVC, CODO Y COPLE PARA BOMBA AGUA</t>
  </si>
  <si>
    <t>PICHANCHA 1" Y TEFLON PARA BOMBA DE AGUA</t>
  </si>
  <si>
    <t>RECOLECCION BASURA AL 27FEB25</t>
  </si>
  <si>
    <t>OSVALDO</t>
  </si>
  <si>
    <t>F13414</t>
  </si>
  <si>
    <t>NV0686</t>
  </si>
  <si>
    <t>F13411</t>
  </si>
  <si>
    <t>TICKET 445595</t>
  </si>
  <si>
    <t>ROLLO DE PLAYO 18 CALIBRE 80</t>
  </si>
  <si>
    <t>ALEJANDRA COVARRUBIAS</t>
  </si>
  <si>
    <t>GUANTE TEJIDO NYLON #7</t>
  </si>
  <si>
    <t>GUANTE TEJIDO NYLON #8</t>
  </si>
  <si>
    <t>REVISAR CON NAYE</t>
  </si>
  <si>
    <t>NOMINA SEMANAL DEL 27ENE AL 02FEB25</t>
  </si>
  <si>
    <t>NOMINA SEMANAL DEL 3 AL 9FEB25</t>
  </si>
  <si>
    <t>NOMINA SEMANAL DEL 10 AL 16FEB25</t>
  </si>
  <si>
    <t>NOMINA SEMANAL DEL 17 AL 23FEB25</t>
  </si>
  <si>
    <t>NOMINA FISCAL DEL 1 AL 15FEB25</t>
  </si>
  <si>
    <t>NOMINA ASIMILADOS QUINC 1 AL 15FEB25</t>
  </si>
  <si>
    <t>DESC PRESTAMOS 1 AL 15FEB25</t>
  </si>
  <si>
    <t>NOMINA FISCAL DEL 16 AL 28FEB25</t>
  </si>
  <si>
    <t>NOMINA ASIMILADOS QUINC 16AL 28FEB25</t>
  </si>
  <si>
    <t>DESC PRESTAMOS 16 AL 28FEB25</t>
  </si>
  <si>
    <t>NOMINA QUINCENAL EXTRAS DEL 16 AL 28FEB25</t>
  </si>
  <si>
    <t>SERGIO RICO BARRON</t>
  </si>
  <si>
    <t>PRESTAMO PERSONAL</t>
  </si>
  <si>
    <t>YAIR CRESCENCIO PEREZ MONTES DE OCA</t>
  </si>
  <si>
    <t>FREDY RICO DOTOR</t>
  </si>
  <si>
    <t>GAS PORTOMARIN LERMA</t>
  </si>
  <si>
    <t>COMBUSTILBE EZ</t>
  </si>
  <si>
    <t>OPERADORA CONCESIONARIA MEXIQUENSE</t>
  </si>
  <si>
    <t>PEAJES EDUARDO - UNIDAD DE EZP 13FEB25</t>
  </si>
  <si>
    <t>ENRIQUE Z</t>
  </si>
  <si>
    <t>FAC21430</t>
  </si>
  <si>
    <t>TAG TELEVIA</t>
  </si>
  <si>
    <t>CONFIRMACIÓN DETALLADO</t>
  </si>
  <si>
    <t>MARIO GERARDO MORENO RODRIGUEZ</t>
  </si>
  <si>
    <t>PROPUESTA CREATIVA EN LICITACIÓN BROWN FORMAN</t>
  </si>
  <si>
    <t>RENDER EN LICITACIÓN HEINZ HOSPITALITY</t>
  </si>
  <si>
    <t>ENRIQUE VELEZ JIMENEZ</t>
  </si>
  <si>
    <t>BOLETO DE AVION COPA AIRLINES/ DEL 24 AL 30 DE MARZO/ MEX PTY MEX/
LESLIE FLORES/ BK2MCE</t>
  </si>
  <si>
    <t>PAGO DISEÑO PALLETS KLENEEX KIMBERLY</t>
  </si>
  <si>
    <t>ELISA DANIELA NAVA TERAN</t>
  </si>
  <si>
    <t>REEMBOLSO PAGO A DISEÑADOR (GARRA DE PELUCHES ALEN)</t>
  </si>
  <si>
    <t>ART TEGNOLOGIA SA DE CV</t>
  </si>
  <si>
    <t>COMPRA DE BROCAS DE 1/8 + ENVIO</t>
  </si>
  <si>
    <t>ECONOCOMEX SA DE CV</t>
  </si>
  <si>
    <t>COMPRA DE FELPAS GRANDES, CHICAS ,VINIMEX 1LT CLASICA</t>
  </si>
  <si>
    <t>REEMBOLSO DE JUEGO DE PUNTAS PARA TALADRO- 28FEB25</t>
  </si>
  <si>
    <t>REEMBOLSO DE VINIL ESPEJO PLATA 92CM- 28FEB25</t>
  </si>
  <si>
    <t>REEMBOLSO DE MASKING TAPE AZUL, TESA 4934 CINTA DOS CARAS, CINTA DUCTOS GRIS, SHURTAPE CINTA DE DUCTOS NEGRA- 28FEB25</t>
  </si>
  <si>
    <t>REEMBOLSO DE BATERIAS ALCALINAS AAA- 03MARZO25</t>
  </si>
  <si>
    <t>DAVID CARLOS PEREZ FLORES</t>
  </si>
  <si>
    <t>TUBO CAÑTALIZADOR ROJO,RESANADOR, ESMALTES EN AGUA</t>
  </si>
  <si>
    <t>REEMBOLSO DE TRIPLAY FLEXIBLE 6MM - 28FEB25</t>
  </si>
  <si>
    <t>REEMBOLSO TIRA BLANCA 5M, NEON FLEX 5M AZUL, NEON FLEX 5 M BLANCO- 26FEB25</t>
  </si>
  <si>
    <t>REEMBOLSO DE LIJA ERMI T 180X125MM, LIJA ERMI T 220X125MM -27FEB25</t>
  </si>
  <si>
    <t>REEMBOLSO DE PLAYO, FUENTE 12V- 26FEB25</t>
  </si>
  <si>
    <t>REEMBOLSO DE PAR DE CORDONES- 28FEB25</t>
  </si>
  <si>
    <t>REEMBOLSO DE LAMINA DE ACR 240X120 6MM, LAMINA DE ACR 240X120 Z-2 3MM- 27FEB25</t>
  </si>
  <si>
    <t>REEMBOLSO DE BICOLAM ROJO/BLANCO 1.5MM 60X120CM- 26FEB25</t>
  </si>
  <si>
    <t>REEMBOLSO DE 2 PLASTICO PARA CANCELERIA OPALEN 2.7MM - 26FEB25</t>
  </si>
  <si>
    <t>CARLOS FERNANDO BECERRIL VILCHIS</t>
  </si>
  <si>
    <t>MTTO RANGER: AJUSTE DE MOTOR, REP DE VENTILADOR Y AFINACION COMPLETA</t>
  </si>
  <si>
    <t>PAGO RENTA DE CASA SUAREZ MARZO25</t>
  </si>
  <si>
    <t>RESPIVERSO STAND</t>
  </si>
  <si>
    <t>50% SALDO ALUMINIO PARA VENTANAS OFICINAS NUEVAS</t>
  </si>
  <si>
    <t>FAB DE CASA PARA PERROS</t>
  </si>
  <si>
    <t>MANO DE OBRA - INSTALACION ELECTRICA A CAJA ADIDAS</t>
  </si>
  <si>
    <t>MANO DE OBRA - DESMONTAJE DE MOTOR COMPRESOR</t>
  </si>
  <si>
    <t>MANO DE OBRA - REVISION Y AJUSTE DE HIDRO</t>
  </si>
  <si>
    <t>MANO DE OBRA - INSTALACION ELECTRICA OFICINAS NUEVAS</t>
  </si>
  <si>
    <t>TOMAS SANABRIA ESCUTIA</t>
  </si>
  <si>
    <t>COMPRA DE ROLLO DE TELA NEGRA</t>
  </si>
  <si>
    <t>JESSYCA VERÒNICA EZQUERRO DOMINGUEZ</t>
  </si>
  <si>
    <t>MOCK UPS UNIFORMES MADE</t>
  </si>
  <si>
    <t>COMPRA DE PLAYO 18" Y GUANTES TEJIDOS DE NYLON #7, #8 Y #9 - 14FEB25</t>
  </si>
  <si>
    <t>REEMBOLSO COMPRA BOWL PARA MUESTRA "SABORMEX"</t>
  </si>
  <si>
    <t>40% MTT CLUTCH, RECTIFICADO DE VOLANTE, AFINACION, FRENOS, ESCAPE INTERNATIONAL BCO</t>
  </si>
  <si>
    <t>COMPRA DE 4 BTOS CEMENTO Y 7 BTOS DE PEGAZULEJO 05MZO25</t>
  </si>
  <si>
    <t>OPTICA VER ME SA DE CV</t>
  </si>
  <si>
    <t>COMPRA DE MUESTRAS PARA COTIZACION DE PROMOS "SABORMEX"</t>
  </si>
  <si>
    <t>BROCHAS 1" 2",VINILICA BLANCA, LACA AUTOMOTIVA,MASTIKG AZUL</t>
  </si>
  <si>
    <t>PAGO MENSUAL SOCIAL MEDIA MES DE MARZO 2025</t>
  </si>
  <si>
    <t>SERVICIO DE VIGILANCIA DEL 1 AL 15MARZO25</t>
  </si>
  <si>
    <t>JORGE RICARDO CAMACHO RAMIREZ</t>
  </si>
  <si>
    <t>NEON FLEX BLANCA</t>
  </si>
  <si>
    <t>MTTO RANGER: 20% - AJUSTE DE MOTOR, REP DE VENTILADOR Y AFINACION COMPLETA</t>
  </si>
  <si>
    <t>TRAMITE DE TENENCIA FEDERAL Y 1A VERIF 2025 INTERNATIONAL BCO - BAMBINO</t>
  </si>
  <si>
    <t>SERVICIO TELEFONICO MARZO 2025</t>
  </si>
  <si>
    <t>REEMBOLSO PERMISOS PARA CIRCULAR PICK UP / BYD 12MZO-12ABRIL25</t>
  </si>
  <si>
    <t>PAGO MANO DE OBRA - CONSTRUCCION NUEVAS OFICINAS</t>
  </si>
  <si>
    <t>LIQUIDACION DE COMPRA DE MDF</t>
  </si>
  <si>
    <t>2CB POLYFORM, 2GAL MATIZANTE, LACA AUTOMOTIVA, BARNIZ Y CATALIZADOR</t>
  </si>
  <si>
    <t>MO ADANEC Y LOGOS MADE</t>
  </si>
  <si>
    <t>MO PLACAS CAMION</t>
  </si>
  <si>
    <t>PAGO SEGURO GREAT WALL MOTORS</t>
  </si>
  <si>
    <t>PAGO POR SUSTITUCIÓN KIT CLUTCH, REPARACIÓN DE CAJA - RANGER</t>
  </si>
  <si>
    <t>3L POLYFORM BARNIZ 11000 MAT, 1L POLYFORM CATALIZADOR 250, 4L POLYFORM SOLVENTE P/POLIURETANO - 13/03/2025</t>
  </si>
  <si>
    <t>DISTRIBUIDORA SAGARO DE MEXICO</t>
  </si>
  <si>
    <t>5 ROLLOS VINIL ORACAL WHITE , TRANSFER DE PAPEL</t>
  </si>
  <si>
    <t>COMPRA DE 3 PZAS BROCA CARBURO PF- 535, 4PZAS BROCA CARBURO PF-535-2 - 27 FEB25</t>
  </si>
  <si>
    <t>COMPRA DE RESANALACK RINO 1 L - 27FEB25</t>
  </si>
  <si>
    <t>REEMBOLSO DE COMPRAS MATERIALES: CABLE ESTAÑO Y NEON FLEX, TIRA LED</t>
  </si>
  <si>
    <t>MADERAMEX</t>
  </si>
  <si>
    <t>35 TABLAS DE 20CM, 2 TABLAS DE TRIPLAY DE 15MM DE PRIMERA</t>
  </si>
  <si>
    <t>PAGO SEGURO RABON EQ INTERNATIONAL MV607 27FEB25 AL 27FEB26</t>
  </si>
  <si>
    <t>REEMBOLSO COMPRA DE MATERIALES - VICTOR R 15MZO25</t>
  </si>
  <si>
    <t>REEMBOLSO COMPRA DE MATERIALES - VICTOR R 14MZO25</t>
  </si>
  <si>
    <t>GRUPO ROLANS SA DE CV</t>
  </si>
  <si>
    <t>50 LLANTAS CON FRENO. 50 LLANTAS SIN FRENO COLOR NEGRO</t>
  </si>
  <si>
    <t>PESA TECNOLOGIA</t>
  </si>
  <si>
    <t>CINTA VERDE, TESA DOBLE CARA, CINTAS DE DUCTOS GRIS, CINTA NEGRA,CINTA MASKING</t>
  </si>
  <si>
    <t>REEMBOLSO MATERIALES STOCK - VICTOR RUIZ</t>
  </si>
  <si>
    <t>REEMBOLSO MATERIAL STOCK VICTOR MANUEL RUIZ- 19MAR25</t>
  </si>
  <si>
    <t>REEMBOLSO COMPRA ESTUCHE DE CUCHILLAS PARA CUTTER, BROCAS DE 1/4, ESTUCHE DE PUNTA DE CRUZ DE 3 PUL Y 4 PUL, CINTA DE AISLAR ROJA, AMARILLA, BLANCA Y VERDE, CUÑA DE 4X3 PUL</t>
  </si>
  <si>
    <t>AEROSOL BLANCO, TRANSPARENTE,NEGRO,PLASTICO PROTECTOR</t>
  </si>
  <si>
    <t>PRIMER BLANCO , LACA BLANCA , MATIZANTE, TAMBO DE THINER</t>
  </si>
  <si>
    <t>REEMBOLSO COMPRA DE MATERIALES PARA OFICINA NUEVA</t>
  </si>
  <si>
    <t>REEMBOLSO MATERIAL RUPPER - VICTOR MANUEL RUIZ- 19MAR25</t>
  </si>
  <si>
    <t>REEMBOLSO MATERIAL SOLUCIONES INTEGRALES - VICTOR MANUEL RUIZ- 19MAR25</t>
  </si>
  <si>
    <t>REEMBOLSO MANTENIMIENTO LAPTOP - 19MAR25</t>
  </si>
  <si>
    <t>20% MTT CLUTCH, RECTIFICADO DE VOLANTE, AFINACION, FRENOS, ESCAPE INTERNATIONAL BCO - PAGO</t>
  </si>
  <si>
    <t>MO - OFICINAS NUEVAS</t>
  </si>
  <si>
    <t>REEMBOLSO DE COMPRAS 6 BALEROS DE CARRETILLA - 21MAR25</t>
  </si>
  <si>
    <t>REEMBOLSO DE COMPRA LLAVE ALLEN - 21MAR25</t>
  </si>
  <si>
    <t>REEMBOLSO DE COMPRA DE TORNILLO 7.9X19.1, ARA PLANA, ARA PRE GAL 7.9 MM, CINCHO DE PLASTICO, LLAVE ALLEN - 21MAR25</t>
  </si>
  <si>
    <t>EQUIPOS GASTRONOMICOS SAN JUAN SA DE CV</t>
  </si>
  <si>
    <t>INSERTO MEDIO FABRICADO EN LAMINA</t>
  </si>
  <si>
    <t>EDGAR OCTAVIO MEJIA ALVARADO</t>
  </si>
  <si>
    <t>PAGO POR COMPRA DE 2 BULTOS DE JUNTA C/ARENA, 1 JALADOR, 1 JERGA, 4 SACOS DE CEMENTO TOLTECA- NUEVAS OFICINAS 18/03/2025</t>
  </si>
  <si>
    <t>RENTA BODEGA MARZO2025</t>
  </si>
  <si>
    <t>PAGO DISEÑO PERGOLA PARA ACTIVACIONES SABORMEX</t>
  </si>
  <si>
    <t>REEMBOLSO PAGO DE TRANSPORTE A CDMX RECOGER CAMIONETA AGENCIA - YAIR PEREZ - 22MAR25</t>
  </si>
  <si>
    <t>REEMBOLSO DE 4L POLYFORM LACA AUTOMOTIVA - 24MAR25</t>
  </si>
  <si>
    <t>REEMBOLSO DE COMPRA TUBO CUADRADO 19MM 3/4 - 24MAR25</t>
  </si>
  <si>
    <t>REEMBOLSO COMPRA DE ANGULOS DE 1/2X.050 6.10 MTS - 18MAR25</t>
  </si>
  <si>
    <t>DT TEC SA DE CV</t>
  </si>
  <si>
    <t>1 ROLLO DE MICROPERFORADO</t>
  </si>
  <si>
    <t>NOVELSA SA DE CV</t>
  </si>
  <si>
    <t>2 ROLOS DE POLIFOAM Y 200 ESQUINEROS</t>
  </si>
  <si>
    <t>MONTAJE DE PANTALLA - NOMINA COMPLEMENTO</t>
  </si>
  <si>
    <t>PAGO LUZ DEL 10FEB25 AL 12MAR25</t>
  </si>
  <si>
    <t>ALLDORA LATINOAMERICANA SA DE CV</t>
  </si>
  <si>
    <t>COMPRA DE IMPRESORA LEXMARK CX532adwe (1412.75 USD)</t>
  </si>
  <si>
    <t>LACAS AUTOMOTIVAS CAFE</t>
  </si>
  <si>
    <t>SERVICIO DE VIGILANCIA DEL 16 AL 31MARZO25</t>
  </si>
  <si>
    <t>PAGO MANO DE OBRA - CONSTRUCCION OFICINAS NUEVAS</t>
  </si>
  <si>
    <t>REEMBOLSO COMPRA DE INCENTIVOS CLIENTES</t>
  </si>
  <si>
    <t>PAGO DIF IMPRESORA LEXMARK CX532adwe (1,378.75 USD) - IVA</t>
  </si>
  <si>
    <t>REEMBOLSO POR 20 M POLIDUCTO 3/4, 10 ABRAZADERAS, 1 CODO 19MM</t>
  </si>
  <si>
    <t>REEMBOLSO POR COMPRA DE PLAYO PARA LOGISTICA - 26MAR25</t>
  </si>
  <si>
    <t>MANO DE OBRA OFICINAS NUEVAS</t>
  </si>
  <si>
    <t>C29158A</t>
  </si>
  <si>
    <t>ELISA NAVA</t>
  </si>
  <si>
    <t>REF-0702250</t>
  </si>
  <si>
    <t>COT. 43104</t>
  </si>
  <si>
    <t>COT COMEX</t>
  </si>
  <si>
    <t>FAC- 13447</t>
  </si>
  <si>
    <t>N- 24034</t>
  </si>
  <si>
    <t>F10387</t>
  </si>
  <si>
    <t>FAC 47797</t>
  </si>
  <si>
    <t>FAC VARIAS</t>
  </si>
  <si>
    <t>TICKET- 15836</t>
  </si>
  <si>
    <t>TICKET-20513</t>
  </si>
  <si>
    <t>MDK- 5789</t>
  </si>
  <si>
    <t>TICKET- 20515</t>
  </si>
  <si>
    <t>A-13508</t>
  </si>
  <si>
    <t>DA-217848</t>
  </si>
  <si>
    <t>DA-217788</t>
  </si>
  <si>
    <t>COT04797</t>
  </si>
  <si>
    <t>FAC 13463</t>
  </si>
  <si>
    <t>FAC</t>
  </si>
  <si>
    <t>COT390</t>
  </si>
  <si>
    <t>A 3448</t>
  </si>
  <si>
    <t>COT04903</t>
  </si>
  <si>
    <t>NV11</t>
  </si>
  <si>
    <t>N.o MX-CEDIS25-00001</t>
  </si>
  <si>
    <t>COTIZACION</t>
  </si>
  <si>
    <t>FACT 543</t>
  </si>
  <si>
    <t>F562</t>
  </si>
  <si>
    <t>FAC03962</t>
  </si>
  <si>
    <t>FOL4060 Y FOL 4029</t>
  </si>
  <si>
    <t>VALES</t>
  </si>
  <si>
    <t>AAEC-34626</t>
  </si>
  <si>
    <t>POL47246</t>
  </si>
  <si>
    <t>FOL-00000</t>
  </si>
  <si>
    <t>COT-16222</t>
  </si>
  <si>
    <t>DA-217720</t>
  </si>
  <si>
    <t>DA-217677</t>
  </si>
  <si>
    <t>C259032, FAC839</t>
  </si>
  <si>
    <t>COT-01</t>
  </si>
  <si>
    <t>POL47167</t>
  </si>
  <si>
    <t>TOL-65219</t>
  </si>
  <si>
    <t>COT5142</t>
  </si>
  <si>
    <t>RM18730</t>
  </si>
  <si>
    <t>COT-006</t>
  </si>
  <si>
    <t>FAC-34639</t>
  </si>
  <si>
    <t>TICKET 043</t>
  </si>
  <si>
    <t>FOL 11787</t>
  </si>
  <si>
    <t>AA18880</t>
  </si>
  <si>
    <t>COT. B3939</t>
  </si>
  <si>
    <t>NV01</t>
  </si>
  <si>
    <t>COT 0014</t>
  </si>
  <si>
    <t>COMPR. 01</t>
  </si>
  <si>
    <t>TO42-0041906</t>
  </si>
  <si>
    <t>FOL389</t>
  </si>
  <si>
    <t>UD3501-0009597</t>
  </si>
  <si>
    <t>FAC-87026-COT</t>
  </si>
  <si>
    <t>AA 90071801</t>
  </si>
  <si>
    <t>FAC598</t>
  </si>
  <si>
    <t>COT 3049,DA31561</t>
  </si>
  <si>
    <t>COT.004,F02997</t>
  </si>
  <si>
    <t>YAEL ESTRADA QUEZADA</t>
  </si>
  <si>
    <t>COMPRA DE CAUTIN DE LAPIZ - 04MARZO25</t>
  </si>
  <si>
    <t>DISTRIBUIDORA DE INSUMOS GRAFICOS DE TOLUCA</t>
  </si>
  <si>
    <t>COMPRA DE 5 PLACAS COLOR AZUL CON FELPA- 03MAR25</t>
  </si>
  <si>
    <t>TECNOLOGIA APLICADA INDUSTRIAL Y AUTOMOTRIZ SA DE CV</t>
  </si>
  <si>
    <t>COMPRA DE 10 CINTA DOS CARAS 2X25 MTS - 03MAR25</t>
  </si>
  <si>
    <t>ANDRES PEÑA GONZALES (RUUPER)</t>
  </si>
  <si>
    <t>COMPRA DE CINTA PVC, CINTA DOBLE CARA, CUTTER 18 MM, ESTUCHE CON 1O CUCHILLAS, CINTA DE DUCTOS-03MAR25</t>
  </si>
  <si>
    <t>COMPRA DE 8 GARRAFONES DE AGUA</t>
  </si>
  <si>
    <t>COMPRA DE 20COSTALES</t>
  </si>
  <si>
    <t>CADENA COMARCIAL OXXO SA DE CV</t>
  </si>
  <si>
    <t>COMPRA DE 3 GARRAFONES DE AGUA- 04MAR25</t>
  </si>
  <si>
    <t>EDGAR OSORIO VELA</t>
  </si>
  <si>
    <t>COMPRA DE 20 ARMELLAS DE 1/4 CON TUERCA Y RONDANA PLANA - 05MAR25</t>
  </si>
  <si>
    <t>SUPERFIL EDOMEX TOLUCA</t>
  </si>
  <si>
    <t>COMPRA DE 3 PZAS ANGULO DE 1 1/2 X1/8 6.10 MTS BRO - 05MAR25</t>
  </si>
  <si>
    <t>SOLUCIONES INTEGRALES EN LOGISTICA Y CADENA DE SUMINISTRO</t>
  </si>
  <si>
    <t>COMPRA DE 16 PZAS DE PLAYO 18¨ Y 4 PLAYO DE 5¨ - 05MAR25</t>
  </si>
  <si>
    <t>GRUPO DISMA JIRE</t>
  </si>
  <si>
    <t>COMPRA DE LAMINA DE ACRILICO 240X120 Z-2 3MM PGF - 05MAR25</t>
  </si>
  <si>
    <t>THE HOME DEPOT</t>
  </si>
  <si>
    <t>COMPRA DE 10 CADENA KJACK VEKER, 1 TORNILLO A PERF C. PLANA 8X1-1/4</t>
  </si>
  <si>
    <t>ECONOCOMEX</t>
  </si>
  <si>
    <t>COMPRA DE 2 BOTES DE 19L DE PINTURA VINIMEX CLASICA BLANCO MATE Y MATE V 2 - 04MAR25</t>
  </si>
  <si>
    <t>ELECTRICA SANTA ANA</t>
  </si>
  <si>
    <t>CORDON POT Y FOCO LED E26</t>
  </si>
  <si>
    <t>ROSALBA MORIYAMA ROSAS</t>
  </si>
  <si>
    <t>CUTTERS, PIJAS, GRAPAS Y KOLA LOKAS</t>
  </si>
  <si>
    <t>LAMINA ACRILICO 240*120 L-122 3MM</t>
  </si>
  <si>
    <t>DISTRIBUIDORA DE TORNILLOS, BIRLOS Y HERRAMIENTAS</t>
  </si>
  <si>
    <t>TORNILLOS VARIAS MEDIDAS Y SEGUETAS</t>
  </si>
  <si>
    <t>MAX FERRETERIAS</t>
  </si>
  <si>
    <t>CUTTERS 9 Y 18MM ESTUCHES CON 10 CUCHILLAS Y KIT DE MANERAL Y RODILLOS</t>
  </si>
  <si>
    <t>FERREACEROS TOLLOCAN SA DE CV</t>
  </si>
  <si>
    <t>2 REDONDO PULIDO 1/4"</t>
  </si>
  <si>
    <t>ORLANDO LOPEZ HERNANDEZ</t>
  </si>
  <si>
    <t>LIJA ERMIT Y CLAVO BARCO</t>
  </si>
  <si>
    <t>2 ATOMIZADORES Y 4 TUBOS DE SOLDADURA 60/40</t>
  </si>
  <si>
    <t>PAZ FERNANDEZ ORTEGA</t>
  </si>
  <si>
    <t>400 INSERTOS CONICOS DE 1/4 X 20, 400 NIVELADOR MET 1/4 TORN 28MM, 1 KIT COMPLETO DE REFACCIONES PARA PISTOLA</t>
  </si>
  <si>
    <t>ALAN DANIEL MOLINA RODRIGUEZ</t>
  </si>
  <si>
    <t>1 KIT COMPLETO DE REFACCIONES PARA PISTOLA</t>
  </si>
  <si>
    <t>MULTI HERRAJES</t>
  </si>
  <si>
    <t>CHAPA LLAVE</t>
  </si>
  <si>
    <t>3 GUANTES, 4 PASTILLAS CLORO, 1 CERRUCHO</t>
  </si>
  <si>
    <t>EUROELECTRICA</t>
  </si>
  <si>
    <t>LAMPARA LED MR16 5.5 W 15PZAS</t>
  </si>
  <si>
    <t>CHAPA TUBULAR Y LAMPARA SPOT LED</t>
  </si>
  <si>
    <t>LUIS ANGEL ESPARZA GONZALEZ</t>
  </si>
  <si>
    <t>16000 PIJAS 8 * 11/2 Y 2000 PIJAS DRXP 8X1</t>
  </si>
  <si>
    <t>PESA TECNOLOGIC</t>
  </si>
  <si>
    <t>4 CINTAS DOBLE CARA</t>
  </si>
  <si>
    <t>FERRETERIA DON LOLO</t>
  </si>
  <si>
    <t>1 TIJERAS P/PODAR Y 1 SEPARADOR 3MM</t>
  </si>
  <si>
    <t>HECTOR MANUEL GUEVARA HERNANDEZ</t>
  </si>
  <si>
    <t>20 PERFIL PLANO TRANSPARENTE 4*121</t>
  </si>
  <si>
    <t>2 HILOS P/DESBROZADORA Y 1 ACEITE 2T</t>
  </si>
  <si>
    <t>NOVELSA</t>
  </si>
  <si>
    <t>2 ROLLOS DE POLYFOAM</t>
  </si>
  <si>
    <t>CONTINENTAL MOBOLITY SA DE CV</t>
  </si>
  <si>
    <t>SERVICIO 5000KM DOLPHI</t>
  </si>
  <si>
    <t>VICTOR RUIZ</t>
  </si>
  <si>
    <t>F2875</t>
  </si>
  <si>
    <t>NO. 24089</t>
  </si>
  <si>
    <t>F10433</t>
  </si>
  <si>
    <t>CA-19871</t>
  </si>
  <si>
    <t>NOTA 0586</t>
  </si>
  <si>
    <t>FAC 42804</t>
  </si>
  <si>
    <t>FAC 56562</t>
  </si>
  <si>
    <t>FOL 0007707</t>
  </si>
  <si>
    <t>FAC 0E456</t>
  </si>
  <si>
    <t>A13528</t>
  </si>
  <si>
    <t>FAC 48514</t>
  </si>
  <si>
    <t>FAC 34583</t>
  </si>
  <si>
    <t>BP212</t>
  </si>
  <si>
    <t>FACT16812</t>
  </si>
  <si>
    <t>A13536</t>
  </si>
  <si>
    <t>AA18760</t>
  </si>
  <si>
    <t>MTEC44090</t>
  </si>
  <si>
    <t>F71574</t>
  </si>
  <si>
    <t>MDK5955</t>
  </si>
  <si>
    <t>F2890</t>
  </si>
  <si>
    <t>A22110</t>
  </si>
  <si>
    <t>B4117</t>
  </si>
  <si>
    <t>NV25</t>
  </si>
  <si>
    <t>TK31897VK</t>
  </si>
  <si>
    <t>XFA77962</t>
  </si>
  <si>
    <t>NV26</t>
  </si>
  <si>
    <t>C5902</t>
  </si>
  <si>
    <t>ROGELIO</t>
  </si>
  <si>
    <t>TICKET1427616</t>
  </si>
  <si>
    <t>F2895</t>
  </si>
  <si>
    <t>F1</t>
  </si>
  <si>
    <t>F2907</t>
  </si>
  <si>
    <t>DT87080</t>
  </si>
  <si>
    <t>FSM000001122</t>
  </si>
  <si>
    <t>KAWIR GRUPO</t>
  </si>
  <si>
    <t>NOMINA SEMANAL DEL 24FEB AL 02MZO25</t>
  </si>
  <si>
    <t>NOMINA SEMANAL DEL 3 AL 09MARZO25</t>
  </si>
  <si>
    <t>NOMINA SEMANAL DEL 10 al 16 Marzo 25</t>
  </si>
  <si>
    <t>NOMINA QUINC FISCAL DEL 1 AL 15MARZO25</t>
  </si>
  <si>
    <t>NOMINA ASIMILADOS QUINC 1 AL 15MARZO 2025</t>
  </si>
  <si>
    <t>DESC PRESTAMOS</t>
  </si>
  <si>
    <t>NOMINA SEMANAL DEL 17 AL 23MZO25</t>
  </si>
  <si>
    <t>NOMINA SEMANAL DEL 24 AL 30 MARZO25</t>
  </si>
  <si>
    <t>NOMINA QUINC FISCAL DEL 16 AL 31MARZO25</t>
  </si>
  <si>
    <t>NOMINA ASIMILADOS QUINC 16 AL 31MARZO 2025</t>
  </si>
  <si>
    <t>NOMINA QUINC EXTRAS</t>
  </si>
  <si>
    <t>RECOLECCION DE BASURA 06/03/25</t>
  </si>
  <si>
    <t>COMITE DE AGUA POTABLE</t>
  </si>
  <si>
    <t>AGUA POTABLE ENERO-FEB25</t>
  </si>
  <si>
    <t>PAPELERIA</t>
  </si>
  <si>
    <t>PINCELES</t>
  </si>
  <si>
    <t>RECOLECCION DE BASURA 13/03/25</t>
  </si>
  <si>
    <t>RECOLECCION DE BASURA 20/03/25</t>
  </si>
  <si>
    <t>PROPIMEX S DE RL DE CV</t>
  </si>
  <si>
    <t>15 GARRAFONES DE AGUA</t>
  </si>
  <si>
    <t>COMBUSTIBLE 25/03/25</t>
  </si>
  <si>
    <t>LACA AUTOMOTIVA</t>
  </si>
  <si>
    <t>RECOLECCION DE BASURA 27/03/25</t>
  </si>
  <si>
    <t>ROGELIO VILCHIS</t>
  </si>
  <si>
    <t>PAGO AYUDA VERIFICACION BYD 27/03/25</t>
  </si>
  <si>
    <t>NIPLE Y ABRAZADERA PARA TUBERIA OFICINAS</t>
  </si>
  <si>
    <t>50 HOJAS TAMAÑO OFICIO</t>
  </si>
  <si>
    <t>MICRO HOUSE</t>
  </si>
  <si>
    <t>MTTO A SISTEMA OPERATIVO LAP COMPRAS</t>
  </si>
  <si>
    <t>NV70380</t>
  </si>
  <si>
    <t>TK464915</t>
  </si>
  <si>
    <t>YAIR</t>
  </si>
  <si>
    <t>F4751</t>
  </si>
  <si>
    <t>ALMACEN</t>
  </si>
  <si>
    <t>2 PARES GUANTES HYFLEX #7 SERGIO Y PEDRO</t>
  </si>
  <si>
    <t>1 CUTHER GRANDE, 1 CUTTHER CH, 1 FELPA</t>
  </si>
  <si>
    <t>HOJA DE MDF DE 6MM</t>
  </si>
  <si>
    <t>LIJA NEGRA DE 120</t>
  </si>
  <si>
    <t>CINCHOS 50 PIEZAS SPORTIKA</t>
  </si>
  <si>
    <t>CINTA GAFER, CINTA DE AISLAR, FELPA CHICA SPORTIKA</t>
  </si>
  <si>
    <t>PINTURA VINILICA NEGRA SPORTIKA 1LT</t>
  </si>
  <si>
    <t>FELPA GRANDE,BROCCHA DE 2" OFICINAS NUEVAS</t>
  </si>
  <si>
    <t>1 CUBETA DE PINTURA VINILICA BLANCA OFICINAS NUEVAS</t>
  </si>
  <si>
    <t>CUTTER GRANDE PARA DISEÑO</t>
  </si>
  <si>
    <t>FELPA CHICA CASA PERROS</t>
  </si>
  <si>
    <t>PIJA 2" CASA DE PERRO 100</t>
  </si>
  <si>
    <t>PIJA 1 1/2 CASA PEROOS 100</t>
  </si>
  <si>
    <t>LIJA CON VELCRO GRADO 60 3 CASA PERROS</t>
  </si>
  <si>
    <t>LIJA CON VELCRO GRADO 80 2 CASA PERROS</t>
  </si>
  <si>
    <t>GUANTES HYFLEX 7 Y 8</t>
  </si>
  <si>
    <t>MARTIN</t>
  </si>
  <si>
    <t>CESAR</t>
  </si>
  <si>
    <t>.</t>
  </si>
  <si>
    <t>PEAJES ROGELIO 21FEB25 - JEEP</t>
  </si>
  <si>
    <t>PEAJES ROGELIO 25FEB25 - BDY</t>
  </si>
  <si>
    <t>PEAJE EDUARDO 02MAR25 - ENRIQUE</t>
  </si>
  <si>
    <t>PEAJE ENRIQUE 03MAR25 - ENRIQUE</t>
  </si>
  <si>
    <t>PEAJE ENRIQUE 05MAR25 - ENRIQUE</t>
  </si>
  <si>
    <t>PEAJE YAIR 07MAR25 - JEEP</t>
  </si>
  <si>
    <t>PEAJES FERNANDO 11, 12 Y 13 MARZO</t>
  </si>
  <si>
    <t>PEAJES EDUARDO 13 Y 18MZO25</t>
  </si>
  <si>
    <t>PEAJES ENRIQUE 12, 13, 14, 17, 18 Y 19MZO25</t>
  </si>
  <si>
    <t>PEAJES YAIR 12MZO25</t>
  </si>
  <si>
    <t>CDEC21711</t>
  </si>
  <si>
    <t>CDEC-22032</t>
  </si>
  <si>
    <t>CDEC-22335</t>
  </si>
  <si>
    <t>BBVA RETAIL</t>
  </si>
  <si>
    <t>GERSA METEPEC EM</t>
  </si>
  <si>
    <t>SHUTTERSTOCK IRELAND LI DUBLIN 2</t>
  </si>
  <si>
    <t>APPLE STORE R708</t>
  </si>
  <si>
    <t>AMAZON MX MARKETPLACE*A MEXICO CITY</t>
  </si>
  <si>
    <t>MERCADO LIBRE MEXICO</t>
  </si>
  <si>
    <t>MA LORETO ALTAMIRANO B</t>
  </si>
  <si>
    <t>RAPPI*RAPPI MEXICO MEXICO CITY</t>
  </si>
  <si>
    <t>OSCAR A CAZARES HERRERA</t>
  </si>
  <si>
    <t>VIAGOGO EVENT TICKETS GENEVA</t>
  </si>
  <si>
    <t>SALDO A FAVOR</t>
  </si>
  <si>
    <t>APPLE STORE R740 R740 MEXICO CITY</t>
  </si>
  <si>
    <t>MONTO POR CANCELACIÒN DE PAGOS DIFERIDOS</t>
  </si>
  <si>
    <t>COMISIÓN POR PLAN DE PAGOS DIFERIDOS</t>
  </si>
  <si>
    <t>IVA APLICABLE</t>
  </si>
  <si>
    <t>PLAN DE PAGOS DIFERIDOS</t>
  </si>
  <si>
    <t>FAA316132792</t>
  </si>
  <si>
    <t>FA-31685780021</t>
  </si>
  <si>
    <t>RBO 316-166343</t>
  </si>
  <si>
    <t>316-86177825</t>
  </si>
  <si>
    <t>SALDO DIFERIDO CANCELADO</t>
  </si>
  <si>
    <t>MONTO QUE SE PAGO A SALDO DIFERIDO</t>
  </si>
  <si>
    <t>SERVICIOS GASOLINEROS DE MEXICO</t>
  </si>
  <si>
    <t>MOVI ANGIE 07/03/25</t>
  </si>
  <si>
    <t>VASA OCOTITLAN</t>
  </si>
  <si>
    <t>COMBUSTIBLE PATRIOT 12/03/25 - COMPRAS</t>
  </si>
  <si>
    <t>MULTISERVICIOS DUAL</t>
  </si>
  <si>
    <t>COMBUSTIBLE EDUARDO 13/03/25 - MOV ANGIE</t>
  </si>
  <si>
    <t>COMBUSTIBLE EDUARDO LOGISTICA - 18/03/25</t>
  </si>
  <si>
    <t>SERVICIO CARRIEDO</t>
  </si>
  <si>
    <t>COMBUSTIBLE EDUARDO -COMPRAS 19/03/25</t>
  </si>
  <si>
    <t>COMBUSTIBLE ENRIQUE 19/03/25</t>
  </si>
  <si>
    <t>SERVICIO VASA</t>
  </si>
  <si>
    <t>COMBUSTIBLE YAIR 27/03/25</t>
  </si>
  <si>
    <t>GASOLINERA RENOVACION</t>
  </si>
  <si>
    <t>COMBUSTIBLE VICTOR - COMPRAS 24/03/25</t>
  </si>
  <si>
    <t>CLI48026333</t>
  </si>
  <si>
    <t>TK75099</t>
  </si>
  <si>
    <t>W240643</t>
  </si>
  <si>
    <t>W241255</t>
  </si>
  <si>
    <t>W004525</t>
  </si>
  <si>
    <t>SIN COMPROBANTE</t>
  </si>
  <si>
    <t>WRB10932</t>
  </si>
  <si>
    <t>4SR 16313</t>
  </si>
  <si>
    <t>FERRECSA</t>
  </si>
  <si>
    <t>CLAVOS, BANDA PRECAUCION, SIERRA P/MADERA, LIJAS, GRAPAS, SEGUETAS, KOLA LOKA, PUNTA DE CRUZ</t>
  </si>
  <si>
    <t>4 SIERRAS PARA MADERA 10/80 DIENTES DEWALT</t>
  </si>
  <si>
    <t>1 ROLLO DE POLYFORM 1M X 105 X 1/8#</t>
  </si>
  <si>
    <t>160 ESQUIN-K2X2 CAL 160 Y 1 ROLLO POLYFORM</t>
  </si>
  <si>
    <t>COMERCIALIZADORA NAVJAM</t>
  </si>
  <si>
    <t>ARANDELAS GAL 5/16, TUERCAS GAL 5/16X18H Y TORNILLOS GAL CUERDA CORR</t>
  </si>
  <si>
    <t>2 JGO PINCEL PRETUL Y 1KG CLAVO ESTÁNDAR</t>
  </si>
  <si>
    <t>CABLE DUPLEX, CONTACTOS, TOMA CORRIENTE, CABLE USO RUDO, TERMINAL TIPO ESPADA CINTA DE AISLAR, PLACA PARA RECEPTACULO, CAJA CHALUPA</t>
  </si>
  <si>
    <t>MASKINTG AZUL, MASKING 3M</t>
  </si>
  <si>
    <t>1 CERRADURA FERKY NS RECAMARA BOLA CILINDRICA</t>
  </si>
  <si>
    <t>D749696</t>
  </si>
  <si>
    <t>D749705</t>
  </si>
  <si>
    <t>DT86807</t>
  </si>
  <si>
    <t>DT-89796</t>
  </si>
  <si>
    <t>NM20779</t>
  </si>
  <si>
    <t>F2898</t>
  </si>
  <si>
    <t>XFA78022</t>
  </si>
  <si>
    <t>AEBE16259</t>
  </si>
  <si>
    <t>MDK6179</t>
  </si>
  <si>
    <t>MTTO RANGER: 20% - AJUSTE DE MOTOR, REP DE VENTILADOR Y AFINACION COMPLETA - PAGO 3</t>
  </si>
  <si>
    <t>COMPRA DE SOPORTE SACROLUMBAR CON TERCER CINTURON CH, M, G - 07MAR25 - CREDITO</t>
  </si>
  <si>
    <t>COMPRA DE CERRADURA, BROCHA MAMEY, PUNTA IMANTADA, PUNTA PHILLIPS - 3MAR25 DA218030 , JALADERA SOARMA, SEGUETA BOSH, PUNTA PHILLIPS- 5MAR25 DA218408</t>
  </si>
  <si>
    <t>REEMBOLSO DE COMPRAS MATERIAL OFICINAS NUEVAS - 28MAR25</t>
  </si>
  <si>
    <t>REEMBOLSO DE COMPRAS MATERIALES EMPAQUE LONA, KIT BASICO DE REFACCIONES, PISTOLA KRAYAMA, RESPIRADOR MEDIA CARA SIN FILTRO, FILTROS 3M NIOSH, PIJA FIJADORA, TUERCA PARA MADERA, TORNILLO, PUNTA PARA TALADRO, RONDANA</t>
  </si>
  <si>
    <t>/COMPRA DE 30 BULTOS DE MORTERO, 10 BULTOS DE CEMENTO - 28MAR25</t>
  </si>
  <si>
    <t>DISTRIBUIDOR PAPELERO DE TOLUCA SA DE CV</t>
  </si>
  <si>
    <t>MOUSE,REGISTRADORES,REGLAS,ENGRAPADORAS</t>
  </si>
  <si>
    <t>BRANDON YAIR AGUILAR DIAZ</t>
  </si>
  <si>
    <t>4 VIAJES DE RECOLECCION DE BASURA - ABRIL25</t>
  </si>
  <si>
    <t>REEMBOLSO COMPRA DE MATERIALES VARIOS- VICTOR RUIZ 02/04/25</t>
  </si>
  <si>
    <t>REEMBOLSO PAGO A LUZ MARIA- COMPRA TIRAS LED MATERIAL- 03ABR25</t>
  </si>
  <si>
    <t>REEMBOLSO COMPRA DE IMAC24 PLATA / CPU 10N/ GPU 10N/16 GB/512</t>
  </si>
  <si>
    <t>VINILICA BLANCA,SELLADOR,TAMBO DE THINNER</t>
  </si>
  <si>
    <t>SELLADOR BLANACO Y LACA AUTOMOTIVA</t>
  </si>
  <si>
    <t>ANDREY ALED COLÍN TARANGO</t>
  </si>
  <si>
    <t>RECOLECCIÓN CAMA CDMX - MOV. SALAZAR</t>
  </si>
  <si>
    <t>REEMBOLSO POR COMPRA DE TANQUE ARPON Y BROCA - 04ABR25</t>
  </si>
  <si>
    <t>COMPRA DE 35 PLAYO 18, 36 CINTA VELLOWISH 48X150, RAFIA COLOR, BOLSA 14X31 - 05ABR25</t>
  </si>
  <si>
    <t>JUAN LUIS FLORES CASTILLO</t>
  </si>
  <si>
    <t>PAGO 15 GARRAFONES DE AGUA CIEL - 05ABR25</t>
  </si>
  <si>
    <t>REEMBOLSO PAGO DE TALACHAS MANTENIMIENTO - 03ABR25</t>
  </si>
  <si>
    <t>PAGO RENTA DE CASA SUAREZ ABRIL2025</t>
  </si>
  <si>
    <t>PAGO MENSUAL SOCIAL MEDIA MES DE ABRIL 2025</t>
  </si>
  <si>
    <t>REEMBOLSO POR COMPRA DE PAPELERIA - 03ABR25</t>
  </si>
  <si>
    <t>COMPRA BROCAS, BISAGRA DA219959 / CUBRECANTO Y BROCAS DA219439</t>
  </si>
  <si>
    <t>REEMBOLSO POR COMPRA DE 2 CANDADOS HERMEX, 1 PINZA PUNTA - 07ABR25</t>
  </si>
  <si>
    <t>REEMBOLSO COMPRA DE FORMAICA - 08ABR25 ANDREY NUNEZ</t>
  </si>
  <si>
    <t>PAGO MANO DE OBRA - CONSTRUCCION DE OFICINAS NUEVAS</t>
  </si>
  <si>
    <t>SOPORTE TECNICO 01ABRIL2025</t>
  </si>
  <si>
    <t>SERVICIO DE VIGILANCIA DEL 1 AL 15 ABRIL25</t>
  </si>
  <si>
    <t>ERIKA IDALID SALAZAR RODRIGUEZ</t>
  </si>
  <si>
    <t>PISO LAMINADO CHOCOLATE 17 MM</t>
  </si>
  <si>
    <t>11,000 , BARNIZ BRILLANTE 1 LITR0</t>
  </si>
  <si>
    <t>LACAS AUTOMOTIVA AZUL VERDE FIUSHA</t>
  </si>
  <si>
    <t>20% MTT CLUTCH, RECTIFICADO DE VOLANTE, AFINACION, FRENOS, ESCAPE INTERNATIONAL BCO - PAGO 3</t>
  </si>
  <si>
    <t>PERMISO DE CIRCULACION ABRIL Y MAYO POER</t>
  </si>
  <si>
    <t>COMPRA DE 100 KGS DE ALAMBRON, 30KG ALAMBRE Y 7 BTOS CEMENTO</t>
  </si>
  <si>
    <t>TAMBO DE TINNER, UN GALON DE GASOLINA BLANCA</t>
  </si>
  <si>
    <t>CAMBIO DE 2 BOBINAS A RANGER GRIS</t>
  </si>
  <si>
    <t>REEMBOLSO REGALOS CLIENTES 15abril25</t>
  </si>
  <si>
    <t>REEMBOLSO PAPELERIA cartera expandible y carpeta 15/04/25</t>
  </si>
  <si>
    <t>REEMBOLSO COMPRA NIVELADORES PARA MOBILIARIO BOSCH</t>
  </si>
  <si>
    <t>REEMBOLSO COMPRA DE MARCADORES DE CERA PARA MOBILIARIO PORSCH 15/04/25</t>
  </si>
  <si>
    <t>REEMBOLSO BASE YUTE, TERMOENCOGIBLE PVC Y ENVOLTURA 15/04/25</t>
  </si>
  <si>
    <t>REEMBOLSO ACRILICOS 16/04/25 VICTOR M RUIZ</t>
  </si>
  <si>
    <t>EFECTIVO MANO DE OBRA SEMANAL</t>
  </si>
  <si>
    <t>REEMBOLSO VINO ROSADO CASA MADERO 16/04/25</t>
  </si>
  <si>
    <t>REEMBOLSO MADERA PARA CIMBRA OFICINAS NUEVAS</t>
  </si>
  <si>
    <t>SERVICIOS ESPECIALIZADOS DE GRAFICACION</t>
  </si>
  <si>
    <t>ANTICIPO DE PINTURAS PARA PLOTER PAGO 1/3</t>
  </si>
  <si>
    <t>LUZ MARIA AZUCENA LAGET MORALES</t>
  </si>
  <si>
    <t>COMPRA GRANDE NEON FLEX Y LED</t>
  </si>
  <si>
    <t>COMPRA DE JABON ROMA ,CLORO Y PAPEL DE BAÑO</t>
  </si>
  <si>
    <t>COMPRA MATERIALES DEL 21, 24 Y 26MZO25 DA220225, DA220481, DA220733 - RESISTOL, FORMAICA, CUBRECANTO, TORNILLOS, ESQUINEROS, JALADERAS, RODILLOS</t>
  </si>
  <si>
    <t>REEMBOLSO POR COMPRA DE ESQUINEROS, GRAPAS Y FLEJE 16/04/25</t>
  </si>
  <si>
    <t>REEMBOLSO POR COMPRA DE COLADOR DE PAPEL, CERA LIQUIDA, EXCELAC Y POLISH 16/04/25</t>
  </si>
  <si>
    <t>REEMBOLSO COMPRA DE PINCELES, LAPICEROS, TIJERAS Y LUPA 17/04/25</t>
  </si>
  <si>
    <t>REEMBOLSO COMPRA DE PAPEL MAPASA, GIS, BOLIGRAFOS, SOBRES PARA DINERO 17/04/25</t>
  </si>
  <si>
    <t>REEMBOLSO ROLLOS POLIBURBUJA, BOLSA DE POLIETILENO, POLYESTRECH,VASO PLASTICO 17/04/25</t>
  </si>
  <si>
    <t>REEMBOLSO COMPRA CUTTER, CANDADOS, GRAPAS, CADENAS Y PINTURA EN AEROSOL 17/04/25</t>
  </si>
  <si>
    <t>REEMBOLSO JALADERA H DE 45CM 17/04/25</t>
  </si>
  <si>
    <t>COMPRA PARA STOCK DE ALMACEN, VINILICA NEGRA, BLANCA, AEROSOL TRANPARENTE , NEGRO , BLANCO,FLASH COAT NEGRA Y BLANCA</t>
  </si>
  <si>
    <t>REEMBOLSO KIT DE LIMPIEZA - 21ABR25</t>
  </si>
  <si>
    <t>REEMBOLSO 3 ROLLOS DE POLYFOAM 1MTS X 105 MTZ X 1/8 - 21ABR25</t>
  </si>
  <si>
    <t>GESTORIA PLACAS CAMIONETA POER - 2 CITAS</t>
  </si>
  <si>
    <t>COMPRA DE 14 VARILLAS 3/8, 28 VARILLAS DE 1/2, 5 SEGUETAS DE DIENTE FINO - 17ABR25 OFICINAS NUEVAS</t>
  </si>
  <si>
    <t>REEMBOLSO COMPRA DE PINTURA FOREO PADEL Y ALMACEN 21/04/25 - VICTOR RUIZ</t>
  </si>
  <si>
    <t>GASOLINA BLANCA, PLASTER, PINTURA PARA HERRADURA</t>
  </si>
  <si>
    <t>PABELLON INGENIERIA DEL COLOR Y SUMINISTROS</t>
  </si>
  <si>
    <t>COMPRA DE PASTA AUTOMITVA STOCK MATERIALES</t>
  </si>
  <si>
    <t>REEMBOLSO COMPRA DE MATERIALES VICTOR RUIZ - 23ABRIL25</t>
  </si>
  <si>
    <t>REEMBOLSO COMPRA DE REPUESTOS PARA PISTOLAS DE PINTURA SAYER - 23ABR25 VICTOR RUIZ</t>
  </si>
  <si>
    <t>REEMBOLSO DE 2 PTR DE 1X1 CAL 14 - VICTOR RUIZ 24/04/25</t>
  </si>
  <si>
    <t>DISTRIBUIDORA SAGARO SA DE CV</t>
  </si>
  <si>
    <t>5 ROLLOS DE VINIL BLANCO MATE RECORTE</t>
  </si>
  <si>
    <t>PAGO MANO DE OBRA - CONSTRUCCION DE OFICINAS</t>
  </si>
  <si>
    <t>PAGO DE RACK PARA CAMIONETAS - LOGISTICA</t>
  </si>
  <si>
    <t>REEMBOLSO PASTILLAS PARA BAÑO GUANTES MULTIUSOS Y ENVASE DE 5LTS</t>
  </si>
  <si>
    <t>REEMBOLSO LACA DORADA</t>
  </si>
  <si>
    <t>REEMBOLSO ROSETA DE CILINDRO NIQUEL 18 PZAS / PARA CHAPAS</t>
  </si>
  <si>
    <t>REEMBOLSO PAGO CERRAJERO POR ABRIR CAMIONETA JEEP</t>
  </si>
  <si>
    <t>RENTA BODEGA ABRIL 2025</t>
  </si>
  <si>
    <t>PAGO LUZ DEL 12MZO AL 11 ABRIL25</t>
  </si>
  <si>
    <t>TUBELITE DE MEXICO</t>
  </si>
  <si>
    <t>20 ROLLOS DE VINIL CDE IMPRESION</t>
  </si>
  <si>
    <t>INSTALACION COMPRESOR NUEVO</t>
  </si>
  <si>
    <t>PAGO 2/3 PINTURAS PARA PLOTTER</t>
  </si>
  <si>
    <t>FINIQUITO 20% MTT CLUTCH, RECTIFICADO DE VOLANTE, AFINACION, FRENOS, ESCAPE INTERNATIONAL BCO - PAGO 4</t>
  </si>
  <si>
    <t>MANTENIMIENTO PREVENTIVO JEEP</t>
  </si>
  <si>
    <t>REEMBOLSO COMPRA DE ACEITE MENEN Y PAÑOS DE MICROFIBRA - 25ABRIL25</t>
  </si>
  <si>
    <t>COMPRA DE MATERIALES DA221559 Y DA221554 RESANALACK Y BISAGRAS</t>
  </si>
  <si>
    <t>CONSORCIO C T A AUTOMOTRIZ</t>
  </si>
  <si>
    <t>REPARACION DE FACIAS Y ESTRIBOS + PINTURA</t>
  </si>
  <si>
    <t>DOS PAQUETES DE MDF 15MM</t>
  </si>
  <si>
    <t>SHIP &amp; GO, S.A. DE C.V.</t>
  </si>
  <si>
    <t>ENVIO KARIME BELTRAN REFERENCIA: KGR181204GGA46</t>
  </si>
  <si>
    <t>SERVICIO DE VIGILANCIA DEL 16 AL 30 ABRIL25</t>
  </si>
  <si>
    <t>LACAS MUESTRA , DILUYENTE</t>
  </si>
  <si>
    <t>1 GALON DE LACA AMARILLA Y ROJA</t>
  </si>
  <si>
    <t>PAGO MATERIALES OFICINAS NUEVAS</t>
  </si>
  <si>
    <t>A3602</t>
  </si>
  <si>
    <t>TK DA218408 Y DA218030- FAC DA32054</t>
  </si>
  <si>
    <t>XFA78513</t>
  </si>
  <si>
    <t>VARIAS</t>
  </si>
  <si>
    <t>NV13</t>
  </si>
  <si>
    <t>COT-178653</t>
  </si>
  <si>
    <t>COT-008</t>
  </si>
  <si>
    <t>F34717</t>
  </si>
  <si>
    <t>FOL 0525</t>
  </si>
  <si>
    <t>FOL 68828</t>
  </si>
  <si>
    <t>PF837393</t>
  </si>
  <si>
    <t>FAC-DA31969-TICKETS</t>
  </si>
  <si>
    <t>FAC 2945</t>
  </si>
  <si>
    <t>FAC 511B5</t>
  </si>
  <si>
    <t>F624</t>
  </si>
  <si>
    <t>COT009</t>
  </si>
  <si>
    <t>COT-011</t>
  </si>
  <si>
    <t>COT-012</t>
  </si>
  <si>
    <t>AAEC-37778</t>
  </si>
  <si>
    <t>FAC04060</t>
  </si>
  <si>
    <t>FAC-43163</t>
  </si>
  <si>
    <t>B-8262</t>
  </si>
  <si>
    <t>COT-003</t>
  </si>
  <si>
    <t>DA220481, DA220225, DA220733</t>
  </si>
  <si>
    <t>NV0563</t>
  </si>
  <si>
    <t>TO49673</t>
  </si>
  <si>
    <t>F11529</t>
  </si>
  <si>
    <t>POSO3606165</t>
  </si>
  <si>
    <t>POSO3606131</t>
  </si>
  <si>
    <t>F424108</t>
  </si>
  <si>
    <t>F17079</t>
  </si>
  <si>
    <t>ECM1782</t>
  </si>
  <si>
    <t>FAC-34792</t>
  </si>
  <si>
    <t>TK456911</t>
  </si>
  <si>
    <t>DT- 87421</t>
  </si>
  <si>
    <t>NV16</t>
  </si>
  <si>
    <t>COT-014</t>
  </si>
  <si>
    <t>CPT-3648</t>
  </si>
  <si>
    <t>PF1312322</t>
  </si>
  <si>
    <t>SUR25079</t>
  </si>
  <si>
    <t>A021732</t>
  </si>
  <si>
    <t>TO49710</t>
  </si>
  <si>
    <t>TICKET</t>
  </si>
  <si>
    <t>NOTA</t>
  </si>
  <si>
    <t>FAC-TE187572</t>
  </si>
  <si>
    <t>TICKETS</t>
  </si>
  <si>
    <t>DA221559, DA221554- FAC-DA32064</t>
  </si>
  <si>
    <t>PF29042025</t>
  </si>
  <si>
    <t>DC3260</t>
  </si>
  <si>
    <t>F636</t>
  </si>
  <si>
    <t>FAC-34829</t>
  </si>
  <si>
    <t>FAC-34828</t>
  </si>
  <si>
    <t>DISCO DE CORTE EASY CUT 4 1/2 PARA OFICINAS NUEVAS</t>
  </si>
  <si>
    <t>PINCHACHA, COPLE, CODO Y CINTA TEFLON - REPARACION TUBERIA OFICINAS</t>
  </si>
  <si>
    <t>STILSON - REPARACION TUBERIA OFICINAS</t>
  </si>
  <si>
    <t>VALVULA ANGULAR - REPARACION TUBERIA OFICINAS</t>
  </si>
  <si>
    <t>FLEXICO PARA WC - REPARACION DE TUBERIAS OFICINAS</t>
  </si>
  <si>
    <t>PASA FERREH CABLE 50MM</t>
  </si>
  <si>
    <t>ACCESORIOS AUTOMOTRICES</t>
  </si>
  <si>
    <t>CINTA CATANA</t>
  </si>
  <si>
    <t>SERVICIO COMERCIAL GARIS</t>
  </si>
  <si>
    <t>2 ESCOBAS Y 3 PARES GUANTES</t>
  </si>
  <si>
    <t>BARNIZ, LACA, CATALIZADOR</t>
  </si>
  <si>
    <t>MOLDEO</t>
  </si>
  <si>
    <t>PRESTAMO MUESTRARIO MOLDEO</t>
  </si>
  <si>
    <t>COMISION RETIRO EFECTIVO</t>
  </si>
  <si>
    <t>COMISION BANCARIA</t>
  </si>
  <si>
    <t>COPLE, CODO, SOLDADURA PARA TUBERIA OFICINAS</t>
  </si>
  <si>
    <t>TELEFONOS DE MEXICO</t>
  </si>
  <si>
    <t>7222326078 ABRIL25</t>
  </si>
  <si>
    <t>7222327650 ABRIL25</t>
  </si>
  <si>
    <t>ISAIAS</t>
  </si>
  <si>
    <t>F2933</t>
  </si>
  <si>
    <t>F2951</t>
  </si>
  <si>
    <t>F2949</t>
  </si>
  <si>
    <t>F2954</t>
  </si>
  <si>
    <t>F2955</t>
  </si>
  <si>
    <t>FEBB94</t>
  </si>
  <si>
    <t>NV211</t>
  </si>
  <si>
    <t>TK1441879</t>
  </si>
  <si>
    <t>F43920</t>
  </si>
  <si>
    <t>NV</t>
  </si>
  <si>
    <t>F2980</t>
  </si>
  <si>
    <t>NOMINA SEMANAL DEL 31MZO AL 07ABRIL25</t>
  </si>
  <si>
    <t>NOMINA SEMANAL DEL 7 AL 13ABRIL25</t>
  </si>
  <si>
    <t>NOMINA SEMANAL DEL 14 AL 20ABRIL25</t>
  </si>
  <si>
    <t>NOMINA SEMANAL DEL 21 AL 27ABRIL25</t>
  </si>
  <si>
    <t>NOMINA QUINC FISCAL DEL 1 AL 15ABRIL25</t>
  </si>
  <si>
    <t>NOMINA ASIMILADOS QUINC 1 AL 15ABRIL25</t>
  </si>
  <si>
    <t>NOMINA QUINC FISCAL DEL 16 AL 30ABRIL25</t>
  </si>
  <si>
    <t>NOMINA ASIMILADOS QUINC 16 AL 30ABRIL25</t>
  </si>
  <si>
    <t>EDUARDO FERNANDEZ VAZQUEZ</t>
  </si>
  <si>
    <t>PROPIMEX</t>
  </si>
  <si>
    <t>NV68786</t>
  </si>
  <si>
    <t>2 PISTOLAS PARA PINTAR ALEJANDRO SUAREZ</t>
  </si>
  <si>
    <t>1 PISTOLA DE GRAVEDAD</t>
  </si>
  <si>
    <t>1 REPUESTO PARA PISTOLA KRAYAMA</t>
  </si>
  <si>
    <t>HOJA DE MDF 6MM PUERTA PARA OFICINA</t>
  </si>
  <si>
    <t>CERRADURA PARA RECAMRA BAÑOS OFICINA</t>
  </si>
  <si>
    <t>BISAGRA DE LIBRO BAÑOS OFICINA</t>
  </si>
  <si>
    <t>PIJA DE 5/8 100 BAÑO OFICINAS</t>
  </si>
  <si>
    <t>PIJA DE 1 1/2 100 BAÑO OFICINAS</t>
  </si>
  <si>
    <t>HOJA DE MDF DE 15MM PARA CESAR TALLER</t>
  </si>
  <si>
    <t>CRAYON ROJO OFICINAS NUEVAS ISAIAS</t>
  </si>
  <si>
    <t>TRANSFERENCIA</t>
  </si>
  <si>
    <t>OPERADORA CONSECIONARIA MEXIQUENSE</t>
  </si>
  <si>
    <t>PEAJES DEL 21 AL 31 MARZO ENRIQUE Y YAIR</t>
  </si>
  <si>
    <t>PEAJES DEL 3 Y 5 ABRIL25 ENRIQUE</t>
  </si>
  <si>
    <t>PEAJES 13, 14, 16, 19 Y 26ABRIL25 ENRIQUE, ROGELIO Y FERNANDO</t>
  </si>
  <si>
    <t>PEAJES 24 AL 30ABRIL25 OCTAVIO, FERNANDO, ENRIQUE Y OSCAR</t>
  </si>
  <si>
    <t>CDEC-22858</t>
  </si>
  <si>
    <t>TELEVIA</t>
  </si>
  <si>
    <t>CDEC-23289</t>
  </si>
  <si>
    <t>CDEC-23478</t>
  </si>
  <si>
    <t>AT&amp;T MEXICO D.F.</t>
  </si>
  <si>
    <t>AMAZON MX*AMAZON RETAIL MEXICO CITY</t>
  </si>
  <si>
    <t>OSCAR</t>
  </si>
  <si>
    <t>BODEGA</t>
  </si>
  <si>
    <t>COMBUSTIBLE DEL 04/04/25</t>
  </si>
  <si>
    <t>COMBUSTIBLE DEL 24/04/25</t>
  </si>
  <si>
    <t>GASOL REPSOL</t>
  </si>
  <si>
    <t>COMBUSTIBLE 20/04/25</t>
  </si>
  <si>
    <t>WE1 3629</t>
  </si>
  <si>
    <t>TOKA COMBUSTIBLE</t>
  </si>
  <si>
    <t>WE1 3779</t>
  </si>
  <si>
    <t>EFECTIVO NOMINA SEMANAL</t>
  </si>
  <si>
    <t>EVANS R&amp;R SA DE CV</t>
  </si>
  <si>
    <t>5 VIAJES DE RECOLECCION DE BASURA - MAYO25</t>
  </si>
  <si>
    <t>THOMAS SANABRIA ECUTIA</t>
  </si>
  <si>
    <t>3 ROLLOS DE TELA NEGRA</t>
  </si>
  <si>
    <t>COMPLEMENTO NOMINA QUINCENAL DEL 16 AL 30 ABRIL25</t>
  </si>
  <si>
    <t>MO CONSTRUCCION OFICINAS NUEVAS</t>
  </si>
  <si>
    <t>MARTIN PALOMARES QUIROZ</t>
  </si>
  <si>
    <t>REEMBOLSO COMPRAS FERRECSA, IND BRALLE 29/04/25</t>
  </si>
  <si>
    <t>COMPRA DE MATERIALES DA222466, DA222150 CLAVILLO, CUBRECANTO, POLIN Y BARROTES 7 Y 10ABRIL25</t>
  </si>
  <si>
    <t>REEMBOLSO ELECTRICA RUVALCABA - CANALETA Y CABLE ESTAÑO 29/04/25</t>
  </si>
  <si>
    <t>REEMBOLSO COEL - TOMACORRIENTE DUPLEX 29/04/25</t>
  </si>
  <si>
    <t>REEMBOLSO ELECTRO-LUPA CABLE, CONTACTOS, CLAVIJAS, CINTAS AISLAR 29/04/25</t>
  </si>
  <si>
    <t>REEMBOLSO DEPOSITO JWJ 29/04/25 LAMPARAS PLAFONERAS</t>
  </si>
  <si>
    <t>REEMBOLSO TORN SAN PABLO - PIJAS Y PUNTAS PHILLIPS 29/04/25</t>
  </si>
  <si>
    <t>REEMBOLSO 1 ROLLO DE PIOLA - CORDELMEX 29/04/25</t>
  </si>
  <si>
    <t>REEMBOLSO COMPRA DE PLACAS Y FELPAS-DISTRIBUIDORA DE INSUMOS GRAFICOS-02MAY25</t>
  </si>
  <si>
    <t>REEMBOLSO COMPRA CUADRADO PLANO, GRAPAS Y MINIFELPAS -GRUPO HULES AUTOMOTICCES Y MORIYAMA-02MAY25</t>
  </si>
  <si>
    <t>REEMBOLSO JALADERAS Y BISAGRAS CON PERNO-CASA IKEDA-02MAY25</t>
  </si>
  <si>
    <t>2 PAQUETES DE MDF DE 15MM</t>
  </si>
  <si>
    <t>MANTENIMIENTO DE MAQUINAS CNC/LASER/ESCUADRADORA</t>
  </si>
  <si>
    <t>COMPLEMENTO NOMINA SEMANAL</t>
  </si>
  <si>
    <t>PAGO RENTA DE CASA SUAREZ MAYO2025</t>
  </si>
  <si>
    <t>REEMBOLSO ENGRAPADORA T-21,MEZCLADORA PARA LA COCINA OFICINA Y TEFLON</t>
  </si>
  <si>
    <t>PAGO MENSUAL SOCIAL MEDIA MES DE MAYO 2025</t>
  </si>
  <si>
    <t>COMPRA DE PAPELERIA MAY-JUN25</t>
  </si>
  <si>
    <t>MARCO ANTONIO AVILA MOLINA</t>
  </si>
  <si>
    <t>PAGO RECOLECCIÒN SUAREZ EN APTO CDMX - TOLUCA- 07MAY25</t>
  </si>
  <si>
    <t>2 GALONES DE LACA AUTOMOTIVA PERLA</t>
  </si>
  <si>
    <t>TAMBO DE THINNER</t>
  </si>
  <si>
    <t>400 LLANTAS CON FRENO Y 400 LLANTAS SIN FRENO</t>
  </si>
  <si>
    <t>REEMBOLSO 4 ACRILICOS VERDES 40*60 06/05/25 DIST INS GRAFICOS</t>
  </si>
  <si>
    <t>REEMBOLSO PINZA PARA DEPILAR Y ACETONA PURA 06/05/25 - METROPOLI</t>
  </si>
  <si>
    <t>REEMBOLSO PALMA ESTRELLA - COTSCO 06/05/25</t>
  </si>
  <si>
    <t>REEMBOLSO CATALOGO DE INTERIORISMO VINITOL 06/05/25</t>
  </si>
  <si>
    <t>SUPERFIL SA DE CV</t>
  </si>
  <si>
    <t>COMPRA DE ANGULOS , PERFIL J Y SOLERAS</t>
  </si>
  <si>
    <t>PAGO MATERIAL: ALAMBRE, CEMENTO, VARILLA</t>
  </si>
  <si>
    <t>REEMBOLSO ACRILICOS NEGROS 120*240 08/05/25 DIST INS GRAFICOS</t>
  </si>
  <si>
    <t>REEMBOLSO POLYESTRECH 5 Y 18" - PLASTICOS DANY 08/05/25</t>
  </si>
  <si>
    <t>TALACHAS ISUZU</t>
  </si>
  <si>
    <t>REEMBOLSO 2 REBAJADORAS MAKITA 12/03/25</t>
  </si>
  <si>
    <t>REEMBOLSO EFECTIVO - FERNANDO 02MAY25 VERIFICACION CAMIONETA BCA</t>
  </si>
  <si>
    <t>REEMBOLSO ACRILICOS 02/05/25 - VICTOR RUIZ</t>
  </si>
  <si>
    <t>REEMBOLSO COMIDA 03MAY25 - ALBANILES</t>
  </si>
  <si>
    <t>REEMBOLSO 3 FORMAICAS 02/05/25 -MANFREY</t>
  </si>
  <si>
    <t>REEMBOLSO DE POLINES - CONSTRUCCION OFICINAS NUEVAS 02/05/25</t>
  </si>
  <si>
    <t>2 CUBETAS DE LACA</t>
  </si>
  <si>
    <t>FELPAS CHICA GRANDE , 1 LITRO DE VINILICA MATE</t>
  </si>
  <si>
    <t>SUPERFIL TOLUCA SA DE CV</t>
  </si>
  <si>
    <t>DIFERENCIA EN PAGO X ANGULOS A 6MM</t>
  </si>
  <si>
    <t>FINIQUITO DE PINTURAS PARA PLOTER PAGO 3/3</t>
  </si>
  <si>
    <t>SERVICIO DE VIGILANCIA DEL 1 AL 15 MAY25</t>
  </si>
  <si>
    <t>REEMBOLSO 15 BULTOS CEMENTO OFICINAS NUEVAS</t>
  </si>
  <si>
    <t>REMBOLSO PIJA GALVANIZADA 200, BROCAS GRANDES</t>
  </si>
  <si>
    <t>REMBOLSO EUROELECTRICA TAQUETES,INTERRUMPTOR,ABRAZADERAS CONECTORES, TUBO FLEXIBLE</t>
  </si>
  <si>
    <t>REMBOLSO 2 LAMPARAS LED TUBO REGLETA - HOME DEPOT</t>
  </si>
  <si>
    <t>REMBOLSO PISTOLA MINI PARA LOS SUAREZ</t>
  </si>
  <si>
    <t>REMBOLSO ACRILICO Z3 DE 3MM</t>
  </si>
  <si>
    <t>REMBOLSO DE LACA MUESTRA, PIJAS HEXAGONALES, RONDANAS, REGLETAS</t>
  </si>
  <si>
    <t>REMMBOLSO DOBLADOR DE TUBO CLIP PARA CODUIT</t>
  </si>
  <si>
    <t>COMPRA DE ALMOROL, DESENGRASANTE, SHAMPOO PARA CARRO Y SANITAS</t>
  </si>
  <si>
    <t>DISTRIBUIDORA DE LINOLEUMS SA DE CV</t>
  </si>
  <si>
    <t>LAMINAS TOLUCA SA DE CV</t>
  </si>
  <si>
    <t>LAMINAS OFICINAS NUEVAS</t>
  </si>
  <si>
    <t>REEMBOLSO PAGO EFECTIVO COLADO OFICINAS NUEVAS - 10 PERSONAS 12/05/25</t>
  </si>
  <si>
    <t>REEMBOLSO EFECTIVO - PAGO AGUA 2o. BIM2025 MZO Y ABRIL25</t>
  </si>
  <si>
    <t>REEMBOLSO SOLERA DE 1 X 1/8 NATURAL - 12 PIEZAS - SUPERFIL</t>
  </si>
  <si>
    <t>MATERIALES DA222893, DA222599 11 Y 14ABRIL25</t>
  </si>
  <si>
    <t>ATOMIZADORES, ESCOBAS, ENVASE DE PLASTICO / DOGO 14/05/25</t>
  </si>
  <si>
    <t>ROLLOS DE POLIETILENO 2, BOLSAS NEGRAS /PLASTICOS DANY 14/05/25</t>
  </si>
  <si>
    <t>JESUS SANCHEZ SANCHEZ</t>
  </si>
  <si>
    <t>1.5 CARROS DE GRABA Y 1.5 CARROS DE ARENA - CONSTRUCCION OFICINAS NUEVAS</t>
  </si>
  <si>
    <t>5 BULTOS DE CEMENTO PARA OFICINAS NUEVAS - DON LOLO 12/05/25</t>
  </si>
  <si>
    <t>2 TOLELADAS Y MEDIA Y CEMENTO CONSTRUCCION OFICINA</t>
  </si>
  <si>
    <t>ROGELIO VILCHIS REYNOSO</t>
  </si>
  <si>
    <t>REEMBOLSO DE 2 CASETAS 14/05/25 ENRIQUE Z</t>
  </si>
  <si>
    <t>LAMPARA Y PILA PARA CONTROL DE LA PUERTA / ACEITE MENEN</t>
  </si>
  <si>
    <t>RODILLOS DE ESPUMA Y RESPUESTOS</t>
  </si>
  <si>
    <t>REMBOLSO FELPAS TRUPER,PLASTICOS PROTECTOR</t>
  </si>
  <si>
    <t>COMBUSTIBLE 12/05/25 - NO TENIA SU TARJETA</t>
  </si>
  <si>
    <t>PAGO 3 LIQUIDACION ANGULO , SOLERA Y PERFILES</t>
  </si>
  <si>
    <t>PAGO LUZ 11ABRIL AL 13 MAYO25</t>
  </si>
  <si>
    <t>ANDREY ARTURO NUÑEZ GOMEZ</t>
  </si>
  <si>
    <t>FORMAICA ALPHI CLARO Y GRIS</t>
  </si>
  <si>
    <t>NURI ALEJANDRA LOPEZ ROJAS</t>
  </si>
  <si>
    <t>AGENCIA NURI</t>
  </si>
  <si>
    <t>BAODING CONTINENTAL SA de CV</t>
  </si>
  <si>
    <t>COMPRA DE CAMIONETA</t>
  </si>
  <si>
    <t>REFERENCIA POR INCREMENTO EN FONDO EN GARANTÍA</t>
  </si>
  <si>
    <t>ABELARDO ALEJANDRO SUAREZ GONZALEZ</t>
  </si>
  <si>
    <t>RENDODO 1/3 ,PTR 4X4 DE 14, PTR DE 2X2 CALIBRE 14, PTR DE 1 1/2</t>
  </si>
  <si>
    <t>JOSE FERNANDO LOPEZ VILLEGAS</t>
  </si>
  <si>
    <t>MADEROMEX TRIPLAY FLEXIBLE 6 HOJAS</t>
  </si>
  <si>
    <t>COMPRA DE DOS PAQUETES DE MDF C ADA PAQUETE CONTIEN 60 PIEZAS</t>
  </si>
  <si>
    <t>WIGBERTO AGUIRRE</t>
  </si>
  <si>
    <t>ANTICIPO 50% COMPRA CELULAR Y COMPUTADORA</t>
  </si>
  <si>
    <t>REEMBOLSO BROCAS DE 1/16, 5/16, 3/4, 1/4</t>
  </si>
  <si>
    <t>REEMBOLSO HERRAJES PARA BOSCH, CABLLE PARA MICROFONO, CONECTORES CANON</t>
  </si>
  <si>
    <t>REEMBOLSO COMPRA DE CINTAS GAFERGRIS, MASKING AZUL 2" Y 1 CINGTA DE DUCGTOS NEGRA</t>
  </si>
  <si>
    <t>KOLA LOKA , RODILLOS DE SPONJA GRANDES Y CHICOS, CUÑAS</t>
  </si>
  <si>
    <t>WINDEX</t>
  </si>
  <si>
    <t>OSCAR SANCHEZ VALLE</t>
  </si>
  <si>
    <t>MANTENIMIENTO DE COMPRESOR</t>
  </si>
  <si>
    <t>CAMBIOS DE FILTRO,ACEITE,RELEVADOR Y BOMBA DE FRENOS- UNIDAD ISUZU</t>
  </si>
  <si>
    <t>REEMBOLSO PAGO PERMISO PARA CIRCULAR JEEP 15 MAY 25</t>
  </si>
  <si>
    <t>REEMBOLSO DE TALACHAS Y REPARACION DE BALERO Y TAMBOR LLANTA Y HIACE 19-20 MAY25</t>
  </si>
  <si>
    <t>EDGAR OSORIO VERA</t>
  </si>
  <si>
    <t>2400 NUT Y 2400 TORNILOS PRA NUTS PARA CARRITOS</t>
  </si>
  <si>
    <t>CUBETA DE LACA ROJA HEINZ, MUESTRAS PARA LALA VITA Y PLENIA</t>
  </si>
  <si>
    <t>SALDO 50% COMPRA CELULAR Y COMPUTADORA</t>
  </si>
  <si>
    <t>LESLIE FLORES ETIENNE</t>
  </si>
  <si>
    <t>REEMBOLSO COMPRA DE DRON</t>
  </si>
  <si>
    <t>ESTRUCTURA CAMIONETA 19MAY25 BENITO AVILA</t>
  </si>
  <si>
    <t>PAGO COLADO OFICINAS NUEVAS DIA 19/05/25 - EFECTIVO FER</t>
  </si>
  <si>
    <t>100 BLOCKS Y 1 TONELADA DE MORTERO OFICINAS NUEVAS</t>
  </si>
  <si>
    <t>JOSE DE JESUS MALVAEZ ESTRADA</t>
  </si>
  <si>
    <t>PAGO GORRAS MADE</t>
  </si>
  <si>
    <t>REEMBOLSO INTERRUPTOR, 30 METROS DE CABLE THWIS10 AWG, RIEL</t>
  </si>
  <si>
    <t>REEMBOLSO MANGUERA PARKER DE 1/2 NEGRA</t>
  </si>
  <si>
    <t>5 AGUAS DESTILADA</t>
  </si>
  <si>
    <t>AIRE COMPRIMIDO REEMOVEDOR DE POLVO</t>
  </si>
  <si>
    <t>SERVICIO DE VIGILANCIA DEL 16 AL 31MAY25</t>
  </si>
  <si>
    <t>MATERIALES DA223202, DA223735, DA224014 16,23 Y 25 MAY25</t>
  </si>
  <si>
    <t>PINTURA VINILICA 1 LITRO AZUL PARA LALA, PINTURA VINILCA UNA CUBETA PARA NUTRILECHE Y UN GALON DE PINTURA AMARILLLA</t>
  </si>
  <si>
    <t>REEMBOLSO COMPRA GASOLINA PARA PODAR 27MAY25</t>
  </si>
  <si>
    <t>REEMBOLSO COMPRA DE BOQUILLA,CAMBIO DE ACEITE JEEP Y CAMBIO DE ACEITE HIACE 27 Y 28MAY25</t>
  </si>
  <si>
    <t>MUEBLES PARA BAÑO SA DE CV</t>
  </si>
  <si>
    <t>PISO OFICINAS NUEVAS</t>
  </si>
  <si>
    <t>NV975</t>
  </si>
  <si>
    <t>DA222150, DA222466</t>
  </si>
  <si>
    <t>FAC-F9601</t>
  </si>
  <si>
    <t>FAC-VM70901105</t>
  </si>
  <si>
    <t>FAC-TCVM59568005</t>
  </si>
  <si>
    <t>FAC-RR22927</t>
  </si>
  <si>
    <t>FAC-C597405</t>
  </si>
  <si>
    <t>NV4924</t>
  </si>
  <si>
    <t>SANDRA</t>
  </si>
  <si>
    <t>REM27420</t>
  </si>
  <si>
    <t>TICKET17157,REM404 Y FAC</t>
  </si>
  <si>
    <t>E173701</t>
  </si>
  <si>
    <t>FAC-13621</t>
  </si>
  <si>
    <t>N-1244</t>
  </si>
  <si>
    <t>FAC-8685</t>
  </si>
  <si>
    <t>FAC-0379</t>
  </si>
  <si>
    <t>NV-27680</t>
  </si>
  <si>
    <t>TICKET-1V9-80622</t>
  </si>
  <si>
    <t>FAC-848</t>
  </si>
  <si>
    <t>NV-0954</t>
  </si>
  <si>
    <t>FAC-843</t>
  </si>
  <si>
    <t>FAC-13626</t>
  </si>
  <si>
    <t>NV-27809</t>
  </si>
  <si>
    <t>FAC-402703B</t>
  </si>
  <si>
    <t>NOTA-704</t>
  </si>
  <si>
    <t>FAC-13679</t>
  </si>
  <si>
    <t>FAC-3487</t>
  </si>
  <si>
    <t>F8439</t>
  </si>
  <si>
    <t>FAC-651</t>
  </si>
  <si>
    <t>FAC-3013</t>
  </si>
  <si>
    <t>NOTA -001</t>
  </si>
  <si>
    <t>F-79813</t>
  </si>
  <si>
    <t>F-092903935466</t>
  </si>
  <si>
    <t>FAC-0478</t>
  </si>
  <si>
    <t>NV-2796</t>
  </si>
  <si>
    <t>FAC-1425-F43-NV14</t>
  </si>
  <si>
    <t>COT 30690</t>
  </si>
  <si>
    <t>FAC-14146</t>
  </si>
  <si>
    <t>DA-32474</t>
  </si>
  <si>
    <t>FAC-A021835</t>
  </si>
  <si>
    <t>F-427999B</t>
  </si>
  <si>
    <t>NR-01,02,03</t>
  </si>
  <si>
    <t>FAC-3020</t>
  </si>
  <si>
    <t>FAC-13651</t>
  </si>
  <si>
    <t>FAC-5297</t>
  </si>
  <si>
    <t>FAC-7016 Y TICKT</t>
  </si>
  <si>
    <t>FAC-16435</t>
  </si>
  <si>
    <t>FAC-8665</t>
  </si>
  <si>
    <t>FAC-4076</t>
  </si>
  <si>
    <t>FAC-8484</t>
  </si>
  <si>
    <t>F3D24</t>
  </si>
  <si>
    <t>F118241</t>
  </si>
  <si>
    <t>LESLIE FLORES</t>
  </si>
  <si>
    <t>FAC-8684</t>
  </si>
  <si>
    <t>COT1772</t>
  </si>
  <si>
    <t>FAC-2270</t>
  </si>
  <si>
    <t>FAC-14209</t>
  </si>
  <si>
    <t>COMP 1357</t>
  </si>
  <si>
    <t>COT-05136</t>
  </si>
  <si>
    <t>FAC-13680</t>
  </si>
  <si>
    <t xml:space="preserve">COTIZACION </t>
  </si>
  <si>
    <t>FOLIO XBA625002 Y XFA80259</t>
  </si>
  <si>
    <t>FACTURA 101362</t>
  </si>
  <si>
    <t>FAC-664</t>
  </si>
  <si>
    <t>FAC-32475</t>
  </si>
  <si>
    <t>COT316-178649</t>
  </si>
  <si>
    <t>DC3260,FACTURA</t>
  </si>
  <si>
    <t>COT-017,f34859,f34859</t>
  </si>
  <si>
    <t>COT-018,F34879</t>
  </si>
  <si>
    <t>COT-020,F34865</t>
  </si>
  <si>
    <t>COMPROBANTE,F34858</t>
  </si>
  <si>
    <t>COT,DA32420</t>
  </si>
  <si>
    <t>COMPROBANTE,FACTURA</t>
  </si>
  <si>
    <t>COT-021,F34906</t>
  </si>
  <si>
    <t>COT-0023,F34923</t>
  </si>
  <si>
    <t>REPUESTO PARA WINDEX</t>
  </si>
  <si>
    <t>CROQUETAS PARA PERRO</t>
  </si>
  <si>
    <t>REFRESCOS PARA PERSONAS QUE COLARON</t>
  </si>
  <si>
    <t>TEL 7222327650 MAYO25</t>
  </si>
  <si>
    <t>TEL 7222326078 MAYO25</t>
  </si>
  <si>
    <t>F3024</t>
  </si>
  <si>
    <t>TK509130</t>
  </si>
  <si>
    <t>F642786</t>
  </si>
  <si>
    <t>TK610873</t>
  </si>
  <si>
    <t>RBO</t>
  </si>
  <si>
    <t>OSCAR ISMAEL MILPA MIRANDA</t>
  </si>
  <si>
    <t>AXEL FLORES PEREZ</t>
  </si>
  <si>
    <t>PAGO NOMINA - MANIOBRAS DEL 19 AL 24MAY25</t>
  </si>
  <si>
    <t>DAVID CHACON</t>
  </si>
  <si>
    <t>AXEL, DAVID, RAMSES Y ABRAHAM</t>
  </si>
  <si>
    <t>PAGO MANIOBRAS DEL 12 AL 17MAY25</t>
  </si>
  <si>
    <t>NOMINA SEMANAL DEL 28ABRIL AL 04 MAY25</t>
  </si>
  <si>
    <t>NOMINA SEMANAL DEL 5 AL 11 MAYO 25</t>
  </si>
  <si>
    <t>NOMINA SEMANAL DEL 12 AL 18 MAYO 25</t>
  </si>
  <si>
    <t>NOMINA SEMANAL DEL 19 AL 25MAYO 25</t>
  </si>
  <si>
    <t>NOMINA QUINC FISCAL DEL 1 AL 15MAYO25</t>
  </si>
  <si>
    <t>NOMINA ASIMILADOS QUINC 1 AL 15MAYO25</t>
  </si>
  <si>
    <t>NOMINA QUINC FISCAL DEL 16 AL31 MAYO25</t>
  </si>
  <si>
    <t>NOMINA ASIMILADOS QUINC 16 AL 31MAY25</t>
  </si>
  <si>
    <t>CORREO</t>
  </si>
  <si>
    <t>WAL MART</t>
  </si>
  <si>
    <t>ACEITE PARA ROUTER Y SIERRA</t>
  </si>
  <si>
    <t>ORTEGA PUERTAS AUTOMATICAS</t>
  </si>
  <si>
    <t>MANTENIMIENTO PUERTA</t>
  </si>
  <si>
    <t>2 GALONES DE PEGAMENTO PARA FORMAICA</t>
  </si>
  <si>
    <t>CARLOS F BECERRIL</t>
  </si>
  <si>
    <t>MTTO INTERCONTINENTAL COT05111</t>
  </si>
  <si>
    <t>TARJETA SANTANDER</t>
  </si>
  <si>
    <t>COMISION BANCARIA SANTANDER</t>
  </si>
  <si>
    <t>PLASTICOS DANY</t>
  </si>
  <si>
    <t>COMPRA DE PLAYO 18" Y 5"</t>
  </si>
  <si>
    <t>MARIA DEL SOCORRO MARTINEZ</t>
  </si>
  <si>
    <t>ANTICIPO VIDRIOS TEMPLADOS</t>
  </si>
  <si>
    <t>FERRETERIA LA CARREDANA</t>
  </si>
  <si>
    <t>GRAPAS, BOTA IND, ACEITE E HILO PARA DESBROZADORA, TIJERAS</t>
  </si>
  <si>
    <t>PAPELERIA CASA MARCHAND</t>
  </si>
  <si>
    <t>PAPEL OPALINA</t>
  </si>
  <si>
    <t>SUPERFIL</t>
  </si>
  <si>
    <t>GUIA PARA VITRINA</t>
  </si>
  <si>
    <t>ANGULO, RIEL, CARRETILLA</t>
  </si>
  <si>
    <t>CERRADURA PUERTA PRINCIPAL</t>
  </si>
  <si>
    <t>2 GARRAFONES DE AGUA</t>
  </si>
  <si>
    <t>11 GARRAFONES DE AGUA</t>
  </si>
  <si>
    <t>LLAVE NARIZ URREA</t>
  </si>
  <si>
    <t>SILICON BLISTER</t>
  </si>
  <si>
    <t>13 GARRAFONES DE AGUA</t>
  </si>
  <si>
    <t>AGUA Y SAEAMIENTO</t>
  </si>
  <si>
    <t>AGUA POTABLE 2BIM MZO-ABRIL25</t>
  </si>
  <si>
    <t>IWADD766091</t>
  </si>
  <si>
    <t>TICK-4522</t>
  </si>
  <si>
    <t>COT 511</t>
  </si>
  <si>
    <t>cot 5111</t>
  </si>
  <si>
    <t>F3022</t>
  </si>
  <si>
    <t>FAC-47781230</t>
  </si>
  <si>
    <t>F381241</t>
  </si>
  <si>
    <t>F8656</t>
  </si>
  <si>
    <t>F8655</t>
  </si>
  <si>
    <t>F8654</t>
  </si>
  <si>
    <t>F3062</t>
  </si>
  <si>
    <t>TK907110</t>
  </si>
  <si>
    <t>NV71950</t>
  </si>
  <si>
    <t>F13634</t>
  </si>
  <si>
    <t>F13657</t>
  </si>
  <si>
    <t>NV7058</t>
  </si>
  <si>
    <t>PESA</t>
  </si>
  <si>
    <t>3 CINTA DE AISLAR PARA YAIR BODEGA</t>
  </si>
  <si>
    <t>3 CLAVIJAS DE USO RUDO PARA YAIR BODEGA</t>
  </si>
  <si>
    <t>4 CONTACTOS TIPO 8 PARA YAIR BODEGA</t>
  </si>
  <si>
    <t>3 PLAYO GRANDES PARA BODEGA</t>
  </si>
  <si>
    <t>PEAJES DEL 2 AL 7MAY25 ENRIQUE Y YAIR</t>
  </si>
  <si>
    <t>PEAJES DEL 11 AL 14MAY25 ENRIQUE</t>
  </si>
  <si>
    <t>PEAJES DEL 21 AL 31MAY25 ENRIQUE Y ROGELIO</t>
  </si>
  <si>
    <t>YAIR - ENRIQUE</t>
  </si>
  <si>
    <t>FAC-24169</t>
  </si>
  <si>
    <t>FAC-24697</t>
  </si>
  <si>
    <t>CDEC- 25051</t>
  </si>
  <si>
    <t>DISPERSION DE FONDOS SUBCUENTA SANTANDER</t>
  </si>
  <si>
    <t>TRASPASO CTA SANTANDER - GASTOS POR VENTA HOSPITALITY / LUIS M MONDRAGON</t>
  </si>
  <si>
    <t>REEMBOLSO DE CAJA CHICA - TARJETA SANTANDER</t>
  </si>
  <si>
    <t>APPLE STORE R708 R708 MEXICO CITY</t>
  </si>
  <si>
    <t>NET*PAY MICROSOFT C Ciudad De Mexico</t>
  </si>
  <si>
    <t>MERCADOPAGO*WEWORKMEXIC Cuauht?moc</t>
  </si>
  <si>
    <t>NETPAY*MICROSOFT C Ciudad De Mexic</t>
  </si>
  <si>
    <t>WETRANSFER* FB3B6429 AMSTERDAM</t>
  </si>
  <si>
    <t>CASA CLUB BOSQUE REAL HUIXQUILUCAN DE</t>
  </si>
  <si>
    <t>CARGO ACLARADO POR CLIENTE</t>
  </si>
  <si>
    <t>MERCADOPAGO*CNEM San Juan Huac</t>
  </si>
  <si>
    <t>29.00 USD
JAVIER MENA</t>
  </si>
  <si>
    <t>23.00 USD</t>
  </si>
  <si>
    <t>DEVUELTO</t>
  </si>
  <si>
    <t>COMBUSTIBLE FREDY - COMPRAS 13/05/25</t>
  </si>
  <si>
    <t>MULTISERVICIO GASOLINERO</t>
  </si>
  <si>
    <t>COMBUSTIBLE OMAR - MEDIDAS RACK CAMIONETA</t>
  </si>
  <si>
    <t>COMBUSTIBLE COMPRAS 20/05/25</t>
  </si>
  <si>
    <t>MONTE SA DE CV</t>
  </si>
  <si>
    <t>COMBUSTIBLE COMPRAS 15/05/25</t>
  </si>
  <si>
    <t>COMBUSTIBLE ENRIQUE 28/5/25</t>
  </si>
  <si>
    <t>FREDY</t>
  </si>
  <si>
    <t>FAC-W4077</t>
  </si>
  <si>
    <t>OMAR</t>
  </si>
  <si>
    <t>F5799</t>
  </si>
  <si>
    <t>F17879</t>
  </si>
  <si>
    <t>F35288</t>
  </si>
  <si>
    <t>$ 25 DE DESCUENTO</t>
  </si>
  <si>
    <t>$ 500 NO REGRESARON CAMBIO</t>
  </si>
  <si>
    <t>CONSORCIO C T A AUTOMOTRIZ SA DE CV</t>
  </si>
  <si>
    <t>SERVICIO DE HOJALATERIA PUERTA POER DAÑADA</t>
  </si>
  <si>
    <t>GOBIERNO DEL ESTADO DE MEXICO</t>
  </si>
  <si>
    <t>PAGO REEMPLACAMIENTO Y CAMBIO DE PROPIETARIO JEEP2016</t>
  </si>
  <si>
    <t>CASA IKEDA</t>
  </si>
  <si>
    <t>JALADERA 177 PIEZAS</t>
  </si>
  <si>
    <t>REEMBOLSO REPARACION ELECTRICA ALTERNADOR Y SISTEMA DE FRENADO ISUZU 29MAY25 2JUN25</t>
  </si>
  <si>
    <t>MARTIN NAVA HERNANDEZ</t>
  </si>
  <si>
    <t>4 ACRILICOS DE 3MM Y 4 ACRILICOS DE 6MM</t>
  </si>
  <si>
    <t>MATERIALES DA214930</t>
  </si>
  <si>
    <t>MATERIALES DA215768</t>
  </si>
  <si>
    <t>MATERIALES DA216627</t>
  </si>
  <si>
    <t>MATERIALES DA224699</t>
  </si>
  <si>
    <t>MATERIALES DA225370</t>
  </si>
  <si>
    <t>MATERIALES DA226547</t>
  </si>
  <si>
    <t>MATERIALES DA226907</t>
  </si>
  <si>
    <t>MATERIALES DA226930</t>
  </si>
  <si>
    <t>3 PAQ DE MDF DE 15MM, 60 TABLAS DE 9MM Y 10 HOJAS DE TRIPLAY DE 6MM</t>
  </si>
  <si>
    <t>CUBETA DE LACA AUTOMTIVA</t>
  </si>
  <si>
    <t>4 VIAJES DE RECOLECCION DE BASURA - JUNIO25</t>
  </si>
  <si>
    <t>PAPEL DE BAÑO ,SANTAS Y JABON PARA MANOS</t>
  </si>
  <si>
    <t>REEMBOLSO COMPRA DE TORNILLOS PARA MATERIALES 29/04/25</t>
  </si>
  <si>
    <t>DISTRIBUIDORA SAGARO DE MEXICO SA S DE CV</t>
  </si>
  <si>
    <t>TRANFER BLANCO Y TRANSPARENTE</t>
  </si>
  <si>
    <t>PAGO DE VIATICOS MONTAJE SAN CARLOS OPEN EXATEC SERGIO YAIR OCTAVIO Y TOÑO 08JUN25</t>
  </si>
  <si>
    <t>2 ULTIMAS CUBETAS DE HEINZ CARRITOS 2 GALONES DE PINTURA VINILICA MORADA BTS, TAMBO DE THINNER</t>
  </si>
  <si>
    <t>REEMBOLSO DOS PISTOLAS KRAYAMA PARA DANIE ARELLANO</t>
  </si>
  <si>
    <t>REEMBOLSO DE REPARACION DE FRENOS Y BALATAS ISUZU 10 JUN25</t>
  </si>
  <si>
    <t>10 CUBETAS DE PRIMER BLANCO 5 CUBETAS DE PRIMER NEGRO</t>
  </si>
  <si>
    <t>PAGO MANIOBRAS DEL 01 AL 7JUN25 - DAVID CHACON TE</t>
  </si>
  <si>
    <t>REEMBOLSO ESTRUCTURA PICK UP LIQUIDACION Y ANTICIPO 31MAY25 BENITO HERRERO</t>
  </si>
  <si>
    <t>REEMBOLSO ACRILICOS - HECTOR URIBE 28/05/25</t>
  </si>
  <si>
    <t>REEMBOLSO VANVIEN - CALZADO P/EQUIPO SUAREZ 29/05/25</t>
  </si>
  <si>
    <t>REEMBOLSO ESTACIONAMIENTOS Y PAGO DE SELLADOR 06JUN25</t>
  </si>
  <si>
    <t>SERVICIO DE VIGILANCIA DEL 01 AL 15JUN25</t>
  </si>
  <si>
    <t>2 CUBETAS DE LACA ROJA HEINZ Y LITRO DE PINTURA AZUL MUESTRA</t>
  </si>
  <si>
    <t>STOCK DE ACRILICOS PARA ALMACEN ACRILICOS Z2 DE 3MM Y 6MM TRASPARENTE 3MM Y 6MM</t>
  </si>
  <si>
    <t>MEDIA TONELADA DE MORTERO, BOLLSITA DE SEPARADORES DE 3MM</t>
  </si>
  <si>
    <t>REEMBOLSO COMPRA DE KOLA LOKA 19 DE BROCHA 7 GOTERO</t>
  </si>
  <si>
    <t>REEMBOLSO LUIS ELECTRICO / INSTALACION COMPRESOR PAGO 2 /BODEGA NUEVO 23MAY25</t>
  </si>
  <si>
    <t>REEMBOLSO MATERIAL PLOMERIA OFICINA NUEVA 17JUN25 VICTOR HUGO MARTINEZ</t>
  </si>
  <si>
    <t>REEMBOLSO COMPRA DE LUZ DE TRABAJO</t>
  </si>
  <si>
    <t>PRESTAMO ROGELIO VILCHIS - GASTOS PERSONALES</t>
  </si>
  <si>
    <t>REEMBOLSO PLOMERIA SEGUNDO PISO OFICINAS NUEVAS 23JUN25 VICTOR MARTINEZ</t>
  </si>
  <si>
    <t>REEMBOLSO REPOSICIÓN DE EQUIPO TELEFONICO</t>
  </si>
  <si>
    <t>REEMBOLSO PAGO DE TENECIA POER Y JEEP PRIMER SEMESTRE</t>
  </si>
  <si>
    <t>REEMBOLSO DE COMPRA DE LLANTA JEEP Y TALACHA 26JUN25</t>
  </si>
  <si>
    <t>TAMBO DE THINNER, 20 MANERALES GRANDES.20 CHICOS. ESTOPA</t>
  </si>
  <si>
    <t>COMPLEMENTO VENTANAS OFICINAS NUEVAS</t>
  </si>
  <si>
    <t>AQUILES MEXICO SA DE CV</t>
  </si>
  <si>
    <t>DAMARIS CRUZ</t>
  </si>
  <si>
    <t>GESTORIA Y REFACTURACION ISUZU PLACAS NUEVAS</t>
  </si>
  <si>
    <t>LUIS ANTONIO MILLAN MARTINEZ</t>
  </si>
  <si>
    <t>MOVIMIENTO GRUA INTER REPARACION</t>
  </si>
  <si>
    <t>MANTENIMIENTO CAMION INTERNATIONAL</t>
  </si>
  <si>
    <t>TANIA LEYVA CANTUA</t>
  </si>
  <si>
    <t>30 CORREOS EMPRESARIALES</t>
  </si>
  <si>
    <t>PAGO LUZ 13 MAYO AL 13JUNIO25</t>
  </si>
  <si>
    <t>DEPOSITO PARA COMPRAS FUTURAS - DON LOLO</t>
  </si>
  <si>
    <t>COT-485122</t>
  </si>
  <si>
    <t>COT-10300228</t>
  </si>
  <si>
    <t>DA214930</t>
  </si>
  <si>
    <t>DA215768</t>
  </si>
  <si>
    <t>DA216627</t>
  </si>
  <si>
    <t>DA224699</t>
  </si>
  <si>
    <t>DA2275370</t>
  </si>
  <si>
    <t>DA226547</t>
  </si>
  <si>
    <t>DA226907</t>
  </si>
  <si>
    <t>DA226930</t>
  </si>
  <si>
    <t>COT-005</t>
  </si>
  <si>
    <t>F25620</t>
  </si>
  <si>
    <t>F677</t>
  </si>
  <si>
    <t>NAVA-001</t>
  </si>
  <si>
    <t>NV-1839</t>
  </si>
  <si>
    <t>COMPROBACIÓN</t>
  </si>
  <si>
    <t>COT-DC3326,DA32762</t>
  </si>
  <si>
    <t>COT-025,F34976</t>
  </si>
  <si>
    <t>COT-026,F34985</t>
  </si>
  <si>
    <t>COT27,F34977</t>
  </si>
  <si>
    <t>COT-028,F35007</t>
  </si>
  <si>
    <t>COT-030,F35026</t>
  </si>
  <si>
    <t>CODOS Y PEGAMENTOS DE PVC</t>
  </si>
  <si>
    <t>YESO PARA OFICINAS NUEVAS</t>
  </si>
  <si>
    <t>F3074</t>
  </si>
  <si>
    <t>F3101</t>
  </si>
  <si>
    <t>PAGO MANIOBRAS DEL 1 al 7JUNIO25 DAVID CHACON</t>
  </si>
  <si>
    <t>PAGO MANIOBRAS DEL 1 al 7JUNIO25</t>
  </si>
  <si>
    <t>PAGO TIEMPO EXTRA DEL 01 AL 7JUN25 - DAVID CHACON TE</t>
  </si>
  <si>
    <t>NOMINA SEMANAL DEL 26MAYO AL 01JUN25</t>
  </si>
  <si>
    <t>NOMINA SEMANAL DEL 2 AL 8 JUN25</t>
  </si>
  <si>
    <t>NOMINA SEMANAL DEL 9 AL 15JUN25</t>
  </si>
  <si>
    <t>NOMINA SEMANAL DEL 16 AL 22 JUN25</t>
  </si>
  <si>
    <t>NOMINA SEMANAL DEL 23 AL 30JUN25</t>
  </si>
  <si>
    <t>NOMINA QUINC FISCAL DEL 1 AL 15JUN25</t>
  </si>
  <si>
    <t>NOMINA ASIMILADOS QUINC 1 AL 15JUN25</t>
  </si>
  <si>
    <t>NOMINA QUINC FISCAL DEL 16 AL 30JUN25</t>
  </si>
  <si>
    <t>NOMINA ASIMILADOS QUINC 16 AL 30JUN25</t>
  </si>
  <si>
    <t>PAGO MANIOBRAS DEL 26 AL 31MAY25 - DAVID CHACON</t>
  </si>
  <si>
    <t>PAGO MANIOBRAS DEL 26 AL 31MAY25 NOM SEMANAL</t>
  </si>
  <si>
    <t>REEMBOLSO PRESTAMO PERSONAL MEDICINAS CESAR RICO 30MAY25</t>
  </si>
  <si>
    <t>PEDRO GOMEZ AGUILAR</t>
  </si>
  <si>
    <t>F13790</t>
  </si>
  <si>
    <t>SDO 40% MTTO INTERCONTINENTAL COT05111</t>
  </si>
  <si>
    <t>JALADERA DE ACERO INOXIDABLE</t>
  </si>
  <si>
    <t>SEGUROS INBURSA</t>
  </si>
  <si>
    <t>SEGURO POER PK PREMIUN DEL 3JUN25 AL 03JUN26</t>
  </si>
  <si>
    <t>GWM TOLUCA</t>
  </si>
  <si>
    <t>SERV PREVENTIVO POER PREMIUN2025</t>
  </si>
  <si>
    <t>ACEROS EL ARBOL</t>
  </si>
  <si>
    <t>YESO, CEMENTO Y ADHETEC PARA OFICINAS NUEVAS</t>
  </si>
  <si>
    <t>NOVELSA TOLUCA</t>
  </si>
  <si>
    <t>400 ESQUINEROS 2X2</t>
  </si>
  <si>
    <t>20 ROLLOS DE PLAYO 18"</t>
  </si>
  <si>
    <t>12 EMPAQUES PARA PISTOLA</t>
  </si>
  <si>
    <t>FARMACIA SALUD Y VIDA</t>
  </si>
  <si>
    <t>AGUA DESTILADA</t>
  </si>
  <si>
    <t>2 VIDRIOS OFICINAS NUEVAS</t>
  </si>
  <si>
    <t>TENENCIA GREAT WALL PICKUP 2025 LGWCB6192SJ636141</t>
  </si>
  <si>
    <t>TRAMITES GESTORIA JEEP Y POER</t>
  </si>
  <si>
    <t>BOTICA LA MODERNA</t>
  </si>
  <si>
    <t>2 GARRAFONES DE AGUA DESTILADA</t>
  </si>
  <si>
    <t>FISAX FERRETERIAS</t>
  </si>
  <si>
    <t>2 PASADORES DE BARRIL</t>
  </si>
  <si>
    <t>CONTACTOS Y CLAVIJAS</t>
  </si>
  <si>
    <t>PINTURAS JM</t>
  </si>
  <si>
    <t>EXCELAC</t>
  </si>
  <si>
    <t>TRIPLAY MARKET</t>
  </si>
  <si>
    <t>PIZARRON BLANCO</t>
  </si>
  <si>
    <t>FERRETERA CEHERMAQ</t>
  </si>
  <si>
    <t>PLASTIPROTECTOR, FELPA, ARANDELAS PLANAS, TORNILLOS Y TUERCAS</t>
  </si>
  <si>
    <t>MTTO INTER DESARMADO MOTOR Y ACEITE PLUS</t>
  </si>
  <si>
    <t>MTTO INTER GRASA, ACEITE, SELLADRO, RETEN MAZA</t>
  </si>
  <si>
    <t>8 LED BULB E27 196X119MM 50W</t>
  </si>
  <si>
    <t>LIJAS Y RESANADOR</t>
  </si>
  <si>
    <t>ARIADNA MENDIETA</t>
  </si>
  <si>
    <t>PROPINA DESCARGA MDF</t>
  </si>
  <si>
    <t>AEROSOL, TAQUETES, BROCAS</t>
  </si>
  <si>
    <t>FELPA PARA RODILLO MICROFIBRA 9*3/8 SUPERFICIES POCO RUGOSAS</t>
  </si>
  <si>
    <t>GRUPO PLAMI CENTRO</t>
  </si>
  <si>
    <t>CHAROL BLANCO</t>
  </si>
  <si>
    <t>FUMIMUNDO SA DE CV</t>
  </si>
  <si>
    <t>1000 HOJAS DE COLORES</t>
  </si>
  <si>
    <t>ELECTROLUPA</t>
  </si>
  <si>
    <t>CLAVIJAS Y CHALUPAS</t>
  </si>
  <si>
    <t>LASER AND LED MEXICO</t>
  </si>
  <si>
    <t>NEON FLEX VARIOS COLORES</t>
  </si>
  <si>
    <t>TIRAS INTERIOR CALIDAS Y EXTERIOR</t>
  </si>
  <si>
    <t>PAPELERIA LOPSAN</t>
  </si>
  <si>
    <t>10 CINTAS NAVITEK - TRANSPARENTES</t>
  </si>
  <si>
    <t>MULTIHERRAJES</t>
  </si>
  <si>
    <t>HERRAJES</t>
  </si>
  <si>
    <t>ROSALBA MORIYAMA</t>
  </si>
  <si>
    <t>PIOLA, KOLA LOKA Y JUNTA PROEL</t>
  </si>
  <si>
    <t>DIST DE TORNILLOS TOLUCA</t>
  </si>
  <si>
    <t>TORNILLERIA</t>
  </si>
  <si>
    <t>ENGRAPADORAS PARA PRODUCCION</t>
  </si>
  <si>
    <t>500 TORNILLOS CABEZA ALOMADA DE 4X10 CON RONDANA</t>
  </si>
  <si>
    <t>SAYER</t>
  </si>
  <si>
    <t>50 EMPAQUES</t>
  </si>
  <si>
    <t>MASKING AZUL, MASKING TAPE, Y CINTA DOBLE CARA 1/20 X 50</t>
  </si>
  <si>
    <t>COTSCO</t>
  </si>
  <si>
    <t>PAÑOS DE MICROFIBRA</t>
  </si>
  <si>
    <t>300 PIJAS CABEZACRUZ 1 1/4" Y 200 PIJAS CABEZA CRUZ 1 1/2"</t>
  </si>
  <si>
    <t>GRUPO LOZANO HNOS</t>
  </si>
  <si>
    <t>PVC ESPUMADO ECONOMICO DE 3MM 122X244</t>
  </si>
  <si>
    <t>MATERIALES VARIOS</t>
  </si>
  <si>
    <t>RENOVACION DE PLACAS Y CAMBIO DE PROPIETARIO IZUSU</t>
  </si>
  <si>
    <t>LUM EMP LED 15W 110-240V 65K P/BOTE AJUSTABLE</t>
  </si>
  <si>
    <t>ABELARDO ALEJANDRO SUAREZ</t>
  </si>
  <si>
    <t>3 REJACERO 4*8 1.22 X 2.44 MTS GOTICO</t>
  </si>
  <si>
    <t>1 INTERRUPTOR TERMOMAGNETICO 3 POLOS 100A 240V ATORNILLABLE</t>
  </si>
  <si>
    <t>MULTILLANTAS JASSO</t>
  </si>
  <si>
    <t>REPARACION DE HORQUILLAS, BALEROS Y SUSPENCION DE LA JEEP</t>
  </si>
  <si>
    <t>71.10 KGS DE PLAYO 18#</t>
  </si>
  <si>
    <t>LIJAS DE 100X125MM Y 180X125MM</t>
  </si>
  <si>
    <t>FIX FERRETERIAS</t>
  </si>
  <si>
    <t>CENTRO BARBADO GUANTE CAUCHO, LGO DESARMADORES, CINCEL, CESPOL, MARRO OCTAGONAL Y TIJERAS INOX</t>
  </si>
  <si>
    <t>RAGZHA BUSSINES</t>
  </si>
  <si>
    <t>ACEITE PARA DESBROZADORA</t>
  </si>
  <si>
    <t>40 PIEZAS DE CANO SAYER COLADOR</t>
  </si>
  <si>
    <t>COMERCIALIZADORA DOGO</t>
  </si>
  <si>
    <t>RECOGEDOR, ESCOBA PERICO Y PALO DE ESCOBA</t>
  </si>
  <si>
    <t>TELMEX JUN25</t>
  </si>
  <si>
    <t>EXCELCRYL, PALA Y COLADOR</t>
  </si>
  <si>
    <t>10 BTOS MORTERO</t>
  </si>
  <si>
    <t>WALMART</t>
  </si>
  <si>
    <t>4 ZOTES EN BARRA</t>
  </si>
  <si>
    <t>2 ESCOBAS</t>
  </si>
  <si>
    <t>TINTORERIA LA COMINIDAD</t>
  </si>
  <si>
    <t>4.5 KG DE ROPA</t>
  </si>
  <si>
    <t>E174726</t>
  </si>
  <si>
    <t>RBO23251148, 23251147</t>
  </si>
  <si>
    <t>FAC-RCM1367</t>
  </si>
  <si>
    <t>F374779</t>
  </si>
  <si>
    <t>NV79918</t>
  </si>
  <si>
    <t>F86287</t>
  </si>
  <si>
    <t>F2568</t>
  </si>
  <si>
    <t>T73415</t>
  </si>
  <si>
    <t>TK4834</t>
  </si>
  <si>
    <t>TK4835</t>
  </si>
  <si>
    <t>TO50048</t>
  </si>
  <si>
    <t>F190517</t>
  </si>
  <si>
    <t>F8761</t>
  </si>
  <si>
    <t>F4141</t>
  </si>
  <si>
    <t>F4140</t>
  </si>
  <si>
    <t>BP4965</t>
  </si>
  <si>
    <t>F8190</t>
  </si>
  <si>
    <t>F13746</t>
  </si>
  <si>
    <t>F8830</t>
  </si>
  <si>
    <t>F2002586</t>
  </si>
  <si>
    <t>NV32366</t>
  </si>
  <si>
    <t>F611174</t>
  </si>
  <si>
    <t>F964</t>
  </si>
  <si>
    <t>F965</t>
  </si>
  <si>
    <t>F9461</t>
  </si>
  <si>
    <t>F17423</t>
  </si>
  <si>
    <t>AA19514</t>
  </si>
  <si>
    <t>F3119</t>
  </si>
  <si>
    <t>F58724</t>
  </si>
  <si>
    <t>TV01</t>
  </si>
  <si>
    <t>F12965</t>
  </si>
  <si>
    <t>F3606431</t>
  </si>
  <si>
    <t>F8870</t>
  </si>
  <si>
    <t>F531564</t>
  </si>
  <si>
    <t>FVE12194335</t>
  </si>
  <si>
    <t>FCA119648</t>
  </si>
  <si>
    <t>XBA63124</t>
  </si>
  <si>
    <t>F8400</t>
  </si>
  <si>
    <t>NV12046</t>
  </si>
  <si>
    <t>NV154123</t>
  </si>
  <si>
    <t>NV8404</t>
  </si>
  <si>
    <t>A020233</t>
  </si>
  <si>
    <t>NV790890</t>
  </si>
  <si>
    <t>TO50155</t>
  </si>
  <si>
    <t>F13763</t>
  </si>
  <si>
    <t>IIBAY78282</t>
  </si>
  <si>
    <t>TK7303979</t>
  </si>
  <si>
    <t>TK SIN NUM</t>
  </si>
  <si>
    <t>NV6783,F8831</t>
  </si>
  <si>
    <t>REEMBOLSO DE CAJA CHICA - TARJETA SANTANDER 10 Y 11JUN25</t>
  </si>
  <si>
    <t>INTEGRACION</t>
  </si>
  <si>
    <t>integracion</t>
  </si>
  <si>
    <t>CUTTER CHICO</t>
  </si>
  <si>
    <t>CLAVIJAS ANGULARES</t>
  </si>
  <si>
    <t>EXTENSIONES PARA EL TALLER</t>
  </si>
  <si>
    <t>HOJA DE MDF DE 6 MM</t>
  </si>
  <si>
    <t>CAMA DEL CNC</t>
  </si>
  <si>
    <t>PUNTAS PARA DESATORNILLADOR</t>
  </si>
  <si>
    <t>LACER</t>
  </si>
  <si>
    <t>CINTA DE ISLAR</t>
  </si>
  <si>
    <t>CONTACTO TIPO 8</t>
  </si>
  <si>
    <t>OFICINAS</t>
  </si>
  <si>
    <t>TALLER</t>
  </si>
  <si>
    <t>DISEÑO</t>
  </si>
  <si>
    <t>PEAJES DEL 2 AL 10JUN25 ENRIQUE Y ROGELIO</t>
  </si>
  <si>
    <t>PEAJES DEL 07JUN25 YAIR</t>
  </si>
  <si>
    <t>PEAJES DEL 12 AL 20JUN25 ENRIQUE</t>
  </si>
  <si>
    <t>CDEC-25266</t>
  </si>
  <si>
    <t>CDEC-25558</t>
  </si>
  <si>
    <t>COSTCO TOLUCA 7 DF</t>
  </si>
  <si>
    <t>A1088BMXN02 MSBILL.INFO</t>
  </si>
  <si>
    <t>ILOVEPDF.COM BARCELONA</t>
  </si>
  <si>
    <t>AMEX - SANTANDER</t>
  </si>
  <si>
    <t>COMPRAS VICTOR</t>
  </si>
  <si>
    <t>GASOLINERAS COATMOL</t>
  </si>
  <si>
    <t>COMBUSTIBLE OCTAVIO/VICTOR</t>
  </si>
  <si>
    <t>WE4566</t>
  </si>
  <si>
    <t>A708</t>
  </si>
  <si>
    <t>TK64166</t>
  </si>
  <si>
    <t>SERVICIO DE VIGILANCIA DEL 16 AL 30JUN25</t>
  </si>
  <si>
    <t>TOALLAS PREDOBLADAS, PAPEL HIGIENICO, RECOGEDOR, DESTAPACAÑOS, LYSOL</t>
  </si>
  <si>
    <t>PAQUETE DE MDF DE 6MM</t>
  </si>
  <si>
    <t>REVISAR FALLA AHOGADOR IZUSU</t>
  </si>
  <si>
    <t>NANCY INIESTRA REYES</t>
  </si>
  <si>
    <t>1 ROLLO DE 20MTS DE TELA TERGAL NEGRA</t>
  </si>
  <si>
    <t>10 ROLLOS DE VINIL CDE IMPRESION</t>
  </si>
  <si>
    <t>REPARACIÓN LINEAS DE FRENADO + PURGADORES ISUZU EN VERACRUZ,PAGO TALACHA CAMIONETA POER 1, PAGO REPARACIÓN RIN HYUNDAI</t>
  </si>
  <si>
    <t>10 HOJAS DETRIPLAY FLEXIBLE DE 6MM</t>
  </si>
  <si>
    <t>5 ACRILICOS Z2 3MM 120X240 / 1 ACRILICO Z2 6MM 120*240 BCO</t>
  </si>
  <si>
    <t>QUALITAS COMPAÑIA DE SEGUROS S.A. DE C.V</t>
  </si>
  <si>
    <t>SEGURO ISUZU ELF 400 CHASIS CABINA DEL 2JUL25-2JUL26</t>
  </si>
  <si>
    <t>SEGURO INTER-NAVIS 4300-210 VT466 5VEL CHASIS MOD2006 DEL 2JUL25-2JUL26</t>
  </si>
  <si>
    <t>12CUB LACAS AUTOMOTIVAS, 12 PMEX MATIZANTE Y 2GALON FLASH COAT</t>
  </si>
  <si>
    <t>COMPRA DE PAPELERIA JULIO-AGOSTO 2025</t>
  </si>
  <si>
    <t>5 VIAJES DE RECOLECCION DE BASURA - JULIO25</t>
  </si>
  <si>
    <t>PAGO RENTA DE CASA SUAREZ JULIO2025</t>
  </si>
  <si>
    <t>JOSE ARTURO FLORES</t>
  </si>
  <si>
    <t>ANTICIPO 70% REDILA PICKUP</t>
  </si>
  <si>
    <t>CONSTRUCCION OFICINAS NUEVAS</t>
  </si>
  <si>
    <t>TRANFER BLANCO Y TRANSPARENTE - ORACAL 651 INTERM WHITE MATTE - RECORTE</t>
  </si>
  <si>
    <t>REEMBOLSO PAGO FINIQ PLOMERO BAÑOS 2o. PISO OFICINAS NUEVAS - VICTOR MARTINEZ 24JUN25</t>
  </si>
  <si>
    <t>REEMBOLSO COMPRA DE ASPIRADORAS GAS 12V / ASPIRADORA PORTATIL FERRECSA 26JUN25</t>
  </si>
  <si>
    <t>REEMBOLSO ESQUINEROS Y BAJO ALFOMBRA 02/07/2025 NOVELSA</t>
  </si>
  <si>
    <t>REEMBOLSO EQUIPOS DE COMPUTOS</t>
  </si>
  <si>
    <t>PINTURAS PARA PLOTER 2 PIEZAS YELLOW HP832</t>
  </si>
  <si>
    <t>PINTURAS PARA PLOTER HP832</t>
  </si>
  <si>
    <t>PINTURAS PARA PLOTER HP831</t>
  </si>
  <si>
    <t>103 PZAS MDF 9MM Y 120PZAS MDF 15MM</t>
  </si>
  <si>
    <t>200 LITROS DE SOLVENTE THINNER</t>
  </si>
  <si>
    <t>DIF POR 8 BULTOS DE CEMENTO PARA OFICINAS NUEVAS 07JUL25</t>
  </si>
  <si>
    <t>300 BTOS ESTUKO CON FIBRA PARA OFICINAS NUEVAS 08JUL25</t>
  </si>
  <si>
    <t>ANTICIPO DE COMPRAS FUTURAS</t>
  </si>
  <si>
    <t>JOSUE FERNANDO ROLDAN RODRIGUEZ</t>
  </si>
  <si>
    <t>PAGO DE GORRAS Y MOCHILAS MADE</t>
  </si>
  <si>
    <t>TRACTOCAMIONES Y REFACCIONES DE TOLUCA S.A. DE C.V.</t>
  </si>
  <si>
    <t>PRESUPUESTO DE REFACCIONES 04JUL25</t>
  </si>
  <si>
    <t>1 ACRILICO ROJO DE 3MM COLOR L-122 TAMAÑO 120 X 180 PLASTIGLAS</t>
  </si>
  <si>
    <t>PAGO MENSUAL SOCIAL MEDIA MES DE JULIO 2025</t>
  </si>
  <si>
    <t>COMPRA DE 1 PAR DE ZAPATOS Maestro ISAIAS (Albañileria)</t>
  </si>
  <si>
    <t>VERIFICACION ISUZU 03JUL25</t>
  </si>
  <si>
    <t>COMPRA DE CARTUCHO DE MANTENIEMIENTO PLOTTER 365</t>
  </si>
  <si>
    <t>REEMBOLSO PLOTTER MADE REFACCIONES VALENTE 04JUL25</t>
  </si>
  <si>
    <t>4 TONERS PARA IMPRESORA CYAN, NEGRO, MAGENTA Y AMARILLO</t>
  </si>
  <si>
    <t>1 CUBETA DE 19 LITROS SELLADOR 5X1 REFORZADO COMEX 10JUL25</t>
  </si>
  <si>
    <t>EFRAIN GONZALEZ COLIN (SHERWIN WILLIAMS)</t>
  </si>
  <si>
    <t>20 LITROS RESANADOR AUTOMOTRIZ, 5 CATALIZADORES AUTOM, WINDEXR 10JUL25</t>
  </si>
  <si>
    <t>SERVICIO DE VIGILANCIA DEL 01 AL 15JUL25</t>
  </si>
  <si>
    <t>CONSORCIO C T A AUTOMOTRIZ S.A DE CV</t>
  </si>
  <si>
    <t>SERVICIO DE HOJALATERIA PUERTA POER 1 //DESCUENTO OMAR GLZ</t>
  </si>
  <si>
    <t>TRIPLAY MDF 6MM / MANCHASAYER / RESANADOR DA229216 12JUN25</t>
  </si>
  <si>
    <t>COMEX BROCHA PELO DE CAMELLO 1,2/200L COMEX THINER BASICO A CAMBIO 16JUL25</t>
  </si>
  <si>
    <t>PCREATHORS SA DE CV</t>
  </si>
  <si>
    <t>PC PARA RENDERS (COMPONENTES, ARMADO Y ENVIO)</t>
  </si>
  <si>
    <t>PAGO TRABAJO DE HERRERIA PARA ESCALERA OFICINAS NUEVAS 11JUL25 -JOSE ARTURO F</t>
  </si>
  <si>
    <t>PAGO COMPLEMENTO ESTRUCTURA CAMIONETA 11JUL25 - JOSE ARTURO F</t>
  </si>
  <si>
    <t>UHTHOFF GOMEZ VEGA Y UHTHOFF S.C</t>
  </si>
  <si>
    <t>USO DE MARCA</t>
  </si>
  <si>
    <t>LACA AUTOMOTICA ROJA Y BLANCA, AQUA 100, CONTENEDOR COLOR CENTER</t>
  </si>
  <si>
    <t>PAGO IVA DE LA COMPRA DE 4 TONERS PARA IMPRESORA</t>
  </si>
  <si>
    <t>19L DE POLYFORM LACA AUTOMOTIVA V4</t>
  </si>
  <si>
    <t>PESA TECNOLOGIA APLICADA INDUSTRIAL Y AUTOMOTRIZ</t>
  </si>
  <si>
    <t>KLINGSPOR DISCO DE LIJA FILMICO FP77 5´XN/H K/O 80 100 120 180 220 320 W</t>
  </si>
  <si>
    <t>BAODING CONTINENTAL SA DE CV</t>
  </si>
  <si>
    <t>ANTICIPO BALATAS</t>
  </si>
  <si>
    <t>FORMAICA NOGAL PARMA 5722-30</t>
  </si>
  <si>
    <t>RESISTOL 850 BLANCO 19L/RESISTOL 5000 19L/BISAGRA BIDEMENSIONAL BRUKEN/POLIN 3 1/2"X3 1/2"X8 1/4"</t>
  </si>
  <si>
    <t>FINIQUITO 19L COLOR CAR PRIMER/1L POLYFORM LACA AUTOMOTIVA V4/1L VINIMEX CLASICA NF</t>
  </si>
  <si>
    <t>SISTEMA DE CORTE CNC METAL. S.A de C.V</t>
  </si>
  <si>
    <t>COMPRA DE FUENTE DE PODER PARA LASER Y CAMBIO DEL MISMO 21JUL25</t>
  </si>
  <si>
    <t>RENTA BODEGA JULIO 2025</t>
  </si>
  <si>
    <t>200L COMEX THINER BASICO A CAMBIO/19L COLOR CAR PRIMER PIROXILINA BL/1L VINIMEX CLASICA NF SAT V1</t>
  </si>
  <si>
    <t>MAT DIVERSOS DA230732 DA206122</t>
  </si>
  <si>
    <t>F687</t>
  </si>
  <si>
    <t>ISIDRO</t>
  </si>
  <si>
    <t>Cotizacion 25 junio 2025</t>
  </si>
  <si>
    <t>DA33066</t>
  </si>
  <si>
    <t>NV865</t>
  </si>
  <si>
    <t>Fact TE189901</t>
  </si>
  <si>
    <t>Fact 907</t>
  </si>
  <si>
    <t xml:space="preserve">FACT 272 </t>
  </si>
  <si>
    <t>Fact. 9662038 COMEX</t>
  </si>
  <si>
    <t>f8944</t>
  </si>
  <si>
    <t>F13807</t>
  </si>
  <si>
    <t>FACT 25904 SAGARO</t>
  </si>
  <si>
    <t>YANET</t>
  </si>
  <si>
    <t>Fact MEX 44511</t>
  </si>
  <si>
    <t>F44323</t>
  </si>
  <si>
    <t>COT 19868 SEGRA</t>
  </si>
  <si>
    <t>Fact 35073</t>
  </si>
  <si>
    <t>F13821</t>
  </si>
  <si>
    <t>F13820</t>
  </si>
  <si>
    <t>F13822</t>
  </si>
  <si>
    <t>VANESSA</t>
  </si>
  <si>
    <t>SE9379</t>
  </si>
  <si>
    <t>COT102020 ACRILICO ROJO</t>
  </si>
  <si>
    <t>SEG 60963</t>
  </si>
  <si>
    <t>FAC AA90073692-90073875</t>
  </si>
  <si>
    <t>F35094</t>
  </si>
  <si>
    <t>A 3859</t>
  </si>
  <si>
    <t>F700</t>
  </si>
  <si>
    <t>DA2292216</t>
  </si>
  <si>
    <t>F35103</t>
  </si>
  <si>
    <t>F-192</t>
  </si>
  <si>
    <t>DAVID</t>
  </si>
  <si>
    <t>F35108</t>
  </si>
  <si>
    <t>F AA900736692-90073875</t>
  </si>
  <si>
    <t>COT 6118</t>
  </si>
  <si>
    <t>COMPROBANTE.pdf</t>
  </si>
  <si>
    <t>DA33371</t>
  </si>
  <si>
    <t>COT-7200</t>
  </si>
  <si>
    <t>FAC DA33513</t>
  </si>
  <si>
    <t>COT-3399,DA33286</t>
  </si>
  <si>
    <t>COT. 1261 ,FACT</t>
  </si>
  <si>
    <t>COT,F35129</t>
  </si>
  <si>
    <t>COT,FAC 5199</t>
  </si>
  <si>
    <t>COTIZACION,F35143</t>
  </si>
  <si>
    <t>AXEL FLORES</t>
  </si>
  <si>
    <t>NOMINA SEM DEL 23 AL 29JUN25</t>
  </si>
  <si>
    <t>BONO SEM DEL 23 AL 29JUN25</t>
  </si>
  <si>
    <t>BONO SEM DEL 30JUN AL 06JUL25</t>
  </si>
  <si>
    <t>NOMINA SEMANAL DEL 30JUN AL 06JUL25</t>
  </si>
  <si>
    <t>NOMINA SEMANAL DEL 7 AL 13JUL25</t>
  </si>
  <si>
    <t>NOMINA SEMANAL DEL 14 AL 20JUL25</t>
  </si>
  <si>
    <t>NOMINA SEMANAL DEL 21 AL 27JUL25</t>
  </si>
  <si>
    <t>NOMINA QUINC FISCAL DEL 1 AL 15JUL25</t>
  </si>
  <si>
    <t>NOMINA ASIMILADOS QUINC 1 AL 15JUL25</t>
  </si>
  <si>
    <t>NOMINA QUINC FISCAL DEL 16 AL 31JUL25</t>
  </si>
  <si>
    <t>NOMINA ASIMILADOS QUINC 16 AL 31JUL25</t>
  </si>
  <si>
    <t>REEMBOLSO PRESTAMO FREDY RICO 28JUN25</t>
  </si>
  <si>
    <t>REEMBOLSO PRESTAMO YAIR PEREZ 04JUL25</t>
  </si>
  <si>
    <t>PRESTAMO CESAR RICO 13JUL25</t>
  </si>
  <si>
    <t>MARCO ANTONIO LEYVA HERRERA</t>
  </si>
  <si>
    <t>FINIQUITO MARCO A LEYVA HERRERA</t>
  </si>
  <si>
    <t>ISIDRO GONZALEZ DIAZ</t>
  </si>
  <si>
    <t>FINIQUITO ISIDRO GONZALEZ DIAZ</t>
  </si>
  <si>
    <t>EDGAR RICARDO CONTRERAS</t>
  </si>
  <si>
    <t>FINIQUITO RICARDO CONTRERAS</t>
  </si>
  <si>
    <t>COMISIONES BANCARIAS JUN25</t>
  </si>
  <si>
    <t>1 GALON EXCELCRYL, PALA, COLADOR Y 1 GALON BOTE DE PRESION SENCILLA</t>
  </si>
  <si>
    <t>OPERADORA CONCESIONARIA MEXIQUENSE SA DE CV</t>
  </si>
  <si>
    <t>HYUNDAI CAMIONES</t>
  </si>
  <si>
    <t>SELLADOR DE JUNTAS HYUNDAI</t>
  </si>
  <si>
    <t>AFINACION COMPLETA Y AJUSTE DE BALATAS, ENGRASADO</t>
  </si>
  <si>
    <t>EURO ELECTRICA SA DE CV</t>
  </si>
  <si>
    <t>COPLES, CONECTORES, ABRAZADERAS, CABLE, TAQUETES</t>
  </si>
  <si>
    <t>STEREN</t>
  </si>
  <si>
    <t>5 MEMORIAS USB PARA PRODUCCION Y UN CABLE USB</t>
  </si>
  <si>
    <t>COMERCIALIZADORA DOGO DE TOLUCA</t>
  </si>
  <si>
    <t>10 ATOMIZADORES</t>
  </si>
  <si>
    <t>HOME DEPOT</t>
  </si>
  <si>
    <t>3 SIKABOND ULTIMATE</t>
  </si>
  <si>
    <t>10 KOLA LOKA DE BROCHA</t>
  </si>
  <si>
    <t>10 BROCAS DE BALERO</t>
  </si>
  <si>
    <t>1 ESCOBILLA PARA BAÑO Y 1 GUANTES CARNAZA</t>
  </si>
  <si>
    <t>1 BULTO DE ESPAÑA</t>
  </si>
  <si>
    <t>RENOVACION DE CERTIFICACION ACHILLES 2025</t>
  </si>
  <si>
    <t>MUEBLES PARA BAÑO GERSA</t>
  </si>
  <si>
    <t>PISO PARA OFICINAS NUEVAS 2o. PISO</t>
  </si>
  <si>
    <t>14 GARRAFONES DE AGUA</t>
  </si>
  <si>
    <t>SISTEMA DE CORTE CNC METAL</t>
  </si>
  <si>
    <t>VIATICOS PARA REVISION DE CNC</t>
  </si>
  <si>
    <t>FARMACIA GUADALAJARA</t>
  </si>
  <si>
    <t>INSUMOS PARA BOTIQUIN</t>
  </si>
  <si>
    <t>REEMBOLSO ROTACION DE LLANTAS HYNDAI</t>
  </si>
  <si>
    <t>FARMACIA VETERINARIA DE TOLUCA</t>
  </si>
  <si>
    <t>INSUMOS PARA FUMIGACION</t>
  </si>
  <si>
    <t>ALIMENTO PARA PERRO</t>
  </si>
  <si>
    <t>CEVER TOLUCA</t>
  </si>
  <si>
    <t>RECTIFICADO DISCOS, ROTOR, HUMEDAD EN ACEITE Y PARCHE DE LLANTA</t>
  </si>
  <si>
    <t>BAODING CONTINENTAL</t>
  </si>
  <si>
    <t>SERVICIO POER 20000 KM</t>
  </si>
  <si>
    <t>REEMBOLSO VICTOR VINIL PREMIUN WOOD - DIST DE INSUMOS GRAFICOS</t>
  </si>
  <si>
    <t>REEMBOLSO ARRANCADOR 400 - REFACC DIESEL 7JUL25</t>
  </si>
  <si>
    <t>141.40 KGS PLAYO - 40 ROLLOS 18"</t>
  </si>
  <si>
    <t>MATERIAL ELECTRICO PARA OFICINAS NUEVAS</t>
  </si>
  <si>
    <t>ARANDELAS, TORNILLOS INOX Y TORNILLOS ALLEN</t>
  </si>
  <si>
    <t>MADERAS ALBITER</t>
  </si>
  <si>
    <t>20 LAMINAS MDF 4.5" NATURAL</t>
  </si>
  <si>
    <t>GOBIERNO DEL EDO DE MEXICO</t>
  </si>
  <si>
    <t>RENOVACION PLACAS ISUZU 2025</t>
  </si>
  <si>
    <t>LAMPARAS PARA OFICINAS NUEVAS 2o. PISO</t>
  </si>
  <si>
    <t>TALACHA LLANTA HIACE</t>
  </si>
  <si>
    <t>DIST DE INSUMOS GRAFICOS</t>
  </si>
  <si>
    <t>FELPA CON IMAN</t>
  </si>
  <si>
    <t>INDUSTRIAS BRALLE</t>
  </si>
  <si>
    <t>1 BASES GIRATORIA 9.5 CM MEDIANA CARGA 6KGS</t>
  </si>
  <si>
    <t>VARILLA DE COBRE PARA TIERRA, CONECTOR, COMPUESTO INTENSIFICADOR Y CABLE AISLAMIENTO</t>
  </si>
  <si>
    <t>4 LTS SOLVENTE XILOL Y GARRAFA</t>
  </si>
  <si>
    <t>AUTO CARS</t>
  </si>
  <si>
    <t>MTTO UNIDAD INTER</t>
  </si>
  <si>
    <t>DIST DE TORNILLOS, BIRLOS Y HERRAMIENTAS</t>
  </si>
  <si>
    <t>ARANDELAS PLANAS GALV 3/16"</t>
  </si>
  <si>
    <t>9 BASE GIRATORIA CUADRADA 9.5 CM MEDIANA CARGA 6KGS</t>
  </si>
  <si>
    <t>2589597 - COMISION TOKA</t>
  </si>
  <si>
    <t>TOMA CORRIENTE, CLAVIJA, TUBO TERMO CONTRACTIL</t>
  </si>
  <si>
    <t>CASA MARCHAND</t>
  </si>
  <si>
    <t>36 ROLLOS DE PLAYO CHICO</t>
  </si>
  <si>
    <t>TORNILLOS BULHER 6 * 1/2 - 10 PZAS</t>
  </si>
  <si>
    <t>200 PZAS DE TAQUETES DE MADERA</t>
  </si>
  <si>
    <t>3 BROCAS BR-06</t>
  </si>
  <si>
    <t>CABLE RED Y CONECTORES PARA OFICINAS</t>
  </si>
  <si>
    <t>CUERDA NYLON BCA DE 3/8 Y DE 1/4 50-10 MTS</t>
  </si>
  <si>
    <t>CARGADORES, BATERIAS, SWITCH</t>
  </si>
  <si>
    <t>3 GALONES DE LACA AUTOMOTIVA BLANCA</t>
  </si>
  <si>
    <t>OFFICE DEPOT</t>
  </si>
  <si>
    <t>1 MOUSE PARA ADMON</t>
  </si>
  <si>
    <t>DIMEINT</t>
  </si>
  <si>
    <t>FOCOS TECNOLITE</t>
  </si>
  <si>
    <t>VERIFICACION 2o semestre - ISUZU</t>
  </si>
  <si>
    <t>EXCALAR ROJO, COLADOR, PALAS, PERLA EN POLVO</t>
  </si>
  <si>
    <t>RASPADOR DE NAVAJA, FOCO LED Y SISTA ELASTOMERICO</t>
  </si>
  <si>
    <t>ESQUINEROS 2X2 CAL 160X 120CM</t>
  </si>
  <si>
    <t>LUZ DEL 13JUN AL 15JUL25</t>
  </si>
  <si>
    <t>TEELFONOS DE MEXICO</t>
  </si>
  <si>
    <t>TELMEX LINEA 1 - JUL25</t>
  </si>
  <si>
    <t>TELMEX LINEA 2 - JUL25</t>
  </si>
  <si>
    <t>ELECTRICA SANTANA</t>
  </si>
  <si>
    <t>CODO, CLAVIJAS Y ELECTRO REGISTRO OVALADO</t>
  </si>
  <si>
    <t>CONDULET, CONECTOR, CODO, COPLE, ABRAZADERAS</t>
  </si>
  <si>
    <t>LA CARREDANA</t>
  </si>
  <si>
    <t>CUÑA PARA RASPAR Y DOBLADOR DE TUBO CONDUIT</t>
  </si>
  <si>
    <t>HERRAMIENTA SAVI</t>
  </si>
  <si>
    <t>PLATO DE HULE FLEXIBLE</t>
  </si>
  <si>
    <t>GALERIAS METEPEC</t>
  </si>
  <si>
    <t>ESTACIONAMIENTO 04/07/25</t>
  </si>
  <si>
    <t>D ROSS</t>
  </si>
  <si>
    <t>COMPOSTURA DE PANTALON</t>
  </si>
  <si>
    <t>BOLSA CON 25 CINCHOS 350*4.5</t>
  </si>
  <si>
    <t>PLAZA LAS AMERICAS</t>
  </si>
  <si>
    <t>ESTACIONAMIENTO 21/07/25</t>
  </si>
  <si>
    <t>TO50172</t>
  </si>
  <si>
    <t>AB00520</t>
  </si>
  <si>
    <t>AB00519</t>
  </si>
  <si>
    <t>XFA81755</t>
  </si>
  <si>
    <t>TO50189</t>
  </si>
  <si>
    <t>F18411</t>
  </si>
  <si>
    <t>F022072</t>
  </si>
  <si>
    <t>TK093298</t>
  </si>
  <si>
    <t>F3153</t>
  </si>
  <si>
    <t>F3163</t>
  </si>
  <si>
    <t>Fact AAEC</t>
  </si>
  <si>
    <t>F024032E</t>
  </si>
  <si>
    <t>A31882</t>
  </si>
  <si>
    <t>RBO6382</t>
  </si>
  <si>
    <t>F7058</t>
  </si>
  <si>
    <t>AXV41959</t>
  </si>
  <si>
    <t>F7845</t>
  </si>
  <si>
    <t>JJ381704</t>
  </si>
  <si>
    <t>S192523</t>
  </si>
  <si>
    <t>FS955</t>
  </si>
  <si>
    <t>VN31348</t>
  </si>
  <si>
    <t>F60094</t>
  </si>
  <si>
    <t>F43828B</t>
  </si>
  <si>
    <t>XFA82180</t>
  </si>
  <si>
    <t>NM21803</t>
  </si>
  <si>
    <t>COTIZACION 002085</t>
  </si>
  <si>
    <t>XFA82249</t>
  </si>
  <si>
    <t>F58559</t>
  </si>
  <si>
    <t>CJPM4915</t>
  </si>
  <si>
    <t>XFA82350</t>
  </si>
  <si>
    <t>F56162</t>
  </si>
  <si>
    <t>F243</t>
  </si>
  <si>
    <t>AA19730</t>
  </si>
  <si>
    <t>F3135</t>
  </si>
  <si>
    <t>XFA82503</t>
  </si>
  <si>
    <t>POSO4101261</t>
  </si>
  <si>
    <t>4395B</t>
  </si>
  <si>
    <t>MDK9070</t>
  </si>
  <si>
    <t>CJPM4945</t>
  </si>
  <si>
    <t>F37717</t>
  </si>
  <si>
    <t>F486051</t>
  </si>
  <si>
    <t>F291637</t>
  </si>
  <si>
    <t>F255458</t>
  </si>
  <si>
    <t>TO50326</t>
  </si>
  <si>
    <t>TK25173</t>
  </si>
  <si>
    <t>F89318</t>
  </si>
  <si>
    <t>F89319</t>
  </si>
  <si>
    <t>BP0729</t>
  </si>
  <si>
    <t>XFA82733</t>
  </si>
  <si>
    <t>676FBD</t>
  </si>
  <si>
    <t>TLC25881</t>
  </si>
  <si>
    <t>TK0344670</t>
  </si>
  <si>
    <t>TK69252</t>
  </si>
  <si>
    <t>NV2757</t>
  </si>
  <si>
    <t>TK0325568</t>
  </si>
  <si>
    <t>TRASPASO PARA PAGO EUROS KIT GROUP</t>
  </si>
  <si>
    <t>TRASPASO PARA PAGO TELE VIA</t>
  </si>
  <si>
    <t>FONDOS PARA PAGO USD - WILDCATS LESSEE LLC ARGONAUT HOTEL 5600 USD</t>
  </si>
  <si>
    <t>NOM080725</t>
  </si>
  <si>
    <t>NOMINA SEMANAL FISCAL</t>
  </si>
  <si>
    <t>PAGO MTTO INTERCONTINENTAL</t>
  </si>
  <si>
    <t>REEMBOLSO FONDO SANTANDER SUBCUENTA</t>
  </si>
  <si>
    <t>TRASPASO PARA PAGO DE INCREMENTO GARANTIA</t>
  </si>
  <si>
    <t>AEROSOL NEGRO</t>
  </si>
  <si>
    <t>4 FELPA GRANDE COMEX</t>
  </si>
  <si>
    <t>PINTURA VINILICA NEGRO CON AGUA</t>
  </si>
  <si>
    <t>8 FELPA CHICO</t>
  </si>
  <si>
    <t>3 BROCHAS 1"</t>
  </si>
  <si>
    <t>38 LTS PINTURA VINILICA BLANCA</t>
  </si>
  <si>
    <t>4 LIJAS AMARILLAS CON VELCRO GRADO 80</t>
  </si>
  <si>
    <t>1 TRAPO</t>
  </si>
  <si>
    <t>CABLE DEL 12 NEGRO</t>
  </si>
  <si>
    <t>CABLE DEL 12 BLANCO</t>
  </si>
  <si>
    <t>CABLE DEL 12 VERDE</t>
  </si>
  <si>
    <t>TUBO GALVANIZADO DE 3/4</t>
  </si>
  <si>
    <t>CONTACTOS CON TAPA</t>
  </si>
  <si>
    <t>CONECTORES 3/4</t>
  </si>
  <si>
    <t>CURVAS DE 3/4</t>
  </si>
  <si>
    <t>PLACAS DE 2 MODULOS</t>
  </si>
  <si>
    <t>PLACA DE 1 MODULO</t>
  </si>
  <si>
    <t>APAGADOR SENCILLO</t>
  </si>
  <si>
    <t>APAGADOR DE ESCALERA</t>
  </si>
  <si>
    <t>CINTA DOBLE CARA VERDE</t>
  </si>
  <si>
    <t>CURVAS DE 1/2</t>
  </si>
  <si>
    <t>CAJA PARA REGISTRO</t>
  </si>
  <si>
    <t>COPLE DE 1/2</t>
  </si>
  <si>
    <t>ABRAZAERA DE UÑA 3/4</t>
  </si>
  <si>
    <t>BROCHAS DE 2´´</t>
  </si>
  <si>
    <t>COPLE DE 3/4</t>
  </si>
  <si>
    <t>CONECTORES 3/8</t>
  </si>
  <si>
    <t>TAPAS 3/4</t>
  </si>
  <si>
    <t>PIJA DE 1 AUTOTALADRANTE</t>
  </si>
  <si>
    <t>11 Y 17JUL25</t>
  </si>
  <si>
    <t>15, 17 Y 21JUL</t>
  </si>
  <si>
    <t>15 Y 21JUL25</t>
  </si>
  <si>
    <t>17 Y 21JUL25</t>
  </si>
  <si>
    <t>OPERADORA CONCESIONARIA</t>
  </si>
  <si>
    <t>CASETAS DEL 21 AL 28JUN25</t>
  </si>
  <si>
    <t>CASETAS DEL 1 AL 10JUL25 ENRIQUE, FREDY Y ROGELIO</t>
  </si>
  <si>
    <t>CASETAS DEL 11 AL 20JUL25</t>
  </si>
  <si>
    <t>CASETAS DEL 21 AL 31JUL25</t>
  </si>
  <si>
    <t>CDEC-26351</t>
  </si>
  <si>
    <t>CDEC-26493</t>
  </si>
  <si>
    <t>FAC CDEC27277</t>
  </si>
  <si>
    <t>CDEC-25931 ,25966</t>
  </si>
  <si>
    <t>MERCADOPAGO*STARLINKMEX CDMX</t>
  </si>
  <si>
    <t>RINCON ARGENTINO POLANC MEXICO</t>
  </si>
  <si>
    <t>W MEXICO CITY MIGUEL HIDALG</t>
  </si>
  <si>
    <t>PROPARK CIUDAD DE MEX</t>
  </si>
  <si>
    <t>HYATT REGENCY CDMX 4 73 MEXICOCIUDADD</t>
  </si>
  <si>
    <t>29.00 USD JAVIER</t>
  </si>
  <si>
    <t>SERVICIO MOGUMAIS</t>
  </si>
  <si>
    <t>COMBUSTIBLE YAIR 01/07/25</t>
  </si>
  <si>
    <t>EDGAR JOSE ARGUELLES</t>
  </si>
  <si>
    <t>MOV INTERNO MADE</t>
  </si>
  <si>
    <t>SERVICIO POTOMARIN</t>
  </si>
  <si>
    <t>COSTCO GAS TOLU</t>
  </si>
  <si>
    <t>GASOLINERIA RENOVACION</t>
  </si>
  <si>
    <t>COMPRAS MATERIALES BODEGA</t>
  </si>
  <si>
    <t>COMBUSTIBLE LAS FLORES</t>
  </si>
  <si>
    <t>SERVICIO PORTOMARIN</t>
  </si>
  <si>
    <t>MOVIMIENTO POER 1 A TALLER POLANCO</t>
  </si>
  <si>
    <t>RECOLECCIÓN U-STORAGE TLALPAN Y MOVIMIENTO DE U-STORAGE A MIX XOCHIMILCO</t>
  </si>
  <si>
    <t>TK372355</t>
  </si>
  <si>
    <t>W94296</t>
  </si>
  <si>
    <t>F12362</t>
  </si>
  <si>
    <t>F19651</t>
  </si>
  <si>
    <t>TK515697</t>
  </si>
  <si>
    <t>F19637</t>
  </si>
  <si>
    <t>F23460</t>
  </si>
  <si>
    <t>GUILLERMO</t>
  </si>
  <si>
    <t>WE15256</t>
  </si>
  <si>
    <t>W79262</t>
  </si>
  <si>
    <t>$ 15,249.65 euros</t>
  </si>
  <si>
    <t>SERVICIO DE VIGILANCIA DEL 16 AL 31JUL25</t>
  </si>
  <si>
    <t>REEMBOLSO PAGO POR LLANTA DELANTERA PILOTO Y ROTACION FREDY</t>
  </si>
  <si>
    <t>PINTURAS PARA PLOTTER ANT</t>
  </si>
  <si>
    <t>EVELIA CHAVEZ HINOJOSA</t>
  </si>
  <si>
    <t>LLANTAS 215/60 R17 EURODRIVE 02ABRIL25</t>
  </si>
  <si>
    <t>MOTOR HP LATEX 700 SERIES</t>
  </si>
  <si>
    <t>LLANTAS R11 R 22.5 HSR2 DIRECCION CHINA</t>
  </si>
  <si>
    <t>4 VIAJES DE RECOLECCION DE BASURA - AGOSTO25</t>
  </si>
  <si>
    <t>REEMBOLSO VENTILADORES PARA OFICINAS NUEVAS 22JUL25</t>
  </si>
  <si>
    <t>MDF NATURAL 15MM</t>
  </si>
  <si>
    <t>PAGO RENTA DE CASA SUAREZ AGOSTO2025</t>
  </si>
  <si>
    <t>PAGO ADEUDO 2024 YA CARGADOS EN CIERRES CORRESPONDEINTES</t>
  </si>
  <si>
    <t>PAGO MENSUAL SOCIAL MEDIA MES DE AGOSTO 2025</t>
  </si>
  <si>
    <t>3 GALONES POLYFORM LACA AUTOMOTIVA BLANCO/CONTENEDOR COLOR CENTER</t>
  </si>
  <si>
    <t>LASER AND LED MEXICO S.A DE C.V</t>
  </si>
  <si>
    <t>TIRA 5M CALIDA EXTERIOR/TIRA 5M BLANCA INTERIOR COB 12V</t>
  </si>
  <si>
    <t>3 GALONES POLYFORM AUTOMOTIVA BLANCO/CONTENEDOR COLOR CENTER</t>
  </si>
  <si>
    <t>DANTE ALEXANDER JIMENEZ MARTINEZ</t>
  </si>
  <si>
    <t>LETREROS OFICINAS</t>
  </si>
  <si>
    <t>Anto Cars México Bancomer</t>
  </si>
  <si>
    <t>COMPRESOR CAMION</t>
  </si>
  <si>
    <t>MAT DIVERSOS DA231555 DA206729 DA207380</t>
  </si>
  <si>
    <t>19L COLOR CAR PRIMER PIROXILINA BL</t>
  </si>
  <si>
    <t>5 PZAS ACRILICO Z2 3 MM120X240</t>
  </si>
  <si>
    <t>TOALLAS PREDOBLADAS, PAPEL HIGIENICO, LIQUIDO FABULOSO MULT</t>
  </si>
  <si>
    <t>2 GALONES POLYFORM LACA AUTOMOTIVA BLANCO/CONTENEDOR COLOR CENTER</t>
  </si>
  <si>
    <t>SERVICIO DE VIGILANCIA DEL 01 AL 15 DE AGOSTO</t>
  </si>
  <si>
    <t>REF1924 1 TAMBO DE TINER BASICO A CAMBIO/20 PZS PLASTIPROTECTOR LIGERO BIO 15M</t>
  </si>
  <si>
    <t>ANTICIPO 50% GPS 403A 3 UNIDADES POER1 POER2 Y JEEP</t>
  </si>
  <si>
    <t>MAT DIVERSOS DA212679 DA212680 DA214153 DA214548</t>
  </si>
  <si>
    <t>MAT DIVERSOS DA232852 16JUL25</t>
  </si>
  <si>
    <t>1 GALON POLYFORM LACA AUTOMOTIVA V4/ 19L POLIFORM LACA AUTOMOTIVA V4</t>
  </si>
  <si>
    <t>PAGO DE LUZ DEL 15JUL AL 14AGO 2025</t>
  </si>
  <si>
    <t>FINIQUITO 50% GPS 403A 3 UNIDADES 4G</t>
  </si>
  <si>
    <t>POLYESTRECH 18"/BOLSA POLIETILENO NEGRA 90X120</t>
  </si>
  <si>
    <t>TRABAJOS DE PLOMERIA OFICINA ENRIQUE</t>
  </si>
  <si>
    <t>MATERIAL PARA TRABAJOS DE OFICINA ENRIQUE</t>
  </si>
  <si>
    <t>REF1924 19L POLYFORM LACA AUTOMOTIVA BLANCO/200LCOMEX THINER BASICO A CAMBIO</t>
  </si>
  <si>
    <t>EUROELECTRICA S.A. DE .C.V.</t>
  </si>
  <si>
    <t>500 MTS CABLE POT CAL.14 IUSA/300 MTS CABLE USO RUDO CAL.3X12 IKURA</t>
  </si>
  <si>
    <t>30 PZAS FUENTE 12V30 AMPERES MET/100PZAS TIRA 5M BLANCA INT 2835</t>
  </si>
  <si>
    <t>GUILLERMO MENDOZA</t>
  </si>
  <si>
    <t>REEMBOLSO INFRACCION OMAR R VICTOR 20AGO25</t>
  </si>
  <si>
    <t>2 GALONES POLYFORM LACA AUTOMOTIVA V4/1 GALON POLYFORM LACA AUTOMOTIVA BLANCA</t>
  </si>
  <si>
    <t>MAT DIVERSOS DA207430 DA207791 DA209259</t>
  </si>
  <si>
    <t>CARLOS RODRIGO MONTES DE OCA SALAZAR</t>
  </si>
  <si>
    <t>ANTICIPO NOMINA QUINCENAL</t>
  </si>
  <si>
    <t>60 PZAS MDF 15MM CLARO/124 PZAS TRIPLAY MDF NATURAL 6MM</t>
  </si>
  <si>
    <t>A/C DE 4 TONERS PARA IMPRESORA CYAN, NEGRO, MAGENTA Y AMARILLO</t>
  </si>
  <si>
    <t>1 CB POLYFORM LACA PERLA -1 GALON POLYFORM LACA PERLA - 1 CB VINIMEX CLASICA MATE-CONTENEDOR CENTER</t>
  </si>
  <si>
    <t>FAC 708</t>
  </si>
  <si>
    <t>COT 22022</t>
  </si>
  <si>
    <t>FAC B26524</t>
  </si>
  <si>
    <t>WHATSAP</t>
  </si>
  <si>
    <t>FACT 26525</t>
  </si>
  <si>
    <t>F3633977</t>
  </si>
  <si>
    <t>FAC 13907</t>
  </si>
  <si>
    <t>FAC 13906</t>
  </si>
  <si>
    <t>FAC 244</t>
  </si>
  <si>
    <t>FAC DA33798</t>
  </si>
  <si>
    <t>COT 103089</t>
  </si>
  <si>
    <t>COTIZACION,35227</t>
  </si>
  <si>
    <t>FAC 718</t>
  </si>
  <si>
    <t>COTIZACION,F17923</t>
  </si>
  <si>
    <t>COTIZACION 403A</t>
  </si>
  <si>
    <t>FACT DA33799</t>
  </si>
  <si>
    <t>COT DA232852</t>
  </si>
  <si>
    <t>FAC 44361B</t>
  </si>
  <si>
    <t>NOTA 0700</t>
  </si>
  <si>
    <t>FACT 17939</t>
  </si>
  <si>
    <t>XFB18373</t>
  </si>
  <si>
    <t>B-8592</t>
  </si>
  <si>
    <t>COTIZACION,AAEC35237</t>
  </si>
  <si>
    <t>DA33917</t>
  </si>
  <si>
    <t>DA34008</t>
  </si>
  <si>
    <t>COT DC3466,FAC DA33704</t>
  </si>
  <si>
    <t>TICKET,FAC DA33706</t>
  </si>
  <si>
    <t>COTIZACION,FAC 35192</t>
  </si>
  <si>
    <t>COT 1493,FAC B8553</t>
  </si>
  <si>
    <t>COTIZACION,FAC 35191</t>
  </si>
  <si>
    <t>COTIZACION,FAC AABJ17912</t>
  </si>
  <si>
    <t>AAEC 35264,COTIZ</t>
  </si>
  <si>
    <t>PIJAS 6 X 12 - 495 PZAS</t>
  </si>
  <si>
    <t>F3270</t>
  </si>
  <si>
    <t>MARIA JOSE BRACAMONTES</t>
  </si>
  <si>
    <t>PAGO NOMINA</t>
  </si>
  <si>
    <t>NOMINA SEMANAL DEL 28JUL AL 03AGO25</t>
  </si>
  <si>
    <t>NOMINA SEMANAL DEL 4 AL 10AGO25</t>
  </si>
  <si>
    <t>COMPLEMENTO NOMINA QUINCENAL 1-15AGO25</t>
  </si>
  <si>
    <t>NOMINA SEMANAL DEL 11 AL 17AGO25</t>
  </si>
  <si>
    <t>NOMINA SEMANAL DEL 18 AL 24AGO25</t>
  </si>
  <si>
    <t>NOMINA SEMANAL DEL 25 al 31AGO25</t>
  </si>
  <si>
    <t>NOMINA QUINCENAL 1 AL 15AGO FISCAL</t>
  </si>
  <si>
    <t>NOMINA QUINCENAL 1 AL 15AGO ASIMILADOS</t>
  </si>
  <si>
    <t>NOMINA QUINCENAL DEL 16 AL 31AGO25 FISCAL</t>
  </si>
  <si>
    <t>NOMINA QUINCENAL DEL 16 AL 31AGO25 ASIMILADOS</t>
  </si>
  <si>
    <t>REEMBOLSO POR SERVICIO DE ENGRASADO</t>
  </si>
  <si>
    <t>LACA AUTOMOTIVA, BOTE PRESION, PALA, COLADOR DE PAPEL, TUBO FLUIDO ALUMINIO, TUBO FLUIDO BRONCE, EMPAQUE PARA VASO HULE</t>
  </si>
  <si>
    <t>FLEXOMETRO, CINCHOS DE PLASTICO, TUERCA INSERTO, JALADERA, NIVELADOR T/KNOLL</t>
  </si>
  <si>
    <t>GUANTES NITRILO Y FIBRA VERDE</t>
  </si>
  <si>
    <t>200 LT DE THINNER</t>
  </si>
  <si>
    <t>30 PZAS DOWNLIGHT YEE 15W 6500K</t>
  </si>
  <si>
    <t>19 JALADERAS Y 4 CINTAS DE AISLAR</t>
  </si>
  <si>
    <t>200 MTS CABLE POT CAL 14</t>
  </si>
  <si>
    <t>1 SOPORTE VIDRIO</t>
  </si>
  <si>
    <t>200 PZAS ESQUINEROS 2X2</t>
  </si>
  <si>
    <t>DISMA</t>
  </si>
  <si>
    <t>2 PZAS ACRILICO BLANCO Z-2 3MM</t>
  </si>
  <si>
    <t>MILTI HERRAJES</t>
  </si>
  <si>
    <t>20 JALADERAS Y 3 PERCHEROS</t>
  </si>
  <si>
    <t>3 KGS CLORURO DE METILEN</t>
  </si>
  <si>
    <t>TUERCAS PULPO, TORNILLO GOTA GALVAN 1/4 Y PUNTA PHILLIPS 1/25MM</t>
  </si>
  <si>
    <t>FARMACIAS SIMILARES</t>
  </si>
  <si>
    <t>2 JERINGAS PARA EL METILENO</t>
  </si>
  <si>
    <t>SERVICIO POER2 10,000KM</t>
  </si>
  <si>
    <t>2 SILICONES</t>
  </si>
  <si>
    <t>ELECTRONIC ROGE</t>
  </si>
  <si>
    <t>10 ARNES</t>
  </si>
  <si>
    <t>INDUSTRIAL DE CERRADURAS</t>
  </si>
  <si>
    <t>8 JALADERAS</t>
  </si>
  <si>
    <t>3 CAJAS DE ARCHIVO</t>
  </si>
  <si>
    <t>3 ROLLOS CABLE POT CAL 22</t>
  </si>
  <si>
    <t>AT&amp;T COMUNICACIONES</t>
  </si>
  <si>
    <t>OPPO A80 NEGRO ATT</t>
  </si>
  <si>
    <t>18 GARRAFONES DE AGUA</t>
  </si>
  <si>
    <t>6 SACOS DE ESTUCO</t>
  </si>
  <si>
    <t>LUIS GARDUÑO</t>
  </si>
  <si>
    <t>TRABAJOS ELECTRICOS BODEGA</t>
  </si>
  <si>
    <t>CUB IMPERMEABILIZANTE PARA OFICINAS</t>
  </si>
  <si>
    <t>JALADERAS, TUBO OVAL Y SOPORTE PARA TUBO OVAL</t>
  </si>
  <si>
    <t>RECIBO AGOSTO25 TEL 7222326078</t>
  </si>
  <si>
    <t>RECIBO AGOSTO25 TEL 7222327650</t>
  </si>
  <si>
    <t>JUAN MANUEL RODRIGUES ALONSO</t>
  </si>
  <si>
    <t>AFINACION COMPLETA, CAMBIO DE BUJE DE ORQUILLA JEEP</t>
  </si>
  <si>
    <t>TUBO PVC 4"</t>
  </si>
  <si>
    <t>CAJA CON SALIDA Y CLAVIJA ANGULAR</t>
  </si>
  <si>
    <t>CLAVIJA INDUSTRIAL BLINDADA 20 PZAS</t>
  </si>
  <si>
    <t>TUBO OVALADO Y SOPORTE PARA TUBO OVALADO</t>
  </si>
  <si>
    <t>TORNILLO PUNTA DE BROCA 8 X 1 1/4" - 300 PZAS</t>
  </si>
  <si>
    <t>PAÑOS DE MICROFIBRA - 36 PZAS</t>
  </si>
  <si>
    <t>BROCA RECTA CON BALERO DE 1/4 X 1/2 / CUTTRE 18MM</t>
  </si>
  <si>
    <t>30BLOCKS, 3BTOS CEMENTO, 2 CINCEL Y KOLA LOKA</t>
  </si>
  <si>
    <t>2 BARRA MULTICONTACTO Y DOWNLINGHT YEE 15W 6500K</t>
  </si>
  <si>
    <t>20DOWN LIGTH AJUSTABLE 8W 6500K</t>
  </si>
  <si>
    <t>CABLE CON AISLAMIENTO TIPO THW, 10 CONECTOR RECTO TUBO FLEX, 1 INTERRUPTOR TERMOMAGNETICO 1POLO</t>
  </si>
  <si>
    <t>DIST INSUMOS GRAFICOS, 3 PZAS NAVAJA ROLAND 450</t>
  </si>
  <si>
    <t>60MTS DE TUBLO FLEX CONDUIT 1/2 13MM</t>
  </si>
  <si>
    <t>500 PZAS PIJAS CABEZA PLANA DEL #8 X 1 1/4</t>
  </si>
  <si>
    <t>9 CUTTERS / 30 COSTALES - DON LOLO</t>
  </si>
  <si>
    <t>LLANTERA MKS</t>
  </si>
  <si>
    <t>2 LLANTAS PARA LA UNIDAD HIACE</t>
  </si>
  <si>
    <t>CINTA MASKING AZUL 2" / 100PIJAS CABEZ CRUZ PUNTA BROCA 1 1/4 Y 338 PIJAS FOSFATADA</t>
  </si>
  <si>
    <t>2 PARES ZAPATOS DE SEGURIDAD</t>
  </si>
  <si>
    <t>COLCHAS Y COBERTORES BELEM</t>
  </si>
  <si>
    <t>83 COBIJAS PARA PROTEGER MUEBLES</t>
  </si>
  <si>
    <t>JGO HERRAMIENTAS, BISAGRAS, ALLEN, LLAVES</t>
  </si>
  <si>
    <t>XE SEGURIDAD</t>
  </si>
  <si>
    <t>SERVICIO DE SEGURIDAD</t>
  </si>
  <si>
    <t>SERGIO RICO</t>
  </si>
  <si>
    <t>MEDICO / MEDICAMENTOS</t>
  </si>
  <si>
    <t>NOTA REMISION</t>
  </si>
  <si>
    <t>TO50378</t>
  </si>
  <si>
    <t>E176976</t>
  </si>
  <si>
    <t>A022239</t>
  </si>
  <si>
    <t>F17893</t>
  </si>
  <si>
    <t>BP07703</t>
  </si>
  <si>
    <t>E177069</t>
  </si>
  <si>
    <t>XFA83106</t>
  </si>
  <si>
    <t>DT89533</t>
  </si>
  <si>
    <t>A13934</t>
  </si>
  <si>
    <t>F37830</t>
  </si>
  <si>
    <t>A13935</t>
  </si>
  <si>
    <t>NM22039</t>
  </si>
  <si>
    <t>WFAC208391.</t>
  </si>
  <si>
    <t>F1851</t>
  </si>
  <si>
    <t>F13909</t>
  </si>
  <si>
    <t>F1349</t>
  </si>
  <si>
    <t>B11600</t>
  </si>
  <si>
    <t>POSM10888036</t>
  </si>
  <si>
    <t>F1353</t>
  </si>
  <si>
    <t>F81841</t>
  </si>
  <si>
    <t>CA29</t>
  </si>
  <si>
    <t>F57257</t>
  </si>
  <si>
    <t>RBO87627</t>
  </si>
  <si>
    <t>F13920</t>
  </si>
  <si>
    <t>F22884</t>
  </si>
  <si>
    <t>E177473</t>
  </si>
  <si>
    <t>NV301 /F3292</t>
  </si>
  <si>
    <t>XFA83651</t>
  </si>
  <si>
    <t>BP08647</t>
  </si>
  <si>
    <t>E-177720</t>
  </si>
  <si>
    <t>AA19982</t>
  </si>
  <si>
    <t>BGG3663504</t>
  </si>
  <si>
    <t>F9194</t>
  </si>
  <si>
    <t>BP08748</t>
  </si>
  <si>
    <t>BP08750</t>
  </si>
  <si>
    <t>XFA83734</t>
  </si>
  <si>
    <t>F59392</t>
  </si>
  <si>
    <t>BP08767</t>
  </si>
  <si>
    <t>F60158</t>
  </si>
  <si>
    <t>F8988</t>
  </si>
  <si>
    <t>F9209</t>
  </si>
  <si>
    <t>FE51838</t>
  </si>
  <si>
    <t>TK145238</t>
  </si>
  <si>
    <t>F3293 / NV03236</t>
  </si>
  <si>
    <t>COTIZACION 0324,F 13961</t>
  </si>
  <si>
    <t>COTIZACION 325,F 13955</t>
  </si>
  <si>
    <t>VEREFICENTRO 841</t>
  </si>
  <si>
    <t>VERIFICACION GREAT WALL LVB518C</t>
  </si>
  <si>
    <t>7 TORNILLOS HEXAGONALES</t>
  </si>
  <si>
    <t>VERIFICACION HIACE 2o. BIM2025</t>
  </si>
  <si>
    <t>BRINCO VERIFICACION</t>
  </si>
  <si>
    <t>FABRICA DE TABICO LA FAMILIAR</t>
  </si>
  <si>
    <t>ADOCRETO</t>
  </si>
  <si>
    <t>TK17873945</t>
  </si>
  <si>
    <t>NV1884</t>
  </si>
  <si>
    <t>5 PARES DE GUANTES HYFLEX</t>
  </si>
  <si>
    <t>CERRADURA PERILLA CILINDRICA MX81140 (RECAMARA)</t>
  </si>
  <si>
    <t>PLAYO GRANDE</t>
  </si>
  <si>
    <t>BOLSA DE BASURA - 30pzas</t>
  </si>
  <si>
    <t>LIJA NEGRA 320 - 5pzas</t>
  </si>
  <si>
    <t>RESANADOR BLANCO - 1pza</t>
  </si>
  <si>
    <t>RESANADOR AUTOMOTRIZ- 1pza</t>
  </si>
  <si>
    <t>LIJAS AMARILLAS CON VELCRO GRADO 220 - 2pzas</t>
  </si>
  <si>
    <t>HOJA DE MDF DE 15MM</t>
  </si>
  <si>
    <t>BISAGRA CURVA</t>
  </si>
  <si>
    <t>LIJA NEGRA 220</t>
  </si>
  <si>
    <t>GUANTES HYFLEX</t>
  </si>
  <si>
    <t>FABULOSO</t>
  </si>
  <si>
    <t>BOLSA DE BASURA</t>
  </si>
  <si>
    <t>PIJA DE 1</t>
  </si>
  <si>
    <t>TAPA PIJAS BLANCAS</t>
  </si>
  <si>
    <t>JALADERAS DE 23 CM</t>
  </si>
  <si>
    <t>JALADERAS DE 60 CM</t>
  </si>
  <si>
    <t>TUBO PARA CLOSET</t>
  </si>
  <si>
    <t>TORNILLOS AJUSTABLES</t>
  </si>
  <si>
    <t>PLAYO CHICO</t>
  </si>
  <si>
    <t>KOLA LOKA</t>
  </si>
  <si>
    <t>VICKY</t>
  </si>
  <si>
    <t>CASETAS 5 AGOSTO25</t>
  </si>
  <si>
    <t>CASETAS 7 AGOSTO25</t>
  </si>
  <si>
    <t>CASETAS 20AGO25</t>
  </si>
  <si>
    <t>CASETAS 21 Y 26AGO25</t>
  </si>
  <si>
    <t>CASETAS 27AGO25</t>
  </si>
  <si>
    <t>VARIOS</t>
  </si>
  <si>
    <t>CDEC-27528</t>
  </si>
  <si>
    <t>CDEC-28066</t>
  </si>
  <si>
    <t>CDEC 282028</t>
  </si>
  <si>
    <t>SHUTTERSTOCK IRELAND LI DUBLIN 2 - 29USD</t>
  </si>
  <si>
    <t>MERCA2.0 CDMX</t>
  </si>
  <si>
    <t>Concesionaria Vuela Com Mexico</t>
  </si>
  <si>
    <t>HOTELCOM73180320524866 HOTELES.COM</t>
  </si>
  <si>
    <t>UBER TRIP HTTPS://HELP.UB</t>
  </si>
  <si>
    <t>VIVAAEROBUS VIVAAEROBUS MEXICO</t>
  </si>
  <si>
    <t>DEMERGE MEXICO RB MEXICO</t>
  </si>
  <si>
    <t>TICKETMASTER CIUDAD DE Ciudad de Mexic</t>
  </si>
  <si>
    <t>MEETING PROFESSIONAL*ME DALLAS/212.00 USD0</t>
  </si>
  <si>
    <t>JAVI</t>
  </si>
  <si>
    <t>03 Aug 2025</t>
  </si>
  <si>
    <t>01 Aug 2025</t>
  </si>
  <si>
    <t>02 Aug 2025</t>
  </si>
  <si>
    <t>06 Aug 2025</t>
  </si>
  <si>
    <t>13 Aug 2025</t>
  </si>
  <si>
    <t>08 Aug 2025</t>
  </si>
  <si>
    <t>21 Aug 2025</t>
  </si>
  <si>
    <t>26 Aug 2025</t>
  </si>
  <si>
    <t>20 Aug 2025</t>
  </si>
  <si>
    <t>COMPRA DE GASOLINA DESBROSADORA</t>
  </si>
  <si>
    <t>SERVICIO EL RETEN</t>
  </si>
  <si>
    <t>SALIDA AGENCIA POR UNIDAD POER 1</t>
  </si>
  <si>
    <t>ORUJO ADMINISTRADORES</t>
  </si>
  <si>
    <t>MOVIMIENTOS INTERNOS BODEGA</t>
  </si>
  <si>
    <t>MOVIMIENTOS INTERNOS BODEGA</t>
  </si>
  <si>
    <t>RECOLECCIÓN DE TOTEM</t>
  </si>
  <si>
    <t>AUROMOTRIZ HF</t>
  </si>
  <si>
    <t>EDGAR JOSE ARGUELLES DURAN</t>
  </si>
  <si>
    <t>RECOLECTAR 4 DOLLIES</t>
  </si>
  <si>
    <t>WE15470</t>
  </si>
  <si>
    <t>D185445</t>
  </si>
  <si>
    <t>07//08/25</t>
  </si>
  <si>
    <t>W79787</t>
  </si>
  <si>
    <t>F42610</t>
  </si>
  <si>
    <t>WE5701</t>
  </si>
  <si>
    <t>F22473</t>
  </si>
  <si>
    <t>WE1 5778</t>
  </si>
  <si>
    <t>W81533</t>
  </si>
  <si>
    <t>W96983</t>
  </si>
  <si>
    <t>TRASPASO PARA PAGO DE PEAJES DEL 21 AL 31JUL25</t>
  </si>
  <si>
    <t>INCREMENTO FONDO SANTANDER SUBCUENTA</t>
  </si>
  <si>
    <t>SERVICIO DE VIGILANCIA DEL 16 AL 31 DE AGOSTO</t>
  </si>
  <si>
    <t>GRUPO PAPELERO GUTIERREZ S.A. DE C.V.</t>
  </si>
  <si>
    <t>COMPRA DE PAPELERIA SEPTIEMBRE-OCTUBRE 2025</t>
  </si>
  <si>
    <t>MAT DIVERSOS DA232351 DA236714 DA233905 DA234602 DA234665 JUL25</t>
  </si>
  <si>
    <t>LIQUID PAGO IVA DE 4 TONERS PARA IMPRESORA AAAA 90074783</t>
  </si>
  <si>
    <t>10 DPF 510M BLANCO MATTE (ADH GRIS)</t>
  </si>
  <si>
    <t>36 PZAS NAVITEK MASKING AXUL-20PZAS CINTA DOBLE CARA 3/4 X 50</t>
  </si>
  <si>
    <t>FERNANDO ADONAI ORTIZ PAREDES</t>
  </si>
  <si>
    <t>PLAYERAS MADE URGENTES</t>
  </si>
  <si>
    <t>MAGDALENA MENDOZA PEREZ</t>
  </si>
  <si>
    <t>6 MTS DE VINIL PARA HERRADURA</t>
  </si>
  <si>
    <t>4 VIAJES DE RECOLECCION DE BASURA - SEPTIEMBRE25</t>
  </si>
  <si>
    <t>RENTA BODEGA AGOSTO 2025</t>
  </si>
  <si>
    <t>PAGO RENTA DE CASA SUAREZ SEPTIEMBRE2025</t>
  </si>
  <si>
    <t>COMPRA DE CABEZALES - CARTUCHO DE MANTENIMIENTO PLOTTER</t>
  </si>
  <si>
    <t>5 CUBETAS DE 19L CAR PRIMER PIROXILINA BL - 96L COMEX GASOLINA BLANCA PET - 4 LITROS SOLVENTE XILOL</t>
  </si>
  <si>
    <t>TRASLADO METEPEC - GDL 08SEP25</t>
  </si>
  <si>
    <t>Miriam Nayeli Vallejo Aniceto</t>
  </si>
  <si>
    <t>PRODUTOS DE LIMPIEZA 2 CAJAS DE PAPEL HIGINECO, 2 CAJAS SANITAS Y 20LTS CLORO</t>
  </si>
  <si>
    <t>ACRILICO 60X40 VERDE 1 PZAS 21AGO25</t>
  </si>
  <si>
    <t>ARA PRE GAL 3/8/TCA HEX G5 3/8X16H/TOR HEX G5 3/8X16HX3/DADO 12P 1/2X9/16/LLAVE COMBINADA</t>
  </si>
  <si>
    <t>LACAS COLORES ORGANICOS/COLADOR DE PAPEL/PALA DE MADERA</t>
  </si>
  <si>
    <t>CARGADOR ULTRASMART DE BATERIAS SELLADAS/BATERIA RECARGABLE SELLADA ACIDO-PLOMO 12V 12AH</t>
  </si>
  <si>
    <t>CONECTOR RJ45 /CUBIERTA PROTECTORA/ CONECTOR CANNON/TERMINAL/CARGADOR/ BATERIA RECARGABLE</t>
  </si>
  <si>
    <t>CABLE CON AISLAMIENTO/ CABLE THWLS/ CAJA CON SALIDA/ CONTACTO DUPLEX/ PLACA DE ALUMINIO/ NPT 1/2</t>
  </si>
  <si>
    <t>TUBO PVC 4"/ REPUESTO PARA EXACTO</t>
  </si>
  <si>
    <t>PAGO MENSUAL SOCIAL MEDIA MES DE SEPTIEMBRE 2025</t>
  </si>
  <si>
    <t>100 PZAS GIR 2x1 POLIU NEGRO BOL PLACA FRE TOT - 100 PZAS GIR POLIU NEGRO BOL PLACA</t>
  </si>
  <si>
    <t>MDF 15MM CLARO - TLIPLAY MDF NATURAL 6MM</t>
  </si>
  <si>
    <t>REF1924 20PZAS ARMAZON P/RODILLO MULTIROLL 4 - 10PZAS PLASTIPROTECTOR RUDO BIO - COMEX FELPA LISA 3/8 - 19L VINIMEX CLASICA B MATE</t>
  </si>
  <si>
    <t>1 GALON VINIMEX CLASICA NF MATE V4 - 1L VINIMEX CLASICA - 1L FLASH COAT NF VIVID B4 - CONTENEDOR CENTER</t>
  </si>
  <si>
    <t>500MTS CABLE USO RUDO-CINTA TEMFLEX 165 NEGRO-TOMA DE CORRIENTE DUPLEX-CONTACTO DUPLEX 29, ETC</t>
  </si>
  <si>
    <t>DPF 510 MT BLACO MATE 1.52 x 45.72 M</t>
  </si>
  <si>
    <t>20PZAS XCLO BODY FILLER RESANADOR</t>
  </si>
  <si>
    <t>FERRETERA CEHERMAQ, S.A. DE C.V.</t>
  </si>
  <si>
    <t>FELPA P/MINI RODILLO 4" - REPUESTO P/MINI RODILLO 9" - FELPA P/MINIRODILLO 4" ESPONJA</t>
  </si>
  <si>
    <t>DANIELA VILLALVAZO PERALES</t>
  </si>
  <si>
    <t>10 HOJAS DE FORMAICA 1103</t>
  </si>
  <si>
    <t>TRIPLAY Y AGLOMERADOS YAZU, S.A. DE C.V.</t>
  </si>
  <si>
    <t>TRIPLAY FLEXIBLE 306</t>
  </si>
  <si>
    <t>GRUPO SUBLIMACIONES DISPLAY Y STANDS S.A. DE C.V.</t>
  </si>
  <si>
    <t>ESTRUCTURA DE ALUMINIO BOX 2 CON TELA SUBLIMADA Y SILICON - VT COSMETICS (MARIA)</t>
  </si>
  <si>
    <t>SERVICIOS PROFESIONALES Y MERCANCIAS S.A. DE C.V</t>
  </si>
  <si>
    <t>PELICULA EMPLAYE STRETCH PQT 4PZAS P/32 ROLLOS - playo</t>
  </si>
  <si>
    <t>SERVICIO DE VIGILANCIA DEL 01 AL 15 DE SEPTIEMBRE2025</t>
  </si>
  <si>
    <t>REF1924 200L COMEX THINER BASICO A CAMBIO - 20 PZAS ESTOPA EN BOLSA COMEX 1K</t>
  </si>
  <si>
    <t>PLANOS Y ETSRUCTURA OFICINAS 2</t>
  </si>
  <si>
    <t>ANTICIPO DE MATERIALES VARIOS EVENTOS</t>
  </si>
  <si>
    <t>SALDO 6 GALON DE VINIMEX CLASICA NF MATE V4 - dif pag en puntos</t>
  </si>
  <si>
    <t>CATALINA RAMIREZ MIYAGE</t>
  </si>
  <si>
    <t>PINTURAS PARA PLOTER HP831 - HP831A</t>
  </si>
  <si>
    <t>PINTURAS PARA PLOTER HP832 - HP836</t>
  </si>
  <si>
    <t>MASKING TAPE AZUL 36 PZAS - PELICULA EMPLAYE 30 PZAS</t>
  </si>
  <si>
    <t>PAGO DE LUZ DEL 14AGO AL 12SEP 2025</t>
  </si>
  <si>
    <t>1 CUBETA VINIMEX CLASICA NF BLANCO MATE</t>
  </si>
  <si>
    <t>FAC 738</t>
  </si>
  <si>
    <t>COTIZACION DA232351 236714 233905 , DA34178</t>
  </si>
  <si>
    <t>AA 90074783</t>
  </si>
  <si>
    <t>COMPOROBANTE</t>
  </si>
  <si>
    <t>RECIBO 2031</t>
  </si>
  <si>
    <t>FAC 13996</t>
  </si>
  <si>
    <t>MEX 45379</t>
  </si>
  <si>
    <t>COTIZACION,AAEC35317</t>
  </si>
  <si>
    <t>FAC 252</t>
  </si>
  <si>
    <t>FAC 59271</t>
  </si>
  <si>
    <t>NM22134</t>
  </si>
  <si>
    <t>TO50489</t>
  </si>
  <si>
    <t>FTMH257823</t>
  </si>
  <si>
    <t>FPS 19796</t>
  </si>
  <si>
    <t>XFA83510</t>
  </si>
  <si>
    <t>F 3267</t>
  </si>
  <si>
    <t>TOL67454</t>
  </si>
  <si>
    <t>COTIZACION,DA34244</t>
  </si>
  <si>
    <t>COTIZACION, AAEB16447</t>
  </si>
  <si>
    <t>COTIZACION, XFBI18531</t>
  </si>
  <si>
    <t>COTIZACION, TE192146</t>
  </si>
  <si>
    <t>COT 4130,F3512</t>
  </si>
  <si>
    <t>NV9306</t>
  </si>
  <si>
    <t>COTIZACION, Y44062</t>
  </si>
  <si>
    <t>FAC 754</t>
  </si>
  <si>
    <t>MEX 45794</t>
  </si>
  <si>
    <t>MEX 45793</t>
  </si>
  <si>
    <t>COTIZACION,AAEC35379</t>
  </si>
  <si>
    <t>COT CT177837,TE191740</t>
  </si>
  <si>
    <t>COT6542,F 14831</t>
  </si>
  <si>
    <t>COTIZACION , F-E04FA</t>
  </si>
  <si>
    <t>COTIZACION,F9279</t>
  </si>
  <si>
    <t>COTIZACION,F4988</t>
  </si>
  <si>
    <t>COTIZACION,AABJ18046</t>
  </si>
  <si>
    <t>COTIZACION,AAEC35368</t>
  </si>
  <si>
    <t>COTIZACION,F5003</t>
  </si>
  <si>
    <t>SANTANDER / SUBCUENTA</t>
  </si>
  <si>
    <t>PROMIMEX S DE RL DE CV</t>
  </si>
  <si>
    <t>PINTURA ROJA, COLADOR DE PAPEL Y PALAS JM</t>
  </si>
  <si>
    <t>MADERERIA SAN FRANCISCO</t>
  </si>
  <si>
    <t>TUBO 1 1/2 X8"</t>
  </si>
  <si>
    <t>KARLA VANESA MERCADO</t>
  </si>
  <si>
    <t>ENVIO DE PLAYERAS MADE</t>
  </si>
  <si>
    <t>JOSE ARTURO FLORES GONZALEZ</t>
  </si>
  <si>
    <t>COMPRA DE 3 CUBETAS DE RESISTOL BLANCO</t>
  </si>
  <si>
    <t>MATERIALES PLOMERIA PARA BAÑOS 2</t>
  </si>
  <si>
    <t>BOMBA DE AGUA 1/2 HP</t>
  </si>
  <si>
    <t>RODRIGO ROJAS ZARATE</t>
  </si>
  <si>
    <t>PROGRAMACION INTERNET EMPRESARIAL DE TOTAL PLAY</t>
  </si>
  <si>
    <t>COMPRA Y GESTION PROGRAMACION DE 12 REPETIDORES DE INTERNET</t>
  </si>
  <si>
    <t>COMITE DE AGUA POTABLE SANTA MARIA MAGDALENA OCOTITLAN A.C.</t>
  </si>
  <si>
    <t>SERVICIO DE AGUA POTABLE PERIODO JUL-AGO 2025</t>
  </si>
  <si>
    <t>ANTICIPO PROYECTO BAÑOS 2</t>
  </si>
  <si>
    <t>2 CANDADOS</t>
  </si>
  <si>
    <t>KARLA MARGARITA DIAZ MARTINEZ</t>
  </si>
  <si>
    <t>PAGO ABOGADO</t>
  </si>
  <si>
    <t>200 ESQUINEROS</t>
  </si>
  <si>
    <t>4 JALADERAS 320MM NIQUEL</t>
  </si>
  <si>
    <t>4 BASTON FABRI2</t>
  </si>
  <si>
    <t>10 PZAS CINTA NITO</t>
  </si>
  <si>
    <t>FARMACIAS GUADALAJARA</t>
  </si>
  <si>
    <t>DEXAMETASONA PARA MAMA DE ANGIE</t>
  </si>
  <si>
    <t>CONTENEDOR RESIDUOS LEXMARK CX532-CS531</t>
  </si>
  <si>
    <t>10 ROLLOS DE PLAYO 18"</t>
  </si>
  <si>
    <t>LLANMART</t>
  </si>
  <si>
    <t>2 LLANTAS PARA AUTO MAMA DE ANGIE</t>
  </si>
  <si>
    <t>8 BULTOS DE CEMENTO 50KG-BAÑOS NUEVOS OFICINA ENRIQUE</t>
  </si>
  <si>
    <t>RUEDAS Y RODAJAS</t>
  </si>
  <si>
    <t>1 RUEDA PARA CARRITO</t>
  </si>
  <si>
    <t>22 FELPA PARA MINI RODILLO 4 X 3/8</t>
  </si>
  <si>
    <t>FRL-FR015 FL FR005 FILT REG INTEGRADO 1/4/B22 COPLE RAPIDO MACHO DE 1/4</t>
  </si>
  <si>
    <t>ANGULO FO DE 3.2 MM X 20.8 MM 15 PZAS</t>
  </si>
  <si>
    <t>SOLDADURA ELECTRODO 6013 1/8 10 PZAS</t>
  </si>
  <si>
    <t>ORALIA MUNGUIA PATRICIO</t>
  </si>
  <si>
    <t>TIRAS NEON MARS</t>
  </si>
  <si>
    <t>COMPRA DE CUBRE CANTO</t>
  </si>
  <si>
    <t>GERSA</t>
  </si>
  <si>
    <t>TABLON, PEGAZULEJO Y JUNTA CRES - GERSA</t>
  </si>
  <si>
    <t>48 KG PTR 19 X 19MM AZUL</t>
  </si>
  <si>
    <t>INTEGRACION EN SOLDADURA</t>
  </si>
  <si>
    <t>5 KG SOLDADURA INFRA 3/32</t>
  </si>
  <si>
    <t>TOTAL PLAY TELECOMUNICACIONES S.A.P.I. DE C.V.</t>
  </si>
  <si>
    <t>SERVICIO TOTAL PLAY 06AGO - 05SEP25</t>
  </si>
  <si>
    <t>MO CONSTRUCCION BAÑOS ENRIQUE - EVODIO</t>
  </si>
  <si>
    <t>MO CONSTRUCCION BAÑOS ENRIQUE - TIRSO</t>
  </si>
  <si>
    <t>5 MEMORIAS USB</t>
  </si>
  <si>
    <t>20 PZAS BLOCK, 6 BTOS DE MORTERO, 1 DISCO DE DIAMANTE, ARENA Y GRAVA BAÑOS ENRIQUE</t>
  </si>
  <si>
    <t>MARTILLO, BROCAS YDESARMADOR PLANO</t>
  </si>
  <si>
    <t>REPARACION BAÑOS OFICINA ENRIQUE ZEPEDA</t>
  </si>
  <si>
    <t>DISTRIBUIDORA DE PVC DE TOLUCA</t>
  </si>
  <si>
    <t>MATERIAL PARA BAÑOS ENRIQUE Z</t>
  </si>
  <si>
    <t>DIAMANT GROUP WORLD</t>
  </si>
  <si>
    <t>PERFIL ALUMIN HIBRIDO, ESQUINERO BOLA AGARRADERA BASE BRITE, ESCUADRA MEDIANA, BROCHE MED PLANO, REMACHE POP</t>
  </si>
  <si>
    <t>4 CARRETES DE ALAMBRE CAL22</t>
  </si>
  <si>
    <t>GRUPO HULES AUTOMOTRICES</t>
  </si>
  <si>
    <t>GRUPO HULES AUTOMOTRICES - RECTANGULAR 1 X 2"</t>
  </si>
  <si>
    <t>3 TECNOLITE FOCO MR16 LED, 3 LUMIBASE PORTALMPARA</t>
  </si>
  <si>
    <t>2 TENOSRES Y 4 ARMELLAS</t>
  </si>
  <si>
    <t>1 PAR DE CARBONES PARA HERRAMIENTA ISAIAS</t>
  </si>
  <si>
    <t>TENSOR GANCHO Y DESARMADOR</t>
  </si>
  <si>
    <t>15 PANEL LED REDONDO 8CM</t>
  </si>
  <si>
    <t>GRUPO LOZANO</t>
  </si>
  <si>
    <t>1 PVC ESPUMADO ECONOMICO BCO DE 3MM</t>
  </si>
  <si>
    <t>3 CUCHILLAS PARA EXACTO</t>
  </si>
  <si>
    <t>17 ESCUADRAS GRANDES, 2 ESQUINEROS CUBO, 4 ESCUADRAS MEDIANAS Y UN BORCHE CHICO CON BASE</t>
  </si>
  <si>
    <t>3 EMP FIJO ALEZIO BLANCO GX5.3 87MM</t>
  </si>
  <si>
    <t>3 SWITCH PALANCA 1P 2T Y 2 ELIMINADOR FIJO 12V</t>
  </si>
  <si>
    <t>ALMACENES ANFORA</t>
  </si>
  <si>
    <t>3 MAMILAS CON ATOMIZADOR</t>
  </si>
  <si>
    <t>1 MANDRIL ZANCO 7/16# Y 1 BROCASIERRA BIMETALICA</t>
  </si>
  <si>
    <t>MATERIAL PARA BAÑOS 2 - OPERATIVOS</t>
  </si>
  <si>
    <t>PAGO MANO DE OBRA - CONSTRUCCION DE BAÑOS OPERATIVOS</t>
  </si>
  <si>
    <t>20 JALADERAS DE 76MM</t>
  </si>
  <si>
    <t>APERTURA CUENTA BANCARIA BANCOMER KAWIR</t>
  </si>
  <si>
    <t>9 PIL-X3 / 18SOND / 4 CAB-E22</t>
  </si>
  <si>
    <t>1 PIL-X3 / 2 CONECTORES</t>
  </si>
  <si>
    <t>SERVICIO DIAZ</t>
  </si>
  <si>
    <t>3 RMIS-095</t>
  </si>
  <si>
    <t>CUBRECANTO BLANCO 19MM PVC -3 ROLLOS</t>
  </si>
  <si>
    <t>1 LITRO VINIMEX CLASICA NF MATE V2</t>
  </si>
  <si>
    <t>TUBO DE PEGAMENTO NO MAS CLAVOS Y DUPLICADO DE LLAVE CUARTO DE SERVICO</t>
  </si>
  <si>
    <t>CAJA CON 1000 GRAPAS 1/4" CORONA</t>
  </si>
  <si>
    <t>LUIS MIGUEL RUBI CERON</t>
  </si>
  <si>
    <t>REPARACION DE CORTINA BAMBINO 26SEP25</t>
  </si>
  <si>
    <t>RECIBO SEPTIEMBRE25 TEL 7222326078</t>
  </si>
  <si>
    <t>RECIBO SEPTIEMBRE25 TEL 7222327650</t>
  </si>
  <si>
    <t>MUEBLES PARA BAÑO</t>
  </si>
  <si>
    <t>PISO PARA OFICINAS ENRIQUE</t>
  </si>
  <si>
    <t>130KG DE PTR 19MM AZUL $22.69MT</t>
  </si>
  <si>
    <t>NV75507</t>
  </si>
  <si>
    <t>F050552</t>
  </si>
  <si>
    <t>NV8989</t>
  </si>
  <si>
    <t>VANESA</t>
  </si>
  <si>
    <t>FAC 13985</t>
  </si>
  <si>
    <t>FACT 13984</t>
  </si>
  <si>
    <t>F3303</t>
  </si>
  <si>
    <t>F89975</t>
  </si>
  <si>
    <t>F178080</t>
  </si>
  <si>
    <t>MDK10121</t>
  </si>
  <si>
    <t>NV482/F3322</t>
  </si>
  <si>
    <t>TK535598</t>
  </si>
  <si>
    <t>AA 90074974</t>
  </si>
  <si>
    <t>A44686B</t>
  </si>
  <si>
    <t>PINF3924</t>
  </si>
  <si>
    <t>F14016</t>
  </si>
  <si>
    <t>TK3454</t>
  </si>
  <si>
    <t>F9270</t>
  </si>
  <si>
    <t>F 47118</t>
  </si>
  <si>
    <t>FACT 10812</t>
  </si>
  <si>
    <t>REMISION 39834</t>
  </si>
  <si>
    <t>NV9307</t>
  </si>
  <si>
    <t>AA316139679</t>
  </si>
  <si>
    <t>I179479</t>
  </si>
  <si>
    <t>F11465</t>
  </si>
  <si>
    <t>0200852361-FACT</t>
  </si>
  <si>
    <t>POSM11294566</t>
  </si>
  <si>
    <t>F 14024</t>
  </si>
  <si>
    <t>F3349</t>
  </si>
  <si>
    <t>A450694</t>
  </si>
  <si>
    <t>T002295</t>
  </si>
  <si>
    <t>NV SIN NUM</t>
  </si>
  <si>
    <t>REM800</t>
  </si>
  <si>
    <t>F0574082</t>
  </si>
  <si>
    <t>NV1135 / F3395</t>
  </si>
  <si>
    <t>NV1135/F3350</t>
  </si>
  <si>
    <t>NV1136/F3348</t>
  </si>
  <si>
    <t>BP09916</t>
  </si>
  <si>
    <t>F355849</t>
  </si>
  <si>
    <t>F355850</t>
  </si>
  <si>
    <t>T1354</t>
  </si>
  <si>
    <t>BP09932</t>
  </si>
  <si>
    <t>FPS20991</t>
  </si>
  <si>
    <t>TK031074</t>
  </si>
  <si>
    <t>F9305</t>
  </si>
  <si>
    <t>E178669</t>
  </si>
  <si>
    <t>NV 1</t>
  </si>
  <si>
    <t>NV 2</t>
  </si>
  <si>
    <t>NV9479</t>
  </si>
  <si>
    <t>MDK10400</t>
  </si>
  <si>
    <t>F451096 NC61946</t>
  </si>
  <si>
    <t>F14054 / NV1248</t>
  </si>
  <si>
    <t>F9329</t>
  </si>
  <si>
    <t>F9342</t>
  </si>
  <si>
    <t>FA316140185</t>
  </si>
  <si>
    <t>I180211</t>
  </si>
  <si>
    <t>COT 385128,SA 96648</t>
  </si>
  <si>
    <t>COTIZACION,AAEC35378</t>
  </si>
  <si>
    <t>1 KOLA LOKA</t>
  </si>
  <si>
    <t>TELAS</t>
  </si>
  <si>
    <t>5 TELAS MICROFIBRA</t>
  </si>
  <si>
    <t>17 GARRAFONES DE AGUA</t>
  </si>
  <si>
    <t>ATT</t>
  </si>
  <si>
    <t>TIEMPO AIRE SEP25 - SANDRA</t>
  </si>
  <si>
    <t>2 ESCOBAS TIPO PERICO</t>
  </si>
  <si>
    <t>TK41010</t>
  </si>
  <si>
    <t>TK113999</t>
  </si>
  <si>
    <t>NV95459</t>
  </si>
  <si>
    <t>TK1445550</t>
  </si>
  <si>
    <t>DAVID HURTADO</t>
  </si>
  <si>
    <t>NOMINA SEMANAL DEL 1 AL 7SEP25</t>
  </si>
  <si>
    <t>NOMINA SEMANAL DEL 8 AL 14SEP25</t>
  </si>
  <si>
    <t>VICTOR I VELAZQUEZ</t>
  </si>
  <si>
    <t>NOMINA SEMANAL DEL 15 AL 21SEP25</t>
  </si>
  <si>
    <t>NOMINA QUINCENAL DEL 1 AL 15SEP25 FISCAL</t>
  </si>
  <si>
    <t>NOMINA QUINCENAL DEL 1 AL 15SEP25 ASIMILADOS</t>
  </si>
  <si>
    <t>DESC PRESTAMOS NOM QUINC</t>
  </si>
  <si>
    <t>NOMINA SEMANAL DEL 22 AL 28SEP25</t>
  </si>
  <si>
    <t>PAGADORA</t>
  </si>
  <si>
    <t xml:space="preserve">ALMACEN </t>
  </si>
  <si>
    <t>PANTALLAS</t>
  </si>
  <si>
    <t>AEROSOL NEGRO - 3LTS</t>
  </si>
  <si>
    <t>PLAYO GRANDE - 1ROLLO</t>
  </si>
  <si>
    <t>BAÑOS NUEVOS EZ</t>
  </si>
  <si>
    <t>PINTURA VINILICA BLANCA - 1 CUB</t>
  </si>
  <si>
    <t>SELLADOR 5X1 - 4 LTS</t>
  </si>
  <si>
    <t>FELPA GRANDE COMEX -2 PZAS</t>
  </si>
  <si>
    <t>FELPA CHICO - 2 PZAS</t>
  </si>
  <si>
    <t>BROCHAS DE 2´´ - 2 PZAS</t>
  </si>
  <si>
    <t>BROCHAS DE 1´´ - 2 PZAS</t>
  </si>
  <si>
    <t>MASKIG DE 2´ - 1PZA</t>
  </si>
  <si>
    <t>PLOTTER</t>
  </si>
  <si>
    <t>CESAR RICO</t>
  </si>
  <si>
    <t>PEAJES DEL 1 AL 10SEP25</t>
  </si>
  <si>
    <t>PEAJES 16 AL 19SEP25</t>
  </si>
  <si>
    <t>PEAJES 23SEP25</t>
  </si>
  <si>
    <t>ROG VICTOR ENRIQUE</t>
  </si>
  <si>
    <t>CDEC- 28682</t>
  </si>
  <si>
    <t>ENRIQUE Y ROGELIO</t>
  </si>
  <si>
    <t>CDEC-28779</t>
  </si>
  <si>
    <t>PROCESO</t>
  </si>
  <si>
    <t>STARLINK CIUDAD DE MEXIC</t>
  </si>
  <si>
    <t>TRIMBLE EUROPE BV Trimb EERSEL 819.00 USD</t>
  </si>
  <si>
    <t>BOLT (BY STACKBLITZ) SAN FRANCISCO 100.00 USD</t>
  </si>
  <si>
    <t>SHUTTERSTOCK IRELAND LI DUBLIN 2/29.00 USD</t>
  </si>
  <si>
    <t>WETRANSFER* FB3B6429 AMSTERDAM/23.00 USD</t>
  </si>
  <si>
    <t>PADDLE.NET* MACPAW.COM LONDON</t>
  </si>
  <si>
    <t>Aeroenlaces Nacional AM Mexico City</t>
  </si>
  <si>
    <t>American Airlines AMERI Mexico City</t>
  </si>
  <si>
    <t>NETPAY*ADOBE RubénEstad Estado de Mexic</t>
  </si>
  <si>
    <t>28 Aug 2025</t>
  </si>
  <si>
    <t>SERVICIO MIRUSA II</t>
  </si>
  <si>
    <t>MOV ENRIQUE ZEPEDA</t>
  </si>
  <si>
    <t>SERVICIO MIRUSA I</t>
  </si>
  <si>
    <t>GASOLINERAS EFICIENTES</t>
  </si>
  <si>
    <t>MOVIMIENTOS INTERNOS</t>
  </si>
  <si>
    <t>SERVICIOS GAOLINEROS METEPEC</t>
  </si>
  <si>
    <t>W0096983</t>
  </si>
  <si>
    <t>L43548</t>
  </si>
  <si>
    <t>TK1530861</t>
  </si>
  <si>
    <t>EFECTIVO GASTOS VARIOS</t>
  </si>
  <si>
    <t>78 PZAS MDF 12MM CLARO - MDF NATURAL 15MM</t>
  </si>
  <si>
    <t>MATERIALES DIVERSO SOLICITADO MES DE AGOSTO DA235245 DA235446 DA236065 DA236161 DA235778 DA235671 DA237289 DA238050</t>
  </si>
  <si>
    <t>PAULINA OLIVIA MOLINA HERNANDEZ</t>
  </si>
  <si>
    <t>MANTENIMIENTO PLOTTERS VALENTE</t>
  </si>
  <si>
    <t>GRAPAS 1/4, 3/8, 5/16, CUTTER CHICO Y GRANDE</t>
  </si>
  <si>
    <t>GUANTE TEJIDO POLIETILENO #7 Y 8 29SEP25</t>
  </si>
  <si>
    <t>1 CUBETA 19L VINIMEX CLASICA NF MATE V2</t>
  </si>
  <si>
    <t>COMPAÑIA SHERWIN WILLIAMS S.A DE C.V.</t>
  </si>
  <si>
    <t>2 KEM-TONE ULTRA MATE BAJO COLOR NEGRO MATE</t>
  </si>
  <si>
    <t>1 GALON VINIMEX CLASICA NF MATE V4 - 2 GALONES CLASICA NF MATE V1</t>
  </si>
  <si>
    <t>CAMBIO PIEZA TRANSFORMADOR - REPARACION DE CUCHILLA CFE LUIS ELECTRICO</t>
  </si>
  <si>
    <t>20 PZAS TUBO CATALIZADOR AZUL - 4 PZAS PROMOTOR ADHERENCIA PLUS</t>
  </si>
  <si>
    <t>2 GALONES VINIMEX CLASICA NF MATE V2</t>
  </si>
  <si>
    <t>PAGO RENTA DE CASA SUAREZ OCTUBRE2025</t>
  </si>
  <si>
    <t>5 VIAJES DE RECOLECCION DE BASURA - OCTUBRE25</t>
  </si>
  <si>
    <t>GUADALUPE PERALES CARMONA</t>
  </si>
  <si>
    <t>4 HOJAS 1103 - 30MTS PVC 22MM / BTS</t>
  </si>
  <si>
    <t>2 GALONES VINIMEX CLASICA MATE V4 - 1 GALON FLASH COAT NF VINO</t>
  </si>
  <si>
    <t>10 PZAS CINTA DOBLE CARA CON ADHESIVO 10MM - 100 PZAS KLINGSPOR DISCO VERDE 5" G80 - 100 PZAS KLINGSPOR DISCO VERDE 5" G100</t>
  </si>
  <si>
    <t>1 GALON FLASH COAT NF MATE VIVID B4 - DOTERRA</t>
  </si>
  <si>
    <t>PROGRAMACION INTERNET EMPRESARIAL DE TOTAL PLAY - PAGO FIJO 2</t>
  </si>
  <si>
    <t>COMPRA Y GESTION PROGRAMACION DE 12 REPETIDORES DE INTERNET - PAGO FIJO 2</t>
  </si>
  <si>
    <t>REF 1924 1 TAMBO DE THINNER Y 1 GALON DE FLASH COAT NF MATE NEGRO</t>
  </si>
  <si>
    <t>PRODUTOS DE LIMPIEZA 1 CAJAS DE PAPEL HIGINECO, 2 CAJAS SANITAS Y 20LTS FABULOSO</t>
  </si>
  <si>
    <t>200 ESQUINEROS Y 20 PLAYOS</t>
  </si>
  <si>
    <t>MO TRABAJOS FUTUROS</t>
  </si>
  <si>
    <t>1 PZA EDGE HOLDERPRA L800W - 1 PZA USER MAINTENANCE KIT</t>
  </si>
  <si>
    <t>5 PZAS HOJA DE ACRILICO 3MM 244X122 Z2 BLANCO - ALMACEN</t>
  </si>
  <si>
    <t>COMPRA MATERIAL MANTENIMIENTO TECHO OFIC. ENRIQUE</t>
  </si>
  <si>
    <t>126 TRIPLAY MDF NATURAL 6MM - 60 MDF 15MM CLARO</t>
  </si>
  <si>
    <t>2 ACRILICOS DE CRISTAL DE 1.60 X 2.20 DE 9MM</t>
  </si>
  <si>
    <t>2 PZSA BOBINA DE 50 MTS CABLE ESTAÑADO / 10 PZAS CABLE DE 100MTS ESTAÑADO / 200 PZAS CANALETA 2 MTS ETC</t>
  </si>
  <si>
    <t>JULIO CESAR PICHON MARTINEZ</t>
  </si>
  <si>
    <t>PAGO SEGURIDAD PRIVADA DEL 01 AL 15 OCT25 (SERVICIO DE VIGILANCIA)</t>
  </si>
  <si>
    <t>30 PZAS FUENTE 12V 30 AMPERES METALICA</t>
  </si>
  <si>
    <t>10 PZAS DPF 510 MT BLANCO MATTE IMP (ADH GRIS)</t>
  </si>
  <si>
    <t>PINTURAS PARA PLOTER HP832 - HP838</t>
  </si>
  <si>
    <t>PAGO DE LUZ DEL 12SEP AL 15 OCT25</t>
  </si>
  <si>
    <t>RENTA BODEGA OCTUBRE 2025</t>
  </si>
  <si>
    <t>DPF 510MT BLANCO MATTE IMP (ADH. GRIS) 1.52 X 45.72M</t>
  </si>
  <si>
    <t>MAYORISTAS DE TRIPLAY LOLITA, S.A. DE C.V.</t>
  </si>
  <si>
    <t>10 HOJAS DE TRIPLAY FLEXIBLE</t>
  </si>
  <si>
    <t>MDF 15MM CLARO 60PZAS DA243465 DC3603</t>
  </si>
  <si>
    <t>GUANTES TEJIDO POLIETILENO RESISTENTE #7,8 Y 9 14OCT25</t>
  </si>
  <si>
    <t>50 MTS DE TEYCEL NEGRO</t>
  </si>
  <si>
    <t>REF 1924 - 3 CUBETAS TOP TOTAL 1A BLANCO - 1PZA INTER TOP - 2 PZAS ESPATULA FLEXIBLE</t>
  </si>
  <si>
    <t>20 PZAS XCLO BODY FILLER RESANADOR 20OCT25</t>
  </si>
  <si>
    <t>5 ROLLOS DE POLIFOAM 2.00 X 150M DE 1/8"</t>
  </si>
  <si>
    <t>500MTS CABLE DUPLEX TIPO POT (SPT) CAL14 ROLLO - 20PZAS CINTA PARA AISLAR DE PVC No.21</t>
  </si>
  <si>
    <t>100 PZAS DE FELPA PARA MINI RODILLO 4" - 10 PZAS PIJA PUNTA DE BROCA 1"- 10 PZAS PIJA 1 1/2"</t>
  </si>
  <si>
    <t>15 PZAS CINTA DOBLE CARA CON ADHESIVO 10MM X 50MT - CINTA DOBLE CARA 2CM - KLINGS POR DISCO DE LIJA</t>
  </si>
  <si>
    <t>ALFOMBRAS AVENEU</t>
  </si>
  <si>
    <t>PISO LAMINADO GREY NEW YORK 7MM 32M2</t>
  </si>
  <si>
    <t>RENE ROJAS ZARATE</t>
  </si>
  <si>
    <t>REEMBOLSO COMPRA DE 3 PZAS DE VINIL DE CORTE A6 MATTE BLACK 17OCT25</t>
  </si>
  <si>
    <t>RIDA LOGISTICOS S.A. DE C.V.</t>
  </si>
  <si>
    <t>FILTROS DE AIRE PARA MAQUINA CNC TALLER</t>
  </si>
  <si>
    <t>COMPRA DE 5 CUBETAS DE RESISTOL BLANCO</t>
  </si>
  <si>
    <t>DAVID GARCIA RESENDIZ</t>
  </si>
  <si>
    <t>SUMINISTRO LAMBRIN ZK56 65 PZAS - SUMINISTRO ANGULO DH - SUMINISTRO ADHESIVO FISCHER</t>
  </si>
  <si>
    <t>JOSE LUIS RODRIGUEZ ALONSO</t>
  </si>
  <si>
    <t>PAGO REPARACIÓN ELÉCTRICA DEL CAMIÓN ISUZU, HYUNDAI E INTER 16OCT25</t>
  </si>
  <si>
    <t>10 PZ MDF 12MM CLARO - 162 PZ TRIPLAY MDF NATURAL 6MM - MDF 12MM CLARO DA243983 DA241830 DC3611</t>
  </si>
  <si>
    <t>DANIEL ROBLES MENDOZA</t>
  </si>
  <si>
    <t>COMPOSTURA LAPTOP JESSICA</t>
  </si>
  <si>
    <t>PAGO SEGURIDAD PRIVADA OCTUBRE 2025 (SERVICIO DE VIGILANCIA)</t>
  </si>
  <si>
    <t>TIRAS LED PARA ALMACEN</t>
  </si>
  <si>
    <t>REBECA YOCELY PAREDES BALTAZAR</t>
  </si>
  <si>
    <t>FINIQUITO CONTRAPESOS 20OCT25</t>
  </si>
  <si>
    <t>228.06 MTS ORACAL 651 INTERM WHITE MATT ORACAL 651 INTERMEDIATE CAL - WHITE MATTE 1.26 MTS</t>
  </si>
  <si>
    <t>PINTURAS PARA PLOTER HP832 - HP838 -HP836</t>
  </si>
  <si>
    <t>MAT DIVERSOS DA238523, DA239649, DA239646, DA239780, DA240985</t>
  </si>
  <si>
    <t>GRUPO PAPELERO GUTIERREZ SA DE CV</t>
  </si>
  <si>
    <t>COMPRA DE PAPELERIA PERIODO DE NOV-DIC 2025</t>
  </si>
  <si>
    <t>CINTAS VARIAS PARA ALMACEN</t>
  </si>
  <si>
    <t>COTIZACION,DA34654</t>
  </si>
  <si>
    <t>FAC D733E8</t>
  </si>
  <si>
    <t>AAEC.35413</t>
  </si>
  <si>
    <t>AAEC.35414</t>
  </si>
  <si>
    <t>FAC 3548</t>
  </si>
  <si>
    <t>AAEC.35426</t>
  </si>
  <si>
    <t>FAC 14098</t>
  </si>
  <si>
    <t>AAEC.35432</t>
  </si>
  <si>
    <t>AABJ.18137</t>
  </si>
  <si>
    <t>FAC 1A643F8</t>
  </si>
  <si>
    <t>FAC 733E8</t>
  </si>
  <si>
    <t>F-5058</t>
  </si>
  <si>
    <t>MEX-46395</t>
  </si>
  <si>
    <t>COTIZACION 25002</t>
  </si>
  <si>
    <t>FAC 14129</t>
  </si>
  <si>
    <t>DA34877</t>
  </si>
  <si>
    <t>RENE</t>
  </si>
  <si>
    <t>FAC 11350</t>
  </si>
  <si>
    <t>FAC B-8756</t>
  </si>
  <si>
    <t>COT CT179871</t>
  </si>
  <si>
    <t>FAC MEX 46240</t>
  </si>
  <si>
    <t>FAC MEX 46239</t>
  </si>
  <si>
    <t>COT.CT180174</t>
  </si>
  <si>
    <t>DA35038</t>
  </si>
  <si>
    <t>F A5524</t>
  </si>
  <si>
    <t>FAC 10212, NOTA 0099</t>
  </si>
  <si>
    <t>COTIZACIONES</t>
  </si>
  <si>
    <t>FAC. 3568</t>
  </si>
  <si>
    <t>F 5085</t>
  </si>
  <si>
    <t>XFB18753</t>
  </si>
  <si>
    <t>COT7114</t>
  </si>
  <si>
    <t>FAC 358815</t>
  </si>
  <si>
    <t>COTIZACION,FCB2F8</t>
  </si>
  <si>
    <t>FAC A-45</t>
  </si>
  <si>
    <t>BRENDA</t>
  </si>
  <si>
    <t>PREFCTURA</t>
  </si>
  <si>
    <t>F16120</t>
  </si>
  <si>
    <t>COT AGOSTO,DA34658</t>
  </si>
  <si>
    <t>COTIZACION,F9366</t>
  </si>
  <si>
    <t>COT 1466,A5477</t>
  </si>
  <si>
    <t>COT6978,F15683</t>
  </si>
  <si>
    <t>COTIZACION,AAEC35439</t>
  </si>
  <si>
    <t>COTIZACION,F9490</t>
  </si>
  <si>
    <t>COMPROBANTE,F45729</t>
  </si>
  <si>
    <t>DA243983-241830-DC3611,DA35039</t>
  </si>
  <si>
    <t>COTIZACION 1536, B-8785</t>
  </si>
  <si>
    <t>COT.18436,SUR27408</t>
  </si>
  <si>
    <t>COT.22813,MEX46527</t>
  </si>
  <si>
    <t>COT. 22816,MEX46528</t>
  </si>
  <si>
    <t>DA238523 239649 239646,DA35089</t>
  </si>
  <si>
    <t>VICTOR HUGO MARTINEZ</t>
  </si>
  <si>
    <t>REPARACION DE BAÑOS OPERATIVOS</t>
  </si>
  <si>
    <t>JACOB SUAREZ</t>
  </si>
  <si>
    <t>COMISION E INTERES BANCARIO SEP25</t>
  </si>
  <si>
    <t>FISAX FERRETERIA</t>
  </si>
  <si>
    <t>1 CANALETA DE 1VIA12MM $20</t>
  </si>
  <si>
    <t>5 PLACAS DE ABS CIEGA $28</t>
  </si>
  <si>
    <t>RENTA BODEGA SEPTIEMBRE 2025</t>
  </si>
  <si>
    <t>EVODIO DE JESUS</t>
  </si>
  <si>
    <t>MO CONSTRUCCION DE BAÑOS OPERATIVOS</t>
  </si>
  <si>
    <t>TIRSO DE JESUS</t>
  </si>
  <si>
    <t>DON LOLO - 5 TUBOS PVC 4" $300 Y 1TENSOR $35 NTO</t>
  </si>
  <si>
    <t>4 SIKABOND ULTIMATE $249.14 + IVA CU</t>
  </si>
  <si>
    <t>PAGO MANO DE OBRA - CONSTRUCCION DE BAÑOS</t>
  </si>
  <si>
    <t>COLOCACION DE BOMBA DE AGUA EN VIGILANCIA</t>
  </si>
  <si>
    <t>CESPOL FLEXIBLE PARA LAVABO Y FREGADERO 3PZAS, $65 C/U NETO</t>
  </si>
  <si>
    <t>SEARS</t>
  </si>
  <si>
    <t>COMPUTADORA DE ESCRITORIO PARA LOGISTICA</t>
  </si>
  <si>
    <t>ALEXIS LEON ALAMILLO</t>
  </si>
  <si>
    <t>CABLE DE CARGA LAP TOP HP</t>
  </si>
  <si>
    <t>ANGIE LIZEL PEREZ GUERRA</t>
  </si>
  <si>
    <t>PAGO MTTO Y REPARACION DE CAMION BAMBINO</t>
  </si>
  <si>
    <t>2 TALACHAS - POER</t>
  </si>
  <si>
    <t>MTTO ELECTRICO A TABLEROS EN CUARTO COMPRESORES</t>
  </si>
  <si>
    <t>JOSE ARTURO FLORES GONZALES</t>
  </si>
  <si>
    <t>ESTRUCTURA DE HERRERIA POER</t>
  </si>
  <si>
    <t>PAGO ANGULO DE 1X1 0.040 6.10MTS Y SOLERA 3.66 MTS NATURAL</t>
  </si>
  <si>
    <t>COMPRA DE PTR DE 1 *1/2 CAL 14 Y REJA CERO DE 4*8 GOTICO</t>
  </si>
  <si>
    <t>PAGO MENSUAL SOCIAL MEDIA MES DE OCTUBRE 2025</t>
  </si>
  <si>
    <t>PAQ PARA INSTALACION DE SANITARIO CUELLO FLEXIBLE TUBERIA</t>
  </si>
  <si>
    <t>PAQ DE WC + ASIENTO, TAZA Y TANQUE WC, ASIENTO LARGO PAQ PARA INSTALACION WC</t>
  </si>
  <si>
    <t>AUTOPARTES LAURA MUÑOZ</t>
  </si>
  <si>
    <t>ACEITE PARA PLOTTER</t>
  </si>
  <si>
    <t>PINTURA ROJA, COLADOR DE PAPEL PALAS JM y BOTE DE PRESION SENCILLA</t>
  </si>
  <si>
    <t>COTSCO DE MEXICO</t>
  </si>
  <si>
    <t>LIMPIADORES DE VIDRIO 5L Y PAÑOS DE MICROFIBRA</t>
  </si>
  <si>
    <t>ESCOBAS CHICAS , FLEXOMETRO Y BOLSAS</t>
  </si>
  <si>
    <t>ATT COMUNICACIONES DIGITALES</t>
  </si>
  <si>
    <t>TELEFONO Y SERVICIO ATT - CAROLINA</t>
  </si>
  <si>
    <t>TELEFONO Y SERVICIO ATT - LEONARDO</t>
  </si>
  <si>
    <t>SERVICIO TOTAL PLAY 06AGO - 05SEP25 - MIX</t>
  </si>
  <si>
    <t>MATERIALES PARA PLOMERIA BAÑOS ENRIQUE</t>
  </si>
  <si>
    <t>JUEGO DE PUNTAS PARA YAIR - AUDIO Y VIDEO</t>
  </si>
  <si>
    <t>CESPOL PARA LAVABO</t>
  </si>
  <si>
    <t>FERRETERIA MORIYAMA</t>
  </si>
  <si>
    <t>SUJETOR MARIPOSA</t>
  </si>
  <si>
    <t>REGLETA 65W 1.20M</t>
  </si>
  <si>
    <t>ROLLO CABLE TF CONDUMEX AJUSTABLE DE 8W DOWNLINGTH 15W</t>
  </si>
  <si>
    <t>TROVICEL 6MM,TROVICEL 6MM NEGRO</t>
  </si>
  <si>
    <t>SAYER LACK FATIMA</t>
  </si>
  <si>
    <t>VASOS , EMPAQUES Y MANGUERAS</t>
  </si>
  <si>
    <t>MANGUERA 5M, PINTURA ROJA, COLADOR DE PAPEL PALAS JM y BOTE DE PRESION SENCILLA</t>
  </si>
  <si>
    <t>4L FLASH COAT NF MATE</t>
  </si>
  <si>
    <t>CASA DE PAPELERIA M</t>
  </si>
  <si>
    <t>250 MARC CERA PHANO RJ BL2 246 MARC CERA PHANO AZ 2</t>
  </si>
  <si>
    <t>LA CASA DEL CICLISTA</t>
  </si>
  <si>
    <t>ASIENTO WIDSOR, POSTE ASIENTO, LLANTAS 26 Y 20</t>
  </si>
  <si>
    <t>CAMARAS 20 Y 26</t>
  </si>
  <si>
    <t>SOLERA DE 1X1/16</t>
  </si>
  <si>
    <t>REFACCIONES Y ACCESORIOS</t>
  </si>
  <si>
    <t>CARGADOR TIPO C</t>
  </si>
  <si>
    <t>CENTRO BARBADO SA DE CV</t>
  </si>
  <si>
    <t>2 PZAS CAUTIN TIPO LAPIZ</t>
  </si>
  <si>
    <t>MANGUERAS</t>
  </si>
  <si>
    <t>JAVIER ALEXIS CEJA RAMÍREZ</t>
  </si>
  <si>
    <t>MANO DE OBRA EXTERNA DEL 01 AL 15 OCT25</t>
  </si>
  <si>
    <t>FINIQ POR BAÑOS OFICINAS ENRIQUE</t>
  </si>
  <si>
    <t>COMPRA MATERIAL MANTENIMIENTO TECHO OFIC. ENRIQUE (3 BTOS CALIDRA 1 BTO CEMENTO GRIS)</t>
  </si>
  <si>
    <t>UNIVERSAL</t>
  </si>
  <si>
    <t>5 60LED12V</t>
  </si>
  <si>
    <t>MAYORISTAS DE TRIPLAY LOLITA SA DE CV</t>
  </si>
  <si>
    <t>TRIPLAY FLEXIBLE PAWLONIA 3.6MM 4*8</t>
  </si>
  <si>
    <t>SAN MARTIN</t>
  </si>
  <si>
    <t>50MTS TEYCEL NEGRO</t>
  </si>
  <si>
    <t>50 JALADERAS DE 76MM</t>
  </si>
  <si>
    <t>DPF 510MT BLANCO MATTE IMP (ADH. GRIS) 1.52 X 45.72 M</t>
  </si>
  <si>
    <t>DT TEC S.A. DE C.V.</t>
  </si>
  <si>
    <t>1 ROLLOVINIL MIOCROPERFORADO SLITE 152x100 BLANCO - 2 ROLLOS FLOOR GRAPHICS TEXTURA SUPRINT 1.52 X 50</t>
  </si>
  <si>
    <t>CONTRAPESOS 20OCT25</t>
  </si>
  <si>
    <t>REF 1924 - 6 PZAS DE AEROCOMEX BLACO Y TRANSPARENTE - 10 PZAS ARMAZON P/RODILLO</t>
  </si>
  <si>
    <t>COMPLEMENTO DE PAGO DE MANO DE OBRA</t>
  </si>
  <si>
    <t>CHINCOS BOLSAS Y MULTICONTACTO</t>
  </si>
  <si>
    <t>ILUMINACION INTELIGENTE LED</t>
  </si>
  <si>
    <t>PERFIL NATURAL NEGRO ELIMINADOR Y CABLE</t>
  </si>
  <si>
    <t>PROMOTORA DE TUERCA Y TORNILLOS</t>
  </si>
  <si>
    <t>PIJA PLANA PIJA PLANH</t>
  </si>
  <si>
    <t>MIRIAM NAYELI VALLEJO ANICETO</t>
  </si>
  <si>
    <t>1 CJA PAPEL HIGIENICO 12/250MTS - 5PZAS DE AROMATIZANTE GLADE</t>
  </si>
  <si>
    <t>REEMBOLSO GASTOS MANTENIMIENTO HYUNDAI DESPRENDIMIENTO DE ESCAPE DE MOTOR</t>
  </si>
  <si>
    <t>REEMBOLSO GASTOS COMPRA DE MANUAL DE SERVICIOS CAMIONETA POER2</t>
  </si>
  <si>
    <t>6 PZAS DE HOJA DE ACRILICO CRISTAL 3MM 244X122 - 2PZAS HOJA DE 6MM CRISTAL</t>
  </si>
  <si>
    <t>IBERSINO</t>
  </si>
  <si>
    <t>TIRAS DE LUZ LED BOLSA Y ELIMINADOR</t>
  </si>
  <si>
    <t>PAPELERIA LOZANO HNOS</t>
  </si>
  <si>
    <t>VINIL ESMERILADO ETCHMARK</t>
  </si>
  <si>
    <t>BANDAS DE LIJA</t>
  </si>
  <si>
    <t>MTTO A POER 1</t>
  </si>
  <si>
    <t>SERVICIO TOTAL PLAY OCT25</t>
  </si>
  <si>
    <t>NV1052</t>
  </si>
  <si>
    <t>F9356</t>
  </si>
  <si>
    <t>F9357</t>
  </si>
  <si>
    <t>F312063</t>
  </si>
  <si>
    <t>TK102206 / F9367</t>
  </si>
  <si>
    <t>TK20367 / FBAA4524543</t>
  </si>
  <si>
    <t>NV0729</t>
  </si>
  <si>
    <t>NV652</t>
  </si>
  <si>
    <t>NV32</t>
  </si>
  <si>
    <t>F0010328</t>
  </si>
  <si>
    <t>FC124321</t>
  </si>
  <si>
    <t>AA316140618</t>
  </si>
  <si>
    <t>AA316140616</t>
  </si>
  <si>
    <t>TK57565</t>
  </si>
  <si>
    <t>TO050760</t>
  </si>
  <si>
    <t>BGG3706895</t>
  </si>
  <si>
    <t>F9388</t>
  </si>
  <si>
    <t>FVAT14973708</t>
  </si>
  <si>
    <t>FVAT14973814</t>
  </si>
  <si>
    <t>B1-417163850T1</t>
  </si>
  <si>
    <t>F3415</t>
  </si>
  <si>
    <t>F3416</t>
  </si>
  <si>
    <t>F14115</t>
  </si>
  <si>
    <t>F18214</t>
  </si>
  <si>
    <t>BP11226</t>
  </si>
  <si>
    <t>NV93161</t>
  </si>
  <si>
    <t>BP11308</t>
  </si>
  <si>
    <t>NV37140</t>
  </si>
  <si>
    <t>TO50788</t>
  </si>
  <si>
    <t>AABJ18144</t>
  </si>
  <si>
    <t>D5454</t>
  </si>
  <si>
    <t>D5455</t>
  </si>
  <si>
    <t>F0010380</t>
  </si>
  <si>
    <t>NVA2903</t>
  </si>
  <si>
    <t>EIE27725</t>
  </si>
  <si>
    <t>TK0810882</t>
  </si>
  <si>
    <t>ALEXIS CEJA</t>
  </si>
  <si>
    <t>FAC 14128</t>
  </si>
  <si>
    <t>TOL67816</t>
  </si>
  <si>
    <t>L66618</t>
  </si>
  <si>
    <t>NV0099</t>
  </si>
  <si>
    <t>E179611</t>
  </si>
  <si>
    <t>CT180058</t>
  </si>
  <si>
    <t>CTR_2025_12032 Y 12028</t>
  </si>
  <si>
    <t>NV37427</t>
  </si>
  <si>
    <t>F358993</t>
  </si>
  <si>
    <t>AABJ.18162</t>
  </si>
  <si>
    <t>TICKET2954</t>
  </si>
  <si>
    <t>NV0358</t>
  </si>
  <si>
    <t>PM179393</t>
  </si>
  <si>
    <t>FAC-7D143</t>
  </si>
  <si>
    <t>COTIZACION 257989</t>
  </si>
  <si>
    <t>TK251029445026</t>
  </si>
  <si>
    <t>F360015</t>
  </si>
  <si>
    <t>10/28/2025</t>
  </si>
  <si>
    <t>F9500</t>
  </si>
  <si>
    <t>27/10//25</t>
  </si>
  <si>
    <t>RCM000002294</t>
  </si>
  <si>
    <t xml:space="preserve">RBO </t>
  </si>
  <si>
    <t>NV4661</t>
  </si>
  <si>
    <t>COT,FAC 14076</t>
  </si>
  <si>
    <t>PAPEL TRANSFER NEKOOSA</t>
  </si>
  <si>
    <t>PEGAMENTO PARA TAPIZ - 2PZAS</t>
  </si>
  <si>
    <t>LONA REFORZADA GRIS</t>
  </si>
  <si>
    <t>FAJALI360285</t>
  </si>
  <si>
    <t>F7815</t>
  </si>
  <si>
    <t>TK3234001-421</t>
  </si>
  <si>
    <t>FREDY RICO</t>
  </si>
  <si>
    <t>NOMINA SEMANAL</t>
  </si>
  <si>
    <t>NOMINA SEMANAL DEL 29SEP AL 5OCT</t>
  </si>
  <si>
    <t>NOMINA SEMANAL DEL 6 AL 12OCT25</t>
  </si>
  <si>
    <t>NOMINA SEMANAL DEL 13 AL 19OCT25</t>
  </si>
  <si>
    <t>NOMINA SEMANAL DEL 20 AL 26OCT25</t>
  </si>
  <si>
    <t>REMISION</t>
  </si>
  <si>
    <t>PEAJES DEL 21 AL 30SEP25</t>
  </si>
  <si>
    <t>CDEC29608-CDEC29568</t>
  </si>
  <si>
    <t>LIV METEPEC 0074 METEPEC E</t>
  </si>
  <si>
    <t>LOMAS TRAVEL LOMAS T EN CDMX</t>
  </si>
  <si>
    <t>MERCADOPAGO*60SCOSMOPOL Cuauht?moc</t>
  </si>
  <si>
    <t>MOVIMIENTO INTERNO DE BODEGA SALAZAR</t>
  </si>
  <si>
    <t>OPERADORA DE MINIESTACIONES COMBUSERV</t>
  </si>
  <si>
    <t>MOVIMIENTO INTERNO DE BODEGA SALIDA DHL</t>
  </si>
  <si>
    <t>MOVIMIENTO INTERNO DE BODEGA INTERLOMAS</t>
  </si>
  <si>
    <t>SUPER SERVICIO ALVAREI</t>
  </si>
  <si>
    <t>MOVIMIENTO INTERNO DE BODEGA - OCTAVIO</t>
  </si>
  <si>
    <t>MOVIMIENTO INTERNO DE BODEGA</t>
  </si>
  <si>
    <t>SERVICIOS GASOLINEROS DE METEPEC</t>
  </si>
  <si>
    <t>RESCATE JEEP</t>
  </si>
  <si>
    <t>SALIDA A RECOLECCIONES DE SUMINISTROS, PISO LAMINADO</t>
  </si>
  <si>
    <t>FK0056055</t>
  </si>
  <si>
    <t>MMEI121026</t>
  </si>
  <si>
    <t>W86441</t>
  </si>
  <si>
    <t>OCTAVIO</t>
  </si>
  <si>
    <t>F29198</t>
  </si>
  <si>
    <t>W87658</t>
  </si>
  <si>
    <t>TK81355</t>
  </si>
  <si>
    <t>guiLLERMO</t>
  </si>
  <si>
    <t>TK1721301</t>
  </si>
  <si>
    <t>APLICA MTC2025-001 Y MDE2025-003D</t>
  </si>
  <si>
    <t>VARIACIÓN PRESUPUESTARÍA</t>
  </si>
  <si>
    <t>DISEÑADORES 
BODEGA</t>
  </si>
  <si>
    <t xml:space="preserve">    TOTALES</t>
  </si>
  <si>
    <t xml:space="preserve">  DIFERENCIA</t>
  </si>
  <si>
    <t>CALZADO VAN VIEN</t>
  </si>
  <si>
    <t>CALZADO DE SEGURIDAD PARA PLANTILLA DE LOGISTICA 12 PARES</t>
  </si>
  <si>
    <t>30 CONTACTOS DE SOBREPONER - 4 JGOS DE COPIES</t>
  </si>
  <si>
    <t>CINTAS VERDES PARA ALMACEN Y KOLA LOKA</t>
  </si>
  <si>
    <t>4 VIAJES DE RECOLECCION DE BASURA - NOVIEMBRE 2025</t>
  </si>
  <si>
    <t>EFECTIVO GASTOS VARIOS, POP UP(75) Y SURA (175)</t>
  </si>
  <si>
    <t>PAGO REVISIÓN DE INSTALACIÓN Y CAMBIO DE EQUIPOS GPS CAMIÓN BAMBINO</t>
  </si>
  <si>
    <t>PAGO MNTTO TOYOTA HIACE 2 DISCOS DELANTERAS FRENOS Y BALATAS DELANTERAS</t>
  </si>
  <si>
    <t>PAGO RENTA DE CASA SUAREZ NOVIEMBRE2025</t>
  </si>
  <si>
    <t>CILINDROS PARA CHAPA</t>
  </si>
  <si>
    <t>120 PZAS MDF NATURAL 15MM</t>
  </si>
  <si>
    <t>EDGAR OCTAVIO ALVARADO</t>
  </si>
  <si>
    <t>PAGO OCTAVIO POR LLEVARSE DESPEDICIO DE MADERA 07NOV25 (3 MANIOBRISTAS)</t>
  </si>
  <si>
    <t>DANIEL FLORES CHAVEZ</t>
  </si>
  <si>
    <t>PAGO 8 MANIOBRISTAS EXTERNOS CARGA Y DESCARGA DE MDF 09NOV25</t>
  </si>
  <si>
    <t>20 ROLLOS PLAYO</t>
  </si>
  <si>
    <t xml:space="preserve">MATERIALES DIVERSOS AAEC 35439, 35459, 35487, 35491, 35497, 35501, 35503, 35504, 35508, 35519, 35525, 35527, 35529, 35534 
</t>
  </si>
  <si>
    <t>GUILLERMO MEDOZA</t>
  </si>
  <si>
    <t>REEMBOLSO SERVICIO DE MANTENIMIENTO BYD 10NOV25</t>
  </si>
  <si>
    <t>COMPLEMENTO RENTA DE CASA SUAREZ NOVIEMBRE2025</t>
  </si>
  <si>
    <t>PAGO MENSUAL SOCIAL MEDIA MES DE NOVIEMBRE 2025</t>
  </si>
  <si>
    <t>PROGRAMACION INTERNET EMPRESARIAL DE TOTAL PLAY - PAGO FIJO 3</t>
  </si>
  <si>
    <t>COMPRA Y GESTION PROGRAMACION DE 12 REPETIDORES DE INTERNET - PAGO FIJO 3</t>
  </si>
  <si>
    <t>4 TONER PARA IMPRESORA CYAN, NEGRO, MAGENTA, AMARILLO</t>
  </si>
  <si>
    <t>TM1721</t>
  </si>
  <si>
    <t>COTIZACION 7210,F16220</t>
  </si>
  <si>
    <t>F66770</t>
  </si>
  <si>
    <t>F 14205</t>
  </si>
  <si>
    <t>TC 153952</t>
  </si>
  <si>
    <t>COTI180897</t>
  </si>
  <si>
    <t>FACTURA E-180304</t>
  </si>
  <si>
    <t>COTI1539</t>
  </si>
  <si>
    <t>DC3639,DA3582</t>
  </si>
  <si>
    <t>FACTURAS</t>
  </si>
  <si>
    <t>F 14206</t>
  </si>
  <si>
    <t>COTIZACION,F9568</t>
  </si>
  <si>
    <t>YAIR PEREZ</t>
  </si>
  <si>
    <t>REEMBOLSO COMPRA DE UNIFORMES</t>
  </si>
  <si>
    <t>ALDO PRECIADO ROSETE</t>
  </si>
  <si>
    <t>MANTENIMIENTO MAQUINA LASER</t>
  </si>
  <si>
    <t>MTTO A CNC</t>
  </si>
  <si>
    <t>COMISION E IVA BANCARIO OCT25</t>
  </si>
  <si>
    <t>RECIBO OCTUBRE25 TEL 7222326078</t>
  </si>
  <si>
    <t>RECIBO OCTUBRE25 TEL 7222327650</t>
  </si>
  <si>
    <t>MO PROYECTOS FUTUROS</t>
  </si>
  <si>
    <t>DANIEL ARELLANO LAMA</t>
  </si>
  <si>
    <t>SERVICIO DE AGUA POTABLE PERIODO SEP-OCT 2025</t>
  </si>
  <si>
    <t>OMAR GONZÁLEZ</t>
  </si>
  <si>
    <t>ESTACIONAMIENTO RECOLECCIÓN DE LAP TOP</t>
  </si>
  <si>
    <t>500MTS CABLE 14, 30TOMA DE CORRIENTE DUPLEX-CONTACTO DUPLEX , ETC</t>
  </si>
  <si>
    <t>RECLUTAMIENTO</t>
  </si>
  <si>
    <t>REEMBOLSO MANTENIMIENTO INTER 14NOV25</t>
  </si>
  <si>
    <t>F16391</t>
  </si>
  <si>
    <t>PELICULA TRANSFER NEKOOSA</t>
  </si>
  <si>
    <t>CERRADURA CUADRADA PARA CAJON Y CERRADURA DE PESTILLO</t>
  </si>
  <si>
    <t>FERRETERIA LA CERREDANA</t>
  </si>
  <si>
    <t>CUÑA PARA RASPAR Y LONA REFORZADA</t>
  </si>
  <si>
    <t>COMPRA DE PAR DE ZAPATOS PARA VICKY LIMPIEZA</t>
  </si>
  <si>
    <t>CINTA METRICA - FLEXOMETRO</t>
  </si>
  <si>
    <t>WINDEX 5LT</t>
  </si>
  <si>
    <t>CUÑA DE 4X3 SIN MANGO</t>
  </si>
  <si>
    <t>CPRO INDUSTRIAL MEXICANA</t>
  </si>
  <si>
    <t>CUÑA DE ACERO SENCILLA</t>
  </si>
  <si>
    <t>FARMACIA FARMA SALUD</t>
  </si>
  <si>
    <t>CONSULTA MEDICA CAROLINA RAMOS</t>
  </si>
  <si>
    <t>F360295</t>
  </si>
  <si>
    <t>E-180264</t>
  </si>
  <si>
    <t>F182118</t>
  </si>
  <si>
    <t>TM1748</t>
  </si>
  <si>
    <t>TK3010</t>
  </si>
  <si>
    <t>F9597</t>
  </si>
  <si>
    <t>F38315</t>
  </si>
  <si>
    <t>TICKETS VARIOS</t>
  </si>
  <si>
    <t>RIDA LOGISTICOS</t>
  </si>
  <si>
    <t>FILTRO CNC</t>
  </si>
  <si>
    <t>DEKOMADERA</t>
  </si>
  <si>
    <t>HOJA MDF 6 MM</t>
  </si>
  <si>
    <t>SI</t>
  </si>
  <si>
    <t>PEAJES DEL 1 AL 10NOV25</t>
  </si>
  <si>
    <t>CDEC 31192</t>
  </si>
  <si>
    <t>WETRANSFER* FB3B6429 AMSTERDAM/23.00 USD/</t>
  </si>
  <si>
    <t>HOME DEPOT METEPEC ESTA ESTADO MEXICO</t>
  </si>
  <si>
    <t>4KHGBRI9937</t>
  </si>
  <si>
    <t>GASOLINERA REOVACION</t>
  </si>
  <si>
    <t>REGALOS Y PATRICIONIOS PMM</t>
  </si>
  <si>
    <t>SERVICIO IZVAROCO</t>
  </si>
  <si>
    <t>TRASLADO DE PERSONAL Y COMPRA DE MATERIALES</t>
  </si>
  <si>
    <t>F23238</t>
  </si>
  <si>
    <t>F85034</t>
  </si>
  <si>
    <t>VALIDACIÓN</t>
  </si>
  <si>
    <t>KUSPIT SP´S</t>
  </si>
  <si>
    <t>TOKA COMBUSTIBLES</t>
  </si>
  <si>
    <t>TOKA CONNECT</t>
  </si>
  <si>
    <t>TARJETA SANTANDER SANTANDER</t>
  </si>
  <si>
    <t>SANTANDER SELECT - ENRIQUE</t>
  </si>
  <si>
    <t>SANTANDER - SUBCUENTA</t>
  </si>
  <si>
    <t>TOKA - TELEVIA</t>
  </si>
  <si>
    <t>TOKA - COMBUSTIBLES</t>
  </si>
  <si>
    <t>TOKA - CONNECT</t>
  </si>
  <si>
    <t>****</t>
  </si>
  <si>
    <t>MANUEL MARTINEZ</t>
  </si>
  <si>
    <t>SERVICIO 30MIL KM POER</t>
  </si>
  <si>
    <t>$ -</t>
  </si>
  <si>
    <t>PEAJES DEL 1 AL 10OCT25</t>
  </si>
  <si>
    <t>PEAJES DEL 11 AL 20OCT25</t>
  </si>
  <si>
    <t>CDEC-29789</t>
  </si>
  <si>
    <t>ROGELIO, MANUELY AXEL</t>
  </si>
  <si>
    <t>CDEC-30164</t>
  </si>
  <si>
    <t>TB AMEX PROYECTOS VARIOS $1,459,873.84 EZ/OC</t>
  </si>
  <si>
    <t>TB EZ SANTANDER-AMEX $250,135.11 PROYECTOS VARIOS</t>
  </si>
  <si>
    <t>F-BED0D</t>
  </si>
  <si>
    <t>FRANCISCO CHACÓN</t>
  </si>
  <si>
    <t>PAGO COMPLEMENTARIO NOMINA SEMANAL</t>
  </si>
  <si>
    <t>PAGO COMPLEMENTO DE NOMINA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</si>
</sst>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_-&quot;$&quot;* #,##0.00_-;\-&quot;$&quot;* #,##0.00_-;_-&quot;$&quot;* &quot;-&quot;??_-;_-@"/>
    <numFmt numFmtId="166" formatCode="dd/mm/yy"/>
  </numFmts>
  <fonts count="36" x14ac:knownFonts="1">
    <font>
      <sz val="11"/>
      <color theme="1"/>
      <name val="Aptos Narrow"/>
      <scheme val="minor"/>
    </font>
    <font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Aptos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ptos"/>
      <family val="2"/>
    </font>
    <font>
      <b/>
      <sz val="12"/>
      <color theme="2"/>
      <name val="Aptos"/>
      <family val="2"/>
    </font>
    <font>
      <sz val="10"/>
      <color rgb="FF000000"/>
      <name val="Aptos"/>
      <family val="2"/>
    </font>
    <font>
      <u/>
      <sz val="10"/>
      <color rgb="FF0000FF"/>
      <name val="Aptos"/>
      <family val="2"/>
    </font>
    <font>
      <u/>
      <sz val="10"/>
      <color rgb="FF467886"/>
      <name val="Aptos"/>
      <family val="2"/>
    </font>
    <font>
      <b/>
      <sz val="12"/>
      <color theme="1"/>
      <name val="Aptos"/>
      <family val="2"/>
    </font>
    <font>
      <b/>
      <sz val="14"/>
      <color theme="1"/>
      <name val="Aptos"/>
      <family val="2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0"/>
      <name val="Aptos"/>
      <family val="2"/>
    </font>
    <font>
      <b/>
      <sz val="10"/>
      <color rgb="FFCC0000"/>
      <name val="Aptos"/>
      <family val="2"/>
    </font>
    <font>
      <b/>
      <sz val="11"/>
      <color theme="0"/>
      <name val="Aptos"/>
      <family val="2"/>
    </font>
    <font>
      <b/>
      <sz val="11"/>
      <color rgb="FFFF0000"/>
      <name val="Aptos"/>
      <family val="2"/>
    </font>
    <font>
      <sz val="10"/>
      <color rgb="FFFF0000"/>
      <name val="Aptos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ptos"/>
      <family val="2"/>
    </font>
    <font>
      <u/>
      <sz val="10"/>
      <color rgb="FF1155CC"/>
      <name val="Aptos"/>
      <family val="2"/>
    </font>
    <font>
      <u/>
      <sz val="10"/>
      <color rgb="FFFF0000"/>
      <name val="Aptos"/>
      <family val="2"/>
    </font>
    <font>
      <b/>
      <sz val="8"/>
      <color rgb="FFFF0000"/>
      <name val="Aptos"/>
      <family val="2"/>
    </font>
    <font>
      <b/>
      <sz val="10"/>
      <color theme="4" tint="-0.249977111117893"/>
      <name val="Aptos"/>
      <family val="2"/>
    </font>
    <font>
      <sz val="10.5"/>
      <color theme="1"/>
      <name val="Aptos"/>
      <family val="2"/>
    </font>
    <font>
      <b/>
      <sz val="10.5"/>
      <color theme="1"/>
      <name val="Aptos"/>
      <family val="2"/>
    </font>
    <font>
      <b/>
      <sz val="11.5"/>
      <color theme="1"/>
      <name val="Aptos"/>
      <family val="2"/>
    </font>
    <font>
      <b/>
      <sz val="11.5"/>
      <color rgb="FFCC0000"/>
      <name val="Aptos"/>
      <family val="2"/>
    </font>
    <font>
      <b/>
      <sz val="10"/>
      <name val="Aptos"/>
      <family val="2"/>
    </font>
    <font>
      <sz val="12"/>
      <color theme="1"/>
      <name val="Aptos"/>
      <family val="2"/>
    </font>
    <font>
      <b/>
      <sz val="8"/>
      <color theme="1"/>
      <name val="Aptos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1"/>
        <bgColor rgb="FFDAE9F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3E28E"/>
      </patternFill>
    </fill>
    <fill>
      <patternFill patternType="solid">
        <fgColor theme="0"/>
        <bgColor rgb="FFFF79B4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rgb="FFFF9900"/>
      </patternFill>
    </fill>
    <fill>
      <patternFill patternType="solid">
        <fgColor theme="2"/>
        <bgColor rgb="FF95DCF7"/>
      </patternFill>
    </fill>
    <fill>
      <patternFill patternType="solid">
        <fgColor theme="2"/>
        <bgColor rgb="FF83E28E"/>
      </patternFill>
    </fill>
    <fill>
      <patternFill patternType="solid">
        <fgColor rgb="FFB9FA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6C6AC"/>
      </patternFill>
    </fill>
    <fill>
      <patternFill patternType="solid">
        <fgColor theme="1"/>
        <bgColor rgb="FFD0E0E3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B9FAFF"/>
        <bgColor rgb="FF83E28E"/>
      </patternFill>
    </fill>
    <fill>
      <patternFill patternType="solid">
        <fgColor rgb="FFB9FAFF"/>
        <bgColor theme="0"/>
      </patternFill>
    </fill>
    <fill>
      <patternFill patternType="solid">
        <fgColor theme="0"/>
        <bgColor rgb="FF95DCF7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254">
    <xf numFmtId="0" fontId="0" fillId="0" borderId="0" xfId="0"/>
    <xf numFmtId="0" fontId="7" fillId="0" borderId="0" xfId="0" applyFont="1"/>
    <xf numFmtId="0" fontId="11" fillId="0" borderId="11" xfId="0" applyFont="1" applyBorder="1"/>
    <xf numFmtId="0" fontId="7" fillId="0" borderId="0" xfId="0" applyFont="1" applyAlignment="1">
      <alignment horizontal="center"/>
    </xf>
    <xf numFmtId="0" fontId="9" fillId="0" borderId="11" xfId="0" applyFont="1" applyBorder="1"/>
    <xf numFmtId="0" fontId="11" fillId="3" borderId="11" xfId="0" applyFont="1" applyFill="1" applyBorder="1" applyAlignment="1">
      <alignment horizontal="left"/>
    </xf>
    <xf numFmtId="0" fontId="11" fillId="2" borderId="11" xfId="0" applyFont="1" applyFill="1" applyBorder="1"/>
    <xf numFmtId="164" fontId="9" fillId="0" borderId="11" xfId="0" applyNumberFormat="1" applyFont="1" applyBorder="1" applyAlignment="1">
      <alignment horizontal="right"/>
    </xf>
    <xf numFmtId="165" fontId="12" fillId="2" borderId="11" xfId="0" applyNumberFormat="1" applyFont="1" applyFill="1" applyBorder="1" applyAlignment="1">
      <alignment horizontal="center"/>
    </xf>
    <xf numFmtId="164" fontId="12" fillId="2" borderId="11" xfId="0" applyNumberFormat="1" applyFont="1" applyFill="1" applyBorder="1" applyAlignment="1">
      <alignment horizontal="center"/>
    </xf>
    <xf numFmtId="0" fontId="10" fillId="6" borderId="9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164" fontId="10" fillId="6" borderId="14" xfId="0" applyNumberFormat="1" applyFont="1" applyFill="1" applyBorder="1" applyAlignment="1">
      <alignment horizontal="center" vertical="center"/>
    </xf>
    <xf numFmtId="164" fontId="10" fillId="6" borderId="13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0" fontId="11" fillId="7" borderId="15" xfId="0" applyFont="1" applyFill="1" applyBorder="1"/>
    <xf numFmtId="14" fontId="12" fillId="7" borderId="15" xfId="0" applyNumberFormat="1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/>
    </xf>
    <xf numFmtId="0" fontId="11" fillId="7" borderId="15" xfId="0" applyFont="1" applyFill="1" applyBorder="1" applyAlignment="1">
      <alignment horizontal="left"/>
    </xf>
    <xf numFmtId="164" fontId="10" fillId="6" borderId="18" xfId="0" applyNumberFormat="1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left"/>
    </xf>
    <xf numFmtId="164" fontId="12" fillId="11" borderId="15" xfId="0" applyNumberFormat="1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left"/>
    </xf>
    <xf numFmtId="14" fontId="12" fillId="2" borderId="15" xfId="0" applyNumberFormat="1" applyFont="1" applyFill="1" applyBorder="1" applyAlignment="1">
      <alignment horizontal="center"/>
    </xf>
    <xf numFmtId="164" fontId="13" fillId="2" borderId="15" xfId="0" applyNumberFormat="1" applyFont="1" applyFill="1" applyBorder="1" applyAlignment="1">
      <alignment horizontal="center"/>
    </xf>
    <xf numFmtId="164" fontId="11" fillId="2" borderId="15" xfId="0" applyNumberFormat="1" applyFont="1" applyFill="1" applyBorder="1" applyAlignment="1">
      <alignment horizontal="center"/>
    </xf>
    <xf numFmtId="0" fontId="11" fillId="14" borderId="15" xfId="0" applyFont="1" applyFill="1" applyBorder="1"/>
    <xf numFmtId="0" fontId="9" fillId="15" borderId="11" xfId="0" applyFont="1" applyFill="1" applyBorder="1"/>
    <xf numFmtId="164" fontId="9" fillId="15" borderId="11" xfId="0" applyNumberFormat="1" applyFont="1" applyFill="1" applyBorder="1" applyAlignment="1">
      <alignment horizontal="right"/>
    </xf>
    <xf numFmtId="43" fontId="14" fillId="15" borderId="15" xfId="1" applyFont="1" applyFill="1" applyBorder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7" fillId="5" borderId="0" xfId="0" applyFont="1" applyFill="1"/>
    <xf numFmtId="0" fontId="17" fillId="0" borderId="0" xfId="0" applyFont="1"/>
    <xf numFmtId="0" fontId="6" fillId="5" borderId="0" xfId="0" applyFont="1" applyFill="1"/>
    <xf numFmtId="0" fontId="18" fillId="5" borderId="0" xfId="0" applyFont="1" applyFill="1"/>
    <xf numFmtId="0" fontId="9" fillId="5" borderId="0" xfId="0" applyFont="1" applyFill="1" applyAlignment="1">
      <alignment horizontal="center" vertical="center"/>
    </xf>
    <xf numFmtId="0" fontId="6" fillId="5" borderId="13" xfId="0" applyFont="1" applyFill="1" applyBorder="1" applyAlignment="1">
      <alignment horizontal="left" vertical="center"/>
    </xf>
    <xf numFmtId="0" fontId="6" fillId="5" borderId="13" xfId="0" applyFont="1" applyFill="1" applyBorder="1" applyAlignment="1">
      <alignment horizontal="center" vertical="center"/>
    </xf>
    <xf numFmtId="164" fontId="11" fillId="5" borderId="0" xfId="0" applyNumberFormat="1" applyFont="1" applyFill="1" applyAlignment="1">
      <alignment horizontal="center"/>
    </xf>
    <xf numFmtId="165" fontId="6" fillId="5" borderId="13" xfId="0" applyNumberFormat="1" applyFont="1" applyFill="1" applyBorder="1" applyAlignment="1">
      <alignment horizontal="center" vertical="center"/>
    </xf>
    <xf numFmtId="165" fontId="11" fillId="5" borderId="0" xfId="0" applyNumberFormat="1" applyFont="1" applyFill="1" applyAlignment="1">
      <alignment horizontal="center"/>
    </xf>
    <xf numFmtId="165" fontId="9" fillId="5" borderId="13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165" fontId="6" fillId="5" borderId="0" xfId="0" applyNumberFormat="1" applyFont="1" applyFill="1" applyAlignment="1">
      <alignment horizontal="center" vertical="center"/>
    </xf>
    <xf numFmtId="165" fontId="9" fillId="5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164" fontId="9" fillId="5" borderId="0" xfId="0" applyNumberFormat="1" applyFont="1" applyFill="1" applyAlignment="1">
      <alignment horizontal="center" vertical="center"/>
    </xf>
    <xf numFmtId="165" fontId="19" fillId="5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20" fillId="16" borderId="1" xfId="0" applyFont="1" applyFill="1" applyBorder="1" applyAlignment="1">
      <alignment horizontal="center" vertical="center"/>
    </xf>
    <xf numFmtId="0" fontId="20" fillId="16" borderId="2" xfId="0" applyFont="1" applyFill="1" applyBorder="1" applyAlignment="1">
      <alignment horizontal="center" vertical="center"/>
    </xf>
    <xf numFmtId="0" fontId="20" fillId="16" borderId="3" xfId="0" applyFont="1" applyFill="1" applyBorder="1" applyAlignment="1">
      <alignment horizontal="center" vertical="center"/>
    </xf>
    <xf numFmtId="0" fontId="20" fillId="16" borderId="4" xfId="0" applyFont="1" applyFill="1" applyBorder="1" applyAlignment="1">
      <alignment horizontal="center" vertical="center"/>
    </xf>
    <xf numFmtId="164" fontId="20" fillId="16" borderId="4" xfId="0" applyNumberFormat="1" applyFont="1" applyFill="1" applyBorder="1" applyAlignment="1">
      <alignment horizontal="center" vertical="center"/>
    </xf>
    <xf numFmtId="165" fontId="20" fillId="17" borderId="4" xfId="0" applyNumberFormat="1" applyFont="1" applyFill="1" applyBorder="1" applyAlignment="1">
      <alignment horizontal="center" vertical="center"/>
    </xf>
    <xf numFmtId="165" fontId="20" fillId="18" borderId="4" xfId="0" applyNumberFormat="1" applyFont="1" applyFill="1" applyBorder="1" applyAlignment="1">
      <alignment horizontal="center" vertical="center"/>
    </xf>
    <xf numFmtId="165" fontId="20" fillId="16" borderId="4" xfId="0" applyNumberFormat="1" applyFont="1" applyFill="1" applyBorder="1" applyAlignment="1">
      <alignment horizontal="center" vertical="center"/>
    </xf>
    <xf numFmtId="0" fontId="20" fillId="16" borderId="5" xfId="0" applyFont="1" applyFill="1" applyBorder="1" applyAlignment="1">
      <alignment horizontal="center" vertical="center"/>
    </xf>
    <xf numFmtId="43" fontId="11" fillId="8" borderId="15" xfId="1" applyFont="1" applyFill="1" applyBorder="1"/>
    <xf numFmtId="0" fontId="21" fillId="0" borderId="0" xfId="0" applyFont="1" applyAlignment="1">
      <alignment horizontal="centerContinuous" vertical="top"/>
    </xf>
    <xf numFmtId="43" fontId="10" fillId="6" borderId="14" xfId="1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165" fontId="9" fillId="4" borderId="0" xfId="0" applyNumberFormat="1" applyFont="1" applyFill="1" applyAlignment="1">
      <alignment horizontal="center" vertical="center"/>
    </xf>
    <xf numFmtId="165" fontId="20" fillId="16" borderId="22" xfId="0" applyNumberFormat="1" applyFont="1" applyFill="1" applyBorder="1" applyAlignment="1">
      <alignment horizontal="center" vertical="center"/>
    </xf>
    <xf numFmtId="44" fontId="19" fillId="5" borderId="0" xfId="2" applyFont="1" applyFill="1" applyAlignment="1">
      <alignment horizontal="center" vertical="center"/>
    </xf>
    <xf numFmtId="44" fontId="9" fillId="13" borderId="21" xfId="2" applyFont="1" applyFill="1" applyBorder="1" applyAlignment="1">
      <alignment horizontal="center" vertical="center"/>
    </xf>
    <xf numFmtId="8" fontId="11" fillId="8" borderId="15" xfId="1" applyNumberFormat="1" applyFont="1" applyFill="1" applyBorder="1"/>
    <xf numFmtId="0" fontId="12" fillId="7" borderId="23" xfId="0" applyFont="1" applyFill="1" applyBorder="1" applyAlignment="1">
      <alignment horizontal="center"/>
    </xf>
    <xf numFmtId="14" fontId="12" fillId="7" borderId="24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4" fontId="13" fillId="0" borderId="15" xfId="0" applyNumberFormat="1" applyFont="1" applyBorder="1" applyAlignment="1">
      <alignment horizontal="center" wrapText="1"/>
    </xf>
    <xf numFmtId="0" fontId="13" fillId="0" borderId="15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21" borderId="15" xfId="0" applyFont="1" applyFill="1" applyBorder="1" applyAlignment="1">
      <alignment horizontal="center" wrapText="1"/>
    </xf>
    <xf numFmtId="0" fontId="13" fillId="19" borderId="15" xfId="0" applyFont="1" applyFill="1" applyBorder="1" applyAlignment="1">
      <alignment horizontal="center" wrapText="1"/>
    </xf>
    <xf numFmtId="0" fontId="5" fillId="0" borderId="0" xfId="0" applyFont="1"/>
    <xf numFmtId="165" fontId="5" fillId="0" borderId="17" xfId="0" applyNumberFormat="1" applyFont="1" applyBorder="1" applyAlignment="1">
      <alignment vertical="center"/>
    </xf>
    <xf numFmtId="14" fontId="24" fillId="0" borderId="15" xfId="3" applyNumberFormat="1" applyFont="1" applyBorder="1" applyAlignment="1">
      <alignment horizontal="center" wrapText="1"/>
    </xf>
    <xf numFmtId="8" fontId="5" fillId="2" borderId="15" xfId="1" applyNumberFormat="1" applyFont="1" applyFill="1" applyBorder="1" applyAlignment="1">
      <alignment horizontal="right"/>
    </xf>
    <xf numFmtId="43" fontId="5" fillId="2" borderId="15" xfId="1" applyFont="1" applyFill="1" applyBorder="1" applyAlignment="1">
      <alignment horizontal="right"/>
    </xf>
    <xf numFmtId="0" fontId="5" fillId="2" borderId="15" xfId="0" applyFont="1" applyFill="1" applyBorder="1" applyAlignment="1">
      <alignment horizontal="center"/>
    </xf>
    <xf numFmtId="8" fontId="5" fillId="0" borderId="0" xfId="0" applyNumberFormat="1" applyFont="1"/>
    <xf numFmtId="14" fontId="5" fillId="20" borderId="15" xfId="0" applyNumberFormat="1" applyFont="1" applyFill="1" applyBorder="1" applyAlignment="1">
      <alignment horizontal="center" wrapText="1"/>
    </xf>
    <xf numFmtId="14" fontId="24" fillId="19" borderId="15" xfId="3" applyNumberFormat="1" applyFont="1" applyFill="1" applyBorder="1" applyAlignment="1">
      <alignment horizontal="center" wrapText="1"/>
    </xf>
    <xf numFmtId="14" fontId="25" fillId="0" borderId="15" xfId="0" applyNumberFormat="1" applyFont="1" applyBorder="1" applyAlignment="1">
      <alignment horizontal="center" wrapText="1"/>
    </xf>
    <xf numFmtId="14" fontId="26" fillId="0" borderId="15" xfId="0" applyNumberFormat="1" applyFont="1" applyBorder="1" applyAlignment="1">
      <alignment horizontal="center" wrapText="1"/>
    </xf>
    <xf numFmtId="14" fontId="25" fillId="20" borderId="15" xfId="0" applyNumberFormat="1" applyFont="1" applyFill="1" applyBorder="1" applyAlignment="1">
      <alignment horizontal="center" wrapText="1"/>
    </xf>
    <xf numFmtId="165" fontId="5" fillId="0" borderId="11" xfId="0" applyNumberFormat="1" applyFont="1" applyBorder="1" applyAlignment="1">
      <alignment vertical="center"/>
    </xf>
    <xf numFmtId="43" fontId="5" fillId="2" borderId="15" xfId="1" applyFont="1" applyFill="1" applyBorder="1"/>
    <xf numFmtId="43" fontId="5" fillId="0" borderId="0" xfId="1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1" xfId="0" applyFont="1" applyBorder="1"/>
    <xf numFmtId="0" fontId="5" fillId="0" borderId="11" xfId="0" applyFont="1" applyBorder="1" applyAlignment="1">
      <alignment horizontal="center" vertical="center"/>
    </xf>
    <xf numFmtId="8" fontId="5" fillId="19" borderId="23" xfId="0" applyNumberFormat="1" applyFont="1" applyFill="1" applyBorder="1" applyAlignment="1">
      <alignment horizontal="right"/>
    </xf>
    <xf numFmtId="8" fontId="5" fillId="19" borderId="15" xfId="0" applyNumberFormat="1" applyFont="1" applyFill="1" applyBorder="1" applyAlignment="1">
      <alignment horizontal="right" wrapText="1"/>
    </xf>
    <xf numFmtId="0" fontId="5" fillId="5" borderId="11" xfId="0" applyFont="1" applyFill="1" applyBorder="1"/>
    <xf numFmtId="0" fontId="5" fillId="2" borderId="24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/>
    </xf>
    <xf numFmtId="0" fontId="5" fillId="0" borderId="11" xfId="0" applyFont="1" applyBorder="1" applyAlignment="1">
      <alignment horizontal="left"/>
    </xf>
    <xf numFmtId="166" fontId="5" fillId="0" borderId="11" xfId="0" applyNumberFormat="1" applyFont="1" applyBorder="1" applyAlignment="1">
      <alignment horizontal="center"/>
    </xf>
    <xf numFmtId="0" fontId="5" fillId="2" borderId="11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center" vertical="center"/>
    </xf>
    <xf numFmtId="166" fontId="5" fillId="2" borderId="11" xfId="0" applyNumberFormat="1" applyFont="1" applyFill="1" applyBorder="1" applyAlignment="1">
      <alignment horizontal="center"/>
    </xf>
    <xf numFmtId="164" fontId="5" fillId="2" borderId="11" xfId="0" applyNumberFormat="1" applyFont="1" applyFill="1" applyBorder="1" applyAlignment="1">
      <alignment horizontal="center"/>
    </xf>
    <xf numFmtId="0" fontId="5" fillId="4" borderId="15" xfId="0" applyFont="1" applyFill="1" applyBorder="1" applyAlignment="1">
      <alignment horizontal="left"/>
    </xf>
    <xf numFmtId="0" fontId="5" fillId="5" borderId="15" xfId="0" applyFont="1" applyFill="1" applyBorder="1" applyAlignment="1">
      <alignment horizontal="center" vertical="center"/>
    </xf>
    <xf numFmtId="15" fontId="5" fillId="5" borderId="15" xfId="0" applyNumberFormat="1" applyFont="1" applyFill="1" applyBorder="1" applyAlignment="1">
      <alignment horizontal="center"/>
    </xf>
    <xf numFmtId="164" fontId="5" fillId="4" borderId="15" xfId="0" applyNumberFormat="1" applyFont="1" applyFill="1" applyBorder="1" applyAlignment="1">
      <alignment horizontal="center"/>
    </xf>
    <xf numFmtId="0" fontId="5" fillId="5" borderId="15" xfId="0" applyFont="1" applyFill="1" applyBorder="1"/>
    <xf numFmtId="0" fontId="5" fillId="0" borderId="15" xfId="0" applyFont="1" applyBorder="1" applyAlignment="1">
      <alignment horizontal="left"/>
    </xf>
    <xf numFmtId="0" fontId="5" fillId="0" borderId="15" xfId="0" applyFont="1" applyBorder="1" applyAlignment="1">
      <alignment horizontal="center" vertical="center"/>
    </xf>
    <xf numFmtId="166" fontId="5" fillId="0" borderId="15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8" fontId="5" fillId="0" borderId="11" xfId="1" applyNumberFormat="1" applyFont="1" applyBorder="1" applyAlignment="1">
      <alignment horizontal="right"/>
    </xf>
    <xf numFmtId="8" fontId="5" fillId="2" borderId="11" xfId="1" applyNumberFormat="1" applyFont="1" applyFill="1" applyBorder="1" applyAlignment="1">
      <alignment horizontal="right"/>
    </xf>
    <xf numFmtId="8" fontId="11" fillId="2" borderId="11" xfId="1" applyNumberFormat="1" applyFont="1" applyFill="1" applyBorder="1" applyAlignment="1">
      <alignment horizontal="right"/>
    </xf>
    <xf numFmtId="8" fontId="5" fillId="2" borderId="15" xfId="1" applyNumberFormat="1" applyFont="1" applyFill="1" applyBorder="1"/>
    <xf numFmtId="8" fontId="5" fillId="5" borderId="15" xfId="1" applyNumberFormat="1" applyFont="1" applyFill="1" applyBorder="1"/>
    <xf numFmtId="8" fontId="5" fillId="4" borderId="15" xfId="1" applyNumberFormat="1" applyFont="1" applyFill="1" applyBorder="1"/>
    <xf numFmtId="8" fontId="5" fillId="0" borderId="15" xfId="1" applyNumberFormat="1" applyFont="1" applyBorder="1"/>
    <xf numFmtId="8" fontId="11" fillId="2" borderId="15" xfId="1" applyNumberFormat="1" applyFont="1" applyFill="1" applyBorder="1" applyAlignment="1">
      <alignment horizontal="right"/>
    </xf>
    <xf numFmtId="8" fontId="22" fillId="0" borderId="0" xfId="0" applyNumberFormat="1" applyFont="1"/>
    <xf numFmtId="14" fontId="24" fillId="7" borderId="15" xfId="3" applyNumberFormat="1" applyFont="1" applyFill="1" applyBorder="1" applyAlignment="1">
      <alignment horizontal="center" wrapText="1"/>
    </xf>
    <xf numFmtId="14" fontId="5" fillId="7" borderId="15" xfId="0" applyNumberFormat="1" applyFont="1" applyFill="1" applyBorder="1" applyAlignment="1">
      <alignment horizontal="center" wrapText="1"/>
    </xf>
    <xf numFmtId="14" fontId="25" fillId="7" borderId="15" xfId="0" applyNumberFormat="1" applyFont="1" applyFill="1" applyBorder="1" applyAlignment="1">
      <alignment horizontal="center" wrapText="1"/>
    </xf>
    <xf numFmtId="0" fontId="5" fillId="7" borderId="15" xfId="0" applyFont="1" applyFill="1" applyBorder="1" applyAlignment="1">
      <alignment wrapText="1"/>
    </xf>
    <xf numFmtId="14" fontId="13" fillId="7" borderId="15" xfId="0" applyNumberFormat="1" applyFont="1" applyFill="1" applyBorder="1" applyAlignment="1">
      <alignment horizontal="center" wrapText="1"/>
    </xf>
    <xf numFmtId="14" fontId="26" fillId="7" borderId="15" xfId="0" applyNumberFormat="1" applyFont="1" applyFill="1" applyBorder="1" applyAlignment="1">
      <alignment horizontal="center" wrapText="1"/>
    </xf>
    <xf numFmtId="0" fontId="5" fillId="7" borderId="11" xfId="0" applyFont="1" applyFill="1" applyBorder="1" applyAlignment="1">
      <alignment horizontal="center" vertical="center"/>
    </xf>
    <xf numFmtId="165" fontId="5" fillId="7" borderId="17" xfId="0" applyNumberFormat="1" applyFont="1" applyFill="1" applyBorder="1" applyAlignment="1">
      <alignment vertical="center"/>
    </xf>
    <xf numFmtId="0" fontId="13" fillId="7" borderId="15" xfId="0" applyFont="1" applyFill="1" applyBorder="1" applyAlignment="1">
      <alignment horizontal="center" wrapText="1"/>
    </xf>
    <xf numFmtId="8" fontId="5" fillId="7" borderId="23" xfId="0" applyNumberFormat="1" applyFont="1" applyFill="1" applyBorder="1" applyAlignment="1">
      <alignment horizontal="right"/>
    </xf>
    <xf numFmtId="8" fontId="5" fillId="7" borderId="15" xfId="0" applyNumberFormat="1" applyFont="1" applyFill="1" applyBorder="1" applyAlignment="1">
      <alignment horizontal="right" wrapText="1"/>
    </xf>
    <xf numFmtId="0" fontId="5" fillId="7" borderId="15" xfId="0" applyFont="1" applyFill="1" applyBorder="1" applyAlignment="1">
      <alignment horizontal="center" wrapText="1"/>
    </xf>
    <xf numFmtId="8" fontId="12" fillId="7" borderId="23" xfId="0" applyNumberFormat="1" applyFont="1" applyFill="1" applyBorder="1" applyAlignment="1">
      <alignment horizontal="center"/>
    </xf>
    <xf numFmtId="14" fontId="5" fillId="7" borderId="15" xfId="0" applyNumberFormat="1" applyFont="1" applyFill="1" applyBorder="1" applyAlignment="1">
      <alignment wrapText="1"/>
    </xf>
    <xf numFmtId="8" fontId="4" fillId="0" borderId="0" xfId="0" applyNumberFormat="1" applyFont="1"/>
    <xf numFmtId="0" fontId="5" fillId="22" borderId="15" xfId="0" applyFont="1" applyFill="1" applyBorder="1" applyAlignment="1">
      <alignment horizontal="left"/>
    </xf>
    <xf numFmtId="0" fontId="11" fillId="20" borderId="15" xfId="0" applyFont="1" applyFill="1" applyBorder="1"/>
    <xf numFmtId="8" fontId="5" fillId="20" borderId="15" xfId="1" applyNumberFormat="1" applyFont="1" applyFill="1" applyBorder="1"/>
    <xf numFmtId="0" fontId="5" fillId="20" borderId="15" xfId="0" applyFont="1" applyFill="1" applyBorder="1" applyAlignment="1">
      <alignment horizontal="center" vertical="center"/>
    </xf>
    <xf numFmtId="165" fontId="5" fillId="20" borderId="11" xfId="0" applyNumberFormat="1" applyFont="1" applyFill="1" applyBorder="1" applyAlignment="1">
      <alignment vertical="center"/>
    </xf>
    <xf numFmtId="164" fontId="5" fillId="22" borderId="15" xfId="0" applyNumberFormat="1" applyFont="1" applyFill="1" applyBorder="1" applyAlignment="1">
      <alignment horizontal="center"/>
    </xf>
    <xf numFmtId="8" fontId="5" fillId="22" borderId="15" xfId="1" applyNumberFormat="1" applyFont="1" applyFill="1" applyBorder="1" applyAlignment="1">
      <alignment horizontal="right"/>
    </xf>
    <xf numFmtId="8" fontId="5" fillId="22" borderId="15" xfId="1" applyNumberFormat="1" applyFont="1" applyFill="1" applyBorder="1"/>
    <xf numFmtId="14" fontId="5" fillId="20" borderId="15" xfId="0" applyNumberFormat="1" applyFont="1" applyFill="1" applyBorder="1" applyAlignment="1">
      <alignment horizontal="center"/>
    </xf>
    <xf numFmtId="14" fontId="5" fillId="5" borderId="15" xfId="0" applyNumberFormat="1" applyFont="1" applyFill="1" applyBorder="1" applyAlignment="1">
      <alignment horizontal="center"/>
    </xf>
    <xf numFmtId="8" fontId="22" fillId="8" borderId="15" xfId="1" applyNumberFormat="1" applyFont="1" applyFill="1" applyBorder="1"/>
    <xf numFmtId="8" fontId="22" fillId="2" borderId="15" xfId="1" applyNumberFormat="1" applyFont="1" applyFill="1" applyBorder="1" applyAlignment="1">
      <alignment horizontal="right"/>
    </xf>
    <xf numFmtId="0" fontId="11" fillId="7" borderId="25" xfId="0" applyFont="1" applyFill="1" applyBorder="1"/>
    <xf numFmtId="0" fontId="11" fillId="14" borderId="25" xfId="0" applyFont="1" applyFill="1" applyBorder="1"/>
    <xf numFmtId="8" fontId="11" fillId="8" borderId="25" xfId="1" applyNumberFormat="1" applyFont="1" applyFill="1" applyBorder="1"/>
    <xf numFmtId="0" fontId="11" fillId="9" borderId="25" xfId="0" applyFont="1" applyFill="1" applyBorder="1" applyAlignment="1">
      <alignment horizontal="center" vertical="center"/>
    </xf>
    <xf numFmtId="165" fontId="5" fillId="0" borderId="16" xfId="0" applyNumberFormat="1" applyFont="1" applyBorder="1" applyAlignment="1">
      <alignment vertical="center"/>
    </xf>
    <xf numFmtId="14" fontId="5" fillId="7" borderId="25" xfId="0" applyNumberFormat="1" applyFont="1" applyFill="1" applyBorder="1" applyAlignment="1">
      <alignment horizontal="center" wrapText="1"/>
    </xf>
    <xf numFmtId="0" fontId="12" fillId="7" borderId="26" xfId="0" applyFont="1" applyFill="1" applyBorder="1" applyAlignment="1">
      <alignment horizontal="center"/>
    </xf>
    <xf numFmtId="8" fontId="5" fillId="2" borderId="25" xfId="1" applyNumberFormat="1" applyFont="1" applyFill="1" applyBorder="1" applyAlignment="1">
      <alignment horizontal="right"/>
    </xf>
    <xf numFmtId="0" fontId="11" fillId="7" borderId="24" xfId="0" applyFont="1" applyFill="1" applyBorder="1"/>
    <xf numFmtId="0" fontId="11" fillId="14" borderId="24" xfId="0" applyFont="1" applyFill="1" applyBorder="1"/>
    <xf numFmtId="8" fontId="11" fillId="8" borderId="24" xfId="1" applyNumberFormat="1" applyFont="1" applyFill="1" applyBorder="1"/>
    <xf numFmtId="0" fontId="11" fillId="9" borderId="24" xfId="0" applyFont="1" applyFill="1" applyBorder="1" applyAlignment="1">
      <alignment horizontal="center" vertical="center"/>
    </xf>
    <xf numFmtId="165" fontId="5" fillId="0" borderId="27" xfId="0" applyNumberFormat="1" applyFont="1" applyBorder="1" applyAlignment="1">
      <alignment vertical="center"/>
    </xf>
    <xf numFmtId="14" fontId="5" fillId="7" borderId="24" xfId="0" applyNumberFormat="1" applyFont="1" applyFill="1" applyBorder="1" applyAlignment="1">
      <alignment horizontal="center" wrapText="1"/>
    </xf>
    <xf numFmtId="0" fontId="12" fillId="7" borderId="28" xfId="0" applyFont="1" applyFill="1" applyBorder="1" applyAlignment="1">
      <alignment horizontal="center"/>
    </xf>
    <xf numFmtId="8" fontId="5" fillId="2" borderId="24" xfId="1" applyNumberFormat="1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5" fillId="7" borderId="11" xfId="0" applyFont="1" applyFill="1" applyBorder="1" applyAlignment="1">
      <alignment horizontal="center" vertical="center" wrapText="1"/>
    </xf>
    <xf numFmtId="8" fontId="27" fillId="0" borderId="0" xfId="0" applyNumberFormat="1" applyFont="1"/>
    <xf numFmtId="14" fontId="10" fillId="6" borderId="9" xfId="0" applyNumberFormat="1" applyFont="1" applyFill="1" applyBorder="1" applyAlignment="1">
      <alignment horizontal="center" vertical="center"/>
    </xf>
    <xf numFmtId="14" fontId="5" fillId="0" borderId="0" xfId="0" applyNumberFormat="1" applyFont="1"/>
    <xf numFmtId="14" fontId="5" fillId="0" borderId="0" xfId="0" applyNumberFormat="1" applyFont="1" applyAlignment="1">
      <alignment horizontal="center"/>
    </xf>
    <xf numFmtId="14" fontId="5" fillId="0" borderId="11" xfId="0" applyNumberFormat="1" applyFont="1" applyBorder="1" applyAlignment="1">
      <alignment horizontal="center"/>
    </xf>
    <xf numFmtId="14" fontId="5" fillId="2" borderId="11" xfId="0" applyNumberFormat="1" applyFont="1" applyFill="1" applyBorder="1" applyAlignment="1">
      <alignment horizontal="center"/>
    </xf>
    <xf numFmtId="14" fontId="5" fillId="0" borderId="15" xfId="0" applyNumberFormat="1" applyFont="1" applyBorder="1" applyAlignment="1">
      <alignment horizontal="center"/>
    </xf>
    <xf numFmtId="14" fontId="5" fillId="2" borderId="15" xfId="0" applyNumberFormat="1" applyFont="1" applyFill="1" applyBorder="1" applyAlignment="1">
      <alignment horizontal="center"/>
    </xf>
    <xf numFmtId="0" fontId="4" fillId="0" borderId="0" xfId="0" applyFont="1"/>
    <xf numFmtId="165" fontId="6" fillId="4" borderId="0" xfId="0" applyNumberFormat="1" applyFont="1" applyFill="1" applyAlignment="1">
      <alignment horizontal="center" vertical="center"/>
    </xf>
    <xf numFmtId="165" fontId="9" fillId="12" borderId="0" xfId="0" applyNumberFormat="1" applyFont="1" applyFill="1" applyAlignment="1">
      <alignment horizontal="center" vertical="center"/>
    </xf>
    <xf numFmtId="44" fontId="14" fillId="13" borderId="21" xfId="2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left" vertical="center"/>
    </xf>
    <xf numFmtId="44" fontId="28" fillId="5" borderId="0" xfId="2" applyFont="1" applyFill="1" applyAlignment="1">
      <alignment horizontal="left" vertical="center"/>
    </xf>
    <xf numFmtId="44" fontId="28" fillId="5" borderId="0" xfId="2" applyFont="1" applyFill="1" applyAlignment="1">
      <alignment horizontal="center" vertical="center"/>
    </xf>
    <xf numFmtId="0" fontId="32" fillId="5" borderId="0" xfId="0" applyFont="1" applyFill="1" applyAlignment="1">
      <alignment horizontal="left"/>
    </xf>
    <xf numFmtId="44" fontId="32" fillId="5" borderId="0" xfId="2" applyFont="1" applyFill="1" applyAlignment="1">
      <alignment horizontal="center"/>
    </xf>
    <xf numFmtId="44" fontId="32" fillId="5" borderId="0" xfId="2" applyFont="1" applyFill="1" applyBorder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/>
    </xf>
    <xf numFmtId="8" fontId="33" fillId="23" borderId="15" xfId="1" applyNumberFormat="1" applyFont="1" applyFill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5" fillId="24" borderId="15" xfId="0" applyFont="1" applyFill="1" applyBorder="1" applyAlignment="1">
      <alignment horizontal="center"/>
    </xf>
    <xf numFmtId="0" fontId="3" fillId="14" borderId="29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7" borderId="6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left" vertical="center"/>
    </xf>
    <xf numFmtId="44" fontId="29" fillId="2" borderId="6" xfId="2" applyFont="1" applyFill="1" applyBorder="1" applyAlignment="1">
      <alignment horizontal="center" vertical="center"/>
    </xf>
    <xf numFmtId="8" fontId="29" fillId="2" borderId="8" xfId="0" applyNumberFormat="1" applyFont="1" applyFill="1" applyBorder="1" applyAlignment="1">
      <alignment horizontal="center" vertical="center"/>
    </xf>
    <xf numFmtId="8" fontId="30" fillId="25" borderId="8" xfId="0" applyNumberFormat="1" applyFont="1" applyFill="1" applyBorder="1" applyAlignment="1">
      <alignment horizontal="center" vertical="center"/>
    </xf>
    <xf numFmtId="8" fontId="31" fillId="25" borderId="8" xfId="0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0" xfId="0" applyFont="1" applyFill="1"/>
    <xf numFmtId="44" fontId="29" fillId="7" borderId="6" xfId="2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left" vertical="center"/>
    </xf>
    <xf numFmtId="0" fontId="9" fillId="7" borderId="12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left" vertical="center"/>
    </xf>
    <xf numFmtId="0" fontId="5" fillId="7" borderId="11" xfId="0" applyFont="1" applyFill="1" applyBorder="1" applyAlignment="1">
      <alignment horizontal="left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9" xfId="0" applyFont="1" applyFill="1" applyBorder="1"/>
    <xf numFmtId="0" fontId="9" fillId="7" borderId="11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5" fillId="2" borderId="24" xfId="1" applyFont="1" applyFill="1" applyBorder="1" applyAlignment="1">
      <alignment horizontal="right"/>
    </xf>
    <xf numFmtId="8" fontId="11" fillId="8" borderId="15" xfId="1" applyNumberFormat="1" applyFont="1" applyFill="1" applyBorder="1" applyAlignment="1">
      <alignment horizontal="center"/>
    </xf>
    <xf numFmtId="8" fontId="11" fillId="8" borderId="25" xfId="1" applyNumberFormat="1" applyFont="1" applyFill="1" applyBorder="1" applyAlignment="1">
      <alignment horizontal="center"/>
    </xf>
    <xf numFmtId="8" fontId="11" fillId="8" borderId="24" xfId="1" applyNumberFormat="1" applyFont="1" applyFill="1" applyBorder="1" applyAlignment="1">
      <alignment horizontal="center"/>
    </xf>
    <xf numFmtId="43" fontId="5" fillId="0" borderId="0" xfId="1" applyFont="1" applyAlignment="1">
      <alignment horizontal="center"/>
    </xf>
    <xf numFmtId="0" fontId="35" fillId="0" borderId="0" xfId="0" applyFont="1" applyAlignment="1">
      <alignment horizontal="center"/>
    </xf>
    <xf numFmtId="8" fontId="35" fillId="0" borderId="0" xfId="0" applyNumberFormat="1" applyFont="1"/>
    <xf numFmtId="0" fontId="35" fillId="0" borderId="0" xfId="0" applyFont="1"/>
    <xf numFmtId="0" fontId="35" fillId="2" borderId="0" xfId="0" applyFont="1" applyFill="1" applyAlignment="1">
      <alignment horizontal="center"/>
    </xf>
    <xf numFmtId="8" fontId="34" fillId="0" borderId="0" xfId="0" applyNumberFormat="1" applyFont="1"/>
    <xf numFmtId="0" fontId="34" fillId="0" borderId="0" xfId="0" applyFont="1"/>
    <xf numFmtId="0" fontId="14" fillId="0" borderId="0" xfId="0" applyFont="1"/>
    <xf numFmtId="0" fontId="11" fillId="7" borderId="15" xfId="0" applyFont="1" applyFill="1" applyBorder="1" applyAlignment="1"/>
    <xf numFmtId="0" fontId="1" fillId="2" borderId="15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 wrapText="1"/>
    </xf>
    <xf numFmtId="0" fontId="18" fillId="7" borderId="10" xfId="0" applyFont="1" applyFill="1" applyBorder="1"/>
    <xf numFmtId="0" fontId="18" fillId="7" borderId="6" xfId="0" applyFont="1" applyFill="1" applyBorder="1"/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12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24994659260841701"/>
      </font>
      <fill>
        <patternFill>
          <bgColor rgb="FF00B0F0"/>
        </patternFill>
      </fill>
    </dxf>
    <dxf>
      <font>
        <b/>
        <i val="0"/>
        <color theme="7" tint="-0.24994659260841701"/>
      </font>
      <fill>
        <patternFill>
          <bgColor rgb="FFB9FAFF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26" defaultTableStyle="TableStyleMedium2" defaultPivotStyle="PivotStyleLight16">
    <tableStyle name="NOVIEMBRE-style" pivot="0" count="2" xr9:uid="{00000000-0011-0000-FFFF-FFFF00000000}">
      <tableStyleElement type="firstRowStripe" dxfId="119"/>
      <tableStyleElement type="secondRowStripe" dxfId="118"/>
    </tableStyle>
    <tableStyle name="NOVIEMBRE-style 2" pivot="0" count="2" xr9:uid="{00000000-0011-0000-FFFF-FFFF01000000}">
      <tableStyleElement type="firstRowStripe" dxfId="117"/>
      <tableStyleElement type="secondRowStripe" dxfId="116"/>
    </tableStyle>
    <tableStyle name="NOVIEMBRE-style 3" pivot="0" count="2" xr9:uid="{00000000-0011-0000-FFFF-FFFF02000000}">
      <tableStyleElement type="firstRowStripe" dxfId="115"/>
      <tableStyleElement type="secondRowStripe" dxfId="114"/>
    </tableStyle>
    <tableStyle name="NOVIEMBRE-style 4" pivot="0" count="2" xr9:uid="{00000000-0011-0000-FFFF-FFFF03000000}">
      <tableStyleElement type="firstRowStripe" dxfId="113"/>
      <tableStyleElement type="secondRowStripe" dxfId="112"/>
    </tableStyle>
    <tableStyle name="NOVIEMBRE-style 5" pivot="0" count="2" xr9:uid="{00000000-0011-0000-FFFF-FFFF04000000}">
      <tableStyleElement type="firstRowStripe" dxfId="111"/>
      <tableStyleElement type="secondRowStripe" dxfId="110"/>
    </tableStyle>
    <tableStyle name="NOVIEMBRE-style 6" pivot="0" count="2" xr9:uid="{00000000-0011-0000-FFFF-FFFF05000000}">
      <tableStyleElement type="firstRowStripe" dxfId="109"/>
      <tableStyleElement type="secondRowStripe" dxfId="108"/>
    </tableStyle>
    <tableStyle name="NOVIEMBRE-style 7" pivot="0" count="2" xr9:uid="{00000000-0011-0000-FFFF-FFFF06000000}">
      <tableStyleElement type="firstRowStripe" dxfId="107"/>
      <tableStyleElement type="secondRowStripe" dxfId="106"/>
    </tableStyle>
    <tableStyle name="NOVIEMBRE-style 8" pivot="0" count="2" xr9:uid="{00000000-0011-0000-FFFF-FFFF07000000}">
      <tableStyleElement type="firstRowStripe" dxfId="105"/>
      <tableStyleElement type="secondRowStripe" dxfId="104"/>
    </tableStyle>
    <tableStyle name="NOVIEMBRE-style 9" pivot="0" count="2" xr9:uid="{00000000-0011-0000-FFFF-FFFF08000000}">
      <tableStyleElement type="firstRowStripe" dxfId="103"/>
      <tableStyleElement type="secondRowStripe" dxfId="102"/>
    </tableStyle>
    <tableStyle name="NOVIEMBRE-style 10" pivot="0" count="2" xr9:uid="{00000000-0011-0000-FFFF-FFFF09000000}">
      <tableStyleElement type="firstRowStripe" dxfId="101"/>
      <tableStyleElement type="secondRowStripe" dxfId="100"/>
    </tableStyle>
    <tableStyle name="NOVIEMBRE-style 11" pivot="0" count="2" xr9:uid="{00000000-0011-0000-FFFF-FFFF0A000000}">
      <tableStyleElement type="firstRowStripe" dxfId="99"/>
      <tableStyleElement type="secondRowStripe" dxfId="98"/>
    </tableStyle>
    <tableStyle name="NOVIEMBRE-style 12" pivot="0" count="2" xr9:uid="{00000000-0011-0000-FFFF-FFFF0B000000}">
      <tableStyleElement type="firstRowStripe" dxfId="97"/>
      <tableStyleElement type="secondRowStripe" dxfId="96"/>
    </tableStyle>
    <tableStyle name="NOVIEMBRE-style 13" pivot="0" count="2" xr9:uid="{00000000-0011-0000-FFFF-FFFF0C000000}">
      <tableStyleElement type="firstRowStripe" dxfId="95"/>
      <tableStyleElement type="secondRowStripe" dxfId="94"/>
    </tableStyle>
    <tableStyle name="NOVIEMBRE-style 14" pivot="0" count="2" xr9:uid="{00000000-0011-0000-FFFF-FFFF0D000000}">
      <tableStyleElement type="firstRowStripe" dxfId="93"/>
      <tableStyleElement type="secondRowStripe" dxfId="92"/>
    </tableStyle>
    <tableStyle name="NOVIEMBRE-style 15" pivot="0" count="2" xr9:uid="{00000000-0011-0000-FFFF-FFFF0E000000}">
      <tableStyleElement type="firstRowStripe" dxfId="91"/>
      <tableStyleElement type="secondRowStripe" dxfId="90"/>
    </tableStyle>
    <tableStyle name="NOVIEMBRE-style 16" pivot="0" count="2" xr9:uid="{00000000-0011-0000-FFFF-FFFF0F000000}">
      <tableStyleElement type="firstRowStripe" dxfId="89"/>
      <tableStyleElement type="secondRowStripe" dxfId="88"/>
    </tableStyle>
    <tableStyle name="NOVIEMBRE-style 17" pivot="0" count="2" xr9:uid="{00000000-0011-0000-FFFF-FFFF10000000}">
      <tableStyleElement type="firstRowStripe" dxfId="87"/>
      <tableStyleElement type="secondRowStripe" dxfId="86"/>
    </tableStyle>
    <tableStyle name="NOVIEMBRE-style 18" pivot="0" count="2" xr9:uid="{00000000-0011-0000-FFFF-FFFF11000000}">
      <tableStyleElement type="firstRowStripe" dxfId="85"/>
      <tableStyleElement type="secondRowStripe" dxfId="84"/>
    </tableStyle>
    <tableStyle name="NOVIEMBRE-style 19" pivot="0" count="2" xr9:uid="{00000000-0011-0000-FFFF-FFFF12000000}">
      <tableStyleElement type="firstRowStripe" dxfId="83"/>
      <tableStyleElement type="secondRowStripe" dxfId="82"/>
    </tableStyle>
    <tableStyle name="NOVIEMBRE-style 20" pivot="0" count="2" xr9:uid="{00000000-0011-0000-FFFF-FFFF13000000}">
      <tableStyleElement type="firstRowStripe" dxfId="81"/>
      <tableStyleElement type="secondRowStripe" dxfId="80"/>
    </tableStyle>
    <tableStyle name="OCTUBRE-style" pivot="0" count="2" xr9:uid="{00000000-0011-0000-FFFF-FFFF14000000}">
      <tableStyleElement type="firstRowStripe" dxfId="79"/>
      <tableStyleElement type="secondRowStripe" dxfId="78"/>
    </tableStyle>
    <tableStyle name="OCTUBRE-style 2" pivot="0" count="2" xr9:uid="{00000000-0011-0000-FFFF-FFFF15000000}">
      <tableStyleElement type="firstRowStripe" dxfId="77"/>
      <tableStyleElement type="secondRowStripe" dxfId="76"/>
    </tableStyle>
    <tableStyle name="OCTUBRE-style 3" pivot="0" count="2" xr9:uid="{00000000-0011-0000-FFFF-FFFF16000000}">
      <tableStyleElement type="firstRowStripe" dxfId="75"/>
      <tableStyleElement type="secondRowStripe" dxfId="74"/>
    </tableStyle>
    <tableStyle name="OCTUBRE-style 4" pivot="0" count="2" xr9:uid="{00000000-0011-0000-FFFF-FFFF17000000}">
      <tableStyleElement type="firstRowStripe" dxfId="73"/>
      <tableStyleElement type="secondRowStripe" dxfId="72"/>
    </tableStyle>
    <tableStyle name="OCTUBRE-style 5" pivot="0" count="2" xr9:uid="{00000000-0011-0000-FFFF-FFFF18000000}">
      <tableStyleElement type="firstRowStripe" dxfId="71"/>
      <tableStyleElement type="secondRowStripe" dxfId="70"/>
    </tableStyle>
    <tableStyle name="OCTUBRE-style 6" pivot="0" count="2" xr9:uid="{00000000-0011-0000-FFFF-FFFF19000000}">
      <tableStyleElement type="firstRowStripe" dxfId="69"/>
      <tableStyleElement type="secondRowStripe" dxfId="68"/>
    </tableStyle>
  </tableStyles>
  <colors>
    <mruColors>
      <color rgb="FFB9FAFF"/>
      <color rgb="FFCAEDFB"/>
      <color rgb="FF0066FF"/>
      <color rgb="FFD3D3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1D4B7-9368-41B6-8E52-5A8FA43EDB3A}" name="CUENTAS" displayName="CUENTAS" ref="A1:C59" totalsRowShown="0" headerRowDxfId="67" dataDxfId="66">
  <autoFilter ref="A1:C59" xr:uid="{8F61D4B7-9368-41B6-8E52-5A8FA43EDB3A}"/>
  <tableColumns count="3">
    <tableColumn id="4" xr3:uid="{DE7BC5F9-3DA9-4198-84C3-6416BA0DAB99}" name="SUBCUENTA" dataDxfId="65"/>
    <tableColumn id="2" xr3:uid="{56A41E09-DE6C-460E-B36E-DD95C679B19E}" name="CUENTA" dataDxfId="64"/>
    <tableColumn id="3" xr3:uid="{E7F92B5F-2173-47DF-B4F4-EADC45FCEFBC}" name="CLAVE" dataDxfId="6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7D1A1D-975F-437D-85D4-DF1DFC32DA1B}" name="Tabla2" displayName="Tabla2" ref="G1:G16" totalsRowShown="0" headerRowDxfId="62" dataDxfId="61">
  <tableColumns count="1">
    <tableColumn id="1" xr3:uid="{46957A93-C75B-4078-8580-6BE13999558C}" name="FORMA DE PAGO" dataDxfId="6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1m_Rt7m0pj06cOKR7taE24iTVxg5L3gT&amp;usp=drive_copy" TargetMode="External"/><Relationship Id="rId21" Type="http://schemas.openxmlformats.org/officeDocument/2006/relationships/hyperlink" Target="https://drive.google.com/open?id=1fz417L20FqVXjJLt-hwWUUCOV8Wsyk6_&amp;usp=drive_copy" TargetMode="External"/><Relationship Id="rId42" Type="http://schemas.openxmlformats.org/officeDocument/2006/relationships/hyperlink" Target="https://drive.google.com/file/d/1xU20si1RedOiPy0uLLA7Ns5buZKinspQ/view?usp=drive_link" TargetMode="External"/><Relationship Id="rId47" Type="http://schemas.openxmlformats.org/officeDocument/2006/relationships/hyperlink" Target="https://drive.google.com/file/d/138pSWtpXoC-aPTa59aYsk9U6t1uDV8Vf/view?usp=drive_link" TargetMode="External"/><Relationship Id="rId63" Type="http://schemas.openxmlformats.org/officeDocument/2006/relationships/hyperlink" Target="https://drive.google.com/file/d/17VoucQdf87r2NTeUoQVnboC2i69ywiXt/view?usp=drive_link" TargetMode="External"/><Relationship Id="rId68" Type="http://schemas.openxmlformats.org/officeDocument/2006/relationships/hyperlink" Target="https://drive.google.com/file/d/1vzyJdcKkDbk2RCegAfVs8N0QQnTFphJc/view?usp=drive_link" TargetMode="External"/><Relationship Id="rId2" Type="http://schemas.openxmlformats.org/officeDocument/2006/relationships/hyperlink" Target="https://drive.google.com/open?id=15eZ9AFYZ-Pz-FL7X_Hd-B6imUgMQvRPn&amp;usp=drive_copy" TargetMode="External"/><Relationship Id="rId16" Type="http://schemas.openxmlformats.org/officeDocument/2006/relationships/hyperlink" Target="https://drive.google.com/open?id=1lqdQJr529GGka783G1jm6ZM7KlVczLLO&amp;usp=drive_copy" TargetMode="External"/><Relationship Id="rId29" Type="http://schemas.openxmlformats.org/officeDocument/2006/relationships/hyperlink" Target="https://drive.google.com/open?id=1g8sLqRI1xbWFOuhgGqXgnmGQs7kLmpiw&amp;usp=drive_copy" TargetMode="External"/><Relationship Id="rId11" Type="http://schemas.openxmlformats.org/officeDocument/2006/relationships/hyperlink" Target="https://drive.google.com/open?id=1D5QqexEBoIf1wj7Hqw_7VvwwdMWu81G-&amp;usp=drive_copy" TargetMode="External"/><Relationship Id="rId24" Type="http://schemas.openxmlformats.org/officeDocument/2006/relationships/hyperlink" Target="https://drive.google.com/open?id=109hLTn9eu7iHSr1MTa4V4_gcsJ-3Pq5h&amp;usp=drive_copy" TargetMode="External"/><Relationship Id="rId32" Type="http://schemas.openxmlformats.org/officeDocument/2006/relationships/hyperlink" Target="https://drive.google.com/open?id=18O0LXmozfAId3Vw_GJH9JXUBbyzqs0na&amp;usp=drive_copy" TargetMode="External"/><Relationship Id="rId37" Type="http://schemas.openxmlformats.org/officeDocument/2006/relationships/hyperlink" Target="https://drive.google.com/open?id=1KqR34fc7Ypf06jGiLthV-5SrCl4wa2pJ&amp;usp=drive_copy" TargetMode="External"/><Relationship Id="rId40" Type="http://schemas.openxmlformats.org/officeDocument/2006/relationships/hyperlink" Target="https://drive.google.com/open?id=1w03tZXm1uVMZuENhpQ6c0jt5ckfzO5fM&amp;usp=drive_copy" TargetMode="External"/><Relationship Id="rId45" Type="http://schemas.openxmlformats.org/officeDocument/2006/relationships/hyperlink" Target="https://drive.google.com/file/d/1VmTPgD0T_C7FB3BQON0Pugb4EY-BOxnC/view?usp=drive_link" TargetMode="External"/><Relationship Id="rId53" Type="http://schemas.openxmlformats.org/officeDocument/2006/relationships/hyperlink" Target="https://drive.google.com/file/d/1u4dK55wHUAF4BkD81UuOGUdnTsFVB-q5/view?usp=drive_link" TargetMode="External"/><Relationship Id="rId58" Type="http://schemas.openxmlformats.org/officeDocument/2006/relationships/hyperlink" Target="https://drive.google.com/file/d/1YZHD1EWONQ-neY5QVbnwFNbGdXD7EiFr/view?usp=drive_link" TargetMode="External"/><Relationship Id="rId66" Type="http://schemas.openxmlformats.org/officeDocument/2006/relationships/hyperlink" Target="https://drive.google.com/file/d/1f8ADPNz5CcUZYKvds99GwOAM3U_KXWbs/view?usp=drive_link" TargetMode="External"/><Relationship Id="rId74" Type="http://schemas.openxmlformats.org/officeDocument/2006/relationships/printerSettings" Target="../printerSettings/printerSettings2.bin"/><Relationship Id="rId5" Type="http://schemas.openxmlformats.org/officeDocument/2006/relationships/hyperlink" Target="https://drive.google.com/open?id=14qVUwGjCxOaJBlXGtgFAQnTt-q7N9wPg&amp;usp=drive_copy" TargetMode="External"/><Relationship Id="rId61" Type="http://schemas.openxmlformats.org/officeDocument/2006/relationships/hyperlink" Target="https://drive.google.com/file/d/1Hh22jlhzafWA7viuDdjxS5H-JbgtOdGY/view?usp=drive_link" TargetMode="External"/><Relationship Id="rId19" Type="http://schemas.openxmlformats.org/officeDocument/2006/relationships/hyperlink" Target="https://drive.google.com/open?id=1zSaJiXbougH0Wyula6y-HykINvh7cus0&amp;usp=drive_copy" TargetMode="External"/><Relationship Id="rId14" Type="http://schemas.openxmlformats.org/officeDocument/2006/relationships/hyperlink" Target="https://drive.google.com/open?id=1f1tuTAqrzjHrYWnUsvyZqd2vESUx8GlN&amp;usp=drive_copy" TargetMode="External"/><Relationship Id="rId22" Type="http://schemas.openxmlformats.org/officeDocument/2006/relationships/hyperlink" Target="https://drive.google.com/open?id=1u9hUQ1V5Vm2BivVlGEEDsny1_gt-nHED&amp;usp=drive_copy" TargetMode="External"/><Relationship Id="rId27" Type="http://schemas.openxmlformats.org/officeDocument/2006/relationships/hyperlink" Target="https://drive.google.com/open?id=1JRaq707IfZ9h7NdK-ZEmErLWvoe3IBTL&amp;usp=drive_copy" TargetMode="External"/><Relationship Id="rId30" Type="http://schemas.openxmlformats.org/officeDocument/2006/relationships/hyperlink" Target="https://drive.google.com/open?id=1Jv6ehQPmc8zfNgnOUeQ2lNAZ_uZ694dM&amp;usp=drive_copy" TargetMode="External"/><Relationship Id="rId35" Type="http://schemas.openxmlformats.org/officeDocument/2006/relationships/hyperlink" Target="https://drive.google.com/open?id=1oBOQBuZF4sSwlJPLuf5zLg5OttCFDJFr&amp;usp=drive_copy" TargetMode="External"/><Relationship Id="rId43" Type="http://schemas.openxmlformats.org/officeDocument/2006/relationships/hyperlink" Target="https://drive.google.com/file/d/1XpwwuabBv0TJstxkesy4wcpT8_hg6c5X/view?usp=drive_link" TargetMode="External"/><Relationship Id="rId48" Type="http://schemas.openxmlformats.org/officeDocument/2006/relationships/hyperlink" Target="https://drive.google.com/file/d/1ZNYXTzfyQp-3eaX7LKSP5MRvX5fzZLlz/view?usp=drive_link" TargetMode="External"/><Relationship Id="rId56" Type="http://schemas.openxmlformats.org/officeDocument/2006/relationships/hyperlink" Target="https://drive.google.com/file/d/1t-9ntBNscoqBaZaMrRW_zQzDOup1gxco/view?usp=drive_link" TargetMode="External"/><Relationship Id="rId64" Type="http://schemas.openxmlformats.org/officeDocument/2006/relationships/hyperlink" Target="https://drive.google.com/file/d/1NwPoiiPZPYPDJhYayNjsggM2-kqNPdGH/view?usp=drive_link" TargetMode="External"/><Relationship Id="rId69" Type="http://schemas.openxmlformats.org/officeDocument/2006/relationships/hyperlink" Target="https://drive.google.com/file/d/1_ogRBobz7keXRSUazHKCIUr2KTVgv2Bo/view?usp=drive_link" TargetMode="External"/><Relationship Id="rId8" Type="http://schemas.openxmlformats.org/officeDocument/2006/relationships/hyperlink" Target="https://drive.google.com/open?id=1Ll3jmSGlm85PW9SvyT53vUuc_idhIlvi&amp;usp=drive_copy" TargetMode="External"/><Relationship Id="rId51" Type="http://schemas.openxmlformats.org/officeDocument/2006/relationships/hyperlink" Target="https://drive.google.com/file/d/1pYIep_cd7lC60hfJ84K8u0y-3xDQ22h8/view?usp=drive_link" TargetMode="External"/><Relationship Id="rId72" Type="http://schemas.openxmlformats.org/officeDocument/2006/relationships/hyperlink" Target="https://drive.google.com/file/d/1CsjBi1s5LRFFG3C67wazXp9P9CRmLS1r/view?usp=drive_link" TargetMode="External"/><Relationship Id="rId3" Type="http://schemas.openxmlformats.org/officeDocument/2006/relationships/hyperlink" Target="https://drive.google.com/open?id=1ZmVZ9IgbbIgBapZnw2XsrKiUqAN7_1QL&amp;usp=drive_copy" TargetMode="External"/><Relationship Id="rId12" Type="http://schemas.openxmlformats.org/officeDocument/2006/relationships/hyperlink" Target="https://drive.google.com/open?id=1Trlux746JzahkHGvdOX5gFwzevH6IHlz&amp;usp=drive_copy" TargetMode="External"/><Relationship Id="rId17" Type="http://schemas.openxmlformats.org/officeDocument/2006/relationships/hyperlink" Target="https://drive.google.com/open?id=1XmvmR1rT9DzCh6d9RBo2BnPcdlQPGFGA&amp;usp=drive_copy" TargetMode="External"/><Relationship Id="rId25" Type="http://schemas.openxmlformats.org/officeDocument/2006/relationships/hyperlink" Target="https://drive.google.com/open?id=1ioXIR39YYNO_gnP8iRl-QHzP3F0ZzcZ2&amp;usp=drive_copy" TargetMode="External"/><Relationship Id="rId33" Type="http://schemas.openxmlformats.org/officeDocument/2006/relationships/hyperlink" Target="https://drive.google.com/open?id=1fLIau5HoEJ9tIyrn3egYREcQS4ZDxvWL&amp;usp=drive_copy" TargetMode="External"/><Relationship Id="rId38" Type="http://schemas.openxmlformats.org/officeDocument/2006/relationships/hyperlink" Target="https://drive.google.com/open?id=1zs_P9tpbeEVz0d9RMBlHC9grzKgGuDTT&amp;usp=drive_copy" TargetMode="External"/><Relationship Id="rId46" Type="http://schemas.openxmlformats.org/officeDocument/2006/relationships/hyperlink" Target="https://drive.google.com/file/d/1MKtp3ExtyF2InHK-6KYEsRbSXwGQzl5z/view?usp=drive_link" TargetMode="External"/><Relationship Id="rId59" Type="http://schemas.openxmlformats.org/officeDocument/2006/relationships/hyperlink" Target="https://drive.google.com/file/d/1VSiaspPtQ9iJ-suCnwkPmIGGLpY0u066/view?usp=drive_link" TargetMode="External"/><Relationship Id="rId67" Type="http://schemas.openxmlformats.org/officeDocument/2006/relationships/hyperlink" Target="https://drive.google.com/file/d/1ke01wa30lpXhE-BMGehloigQtlHIu9Cm/view?usp=drive_link" TargetMode="External"/><Relationship Id="rId20" Type="http://schemas.openxmlformats.org/officeDocument/2006/relationships/hyperlink" Target="https://drive.google.com/open?id=1dg2m931Ot6-XXhugkVBtcv5EYnZFOD76&amp;usp=drive_copy" TargetMode="External"/><Relationship Id="rId41" Type="http://schemas.openxmlformats.org/officeDocument/2006/relationships/hyperlink" Target="https://drive.google.com/open?id=1n4GphboVSaMGYhU1tWfwEMF_4hoeLM8t&amp;usp=drive_copy" TargetMode="External"/><Relationship Id="rId54" Type="http://schemas.openxmlformats.org/officeDocument/2006/relationships/hyperlink" Target="https://drive.google.com/file/d/1-SfpXWnAAKKzuu7sEOxayPZpgZU2gGF0/view?usp=drive_link" TargetMode="External"/><Relationship Id="rId62" Type="http://schemas.openxmlformats.org/officeDocument/2006/relationships/hyperlink" Target="https://drive.google.com/file/d/1P1wnkb5jscEah2ofl-fX0z8pwVA6xCPV/view?usp=drive_link" TargetMode="External"/><Relationship Id="rId70" Type="http://schemas.openxmlformats.org/officeDocument/2006/relationships/hyperlink" Target="https://drive.google.com/open?id=1u56wHAlWTceeHYmuLf3FxA2JgFhWWOC8&amp;usp=drive_copy" TargetMode="External"/><Relationship Id="rId1" Type="http://schemas.openxmlformats.org/officeDocument/2006/relationships/hyperlink" Target="https://drive.google.com/open?id=1E3v58if8GnorNwqDja0ITJkByUC2xDxJ&amp;usp=drive_copy" TargetMode="External"/><Relationship Id="rId6" Type="http://schemas.openxmlformats.org/officeDocument/2006/relationships/hyperlink" Target="https://drive.google.com/open?id=16J0Nrx6-PFqj7_7bdwI2CrM7yKBbes4O&amp;usp=drive_copy" TargetMode="External"/><Relationship Id="rId15" Type="http://schemas.openxmlformats.org/officeDocument/2006/relationships/hyperlink" Target="https://drive.google.com/open?id=17eewv4HtMHtpHwJMy73eYlX5ar3jjaGU&amp;usp=drive_copy" TargetMode="External"/><Relationship Id="rId23" Type="http://schemas.openxmlformats.org/officeDocument/2006/relationships/hyperlink" Target="https://drive.google.com/open?id=1U6c1wI2KZsYvmDyJq_BJzX89T2gQyKwH&amp;usp=drive_copy" TargetMode="External"/><Relationship Id="rId28" Type="http://schemas.openxmlformats.org/officeDocument/2006/relationships/hyperlink" Target="https://drive.google.com/open?id=1iizT8RIwFmECPi-xXapKo5SpDvRQu7k6&amp;usp=drive_copy" TargetMode="External"/><Relationship Id="rId36" Type="http://schemas.openxmlformats.org/officeDocument/2006/relationships/hyperlink" Target="https://drive.google.com/open?id=1bktNKPLECVfURz7kV49c40vgooemHK2c&amp;usp=drive_copy" TargetMode="External"/><Relationship Id="rId49" Type="http://schemas.openxmlformats.org/officeDocument/2006/relationships/hyperlink" Target="https://drive.google.com/file/d/1sWUCbAlZkbPyLxbifsHUlA2CsDxBhEBj/view?usp=drive_link" TargetMode="External"/><Relationship Id="rId57" Type="http://schemas.openxmlformats.org/officeDocument/2006/relationships/hyperlink" Target="https://drive.google.com/file/d/1OvuMyWERdl2jnczlmmOvw3_hML7XGWvd/view?usp=drive_link" TargetMode="External"/><Relationship Id="rId10" Type="http://schemas.openxmlformats.org/officeDocument/2006/relationships/hyperlink" Target="https://drive.google.com/open?id=1ScUo_8fHn2va0NMGlGaB5UVAWtcAC3a9&amp;usp=drive_copy" TargetMode="External"/><Relationship Id="rId31" Type="http://schemas.openxmlformats.org/officeDocument/2006/relationships/hyperlink" Target="https://drive.google.com/open?id=1YTMNmigQ3zMAgOwfR6qPEHl4gyYOMjUI&amp;usp=drive_copy" TargetMode="External"/><Relationship Id="rId44" Type="http://schemas.openxmlformats.org/officeDocument/2006/relationships/hyperlink" Target="https://drive.google.com/file/d/1ahPvn9pdj8-vg8pvdVfEhs-QK2T9OQaM/view?usp=drive_link" TargetMode="External"/><Relationship Id="rId52" Type="http://schemas.openxmlformats.org/officeDocument/2006/relationships/hyperlink" Target="https://drive.google.com/file/d/1-f8njnb8fL_sgM15jBVNolEYzpnGXJq5/view?usp=drive_link" TargetMode="External"/><Relationship Id="rId60" Type="http://schemas.openxmlformats.org/officeDocument/2006/relationships/hyperlink" Target="https://drive.google.com/file/d/18hu7aH0QiucWVC9apQGsPVS0zi3W7OpW/view?usp=drive_link" TargetMode="External"/><Relationship Id="rId65" Type="http://schemas.openxmlformats.org/officeDocument/2006/relationships/hyperlink" Target="https://drive.google.com/file/d/168hjxeJoBgcSOkrR8tTPksQRZL4I596i/view?usp=drive_link" TargetMode="External"/><Relationship Id="rId73" Type="http://schemas.openxmlformats.org/officeDocument/2006/relationships/hyperlink" Target="https://drive.google.com/open?id=1WDNgD1djaHwyROQgjarMpS-j2is-rumZ&amp;usp=drive_copy" TargetMode="External"/><Relationship Id="rId4" Type="http://schemas.openxmlformats.org/officeDocument/2006/relationships/hyperlink" Target="https://drive.google.com/open?id=1llJQJsWrU5n7oBDbC7J-pGDhRU5AkSSj&amp;usp=drive_copy" TargetMode="External"/><Relationship Id="rId9" Type="http://schemas.openxmlformats.org/officeDocument/2006/relationships/hyperlink" Target="https://drive.google.com/open?id=1CfQAqyZhyVEhFE42bchdhvJam_v1fG9l&amp;usp=drive_copy" TargetMode="External"/><Relationship Id="rId13" Type="http://schemas.openxmlformats.org/officeDocument/2006/relationships/hyperlink" Target="https://drive.google.com/open?id=1jwnEdcC_i3sTHDPLwITqcl43-ClmnSxE&amp;usp=drive_copy" TargetMode="External"/><Relationship Id="rId18" Type="http://schemas.openxmlformats.org/officeDocument/2006/relationships/hyperlink" Target="https://drive.google.com/open?id=1VxkGU8WZpWxFJqjmVUQgcO7mz0y7Ql89&amp;usp=drive_copy" TargetMode="External"/><Relationship Id="rId39" Type="http://schemas.openxmlformats.org/officeDocument/2006/relationships/hyperlink" Target="https://drive.google.com/open?id=18Jszgf-QTt1XSw42XdfTRN0sX2pIq1mP&amp;usp=drive_copy" TargetMode="External"/><Relationship Id="rId34" Type="http://schemas.openxmlformats.org/officeDocument/2006/relationships/hyperlink" Target="https://drive.google.com/open?id=1zn7wsAz7WZCh6PiQvHLF2bdBlrfX3fdb&amp;usp=drive_copy" TargetMode="External"/><Relationship Id="rId50" Type="http://schemas.openxmlformats.org/officeDocument/2006/relationships/hyperlink" Target="https://drive.google.com/file/d/16NvPgOUUCasTt8Yp9j_tWgRtIKnciCkE/view?usp=drive_link" TargetMode="External"/><Relationship Id="rId55" Type="http://schemas.openxmlformats.org/officeDocument/2006/relationships/hyperlink" Target="https://drive.google.com/file/d/1u9hyicTleT9YLHf_JuyCgMajcXz6sM5Z/view?usp=drive_link" TargetMode="External"/><Relationship Id="rId7" Type="http://schemas.openxmlformats.org/officeDocument/2006/relationships/hyperlink" Target="https://drive.google.com/open?id=1qMou5FBT39qFKTPT_JVsWdyhKZNjFHVB&amp;usp=drive_copy" TargetMode="External"/><Relationship Id="rId71" Type="http://schemas.openxmlformats.org/officeDocument/2006/relationships/hyperlink" Target="https://drive.google.com/open?id=1g5-GfMUV4O-CYZu6ro0UACvAdoiqOJ6n&amp;usp=drive_copy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U1028"/>
  <sheetViews>
    <sheetView zoomScale="40" zoomScaleNormal="40" workbookViewId="0">
      <pane ySplit="1" topLeftCell="A2" activePane="bottomLeft" state="frozen"/>
      <selection activeCell="D3" sqref="D3"/>
      <selection pane="bottomLeft" sqref="A1:S74"/>
    </sheetView>
  </sheetViews>
  <sheetFormatPr baseColWidth="10" defaultColWidth="12.6640625" defaultRowHeight="15" customHeight="1" outlineLevelCol="1" x14ac:dyDescent="0.3"/>
  <cols>
    <col min="1" max="1" width="13" style="32" bestFit="1" customWidth="1"/>
    <col min="2" max="2" width="18.77734375" style="32" bestFit="1" customWidth="1"/>
    <col min="3" max="3" width="19" style="32" customWidth="1"/>
    <col min="4" max="4" width="48.33203125" style="32" bestFit="1" customWidth="1"/>
    <col min="5" max="5" width="19.21875" style="32" customWidth="1"/>
    <col min="6" max="11" width="17.5546875" style="32" customWidth="1" outlineLevel="1"/>
    <col min="12" max="12" width="17.5546875" style="32" customWidth="1"/>
    <col min="13" max="17" width="17.5546875" style="32" customWidth="1" outlineLevel="1"/>
    <col min="18" max="18" width="23.44140625" style="32" customWidth="1"/>
    <col min="19" max="19" width="29.21875" style="32" bestFit="1" customWidth="1"/>
    <col min="20" max="20" width="26.21875" style="32" customWidth="1"/>
    <col min="21" max="28" width="12.33203125" style="32" customWidth="1"/>
    <col min="29" max="16384" width="12.6640625" style="32"/>
  </cols>
  <sheetData>
    <row r="1" spans="1:21" s="36" customFormat="1" ht="28.8" customHeight="1" thickBot="1" x14ac:dyDescent="0.35">
      <c r="A1" s="57" t="s">
        <v>0</v>
      </c>
      <c r="B1" s="58" t="s">
        <v>1</v>
      </c>
      <c r="C1" s="59" t="s">
        <v>2</v>
      </c>
      <c r="D1" s="60" t="s">
        <v>1</v>
      </c>
      <c r="E1" s="60" t="s">
        <v>3</v>
      </c>
      <c r="F1" s="60" t="s">
        <v>4</v>
      </c>
      <c r="G1" s="61" t="s">
        <v>5</v>
      </c>
      <c r="H1" s="60" t="s">
        <v>6</v>
      </c>
      <c r="I1" s="60" t="s">
        <v>7</v>
      </c>
      <c r="J1" s="61" t="s">
        <v>8</v>
      </c>
      <c r="K1" s="62" t="s">
        <v>9</v>
      </c>
      <c r="L1" s="63" t="s">
        <v>10</v>
      </c>
      <c r="M1" s="64" t="s">
        <v>11</v>
      </c>
      <c r="N1" s="64" t="s">
        <v>12</v>
      </c>
      <c r="O1" s="64" t="s">
        <v>13</v>
      </c>
      <c r="P1" s="64" t="s">
        <v>14</v>
      </c>
      <c r="Q1" s="64" t="s">
        <v>15</v>
      </c>
      <c r="R1" s="64" t="s">
        <v>16</v>
      </c>
      <c r="S1" s="71" t="s">
        <v>3150</v>
      </c>
      <c r="T1" s="65" t="s">
        <v>17</v>
      </c>
      <c r="U1" s="35"/>
    </row>
    <row r="2" spans="1:21" s="215" customFormat="1" ht="29.4" customHeight="1" x14ac:dyDescent="0.3">
      <c r="A2" s="206" t="s">
        <v>18</v>
      </c>
      <c r="B2" s="207" t="s">
        <v>3151</v>
      </c>
      <c r="C2" s="208" t="s">
        <v>18</v>
      </c>
      <c r="D2" s="209" t="s">
        <v>20</v>
      </c>
      <c r="E2" s="210"/>
      <c r="F2" s="211">
        <f>IFERROR(SUMIF('ENE25'!E:E,CONCENTRADO!$C2,'ENE25'!F:F),"")</f>
        <v>13900</v>
      </c>
      <c r="G2" s="211">
        <f>IFERROR(SUMIF('FEB25'!$E:$E,CONCENTRADO!$C2,'FEB25'!$F:$F),"")</f>
        <v>25260.620000000003</v>
      </c>
      <c r="H2" s="211">
        <f>IFERROR(SUMIF('MAR25'!$E:$E,CONCENTRADO!$C2,'MAR25'!$F:$F),"")</f>
        <v>66007.760000000009</v>
      </c>
      <c r="I2" s="211">
        <f>IFERROR(SUMIF('ABR25'!$E:$E,CONCENTRADO!$C2,'ABR25'!$F:$F),"")</f>
        <v>42393.37</v>
      </c>
      <c r="J2" s="211">
        <f>IFERROR(SUMIF('MAY25'!$E:$E,CONCENTRADO!$C2,'MAY25'!$F:$F),"")</f>
        <v>0</v>
      </c>
      <c r="K2" s="211">
        <f>IFERROR(SUMIF('JUN25'!$E:$E,CONCENTRADO!$C2,'JUN25'!$F:$F),"")</f>
        <v>0</v>
      </c>
      <c r="L2" s="211">
        <f>IFERROR(SUMIF('JUL25'!$E:$E,CONCENTRADO!$C2,'JUL25'!$F:$F),"")</f>
        <v>19500</v>
      </c>
      <c r="M2" s="211">
        <f>IFERROR(SUMIF('AGO25'!$E:$E,CONCENTRADO!$C2,'AGO25'!$F:$F),"")</f>
        <v>0</v>
      </c>
      <c r="N2" s="211">
        <f>IFERROR(SUMIF('SEP25'!$E:$E,CONCENTRADO!$C2,'SEP25'!$F:$F),"")</f>
        <v>206.03</v>
      </c>
      <c r="O2" s="211">
        <f>IFERROR(SUMIF('OCT25'!$E:$E,CONCENTRADO!$C2,'OCT25'!$F:$F),"")</f>
        <v>1024.1199999999999</v>
      </c>
      <c r="P2" s="211">
        <f>IFERROR(SUMIF('NOV25'!$E:$E,CONCENTRADO!$C2,'NOV25'!$F:$F),"")</f>
        <v>7256.03</v>
      </c>
      <c r="Q2" s="211">
        <f>IFERROR(SUMIF('DIC25'!$E:$E,CONCENTRADO!$C2,'DIC25'!$K:$K),"")</f>
        <v>0</v>
      </c>
      <c r="R2" s="212">
        <f t="shared" ref="R2" si="0">SUM(K2:Q2)</f>
        <v>27986.179999999997</v>
      </c>
      <c r="S2" s="213">
        <f>$E2-$R2</f>
        <v>-27986.179999999997</v>
      </c>
      <c r="T2" s="214"/>
    </row>
    <row r="3" spans="1:21" s="215" customFormat="1" ht="15.75" customHeight="1" x14ac:dyDescent="0.3">
      <c r="A3" s="245" t="s">
        <v>21</v>
      </c>
      <c r="B3" s="245" t="s">
        <v>22</v>
      </c>
      <c r="C3" s="208" t="s">
        <v>23</v>
      </c>
      <c r="D3" s="209" t="s">
        <v>179</v>
      </c>
      <c r="E3" s="216"/>
      <c r="F3" s="211">
        <f>IFERROR(SUMIF('ENE25'!E:E,CONCENTRADO!$C3,'ENE25'!F:F),"")</f>
        <v>2650</v>
      </c>
      <c r="G3" s="211">
        <f>IFERROR(SUMIF('FEB25'!$E:$E,CONCENTRADO!$C3,'FEB25'!$F:$F),"")</f>
        <v>2800</v>
      </c>
      <c r="H3" s="211">
        <f>IFERROR(SUMIF('MAR25'!$E:$E,CONCENTRADO!$C3,'MAR25'!$F:$F),"")</f>
        <v>2800</v>
      </c>
      <c r="I3" s="211">
        <f>IFERROR(SUMIF('ABR25'!$E:$E,CONCENTRADO!$C3,'ABR25'!$F:$F),"")</f>
        <v>2800</v>
      </c>
      <c r="J3" s="211">
        <f>IFERROR(SUMIF('MAY25'!$E:$E,CONCENTRADO!$C3,'MAY25'!$F:$F),"")</f>
        <v>3500</v>
      </c>
      <c r="K3" s="211">
        <f>IFERROR(SUMIF('JUN25'!$E:$E,CONCENTRADO!$C3,'JUN25'!$F:$F),"")</f>
        <v>2800</v>
      </c>
      <c r="L3" s="211">
        <f>IFERROR(SUMIF('JUL25'!$E:$E,CONCENTRADO!$C3,'JUL25'!$F:$F),"")</f>
        <v>3500</v>
      </c>
      <c r="M3" s="211">
        <f>IFERROR(SUMIF('AGO25'!$E:$E,CONCENTRADO!$C3,'AGO25'!$F:$F),"")</f>
        <v>2800</v>
      </c>
      <c r="N3" s="211">
        <f>IFERROR(SUMIF('SEP25'!$E:$E,CONCENTRADO!$C3,'SEP25'!$F:$F),"")</f>
        <v>3000</v>
      </c>
      <c r="O3" s="211">
        <f>IFERROR(SUMIF('OCT25'!$E:$E,CONCENTRADO!$C3,'OCT25'!$F:$F),"")</f>
        <v>3750</v>
      </c>
      <c r="P3" s="211">
        <f>IFERROR(SUMIF('NOV25'!$E:$E,CONCENTRADO!$C3,'NOV25'!$F:$F),"")</f>
        <v>5300</v>
      </c>
      <c r="Q3" s="211">
        <f>IFERROR(SUMIF('DIC25'!$E:$E,CONCENTRADO!$C3,'DIC25'!$K:$K),"")</f>
        <v>0</v>
      </c>
      <c r="R3" s="212">
        <f t="shared" ref="R3:R66" si="1">SUM(K3:Q3)</f>
        <v>21150</v>
      </c>
      <c r="S3" s="213">
        <f t="shared" ref="S3:S66" si="2">$E3-$R3</f>
        <v>-21150</v>
      </c>
      <c r="T3" s="217"/>
    </row>
    <row r="4" spans="1:21" s="215" customFormat="1" ht="15.75" customHeight="1" x14ac:dyDescent="0.3">
      <c r="A4" s="246"/>
      <c r="B4" s="246"/>
      <c r="C4" s="208" t="s">
        <v>24</v>
      </c>
      <c r="D4" s="209" t="s">
        <v>25</v>
      </c>
      <c r="E4" s="210"/>
      <c r="F4" s="211">
        <f>IFERROR(SUMIF('ENE25'!E:E,CONCENTRADO!$C4,'ENE25'!F:F),"")</f>
        <v>475</v>
      </c>
      <c r="G4" s="211">
        <f>IFERROR(SUMIF('FEB25'!$E:$E,CONCENTRADO!$C4,'FEB25'!$F:$F),"")</f>
        <v>473</v>
      </c>
      <c r="H4" s="211">
        <f>IFERROR(SUMIF('MAR25'!$E:$E,CONCENTRADO!$C4,'MAR25'!$F:$F),"")</f>
        <v>1449</v>
      </c>
      <c r="I4" s="211">
        <f>IFERROR(SUMIF('ABR25'!$E:$E,CONCENTRADO!$C4,'ABR25'!$F:$F),"")</f>
        <v>1590</v>
      </c>
      <c r="J4" s="211">
        <f>IFERROR(SUMIF('MAY25'!$E:$E,CONCENTRADO!$C4,'MAY25'!$F:$F),"")</f>
        <v>1292</v>
      </c>
      <c r="K4" s="211">
        <f>IFERROR(SUMIF('JUN25'!$E:$E,CONCENTRADO!$C4,'JUN25'!$F:$F),"")</f>
        <v>1400</v>
      </c>
      <c r="L4" s="211">
        <f>IFERROR(SUMIF('JUL25'!$E:$E,CONCENTRADO!$C4,'JUL25'!$F:$F),"")</f>
        <v>1400</v>
      </c>
      <c r="M4" s="211">
        <f>IFERROR(SUMIF('AGO25'!$E:$E,CONCENTRADO!$C4,'AGO25'!$F:$F),"")</f>
        <v>900</v>
      </c>
      <c r="N4" s="211">
        <f>IFERROR(SUMIF('SEP25'!$E:$E,CONCENTRADO!$C4,'SEP25'!$F:$F),"")</f>
        <v>1550</v>
      </c>
      <c r="O4" s="211">
        <f>IFERROR(SUMIF('OCT25'!$E:$E,CONCENTRADO!$C4,'OCT25'!$F:$F),"")</f>
        <v>1950</v>
      </c>
      <c r="P4" s="211">
        <f>IFERROR(SUMIF('NOV25'!$E:$E,CONCENTRADO!$C4,'NOV25'!$F:$F),"")</f>
        <v>0</v>
      </c>
      <c r="Q4" s="211">
        <f>IFERROR(SUMIF('DIC25'!$E:$E,CONCENTRADO!$C4,'DIC25'!$K:$K),"")</f>
        <v>0</v>
      </c>
      <c r="R4" s="212">
        <f t="shared" si="1"/>
        <v>7200</v>
      </c>
      <c r="S4" s="213">
        <f t="shared" si="2"/>
        <v>-7200</v>
      </c>
      <c r="T4" s="217"/>
    </row>
    <row r="5" spans="1:21" s="215" customFormat="1" ht="15.75" customHeight="1" x14ac:dyDescent="0.3">
      <c r="A5" s="246"/>
      <c r="B5" s="246"/>
      <c r="C5" s="208" t="s">
        <v>26</v>
      </c>
      <c r="D5" s="209" t="s">
        <v>180</v>
      </c>
      <c r="E5" s="210"/>
      <c r="F5" s="211">
        <f>IFERROR(SUMIF('ENE25'!E:E,CONCENTRADO!$C5,'ENE25'!F:F),"")</f>
        <v>4903</v>
      </c>
      <c r="G5" s="211">
        <f>IFERROR(SUMIF('FEB25'!$E:$E,CONCENTRADO!$C5,'FEB25'!$F:$F),"")</f>
        <v>7177</v>
      </c>
      <c r="H5" s="211">
        <f>IFERROR(SUMIF('MAR25'!$E:$E,CONCENTRADO!$C5,'MAR25'!$F:$F),"")</f>
        <v>6994</v>
      </c>
      <c r="I5" s="211">
        <f>IFERROR(SUMIF('ABR25'!$E:$E,CONCENTRADO!$C5,'ABR25'!$F:$F),"")</f>
        <v>8210</v>
      </c>
      <c r="J5" s="211">
        <f>IFERROR(SUMIF('MAY25'!$E:$E,CONCENTRADO!$C5,'MAY25'!$F:$F),"")</f>
        <v>9753</v>
      </c>
      <c r="K5" s="211">
        <f>IFERROR(SUMIF('JUN25'!$E:$E,CONCENTRADO!$C5,'JUN25'!$F:$F),"")</f>
        <v>10921</v>
      </c>
      <c r="L5" s="211">
        <f>IFERROR(SUMIF('JUL25'!$E:$E,CONCENTRADO!$C5,'JUL25'!$F:$F),"")</f>
        <v>9165.52</v>
      </c>
      <c r="M5" s="211">
        <f>IFERROR(SUMIF('AGO25'!$E:$E,CONCENTRADO!$C5,'AGO25'!$F:$F),"")</f>
        <v>0</v>
      </c>
      <c r="N5" s="211">
        <f>IFERROR(SUMIF('SEP25'!$E:$E,CONCENTRADO!$C5,'SEP25'!$F:$F),"")</f>
        <v>0</v>
      </c>
      <c r="O5" s="211">
        <f>IFERROR(SUMIF('OCT25'!$E:$E,CONCENTRADO!$C5,'OCT25'!$F:$F),"")</f>
        <v>1500</v>
      </c>
      <c r="P5" s="211">
        <f>IFERROR(SUMIF('NOV25'!$E:$E,CONCENTRADO!$C5,'NOV25'!$F:$F),"")</f>
        <v>0</v>
      </c>
      <c r="Q5" s="211">
        <f>IFERROR(SUMIF('DIC25'!$E:$E,CONCENTRADO!$C5,'DIC25'!$K:$K),"")</f>
        <v>0</v>
      </c>
      <c r="R5" s="212">
        <f t="shared" si="1"/>
        <v>21586.52</v>
      </c>
      <c r="S5" s="213">
        <f t="shared" si="2"/>
        <v>-21586.52</v>
      </c>
      <c r="T5" s="217"/>
    </row>
    <row r="6" spans="1:21" s="215" customFormat="1" ht="15.75" customHeight="1" x14ac:dyDescent="0.3">
      <c r="A6" s="246"/>
      <c r="B6" s="246"/>
      <c r="C6" s="208" t="s">
        <v>27</v>
      </c>
      <c r="D6" s="209" t="s">
        <v>28</v>
      </c>
      <c r="E6" s="210"/>
      <c r="F6" s="211">
        <f>IFERROR(SUMIF('ENE25'!E:E,CONCENTRADO!$C6,'ENE25'!F:F),"")</f>
        <v>167327.59</v>
      </c>
      <c r="G6" s="211">
        <f>IFERROR(SUMIF('FEB25'!$E:$E,CONCENTRADO!$C6,'FEB25'!$F:$F),"")</f>
        <v>87327.59</v>
      </c>
      <c r="H6" s="211">
        <f>IFERROR(SUMIF('MAR25'!$E:$E,CONCENTRADO!$C6,'MAR25'!$F:$F),"")</f>
        <v>87327.59</v>
      </c>
      <c r="I6" s="211">
        <f>IFERROR(SUMIF('ABR25'!$E:$E,CONCENTRADO!$C6,'ABR25'!$F:$F),"")</f>
        <v>87327.59</v>
      </c>
      <c r="J6" s="211">
        <f>IFERROR(SUMIF('MAY25'!$E:$E,CONCENTRADO!$C6,'MAY25'!$F:$F),"")</f>
        <v>20771.79</v>
      </c>
      <c r="K6" s="211">
        <f>IFERROR(SUMIF('JUN25'!$E:$E,CONCENTRADO!$C6,'JUN25'!$F:$F),"")</f>
        <v>80000</v>
      </c>
      <c r="L6" s="211">
        <f>IFERROR(SUMIF('JUL25'!$E:$E,CONCENTRADO!$C6,'JUL25'!$F:$F),"")</f>
        <v>80000</v>
      </c>
      <c r="M6" s="211">
        <f>IFERROR(SUMIF('AGO25'!$E:$E,CONCENTRADO!$C6,'AGO25'!$F:$F),"")</f>
        <v>7327.59</v>
      </c>
      <c r="N6" s="211">
        <f>IFERROR(SUMIF('SEP25'!$E:$E,CONCENTRADO!$C6,'SEP25'!$F:$F),"")</f>
        <v>7327.59</v>
      </c>
      <c r="O6" s="211">
        <f>IFERROR(SUMIF('OCT25'!$E:$E,CONCENTRADO!$C6,'OCT25'!$F:$F),"")</f>
        <v>7327.59</v>
      </c>
      <c r="P6" s="211">
        <f>IFERROR(SUMIF('NOV25'!$E:$E,CONCENTRADO!$C6,'NOV25'!$F:$F),"")</f>
        <v>7758.62</v>
      </c>
      <c r="Q6" s="211">
        <f>IFERROR(SUMIF('DIC25'!$E:$E,CONCENTRADO!$C6,'DIC25'!$K:$K),"")</f>
        <v>0</v>
      </c>
      <c r="R6" s="212">
        <f t="shared" si="1"/>
        <v>189741.38999999998</v>
      </c>
      <c r="S6" s="213">
        <f t="shared" si="2"/>
        <v>-189741.38999999998</v>
      </c>
      <c r="T6" s="217"/>
    </row>
    <row r="7" spans="1:21" s="215" customFormat="1" ht="15.75" customHeight="1" x14ac:dyDescent="0.3">
      <c r="A7" s="246"/>
      <c r="B7" s="246"/>
      <c r="C7" s="208" t="s">
        <v>29</v>
      </c>
      <c r="D7" s="209" t="s">
        <v>30</v>
      </c>
      <c r="E7" s="210"/>
      <c r="F7" s="211">
        <f>IFERROR(SUMIF('ENE25'!E:E,CONCENTRADO!$C7,'ENE25'!F:F),"")</f>
        <v>508.01</v>
      </c>
      <c r="G7" s="211">
        <f>IFERROR(SUMIF('FEB25'!$E:$E,CONCENTRADO!$C7,'FEB25'!$F:$F),"")</f>
        <v>0</v>
      </c>
      <c r="H7" s="211">
        <f>IFERROR(SUMIF('MAR25'!$E:$E,CONCENTRADO!$C7,'MAR25'!$F:$F),"")</f>
        <v>496</v>
      </c>
      <c r="I7" s="211">
        <f>IFERROR(SUMIF('ABR25'!$E:$E,CONCENTRADO!$C7,'ABR25'!$F:$F),"")</f>
        <v>0</v>
      </c>
      <c r="J7" s="211">
        <f>IFERROR(SUMIF('MAY25'!$E:$E,CONCENTRADO!$C7,'MAY25'!$F:$F),"")</f>
        <v>388.79</v>
      </c>
      <c r="K7" s="211">
        <f>IFERROR(SUMIF('JUN25'!$E:$E,CONCENTRADO!$C7,'JUN25'!$F:$F),"")</f>
        <v>0</v>
      </c>
      <c r="L7" s="211">
        <f>IFERROR(SUMIF('JUL25'!$E:$E,CONCENTRADO!$C7,'JUL25'!$F:$F),"")</f>
        <v>0</v>
      </c>
      <c r="M7" s="211">
        <f>IFERROR(SUMIF('AGO25'!$E:$E,CONCENTRADO!$C7,'AGO25'!$F:$F),"")</f>
        <v>0</v>
      </c>
      <c r="N7" s="211">
        <f>IFERROR(SUMIF('SEP25'!$E:$E,CONCENTRADO!$C7,'SEP25'!$F:$F),"")</f>
        <v>701</v>
      </c>
      <c r="O7" s="211">
        <f>IFERROR(SUMIF('OCT25'!$E:$E,CONCENTRADO!$C7,'OCT25'!$F:$F),"")</f>
        <v>0</v>
      </c>
      <c r="P7" s="211">
        <f>IFERROR(SUMIF('NOV25'!$E:$E,CONCENTRADO!$C7,'NOV25'!$F:$F),"")</f>
        <v>692</v>
      </c>
      <c r="Q7" s="211">
        <f>IFERROR(SUMIF('DIC25'!$E:$E,CONCENTRADO!$C7,'DIC25'!$K:$K),"")</f>
        <v>0</v>
      </c>
      <c r="R7" s="212">
        <f t="shared" si="1"/>
        <v>1393</v>
      </c>
      <c r="S7" s="213">
        <f t="shared" si="2"/>
        <v>-1393</v>
      </c>
      <c r="T7" s="217"/>
    </row>
    <row r="8" spans="1:21" s="215" customFormat="1" ht="15.75" customHeight="1" x14ac:dyDescent="0.3">
      <c r="A8" s="246"/>
      <c r="B8" s="246"/>
      <c r="C8" s="208" t="s">
        <v>31</v>
      </c>
      <c r="D8" s="209" t="s">
        <v>32</v>
      </c>
      <c r="E8" s="210"/>
      <c r="F8" s="211">
        <f>IFERROR(SUMIF('ENE25'!E:E,CONCENTRADO!$C8,'ENE25'!F:F),"")</f>
        <v>22436</v>
      </c>
      <c r="G8" s="211">
        <f>IFERROR(SUMIF('FEB25'!$E:$E,CONCENTRADO!$C8,'FEB25'!$F:$F),"")</f>
        <v>5791</v>
      </c>
      <c r="H8" s="211">
        <f>IFERROR(SUMIF('MAR25'!$E:$E,CONCENTRADO!$C8,'MAR25'!$F:$F),"")</f>
        <v>5008.630000000001</v>
      </c>
      <c r="I8" s="211">
        <f>IFERROR(SUMIF('ABR25'!$E:$E,CONCENTRADO!$C8,'ABR25'!$F:$F),"")</f>
        <v>5570.58</v>
      </c>
      <c r="J8" s="211">
        <f>IFERROR(SUMIF('MAY25'!$E:$E,CONCENTRADO!$C8,'MAY25'!$F:$F),"")</f>
        <v>5570.6</v>
      </c>
      <c r="K8" s="211">
        <f>IFERROR(SUMIF('JUN25'!$E:$E,CONCENTRADO!$C8,'JUN25'!$F:$F),"")</f>
        <v>3111.38</v>
      </c>
      <c r="L8" s="211">
        <f>IFERROR(SUMIF('JUL25'!$E:$E,CONCENTRADO!$C8,'JUL25'!$F:$F),"")</f>
        <v>8326</v>
      </c>
      <c r="M8" s="211">
        <f>IFERROR(SUMIF('AGO25'!$E:$E,CONCENTRADO!$C8,'AGO25'!$F:$F),"")</f>
        <v>4299.62</v>
      </c>
      <c r="N8" s="211">
        <f>IFERROR(SUMIF('SEP25'!$E:$E,CONCENTRADO!$C8,'SEP25'!$F:$F),"")</f>
        <v>12671</v>
      </c>
      <c r="O8" s="211">
        <f>IFERROR(SUMIF('OCT25'!$E:$E,CONCENTRADO!$C8,'OCT25'!$F:$F),"")</f>
        <v>1878.8000000000002</v>
      </c>
      <c r="P8" s="211">
        <f>IFERROR(SUMIF('NOV25'!$E:$E,CONCENTRADO!$C8,'NOV25'!$F:$F),"")</f>
        <v>7598</v>
      </c>
      <c r="Q8" s="211">
        <f>IFERROR(SUMIF('DIC25'!$E:$E,CONCENTRADO!$C8,'DIC25'!$K:$K),"")</f>
        <v>0</v>
      </c>
      <c r="R8" s="212">
        <f t="shared" si="1"/>
        <v>37884.800000000003</v>
      </c>
      <c r="S8" s="213">
        <f t="shared" si="2"/>
        <v>-37884.800000000003</v>
      </c>
      <c r="T8" s="217"/>
    </row>
    <row r="9" spans="1:21" s="215" customFormat="1" ht="15.75" customHeight="1" x14ac:dyDescent="0.3">
      <c r="A9" s="246"/>
      <c r="B9" s="246"/>
      <c r="C9" s="208" t="s">
        <v>33</v>
      </c>
      <c r="D9" s="209" t="s">
        <v>34</v>
      </c>
      <c r="E9" s="210"/>
      <c r="F9" s="211">
        <f>IFERROR(SUMIF('ENE25'!E:E,CONCENTRADO!$C9,'ENE25'!F:F),"")</f>
        <v>9389.01</v>
      </c>
      <c r="G9" s="211">
        <f>IFERROR(SUMIF('FEB25'!$E:$E,CONCENTRADO!$C9,'FEB25'!$F:$F),"")</f>
        <v>0</v>
      </c>
      <c r="H9" s="211">
        <f>IFERROR(SUMIF('MAR25'!$E:$E,CONCENTRADO!$C9,'MAR25'!$F:$F),"")</f>
        <v>0</v>
      </c>
      <c r="I9" s="211">
        <f>IFERROR(SUMIF('ABR25'!$E:$E,CONCENTRADO!$C9,'ABR25'!$F:$F),"")</f>
        <v>0</v>
      </c>
      <c r="J9" s="211">
        <f>IFERROR(SUMIF('MAY25'!$E:$E,CONCENTRADO!$C9,'MAY25'!$F:$F),"")</f>
        <v>520</v>
      </c>
      <c r="K9" s="211">
        <f>IFERROR(SUMIF('JUN25'!$E:$E,CONCENTRADO!$C9,'JUN25'!$F:$F),"")</f>
        <v>520</v>
      </c>
      <c r="L9" s="211">
        <f>IFERROR(SUMIF('JUL25'!$E:$E,CONCENTRADO!$C9,'JUL25'!$F:$F),"")</f>
        <v>520</v>
      </c>
      <c r="M9" s="211">
        <f>IFERROR(SUMIF('AGO25'!$E:$E,CONCENTRADO!$C9,'AGO25'!$F:$F),"")</f>
        <v>0</v>
      </c>
      <c r="N9" s="211">
        <f>IFERROR(SUMIF('SEP25'!$E:$E,CONCENTRADO!$C9,'SEP25'!$F:$F),"")</f>
        <v>4520</v>
      </c>
      <c r="O9" s="211">
        <f>IFERROR(SUMIF('OCT25'!$E:$E,CONCENTRADO!$C9,'OCT25'!$F:$F),"")</f>
        <v>520</v>
      </c>
      <c r="P9" s="211">
        <f>IFERROR(SUMIF('NOV25'!$E:$E,CONCENTRADO!$C9,'NOV25'!$F:$F),"")</f>
        <v>520</v>
      </c>
      <c r="Q9" s="211">
        <f>IFERROR(SUMIF('DIC25'!$E:$E,CONCENTRADO!$C9,'DIC25'!$K:$K),"")</f>
        <v>0</v>
      </c>
      <c r="R9" s="212">
        <f t="shared" si="1"/>
        <v>6600</v>
      </c>
      <c r="S9" s="213">
        <f t="shared" si="2"/>
        <v>-6600</v>
      </c>
      <c r="T9" s="217"/>
    </row>
    <row r="10" spans="1:21" s="215" customFormat="1" ht="15.75" customHeight="1" x14ac:dyDescent="0.3">
      <c r="A10" s="246"/>
      <c r="B10" s="246"/>
      <c r="C10" s="208" t="s">
        <v>35</v>
      </c>
      <c r="D10" s="209" t="s">
        <v>181</v>
      </c>
      <c r="E10" s="210"/>
      <c r="F10" s="211">
        <f>IFERROR(SUMIF('ENE25'!E:E,CONCENTRADO!$C10,'ENE25'!F:F),"")</f>
        <v>0</v>
      </c>
      <c r="G10" s="211">
        <f>IFERROR(SUMIF('FEB25'!$E:$E,CONCENTRADO!$C10,'FEB25'!$F:$F),"")</f>
        <v>0</v>
      </c>
      <c r="H10" s="211">
        <f>IFERROR(SUMIF('MAR25'!$E:$E,CONCENTRADO!$C10,'MAR25'!$F:$F),"")</f>
        <v>0</v>
      </c>
      <c r="I10" s="211">
        <f>IFERROR(SUMIF('ABR25'!$E:$E,CONCENTRADO!$C10,'ABR25'!$F:$F),"")</f>
        <v>0</v>
      </c>
      <c r="J10" s="211">
        <f>IFERROR(SUMIF('MAY25'!$E:$E,CONCENTRADO!$C10,'MAY25'!$F:$F),"")</f>
        <v>0</v>
      </c>
      <c r="K10" s="211">
        <f>IFERROR(SUMIF('JUN25'!$E:$E,CONCENTRADO!$C10,'JUN25'!$F:$F),"")</f>
        <v>0</v>
      </c>
      <c r="L10" s="211">
        <f>IFERROR(SUMIF('JUL25'!$E:$E,CONCENTRADO!$C10,'JUL25'!$F:$F),"")</f>
        <v>0</v>
      </c>
      <c r="M10" s="211">
        <f>IFERROR(SUMIF('AGO25'!$E:$E,CONCENTRADO!$C10,'AGO25'!$F:$F),"")</f>
        <v>0</v>
      </c>
      <c r="N10" s="211">
        <f>IFERROR(SUMIF('SEP25'!$E:$E,CONCENTRADO!$C10,'SEP25'!$F:$F),"")</f>
        <v>0</v>
      </c>
      <c r="O10" s="211">
        <f>IFERROR(SUMIF('OCT25'!$E:$E,CONCENTRADO!$C10,'OCT25'!$F:$F),"")</f>
        <v>0</v>
      </c>
      <c r="P10" s="211">
        <f>IFERROR(SUMIF('NOV25'!$E:$E,CONCENTRADO!$C10,'NOV25'!$F:$F),"")</f>
        <v>0</v>
      </c>
      <c r="Q10" s="211">
        <f>IFERROR(SUMIF('DIC25'!$E:$E,CONCENTRADO!$C10,'DIC25'!$K:$K),"")</f>
        <v>0</v>
      </c>
      <c r="R10" s="212">
        <f t="shared" si="1"/>
        <v>0</v>
      </c>
      <c r="S10" s="213">
        <f t="shared" si="2"/>
        <v>0</v>
      </c>
      <c r="T10" s="217"/>
    </row>
    <row r="11" spans="1:21" s="215" customFormat="1" ht="15.75" customHeight="1" x14ac:dyDescent="0.3">
      <c r="A11" s="246"/>
      <c r="B11" s="246"/>
      <c r="C11" s="208" t="s">
        <v>36</v>
      </c>
      <c r="D11" s="209" t="s">
        <v>182</v>
      </c>
      <c r="E11" s="210"/>
      <c r="F11" s="211">
        <f>IFERROR(SUMIF('ENE25'!E:E,CONCENTRADO!$C11,'ENE25'!F:F),"")</f>
        <v>8000</v>
      </c>
      <c r="G11" s="211">
        <f>IFERROR(SUMIF('FEB25'!$E:$E,CONCENTRADO!$C11,'FEB25'!$F:$F),"")</f>
        <v>8000</v>
      </c>
      <c r="H11" s="211">
        <f>IFERROR(SUMIF('MAR25'!$E:$E,CONCENTRADO!$C11,'MAR25'!$F:$F),"")</f>
        <v>8000</v>
      </c>
      <c r="I11" s="211">
        <f>IFERROR(SUMIF('ABR25'!$E:$E,CONCENTRADO!$C11,'ABR25'!$F:$F),"")</f>
        <v>8000</v>
      </c>
      <c r="J11" s="211">
        <f>IFERROR(SUMIF('MAY25'!$E:$E,CONCENTRADO!$C11,'MAY25'!$F:$F),"")</f>
        <v>8000</v>
      </c>
      <c r="K11" s="211">
        <f>IFERROR(SUMIF('JUN25'!$E:$E,CONCENTRADO!$C11,'JUN25'!$F:$F),"")</f>
        <v>8000</v>
      </c>
      <c r="L11" s="211">
        <f>IFERROR(SUMIF('JUL25'!$E:$E,CONCENTRADO!$C11,'JUL25'!$F:$F),"")</f>
        <v>8000</v>
      </c>
      <c r="M11" s="211">
        <f>IFERROR(SUMIF('AGO25'!$E:$E,CONCENTRADO!$C11,'AGO25'!$F:$F),"")</f>
        <v>8599</v>
      </c>
      <c r="N11" s="211">
        <f>IFERROR(SUMIF('SEP25'!$E:$E,CONCENTRADO!$C11,'SEP25'!$F:$F),"")</f>
        <v>8000</v>
      </c>
      <c r="O11" s="211">
        <f>IFERROR(SUMIF('OCT25'!$E:$E,CONCENTRADO!$C11,'OCT25'!$F:$F),"")</f>
        <v>8000</v>
      </c>
      <c r="P11" s="211">
        <f>IFERROR(SUMIF('NOV25'!$E:$E,CONCENTRADO!$C11,'NOV25'!$F:$F),"")</f>
        <v>8000</v>
      </c>
      <c r="Q11" s="211">
        <f>IFERROR(SUMIF('DIC25'!$E:$E,CONCENTRADO!$C11,'DIC25'!$K:$K),"")</f>
        <v>0</v>
      </c>
      <c r="R11" s="212">
        <f t="shared" si="1"/>
        <v>48599</v>
      </c>
      <c r="S11" s="213">
        <f t="shared" si="2"/>
        <v>-48599</v>
      </c>
      <c r="T11" s="217"/>
    </row>
    <row r="12" spans="1:21" s="215" customFormat="1" ht="15.75" customHeight="1" x14ac:dyDescent="0.3">
      <c r="A12" s="246"/>
      <c r="B12" s="246"/>
      <c r="C12" s="208" t="s">
        <v>37</v>
      </c>
      <c r="D12" s="209" t="s">
        <v>38</v>
      </c>
      <c r="E12" s="210"/>
      <c r="F12" s="211">
        <f>IFERROR(SUMIF('ENE25'!E:E,CONCENTRADO!$C12,'ENE25'!F:F),"")</f>
        <v>615.63</v>
      </c>
      <c r="G12" s="211">
        <f>IFERROR(SUMIF('FEB25'!$E:$E,CONCENTRADO!$C12,'FEB25'!$F:$F),"")</f>
        <v>615.63</v>
      </c>
      <c r="H12" s="211">
        <f>IFERROR(SUMIF('MAR25'!$E:$E,CONCENTRADO!$C12,'MAR25'!$F:$F),"")</f>
        <v>610.78</v>
      </c>
      <c r="I12" s="211">
        <f>IFERROR(SUMIF('ABR25'!$E:$E,CONCENTRADO!$C12,'ABR25'!$F:$F),"")</f>
        <v>594.78</v>
      </c>
      <c r="J12" s="211">
        <f>IFERROR(SUMIF('MAY25'!$E:$E,CONCENTRADO!$C12,'MAY25'!$F:$F),"")</f>
        <v>5646.1200000000008</v>
      </c>
      <c r="K12" s="211">
        <f>IFERROR(SUMIF('JUN25'!$E:$E,CONCENTRADO!$C12,'JUN25'!$F:$F),"")</f>
        <v>130956.64</v>
      </c>
      <c r="L12" s="211">
        <f>IFERROR(SUMIF('JUL25'!$E:$E,CONCENTRADO!$C12,'JUL25'!$F:$F),"")</f>
        <v>20794.900000000001</v>
      </c>
      <c r="M12" s="211">
        <f>IFERROR(SUMIF('AGO25'!$E:$E,CONCENTRADO!$C12,'AGO25'!$F:$F),"")</f>
        <v>10966.18</v>
      </c>
      <c r="N12" s="211">
        <f>IFERROR(SUMIF('SEP25'!$E:$E,CONCENTRADO!$C12,'SEP25'!$F:$F),"")</f>
        <v>34466.22</v>
      </c>
      <c r="O12" s="211">
        <f>IFERROR(SUMIF('OCT25'!$E:$E,CONCENTRADO!$C12,'OCT25'!$F:$F),"")</f>
        <v>3280.77</v>
      </c>
      <c r="P12" s="211">
        <f>IFERROR(SUMIF('NOV25'!$E:$E,CONCENTRADO!$C12,'NOV25'!$F:$F),"")</f>
        <v>987.47</v>
      </c>
      <c r="Q12" s="211">
        <f>IFERROR(SUMIF('DIC25'!$E:$E,CONCENTRADO!$C12,'DIC25'!$K:$K),"")</f>
        <v>0</v>
      </c>
      <c r="R12" s="212">
        <f t="shared" si="1"/>
        <v>201452.18</v>
      </c>
      <c r="S12" s="213">
        <f t="shared" si="2"/>
        <v>-201452.18</v>
      </c>
      <c r="T12" s="217"/>
    </row>
    <row r="13" spans="1:21" s="215" customFormat="1" ht="15.75" customHeight="1" x14ac:dyDescent="0.3">
      <c r="A13" s="246"/>
      <c r="B13" s="246"/>
      <c r="C13" s="208" t="s">
        <v>39</v>
      </c>
      <c r="D13" s="209" t="s">
        <v>40</v>
      </c>
      <c r="E13" s="210"/>
      <c r="F13" s="211">
        <f>IFERROR(SUMIF('ENE25'!E:E,CONCENTRADO!$C13,'ENE25'!F:F),"")</f>
        <v>31050</v>
      </c>
      <c r="G13" s="211">
        <f>IFERROR(SUMIF('FEB25'!$E:$E,CONCENTRADO!$C13,'FEB25'!$F:$F),"")</f>
        <v>31050</v>
      </c>
      <c r="H13" s="211">
        <f>IFERROR(SUMIF('MAR25'!$E:$E,CONCENTRADO!$C13,'MAR25'!$F:$F),"")</f>
        <v>31050</v>
      </c>
      <c r="I13" s="211">
        <f>IFERROR(SUMIF('ABR25'!$E:$E,CONCENTRADO!$C13,'ABR25'!$F:$F),"")</f>
        <v>31050</v>
      </c>
      <c r="J13" s="211">
        <f>IFERROR(SUMIF('MAY25'!$E:$E,CONCENTRADO!$C13,'MAY25'!$F:$F),"")</f>
        <v>31199</v>
      </c>
      <c r="K13" s="211">
        <f>IFERROR(SUMIF('JUN25'!$E:$E,CONCENTRADO!$C13,'JUN25'!$F:$F),"")</f>
        <v>15525</v>
      </c>
      <c r="L13" s="211">
        <f>IFERROR(SUMIF('JUL25'!$E:$E,CONCENTRADO!$C13,'JUL25'!$F:$F),"")</f>
        <v>31050</v>
      </c>
      <c r="M13" s="211">
        <f>IFERROR(SUMIF('AGO25'!$E:$E,CONCENTRADO!$C13,'AGO25'!$F:$F),"")</f>
        <v>31050</v>
      </c>
      <c r="N13" s="211">
        <f>IFERROR(SUMIF('SEP25'!$E:$E,CONCENTRADO!$C13,'SEP25'!$F:$F),"")</f>
        <v>31050</v>
      </c>
      <c r="O13" s="211">
        <f>IFERROR(SUMIF('OCT25'!$E:$E,CONCENTRADO!$C13,'OCT25'!$F:$F),"")</f>
        <v>34000</v>
      </c>
      <c r="P13" s="211">
        <f>IFERROR(SUMIF('NOV25'!$E:$E,CONCENTRADO!$C13,'NOV25'!$F:$F),"")</f>
        <v>0</v>
      </c>
      <c r="Q13" s="211">
        <f>IFERROR(SUMIF('DIC25'!$E:$E,CONCENTRADO!$C13,'DIC25'!$K:$K),"")</f>
        <v>0</v>
      </c>
      <c r="R13" s="212">
        <f t="shared" si="1"/>
        <v>142675</v>
      </c>
      <c r="S13" s="213">
        <f t="shared" si="2"/>
        <v>-142675</v>
      </c>
      <c r="T13" s="217"/>
    </row>
    <row r="14" spans="1:21" s="215" customFormat="1" ht="15.75" customHeight="1" x14ac:dyDescent="0.3">
      <c r="A14" s="246"/>
      <c r="B14" s="246"/>
      <c r="C14" s="208" t="s">
        <v>41</v>
      </c>
      <c r="D14" s="209" t="s">
        <v>183</v>
      </c>
      <c r="E14" s="210"/>
      <c r="F14" s="211">
        <f>IFERROR(SUMIF('ENE25'!E:E,CONCENTRADO!$C14,'ENE25'!F:F),"")</f>
        <v>516623.06000000006</v>
      </c>
      <c r="G14" s="211">
        <f>IFERROR(SUMIF('FEB25'!$E:$E,CONCENTRADO!$C14,'FEB25'!$F:$F),"")</f>
        <v>112188.63</v>
      </c>
      <c r="H14" s="211">
        <f>IFERROR(SUMIF('MAR25'!$E:$E,CONCENTRADO!$C14,'MAR25'!$F:$F),"")</f>
        <v>133921.07</v>
      </c>
      <c r="I14" s="211">
        <f>IFERROR(SUMIF('ABR25'!$E:$E,CONCENTRADO!$C14,'ABR25'!$F:$F),"")</f>
        <v>342431.74</v>
      </c>
      <c r="J14" s="211">
        <f>IFERROR(SUMIF('MAY25'!$E:$E,CONCENTRADO!$C14,'MAY25'!$F:$F),"")</f>
        <v>101410.63</v>
      </c>
      <c r="K14" s="211">
        <f>IFERROR(SUMIF('JUN25'!$E:$E,CONCENTRADO!$C14,'JUN25'!$F:$F),"")</f>
        <v>117811.70999999999</v>
      </c>
      <c r="L14" s="211">
        <f>IFERROR(SUMIF('JUL25'!$E:$E,CONCENTRADO!$C14,'JUL25'!$F:$F),"")</f>
        <v>121900.52</v>
      </c>
      <c r="M14" s="211">
        <f>IFERROR(SUMIF('AGO25'!$E:$E,CONCENTRADO!$C14,'AGO25'!$F:$F),"")</f>
        <v>114562.92</v>
      </c>
      <c r="N14" s="211">
        <f>IFERROR(SUMIF('SEP25'!$E:$E,CONCENTRADO!$C14,'SEP25'!$F:$F),"")</f>
        <v>132689.32999999999</v>
      </c>
      <c r="O14" s="211">
        <f>IFERROR(SUMIF('OCT25'!$E:$E,CONCENTRADO!$C14,'OCT25'!$F:$F),"")</f>
        <v>3920</v>
      </c>
      <c r="P14" s="211">
        <f>IFERROR(SUMIF('NOV25'!$E:$E,CONCENTRADO!$C14,'NOV25'!$F:$F),"")</f>
        <v>0</v>
      </c>
      <c r="Q14" s="211">
        <f>IFERROR(SUMIF('DIC25'!$E:$E,CONCENTRADO!$C14,'DIC25'!$K:$K),"")</f>
        <v>0</v>
      </c>
      <c r="R14" s="212">
        <f t="shared" si="1"/>
        <v>490884.48</v>
      </c>
      <c r="S14" s="213">
        <f t="shared" si="2"/>
        <v>-490884.48</v>
      </c>
      <c r="T14" s="218"/>
    </row>
    <row r="15" spans="1:21" s="215" customFormat="1" ht="15.75" customHeight="1" x14ac:dyDescent="0.3">
      <c r="A15" s="246"/>
      <c r="B15" s="246"/>
      <c r="C15" s="208" t="s">
        <v>42</v>
      </c>
      <c r="D15" s="209" t="s">
        <v>184</v>
      </c>
      <c r="E15" s="210"/>
      <c r="F15" s="211">
        <f>IFERROR(SUMIF('ENE25'!E:E,CONCENTRADO!$C15,'ENE25'!F:F),"")</f>
        <v>0</v>
      </c>
      <c r="G15" s="211">
        <f>IFERROR(SUMIF('FEB25'!$E:$E,CONCENTRADO!$C15,'FEB25'!$F:$F),"")</f>
        <v>0</v>
      </c>
      <c r="H15" s="211">
        <f>IFERROR(SUMIF('MAR25'!$E:$E,CONCENTRADO!$C15,'MAR25'!$F:$F),"")</f>
        <v>0</v>
      </c>
      <c r="I15" s="211">
        <f>IFERROR(SUMIF('ABR25'!$E:$E,CONCENTRADO!$C15,'ABR25'!$F:$F),"")</f>
        <v>0</v>
      </c>
      <c r="J15" s="211">
        <f>IFERROR(SUMIF('MAY25'!$E:$E,CONCENTRADO!$C15,'MAY25'!$F:$F),"")</f>
        <v>0</v>
      </c>
      <c r="K15" s="211">
        <f>IFERROR(SUMIF('JUN25'!$E:$E,CONCENTRADO!$C15,'JUN25'!$F:$F),"")</f>
        <v>0</v>
      </c>
      <c r="L15" s="211">
        <f>IFERROR(SUMIF('JUL25'!$E:$E,CONCENTRADO!$C15,'JUL25'!$F:$F),"")</f>
        <v>0</v>
      </c>
      <c r="M15" s="211">
        <f>IFERROR(SUMIF('AGO25'!$E:$E,CONCENTRADO!$C15,'AGO25'!$F:$F),"")</f>
        <v>0</v>
      </c>
      <c r="N15" s="211">
        <f>IFERROR(SUMIF('SEP25'!$E:$E,CONCENTRADO!$C15,'SEP25'!$F:$F),"")</f>
        <v>0</v>
      </c>
      <c r="O15" s="211">
        <f>IFERROR(SUMIF('OCT25'!$E:$E,CONCENTRADO!$C15,'OCT25'!$F:$F),"")</f>
        <v>0</v>
      </c>
      <c r="P15" s="211">
        <f>IFERROR(SUMIF('NOV25'!$E:$E,CONCENTRADO!$C15,'NOV25'!$F:$F),"")</f>
        <v>0</v>
      </c>
      <c r="Q15" s="211">
        <f>IFERROR(SUMIF('DIC25'!$E:$E,CONCENTRADO!$C15,'DIC25'!$K:$K),"")</f>
        <v>0</v>
      </c>
      <c r="R15" s="212">
        <f t="shared" si="1"/>
        <v>0</v>
      </c>
      <c r="S15" s="213">
        <f t="shared" si="2"/>
        <v>0</v>
      </c>
      <c r="T15" s="218"/>
    </row>
    <row r="16" spans="1:21" s="215" customFormat="1" ht="15.75" customHeight="1" x14ac:dyDescent="0.3">
      <c r="A16" s="246"/>
      <c r="B16" s="246"/>
      <c r="C16" s="208" t="s">
        <v>43</v>
      </c>
      <c r="D16" s="209" t="s">
        <v>185</v>
      </c>
      <c r="E16" s="210"/>
      <c r="F16" s="211">
        <f>IFERROR(SUMIF('ENE25'!E:E,CONCENTRADO!$C16,'ENE25'!F:F),"")</f>
        <v>0</v>
      </c>
      <c r="G16" s="211">
        <f>IFERROR(SUMIF('FEB25'!$E:$E,CONCENTRADO!$C16,'FEB25'!$F:$F),"")</f>
        <v>0</v>
      </c>
      <c r="H16" s="211">
        <f>IFERROR(SUMIF('MAR25'!$E:$E,CONCENTRADO!$C16,'MAR25'!$F:$F),"")</f>
        <v>0</v>
      </c>
      <c r="I16" s="211">
        <f>IFERROR(SUMIF('ABR25'!$E:$E,CONCENTRADO!$C16,'ABR25'!$F:$F),"")</f>
        <v>0</v>
      </c>
      <c r="J16" s="211">
        <f>IFERROR(SUMIF('MAY25'!$E:$E,CONCENTRADO!$C16,'MAY25'!$F:$F),"")</f>
        <v>0</v>
      </c>
      <c r="K16" s="211">
        <f>IFERROR(SUMIF('JUN25'!$E:$E,CONCENTRADO!$C16,'JUN25'!$F:$F),"")</f>
        <v>0</v>
      </c>
      <c r="L16" s="211">
        <f>IFERROR(SUMIF('JUL25'!$E:$E,CONCENTRADO!$C16,'JUL25'!$F:$F),"")</f>
        <v>0</v>
      </c>
      <c r="M16" s="211">
        <f>IFERROR(SUMIF('AGO25'!$E:$E,CONCENTRADO!$C16,'AGO25'!$F:$F),"")</f>
        <v>0</v>
      </c>
      <c r="N16" s="211">
        <f>IFERROR(SUMIF('SEP25'!$E:$E,CONCENTRADO!$C16,'SEP25'!$F:$F),"")</f>
        <v>0</v>
      </c>
      <c r="O16" s="211">
        <f>IFERROR(SUMIF('OCT25'!$E:$E,CONCENTRADO!$C16,'OCT25'!$F:$F),"")</f>
        <v>0</v>
      </c>
      <c r="P16" s="211">
        <f>IFERROR(SUMIF('NOV25'!$E:$E,CONCENTRADO!$C16,'NOV25'!$F:$F),"")</f>
        <v>0</v>
      </c>
      <c r="Q16" s="211">
        <f>IFERROR(SUMIF('DIC25'!$E:$E,CONCENTRADO!$C16,'DIC25'!$K:$K),"")</f>
        <v>0</v>
      </c>
      <c r="R16" s="212">
        <f t="shared" si="1"/>
        <v>0</v>
      </c>
      <c r="S16" s="213">
        <f t="shared" si="2"/>
        <v>0</v>
      </c>
      <c r="T16" s="218"/>
    </row>
    <row r="17" spans="1:20" s="215" customFormat="1" ht="15.75" customHeight="1" x14ac:dyDescent="0.3">
      <c r="A17" s="246"/>
      <c r="B17" s="246"/>
      <c r="C17" s="208" t="s">
        <v>44</v>
      </c>
      <c r="D17" s="209" t="s">
        <v>186</v>
      </c>
      <c r="E17" s="210"/>
      <c r="F17" s="211">
        <f>IFERROR(SUMIF('ENE25'!E:E,CONCENTRADO!$C17,'ENE25'!F:F),"")</f>
        <v>3952.05</v>
      </c>
      <c r="G17" s="211">
        <f>IFERROR(SUMIF('FEB25'!$E:$E,CONCENTRADO!$C17,'FEB25'!$F:$F),"")</f>
        <v>555636.07999999996</v>
      </c>
      <c r="H17" s="211">
        <f>IFERROR(SUMIF('MAR25'!$E:$E,CONCENTRADO!$C17,'MAR25'!$F:$F),"")</f>
        <v>404257.31</v>
      </c>
      <c r="I17" s="211">
        <f>IFERROR(SUMIF('ABR25'!$E:$E,CONCENTRADO!$C17,'ABR25'!$F:$F),"")</f>
        <v>463224</v>
      </c>
      <c r="J17" s="211">
        <f>IFERROR(SUMIF('MAY25'!$E:$E,CONCENTRADO!$C17,'MAY25'!$F:$F),"")</f>
        <v>472024</v>
      </c>
      <c r="K17" s="211">
        <f>IFERROR(SUMIF('JUN25'!$E:$E,CONCENTRADO!$C17,'JUN25'!$F:$F),"")</f>
        <v>487224</v>
      </c>
      <c r="L17" s="211">
        <f>IFERROR(SUMIF('JUL25'!$E:$E,CONCENTRADO!$C17,'JUL25'!$F:$F),"")</f>
        <v>512281.04</v>
      </c>
      <c r="M17" s="211">
        <f>IFERROR(SUMIF('AGO25'!$E:$E,CONCENTRADO!$C17,'AGO25'!$F:$F),"")</f>
        <v>546961.80000000005</v>
      </c>
      <c r="N17" s="211">
        <f>IFERROR(SUMIF('SEP25'!$E:$E,CONCENTRADO!$C17,'SEP25'!$F:$F),"")</f>
        <v>317088.54000000004</v>
      </c>
      <c r="O17" s="211">
        <f>IFERROR(SUMIF('OCT25'!$E:$E,CONCENTRADO!$C17,'OCT25'!$F:$F),"")</f>
        <v>0</v>
      </c>
      <c r="P17" s="211">
        <f>IFERROR(SUMIF('NOV25'!$E:$E,CONCENTRADO!$C17,'NOV25'!$F:$F),"")</f>
        <v>0</v>
      </c>
      <c r="Q17" s="211">
        <f>IFERROR(SUMIF('DIC25'!$E:$E,CONCENTRADO!$C17,'DIC25'!$K:$K),"")</f>
        <v>0</v>
      </c>
      <c r="R17" s="212">
        <f t="shared" si="1"/>
        <v>1863555.3800000001</v>
      </c>
      <c r="S17" s="213">
        <f t="shared" si="2"/>
        <v>-1863555.3800000001</v>
      </c>
      <c r="T17" s="218"/>
    </row>
    <row r="18" spans="1:20" s="215" customFormat="1" ht="15.75" customHeight="1" x14ac:dyDescent="0.3">
      <c r="A18" s="246"/>
      <c r="B18" s="246"/>
      <c r="C18" s="208" t="s">
        <v>45</v>
      </c>
      <c r="D18" s="209" t="s">
        <v>187</v>
      </c>
      <c r="E18" s="210"/>
      <c r="F18" s="211">
        <f>IFERROR(SUMIF('ENE25'!E:E,CONCENTRADO!$C18,'ENE25'!F:F),"")</f>
        <v>0</v>
      </c>
      <c r="G18" s="211">
        <f>IFERROR(SUMIF('FEB25'!$E:$E,CONCENTRADO!$C18,'FEB25'!$F:$F),"")</f>
        <v>0</v>
      </c>
      <c r="H18" s="211">
        <f>IFERROR(SUMIF('MAR25'!$E:$E,CONCENTRADO!$C18,'MAR25'!$F:$F),"")</f>
        <v>0</v>
      </c>
      <c r="I18" s="211">
        <f>IFERROR(SUMIF('ABR25'!$E:$E,CONCENTRADO!$C18,'ABR25'!$F:$F),"")</f>
        <v>0</v>
      </c>
      <c r="J18" s="211">
        <f>IFERROR(SUMIF('MAY25'!$E:$E,CONCENTRADO!$C18,'MAY25'!$F:$F),"")</f>
        <v>0</v>
      </c>
      <c r="K18" s="211">
        <f>IFERROR(SUMIF('JUN25'!$E:$E,CONCENTRADO!$C18,'JUN25'!$F:$F),"")</f>
        <v>0</v>
      </c>
      <c r="L18" s="211">
        <f>IFERROR(SUMIF('JUL25'!$E:$E,CONCENTRADO!$C18,'JUL25'!$F:$F),"")</f>
        <v>16300</v>
      </c>
      <c r="M18" s="211">
        <f>IFERROR(SUMIF('AGO25'!$E:$E,CONCENTRADO!$C18,'AGO25'!$F:$F),"")</f>
        <v>0</v>
      </c>
      <c r="N18" s="211">
        <f>IFERROR(SUMIF('SEP25'!$E:$E,CONCENTRADO!$C18,'SEP25'!$F:$F),"")</f>
        <v>0</v>
      </c>
      <c r="O18" s="211">
        <f>IFERROR(SUMIF('OCT25'!$E:$E,CONCENTRADO!$C18,'OCT25'!$F:$F),"")</f>
        <v>0</v>
      </c>
      <c r="P18" s="211">
        <f>IFERROR(SUMIF('NOV25'!$E:$E,CONCENTRADO!$C18,'NOV25'!$F:$F),"")</f>
        <v>7000</v>
      </c>
      <c r="Q18" s="211">
        <f>IFERROR(SUMIF('DIC25'!$E:$E,CONCENTRADO!$C18,'DIC25'!$K:$K),"")</f>
        <v>0</v>
      </c>
      <c r="R18" s="212">
        <f t="shared" si="1"/>
        <v>23300</v>
      </c>
      <c r="S18" s="213">
        <f t="shared" si="2"/>
        <v>-23300</v>
      </c>
      <c r="T18" s="218"/>
    </row>
    <row r="19" spans="1:20" s="215" customFormat="1" ht="15.75" customHeight="1" x14ac:dyDescent="0.3">
      <c r="A19" s="246"/>
      <c r="B19" s="246"/>
      <c r="C19" s="208" t="s">
        <v>46</v>
      </c>
      <c r="D19" s="209" t="s">
        <v>188</v>
      </c>
      <c r="E19" s="210"/>
      <c r="F19" s="211">
        <f>IFERROR(SUMIF('ENE25'!E:E,CONCENTRADO!$C19,'ENE25'!F:F),"")</f>
        <v>-3500</v>
      </c>
      <c r="G19" s="211">
        <f>IFERROR(SUMIF('FEB25'!$E:$E,CONCENTRADO!$C19,'FEB25'!$F:$F),"")</f>
        <v>3400</v>
      </c>
      <c r="H19" s="211">
        <f>IFERROR(SUMIF('MAR25'!$E:$E,CONCENTRADO!$C19,'MAR25'!$F:$F),"")</f>
        <v>-6500</v>
      </c>
      <c r="I19" s="211">
        <f>IFERROR(SUMIF('ABR25'!$E:$E,CONCENTRADO!$C19,'ABR25'!$F:$F),"")</f>
        <v>-6500</v>
      </c>
      <c r="J19" s="211">
        <f>IFERROR(SUMIF('MAY25'!$E:$E,CONCENTRADO!$C19,'MAY25'!$F:$F),"")</f>
        <v>-1000</v>
      </c>
      <c r="K19" s="211">
        <f>IFERROR(SUMIF('JUN25'!$E:$E,CONCENTRADO!$C19,'JUN25'!$F:$F),"")</f>
        <v>7500</v>
      </c>
      <c r="L19" s="211">
        <f>IFERROR(SUMIF('JUL25'!$E:$E,CONCENTRADO!$C19,'JUL25'!$F:$F),"")</f>
        <v>26273</v>
      </c>
      <c r="M19" s="211">
        <f>IFERROR(SUMIF('AGO25'!$E:$E,CONCENTRADO!$C19,'AGO25'!$F:$F),"")</f>
        <v>-3000</v>
      </c>
      <c r="N19" s="211">
        <f>IFERROR(SUMIF('SEP25'!$E:$E,CONCENTRADO!$C19,'SEP25'!$F:$F),"")</f>
        <v>-1400</v>
      </c>
      <c r="O19" s="211">
        <f>IFERROR(SUMIF('OCT25'!$E:$E,CONCENTRADO!$C19,'OCT25'!$F:$F),"")</f>
        <v>0</v>
      </c>
      <c r="P19" s="211">
        <f>IFERROR(SUMIF('NOV25'!$E:$E,CONCENTRADO!$C19,'NOV25'!$F:$F),"")</f>
        <v>0</v>
      </c>
      <c r="Q19" s="211">
        <f>IFERROR(SUMIF('DIC25'!$E:$E,CONCENTRADO!$C19,'DIC25'!$K:$K),"")</f>
        <v>0</v>
      </c>
      <c r="R19" s="212">
        <f t="shared" si="1"/>
        <v>29373</v>
      </c>
      <c r="S19" s="213">
        <f t="shared" si="2"/>
        <v>-29373</v>
      </c>
      <c r="T19" s="218"/>
    </row>
    <row r="20" spans="1:20" s="215" customFormat="1" ht="15.75" customHeight="1" x14ac:dyDescent="0.3">
      <c r="A20" s="246"/>
      <c r="B20" s="246"/>
      <c r="C20" s="208" t="s">
        <v>47</v>
      </c>
      <c r="D20" s="209" t="s">
        <v>189</v>
      </c>
      <c r="E20" s="210"/>
      <c r="F20" s="211">
        <f>IFERROR(SUMIF('ENE25'!E:E,CONCENTRADO!$C20,'ENE25'!F:F),"")</f>
        <v>0</v>
      </c>
      <c r="G20" s="211">
        <f>IFERROR(SUMIF('FEB25'!$E:$E,CONCENTRADO!$C20,'FEB25'!$F:$F),"")</f>
        <v>100000</v>
      </c>
      <c r="H20" s="211">
        <f>IFERROR(SUMIF('MAR25'!$E:$E,CONCENTRADO!$C20,'MAR25'!$F:$F),"")</f>
        <v>0</v>
      </c>
      <c r="I20" s="211">
        <f>IFERROR(SUMIF('ABR25'!$E:$E,CONCENTRADO!$C20,'ABR25'!$F:$F),"")</f>
        <v>0</v>
      </c>
      <c r="J20" s="211">
        <f>IFERROR(SUMIF('MAY25'!$E:$E,CONCENTRADO!$C20,'MAY25'!$F:$F),"")</f>
        <v>300000</v>
      </c>
      <c r="K20" s="211">
        <f>IFERROR(SUMIF('JUN25'!$E:$E,CONCENTRADO!$C20,'JUN25'!$F:$F),"")</f>
        <v>300000</v>
      </c>
      <c r="L20" s="211">
        <f>IFERROR(SUMIF('JUL25'!$E:$E,CONCENTRADO!$C20,'JUL25'!$F:$F),"")</f>
        <v>0</v>
      </c>
      <c r="M20" s="211">
        <f>IFERROR(SUMIF('AGO25'!$E:$E,CONCENTRADO!$C20,'AGO25'!$F:$F),"")</f>
        <v>0</v>
      </c>
      <c r="N20" s="211">
        <f>IFERROR(SUMIF('SEP25'!$E:$E,CONCENTRADO!$C20,'SEP25'!$F:$F),"")</f>
        <v>352112.68</v>
      </c>
      <c r="O20" s="211">
        <f>IFERROR(SUMIF('OCT25'!$E:$E,CONCENTRADO!$C20,'OCT25'!$F:$F),"")</f>
        <v>0</v>
      </c>
      <c r="P20" s="211">
        <f>IFERROR(SUMIF('NOV25'!$E:$E,CONCENTRADO!$C20,'NOV25'!$F:$F),"")</f>
        <v>250000</v>
      </c>
      <c r="Q20" s="211">
        <f>IFERROR(SUMIF('DIC25'!$E:$E,CONCENTRADO!$C20,'DIC25'!$K:$K),"")</f>
        <v>0</v>
      </c>
      <c r="R20" s="212">
        <f t="shared" si="1"/>
        <v>902112.67999999993</v>
      </c>
      <c r="S20" s="213">
        <f t="shared" si="2"/>
        <v>-902112.67999999993</v>
      </c>
      <c r="T20" s="218"/>
    </row>
    <row r="21" spans="1:20" s="215" customFormat="1" ht="15.75" customHeight="1" x14ac:dyDescent="0.3">
      <c r="A21" s="246"/>
      <c r="B21" s="246"/>
      <c r="C21" s="208"/>
      <c r="D21" s="219"/>
      <c r="E21" s="210"/>
      <c r="F21" s="211">
        <f>IFERROR(SUMIF('ENE25'!E:E,CONCENTRADO!$C21,'ENE25'!F:F),"")</f>
        <v>0</v>
      </c>
      <c r="G21" s="211">
        <f>IFERROR(SUMIF('FEB25'!$E:$E,CONCENTRADO!$C21,'FEB25'!$F:$F),"")</f>
        <v>0</v>
      </c>
      <c r="H21" s="211">
        <f>IFERROR(SUMIF('MAR25'!$E:$E,CONCENTRADO!$C21,'MAR25'!$F:$F),"")</f>
        <v>0</v>
      </c>
      <c r="I21" s="211">
        <f>IFERROR(SUMIF('ABR25'!$E:$E,CONCENTRADO!$C21,'ABR25'!$F:$F),"")</f>
        <v>0</v>
      </c>
      <c r="J21" s="211">
        <f>IFERROR(SUMIF('MAY25'!$E:$E,CONCENTRADO!$C21,'MAY25'!$F:$F),"")</f>
        <v>0</v>
      </c>
      <c r="K21" s="211">
        <f>IFERROR(SUMIF('JUN25'!$E:$E,CONCENTRADO!$C21,'JUN25'!$F:$F),"")</f>
        <v>0</v>
      </c>
      <c r="L21" s="211">
        <f>IFERROR(SUMIF('JUL25'!$E:$E,CONCENTRADO!$C21,'JUL25'!$F:$F),"")</f>
        <v>0</v>
      </c>
      <c r="M21" s="211">
        <f>IFERROR(SUMIF('AGO25'!$E:$E,CONCENTRADO!$C21,'AGO25'!$F:$F),"")</f>
        <v>0</v>
      </c>
      <c r="N21" s="211">
        <f>IFERROR(SUMIF('SEP25'!$E:$E,CONCENTRADO!$C21,'SEP25'!$F:$F),"")</f>
        <v>0</v>
      </c>
      <c r="O21" s="211">
        <f>IFERROR(SUMIF('OCT25'!$E:$E,CONCENTRADO!$C21,'OCT25'!$F:$F),"")</f>
        <v>0</v>
      </c>
      <c r="P21" s="211">
        <f>IFERROR(SUMIF('NOV25'!$E:$E,CONCENTRADO!$C21,'NOV25'!$F:$F),"")</f>
        <v>0</v>
      </c>
      <c r="Q21" s="211">
        <f>IFERROR(SUMIF('DIC25'!$E:$E,CONCENTRADO!$C21,'DIC25'!$K:$K),"")</f>
        <v>0</v>
      </c>
      <c r="R21" s="212">
        <f t="shared" si="1"/>
        <v>0</v>
      </c>
      <c r="S21" s="213">
        <f t="shared" si="2"/>
        <v>0</v>
      </c>
      <c r="T21" s="218"/>
    </row>
    <row r="22" spans="1:20" s="215" customFormat="1" ht="15.75" customHeight="1" x14ac:dyDescent="0.3">
      <c r="A22" s="246"/>
      <c r="B22" s="246"/>
      <c r="C22" s="208"/>
      <c r="D22" s="219"/>
      <c r="E22" s="210"/>
      <c r="F22" s="211">
        <f>IFERROR(SUMIF('ENE25'!E:E,CONCENTRADO!$C22,'ENE25'!F:F),"")</f>
        <v>0</v>
      </c>
      <c r="G22" s="211">
        <f>IFERROR(SUMIF('FEB25'!$E:$E,CONCENTRADO!$C22,'FEB25'!$F:$F),"")</f>
        <v>0</v>
      </c>
      <c r="H22" s="211">
        <f>IFERROR(SUMIF('MAR25'!$E:$E,CONCENTRADO!$C22,'MAR25'!$F:$F),"")</f>
        <v>0</v>
      </c>
      <c r="I22" s="211">
        <f>IFERROR(SUMIF('ABR25'!$E:$E,CONCENTRADO!$C22,'ABR25'!$F:$F),"")</f>
        <v>0</v>
      </c>
      <c r="J22" s="211">
        <f>IFERROR(SUMIF('MAY25'!$E:$E,CONCENTRADO!$C22,'MAY25'!$F:$F),"")</f>
        <v>0</v>
      </c>
      <c r="K22" s="211">
        <f>IFERROR(SUMIF('JUN25'!$E:$E,CONCENTRADO!$C22,'JUN25'!$F:$F),"")</f>
        <v>0</v>
      </c>
      <c r="L22" s="211">
        <f>IFERROR(SUMIF('JUL25'!$E:$E,CONCENTRADO!$C22,'JUL25'!$F:$F),"")</f>
        <v>0</v>
      </c>
      <c r="M22" s="211">
        <f>IFERROR(SUMIF('AGO25'!$E:$E,CONCENTRADO!$C22,'AGO25'!$F:$F),"")</f>
        <v>0</v>
      </c>
      <c r="N22" s="211">
        <f>IFERROR(SUMIF('SEP25'!$E:$E,CONCENTRADO!$C22,'SEP25'!$F:$F),"")</f>
        <v>0</v>
      </c>
      <c r="O22" s="211">
        <f>IFERROR(SUMIF('OCT25'!$E:$E,CONCENTRADO!$C22,'OCT25'!$F:$F),"")</f>
        <v>0</v>
      </c>
      <c r="P22" s="211">
        <f>IFERROR(SUMIF('NOV25'!$E:$E,CONCENTRADO!$C22,'NOV25'!$F:$F),"")</f>
        <v>0</v>
      </c>
      <c r="Q22" s="211">
        <f>IFERROR(SUMIF('DIC25'!$E:$E,CONCENTRADO!$C22,'DIC25'!$K:$K),"")</f>
        <v>0</v>
      </c>
      <c r="R22" s="212">
        <f t="shared" si="1"/>
        <v>0</v>
      </c>
      <c r="S22" s="213">
        <f t="shared" si="2"/>
        <v>0</v>
      </c>
      <c r="T22" s="218"/>
    </row>
    <row r="23" spans="1:20" s="215" customFormat="1" ht="15.75" customHeight="1" x14ac:dyDescent="0.3">
      <c r="A23" s="247"/>
      <c r="B23" s="247"/>
      <c r="C23" s="208"/>
      <c r="D23" s="219"/>
      <c r="E23" s="210"/>
      <c r="F23" s="211">
        <f>IFERROR(SUMIF('ENE25'!E:E,CONCENTRADO!$C23,'ENE25'!F:F),"")</f>
        <v>0</v>
      </c>
      <c r="G23" s="211">
        <f>IFERROR(SUMIF('FEB25'!$E:$E,CONCENTRADO!$C23,'FEB25'!$F:$F),"")</f>
        <v>0</v>
      </c>
      <c r="H23" s="211">
        <f>IFERROR(SUMIF('MAR25'!$E:$E,CONCENTRADO!$C23,'MAR25'!$F:$F),"")</f>
        <v>0</v>
      </c>
      <c r="I23" s="211">
        <f>IFERROR(SUMIF('ABR25'!$E:$E,CONCENTRADO!$C23,'ABR25'!$F:$F),"")</f>
        <v>0</v>
      </c>
      <c r="J23" s="211">
        <f>IFERROR(SUMIF('MAY25'!$E:$E,CONCENTRADO!$C23,'MAY25'!$F:$F),"")</f>
        <v>0</v>
      </c>
      <c r="K23" s="211">
        <f>IFERROR(SUMIF('JUN25'!$E:$E,CONCENTRADO!$C23,'JUN25'!$F:$F),"")</f>
        <v>0</v>
      </c>
      <c r="L23" s="211">
        <f>IFERROR(SUMIF('JUL25'!$E:$E,CONCENTRADO!$C23,'JUL25'!$F:$F),"")</f>
        <v>0</v>
      </c>
      <c r="M23" s="211">
        <f>IFERROR(SUMIF('AGO25'!$E:$E,CONCENTRADO!$C23,'AGO25'!$F:$F),"")</f>
        <v>0</v>
      </c>
      <c r="N23" s="211">
        <f>IFERROR(SUMIF('SEP25'!$E:$E,CONCENTRADO!$C23,'SEP25'!$F:$F),"")</f>
        <v>0</v>
      </c>
      <c r="O23" s="211">
        <f>IFERROR(SUMIF('OCT25'!$E:$E,CONCENTRADO!$C23,'OCT25'!$F:$F),"")</f>
        <v>0</v>
      </c>
      <c r="P23" s="211">
        <f>IFERROR(SUMIF('NOV25'!$E:$E,CONCENTRADO!$C23,'NOV25'!$F:$F),"")</f>
        <v>0</v>
      </c>
      <c r="Q23" s="211">
        <f>IFERROR(SUMIF('DIC25'!$E:$E,CONCENTRADO!$C23,'DIC25'!$K:$K),"")</f>
        <v>0</v>
      </c>
      <c r="R23" s="212">
        <f t="shared" si="1"/>
        <v>0</v>
      </c>
      <c r="S23" s="213">
        <f t="shared" si="2"/>
        <v>0</v>
      </c>
      <c r="T23" s="218"/>
    </row>
    <row r="24" spans="1:20" s="215" customFormat="1" ht="15.75" customHeight="1" x14ac:dyDescent="0.3">
      <c r="A24" s="245" t="s">
        <v>48</v>
      </c>
      <c r="B24" s="245" t="s">
        <v>49</v>
      </c>
      <c r="C24" s="208" t="s">
        <v>50</v>
      </c>
      <c r="D24" s="209" t="s">
        <v>51</v>
      </c>
      <c r="E24" s="210"/>
      <c r="F24" s="211">
        <f>IFERROR(SUMIF('ENE25'!E:E,CONCENTRADO!$C24,'ENE25'!F:F),"")</f>
        <v>50</v>
      </c>
      <c r="G24" s="211">
        <f>IFERROR(SUMIF('FEB25'!$E:$E,CONCENTRADO!$C24,'FEB25'!$F:$F),"")</f>
        <v>6595.88</v>
      </c>
      <c r="H24" s="211">
        <f>IFERROR(SUMIF('MAR25'!$E:$E,CONCENTRADO!$C24,'MAR25'!$F:$F),"")</f>
        <v>90</v>
      </c>
      <c r="I24" s="211">
        <f>IFERROR(SUMIF('ABR25'!$E:$E,CONCENTRADO!$C24,'ABR25'!$F:$F),"")</f>
        <v>3052.66</v>
      </c>
      <c r="J24" s="211">
        <f>IFERROR(SUMIF('MAY25'!$E:$E,CONCENTRADO!$C24,'MAY25'!$F:$F),"")</f>
        <v>5575.18</v>
      </c>
      <c r="K24" s="211">
        <f>IFERROR(SUMIF('JUN25'!$E:$E,CONCENTRADO!$C24,'JUN25'!$F:$F),"")</f>
        <v>2141.31</v>
      </c>
      <c r="L24" s="211">
        <f>IFERROR(SUMIF('JUL25'!$E:$E,CONCENTRADO!$C24,'JUL25'!$F:$F),"")</f>
        <v>11074.64</v>
      </c>
      <c r="M24" s="211">
        <f>IFERROR(SUMIF('AGO25'!$E:$E,CONCENTRADO!$C24,'AGO25'!$F:$F),"")</f>
        <v>1363.03</v>
      </c>
      <c r="N24" s="211">
        <f>IFERROR(SUMIF('SEP25'!$E:$E,CONCENTRADO!$C24,'SEP25'!$F:$F),"")</f>
        <v>4684.09</v>
      </c>
      <c r="O24" s="211">
        <f>IFERROR(SUMIF('OCT25'!$E:$E,CONCENTRADO!$C24,'OCT25'!$F:$F),"")</f>
        <v>8284.5</v>
      </c>
      <c r="P24" s="211">
        <f>IFERROR(SUMIF('NOV25'!$E:$E,CONCENTRADO!$C24,'NOV25'!$F:$F),"")</f>
        <v>10995.36</v>
      </c>
      <c r="Q24" s="211">
        <f>IFERROR(SUMIF('DIC25'!$E:$E,CONCENTRADO!$C24,'DIC25'!$K:$K),"")</f>
        <v>0</v>
      </c>
      <c r="R24" s="212">
        <f t="shared" si="1"/>
        <v>38542.93</v>
      </c>
      <c r="S24" s="213">
        <f t="shared" si="2"/>
        <v>-38542.93</v>
      </c>
      <c r="T24" s="218"/>
    </row>
    <row r="25" spans="1:20" s="215" customFormat="1" ht="14.25" customHeight="1" x14ac:dyDescent="0.3">
      <c r="A25" s="252"/>
      <c r="B25" s="252"/>
      <c r="C25" s="220" t="s">
        <v>52</v>
      </c>
      <c r="D25" s="221" t="s">
        <v>190</v>
      </c>
      <c r="E25" s="210"/>
      <c r="F25" s="211">
        <f>IFERROR(SUMIF('ENE25'!E:E,CONCENTRADO!$C25,'ENE25'!F:F),"")</f>
        <v>128</v>
      </c>
      <c r="G25" s="211">
        <f>IFERROR(SUMIF('FEB25'!$E:$E,CONCENTRADO!$C25,'FEB25'!$F:$F),"")</f>
        <v>3175.49</v>
      </c>
      <c r="H25" s="211">
        <f>IFERROR(SUMIF('MAR25'!$E:$E,CONCENTRADO!$C25,'MAR25'!$F:$F),"")</f>
        <v>1537.1</v>
      </c>
      <c r="I25" s="211">
        <f>IFERROR(SUMIF('ABR25'!$E:$E,CONCENTRADO!$C25,'ABR25'!$F:$F),"")</f>
        <v>0</v>
      </c>
      <c r="J25" s="211">
        <f>IFERROR(SUMIF('MAY25'!$E:$E,CONCENTRADO!$C25,'MAY25'!$F:$F),"")</f>
        <v>0</v>
      </c>
      <c r="K25" s="211">
        <f>IFERROR(SUMIF('JUN25'!$E:$E,CONCENTRADO!$C25,'JUN25'!$F:$F),"")</f>
        <v>9897</v>
      </c>
      <c r="L25" s="211">
        <f>IFERROR(SUMIF('JUL25'!$E:$E,CONCENTRADO!$C25,'JUL25'!$F:$F),"")</f>
        <v>4618.9800000000005</v>
      </c>
      <c r="M25" s="211">
        <f>IFERROR(SUMIF('AGO25'!$E:$E,CONCENTRADO!$C25,'AGO25'!$F:$F),"")</f>
        <v>1189.6500000000001</v>
      </c>
      <c r="N25" s="211">
        <f>IFERROR(SUMIF('SEP25'!$E:$E,CONCENTRADO!$C25,'SEP25'!$F:$F),"")</f>
        <v>111.2</v>
      </c>
      <c r="O25" s="211">
        <f>IFERROR(SUMIF('OCT25'!$E:$E,CONCENTRADO!$C25,'OCT25'!$F:$F),"")</f>
        <v>0</v>
      </c>
      <c r="P25" s="211">
        <f>IFERROR(SUMIF('NOV25'!$E:$E,CONCENTRADO!$C25,'NOV25'!$F:$F),"")</f>
        <v>10073</v>
      </c>
      <c r="Q25" s="211">
        <f>IFERROR(SUMIF('DIC25'!$E:$E,CONCENTRADO!$C25,'DIC25'!$K:$K),"")</f>
        <v>0</v>
      </c>
      <c r="R25" s="212">
        <f t="shared" si="1"/>
        <v>25889.83</v>
      </c>
      <c r="S25" s="213">
        <f t="shared" si="2"/>
        <v>-25889.83</v>
      </c>
      <c r="T25" s="218"/>
    </row>
    <row r="26" spans="1:20" s="215" customFormat="1" ht="15.75" customHeight="1" x14ac:dyDescent="0.3">
      <c r="A26" s="252"/>
      <c r="B26" s="252"/>
      <c r="C26" s="220" t="s">
        <v>53</v>
      </c>
      <c r="D26" s="221" t="s">
        <v>191</v>
      </c>
      <c r="E26" s="210"/>
      <c r="F26" s="211">
        <f>IFERROR(SUMIF('ENE25'!E:E,CONCENTRADO!$C26,'ENE25'!F:F),"")</f>
        <v>1684.21</v>
      </c>
      <c r="G26" s="211">
        <f>IFERROR(SUMIF('FEB25'!$E:$E,CONCENTRADO!$C26,'FEB25'!$F:$F),"")</f>
        <v>100</v>
      </c>
      <c r="H26" s="211">
        <f>IFERROR(SUMIF('MAR25'!$E:$E,CONCENTRADO!$C26,'MAR25'!$F:$F),"")</f>
        <v>0</v>
      </c>
      <c r="I26" s="211">
        <f>IFERROR(SUMIF('ABR25'!$E:$E,CONCENTRADO!$C26,'ABR25'!$F:$F),"")</f>
        <v>0</v>
      </c>
      <c r="J26" s="211">
        <f>IFERROR(SUMIF('MAY25'!$E:$E,CONCENTRADO!$C26,'MAY25'!$F:$F),"")</f>
        <v>100</v>
      </c>
      <c r="K26" s="211">
        <f>IFERROR(SUMIF('JUN25'!$E:$E,CONCENTRADO!$C26,'JUN25'!$F:$F),"")</f>
        <v>0</v>
      </c>
      <c r="L26" s="211">
        <f>IFERROR(SUMIF('JUL25'!$E:$E,CONCENTRADO!$C26,'JUL25'!$F:$F),"")</f>
        <v>0</v>
      </c>
      <c r="M26" s="211">
        <f>IFERROR(SUMIF('AGO25'!$E:$E,CONCENTRADO!$C26,'AGO25'!$F:$F),"")</f>
        <v>0</v>
      </c>
      <c r="N26" s="211">
        <f>IFERROR(SUMIF('SEP25'!$E:$E,CONCENTRADO!$C26,'SEP25'!$F:$F),"")</f>
        <v>0</v>
      </c>
      <c r="O26" s="211">
        <f>IFERROR(SUMIF('OCT25'!$E:$E,CONCENTRADO!$C26,'OCT25'!$F:$F),"")</f>
        <v>0</v>
      </c>
      <c r="P26" s="211">
        <f>IFERROR(SUMIF('NOV25'!$E:$E,CONCENTRADO!$C26,'NOV25'!$F:$F),"")</f>
        <v>0</v>
      </c>
      <c r="Q26" s="211">
        <f>IFERROR(SUMIF('DIC25'!$E:$E,CONCENTRADO!$C26,'DIC25'!$K:$K),"")</f>
        <v>0</v>
      </c>
      <c r="R26" s="212">
        <f t="shared" si="1"/>
        <v>0</v>
      </c>
      <c r="S26" s="213">
        <f t="shared" si="2"/>
        <v>0</v>
      </c>
      <c r="T26" s="218"/>
    </row>
    <row r="27" spans="1:20" s="215" customFormat="1" ht="15.75" customHeight="1" x14ac:dyDescent="0.3">
      <c r="A27" s="252"/>
      <c r="B27" s="252"/>
      <c r="C27" s="220" t="s">
        <v>423</v>
      </c>
      <c r="D27" s="222" t="s">
        <v>495</v>
      </c>
      <c r="E27" s="210"/>
      <c r="F27" s="211">
        <f>IFERROR(SUMIF('ENE25'!E:E,CONCENTRADO!$C27,'ENE25'!F:F),"")</f>
        <v>3231.5</v>
      </c>
      <c r="G27" s="211">
        <f>IFERROR(SUMIF('FEB25'!$E:$E,CONCENTRADO!$C27,'FEB25'!$F:$F),"")</f>
        <v>1283.3900000000001</v>
      </c>
      <c r="H27" s="211">
        <f>IFERROR(SUMIF('MAR25'!$E:$E,CONCENTRADO!$C27,'MAR25'!$F:$F),"")</f>
        <v>4432.08</v>
      </c>
      <c r="I27" s="211">
        <f>IFERROR(SUMIF('ABR25'!$E:$E,CONCENTRADO!$C27,'ABR25'!$F:$F),"")</f>
        <v>2131.41</v>
      </c>
      <c r="J27" s="211">
        <f>IFERROR(SUMIF('MAY25'!$E:$E,CONCENTRADO!$C27,'MAY25'!$F:$F),"")</f>
        <v>2711.62</v>
      </c>
      <c r="K27" s="211">
        <f>IFERROR(SUMIF('JUN25'!$E:$E,CONCENTRADO!$C27,'JUN25'!$F:$F),"")</f>
        <v>819.22</v>
      </c>
      <c r="L27" s="211">
        <f>IFERROR(SUMIF('JUL25'!$E:$E,CONCENTRADO!$C27,'JUL25'!$F:$F),"")</f>
        <v>5090.0099999999993</v>
      </c>
      <c r="M27" s="211">
        <f>IFERROR(SUMIF('AGO25'!$E:$E,CONCENTRADO!$C27,'AGO25'!$F:$F),"")</f>
        <v>2899.8100000000004</v>
      </c>
      <c r="N27" s="211">
        <f>IFERROR(SUMIF('SEP25'!$E:$E,CONCENTRADO!$C27,'SEP25'!$F:$F),"")</f>
        <v>5780.66</v>
      </c>
      <c r="O27" s="211">
        <f>IFERROR(SUMIF('OCT25'!$E:$E,CONCENTRADO!$C27,'OCT25'!$F:$F),"")</f>
        <v>3284.13</v>
      </c>
      <c r="P27" s="211">
        <f>IFERROR(SUMIF('NOV25'!$E:$E,CONCENTRADO!$C27,'NOV25'!$F:$F),"")</f>
        <v>288.44</v>
      </c>
      <c r="Q27" s="211">
        <f>IFERROR(SUMIF('DIC25'!$E:$E,CONCENTRADO!$C27,'DIC25'!$K:$K),"")</f>
        <v>0</v>
      </c>
      <c r="R27" s="212">
        <f t="shared" si="1"/>
        <v>18162.27</v>
      </c>
      <c r="S27" s="213">
        <f t="shared" si="2"/>
        <v>-18162.27</v>
      </c>
      <c r="T27" s="218"/>
    </row>
    <row r="28" spans="1:20" s="215" customFormat="1" ht="15.75" customHeight="1" x14ac:dyDescent="0.3">
      <c r="A28" s="252"/>
      <c r="B28" s="252"/>
      <c r="C28" s="220" t="s">
        <v>55</v>
      </c>
      <c r="D28" s="221" t="s">
        <v>192</v>
      </c>
      <c r="E28" s="210"/>
      <c r="F28" s="211">
        <f>IFERROR(SUMIF('ENE25'!E:E,CONCENTRADO!$C28,'ENE25'!F:F),"")</f>
        <v>0</v>
      </c>
      <c r="G28" s="211">
        <f>IFERROR(SUMIF('FEB25'!$E:$E,CONCENTRADO!$C28,'FEB25'!$F:$F),"")</f>
        <v>0</v>
      </c>
      <c r="H28" s="211">
        <f>IFERROR(SUMIF('MAR25'!$E:$E,CONCENTRADO!$C28,'MAR25'!$F:$F),"")</f>
        <v>0</v>
      </c>
      <c r="I28" s="211">
        <f>IFERROR(SUMIF('ABR25'!$E:$E,CONCENTRADO!$C28,'ABR25'!$F:$F),"")</f>
        <v>0</v>
      </c>
      <c r="J28" s="211">
        <f>IFERROR(SUMIF('MAY25'!$E:$E,CONCENTRADO!$C28,'MAY25'!$F:$F),"")</f>
        <v>0</v>
      </c>
      <c r="K28" s="211">
        <f>IFERROR(SUMIF('JUN25'!$E:$E,CONCENTRADO!$C28,'JUN25'!$F:$F),"")</f>
        <v>0</v>
      </c>
      <c r="L28" s="211">
        <f>IFERROR(SUMIF('JUL25'!$E:$E,CONCENTRADO!$C28,'JUL25'!$F:$F),"")</f>
        <v>1052.69</v>
      </c>
      <c r="M28" s="211">
        <f>IFERROR(SUMIF('AGO25'!$E:$E,CONCENTRADO!$C28,'AGO25'!$F:$F),"")</f>
        <v>566.01</v>
      </c>
      <c r="N28" s="211">
        <f>IFERROR(SUMIF('SEP25'!$E:$E,CONCENTRADO!$C28,'SEP25'!$F:$F),"")</f>
        <v>55</v>
      </c>
      <c r="O28" s="211">
        <f>IFERROR(SUMIF('OCT25'!$E:$E,CONCENTRADO!$C28,'OCT25'!$F:$F),"")</f>
        <v>0</v>
      </c>
      <c r="P28" s="211">
        <f>IFERROR(SUMIF('NOV25'!$E:$E,CONCENTRADO!$C28,'NOV25'!$F:$F),"")</f>
        <v>230.5</v>
      </c>
      <c r="Q28" s="211">
        <f>IFERROR(SUMIF('DIC25'!$E:$E,CONCENTRADO!$C28,'DIC25'!$K:$K),"")</f>
        <v>0</v>
      </c>
      <c r="R28" s="212">
        <f t="shared" si="1"/>
        <v>1904.2</v>
      </c>
      <c r="S28" s="213">
        <f t="shared" si="2"/>
        <v>-1904.2</v>
      </c>
      <c r="T28" s="218"/>
    </row>
    <row r="29" spans="1:20" s="215" customFormat="1" ht="15.75" customHeight="1" x14ac:dyDescent="0.3">
      <c r="A29" s="252"/>
      <c r="B29" s="252"/>
      <c r="C29" s="220" t="s">
        <v>56</v>
      </c>
      <c r="D29" s="221" t="s">
        <v>193</v>
      </c>
      <c r="E29" s="210"/>
      <c r="F29" s="211">
        <f>IFERROR(SUMIF('ENE25'!E:E,CONCENTRADO!$C29,'ENE25'!F:F),"")</f>
        <v>279</v>
      </c>
      <c r="G29" s="211">
        <f>IFERROR(SUMIF('FEB25'!$E:$E,CONCENTRADO!$C29,'FEB25'!$F:$F),"")</f>
        <v>0</v>
      </c>
      <c r="H29" s="211">
        <f>IFERROR(SUMIF('MAR25'!$E:$E,CONCENTRADO!$C29,'MAR25'!$F:$F),"")</f>
        <v>0</v>
      </c>
      <c r="I29" s="211">
        <f>IFERROR(SUMIF('ABR25'!$E:$E,CONCENTRADO!$C29,'ABR25'!$F:$F),"")</f>
        <v>0</v>
      </c>
      <c r="J29" s="211">
        <f>IFERROR(SUMIF('MAY25'!$E:$E,CONCENTRADO!$C29,'MAY25'!$F:$F),"")</f>
        <v>1612.93</v>
      </c>
      <c r="K29" s="211">
        <f>IFERROR(SUMIF('JUN25'!$E:$E,CONCENTRADO!$C29,'JUN25'!$F:$F),"")</f>
        <v>16228.96</v>
      </c>
      <c r="L29" s="211">
        <f>IFERROR(SUMIF('JUL25'!$E:$E,CONCENTRADO!$C29,'JUL25'!$F:$F),"")</f>
        <v>0</v>
      </c>
      <c r="M29" s="211">
        <f>IFERROR(SUMIF('AGO25'!$E:$E,CONCENTRADO!$C29,'AGO25'!$F:$F),"")</f>
        <v>0</v>
      </c>
      <c r="N29" s="211">
        <f>IFERROR(SUMIF('SEP25'!$E:$E,CONCENTRADO!$C29,'SEP25'!$F:$F),"")</f>
        <v>0</v>
      </c>
      <c r="O29" s="211">
        <f>IFERROR(SUMIF('OCT25'!$E:$E,CONCENTRADO!$C29,'OCT25'!$F:$F),"")</f>
        <v>0</v>
      </c>
      <c r="P29" s="211">
        <f>IFERROR(SUMIF('NOV25'!$E:$E,CONCENTRADO!$C29,'NOV25'!$F:$F),"")</f>
        <v>0</v>
      </c>
      <c r="Q29" s="211">
        <f>IFERROR(SUMIF('DIC25'!$E:$E,CONCENTRADO!$C29,'DIC25'!$K:$K),"")</f>
        <v>0</v>
      </c>
      <c r="R29" s="212">
        <f t="shared" si="1"/>
        <v>16228.96</v>
      </c>
      <c r="S29" s="213">
        <f t="shared" si="2"/>
        <v>-16228.96</v>
      </c>
      <c r="T29" s="223"/>
    </row>
    <row r="30" spans="1:20" s="215" customFormat="1" ht="15.75" customHeight="1" x14ac:dyDescent="0.3">
      <c r="A30" s="252"/>
      <c r="B30" s="252"/>
      <c r="C30" s="220" t="s">
        <v>57</v>
      </c>
      <c r="D30" s="221" t="s">
        <v>194</v>
      </c>
      <c r="E30" s="210"/>
      <c r="F30" s="211">
        <f>IFERROR(SUMIF('ENE25'!E:E,CONCENTRADO!$C30,'ENE25'!F:F),"")</f>
        <v>0</v>
      </c>
      <c r="G30" s="211">
        <f>IFERROR(SUMIF('FEB25'!$E:$E,CONCENTRADO!$C30,'FEB25'!$F:$F),"")</f>
        <v>0</v>
      </c>
      <c r="H30" s="211">
        <f>IFERROR(SUMIF('MAR25'!$E:$E,CONCENTRADO!$C30,'MAR25'!$F:$F),"")</f>
        <v>0</v>
      </c>
      <c r="I30" s="211">
        <f>IFERROR(SUMIF('ABR25'!$E:$E,CONCENTRADO!$C30,'ABR25'!$F:$F),"")</f>
        <v>0</v>
      </c>
      <c r="J30" s="211">
        <f>IFERROR(SUMIF('MAY25'!$E:$E,CONCENTRADO!$C30,'MAY25'!$F:$F),"")</f>
        <v>0</v>
      </c>
      <c r="K30" s="211">
        <f>IFERROR(SUMIF('JUN25'!$E:$E,CONCENTRADO!$C30,'JUN25'!$F:$F),"")</f>
        <v>0</v>
      </c>
      <c r="L30" s="211">
        <f>IFERROR(SUMIF('JUL25'!$E:$E,CONCENTRADO!$C30,'JUL25'!$F:$F),"")</f>
        <v>0</v>
      </c>
      <c r="M30" s="211">
        <f>IFERROR(SUMIF('AGO25'!$E:$E,CONCENTRADO!$C30,'AGO25'!$F:$F),"")</f>
        <v>0</v>
      </c>
      <c r="N30" s="211">
        <f>IFERROR(SUMIF('SEP25'!$E:$E,CONCENTRADO!$C30,'SEP25'!$F:$F),"")</f>
        <v>0</v>
      </c>
      <c r="O30" s="211">
        <f>IFERROR(SUMIF('OCT25'!$E:$E,CONCENTRADO!$C30,'OCT25'!$F:$F),"")</f>
        <v>0</v>
      </c>
      <c r="P30" s="211">
        <f>IFERROR(SUMIF('NOV25'!$E:$E,CONCENTRADO!$C30,'NOV25'!$F:$F),"")</f>
        <v>0</v>
      </c>
      <c r="Q30" s="211">
        <f>IFERROR(SUMIF('DIC25'!$E:$E,CONCENTRADO!$C30,'DIC25'!$K:$K),"")</f>
        <v>0</v>
      </c>
      <c r="R30" s="212">
        <f t="shared" si="1"/>
        <v>0</v>
      </c>
      <c r="S30" s="213">
        <f t="shared" si="2"/>
        <v>0</v>
      </c>
      <c r="T30" s="223"/>
    </row>
    <row r="31" spans="1:20" s="215" customFormat="1" ht="15.75" customHeight="1" x14ac:dyDescent="0.3">
      <c r="A31" s="252"/>
      <c r="B31" s="252"/>
      <c r="C31" s="220" t="s">
        <v>164</v>
      </c>
      <c r="D31" s="221" t="s">
        <v>58</v>
      </c>
      <c r="E31" s="210"/>
      <c r="F31" s="211">
        <f>IFERROR(SUMIF('ENE25'!E:E,CONCENTRADO!$C31,'ENE25'!F:F),"")</f>
        <v>0</v>
      </c>
      <c r="G31" s="211">
        <f>IFERROR(SUMIF('FEB25'!$E:$E,CONCENTRADO!$C31,'FEB25'!$F:$F),"")</f>
        <v>0</v>
      </c>
      <c r="H31" s="211">
        <f>IFERROR(SUMIF('MAR25'!$E:$E,CONCENTRADO!$C31,'MAR25'!$F:$F),"")</f>
        <v>0</v>
      </c>
      <c r="I31" s="211">
        <f>IFERROR(SUMIF('ABR25'!$E:$E,CONCENTRADO!$C31,'ABR25'!$F:$F),"")</f>
        <v>0</v>
      </c>
      <c r="J31" s="211">
        <f>IFERROR(SUMIF('MAY25'!$E:$E,CONCENTRADO!$C31,'MAY25'!$F:$F),"")</f>
        <v>0</v>
      </c>
      <c r="K31" s="211">
        <f>IFERROR(SUMIF('JUN25'!$E:$E,CONCENTRADO!$C31,'JUN25'!$F:$F),"")</f>
        <v>0</v>
      </c>
      <c r="L31" s="211">
        <f>IFERROR(SUMIF('JUL25'!$E:$E,CONCENTRADO!$C31,'JUL25'!$F:$F),"")</f>
        <v>0</v>
      </c>
      <c r="M31" s="211">
        <f>IFERROR(SUMIF('AGO25'!$E:$E,CONCENTRADO!$C31,'AGO25'!$F:$F),"")</f>
        <v>0</v>
      </c>
      <c r="N31" s="211">
        <f>IFERROR(SUMIF('SEP25'!$E:$E,CONCENTRADO!$C31,'SEP25'!$F:$F),"")</f>
        <v>0</v>
      </c>
      <c r="O31" s="211">
        <f>IFERROR(SUMIF('OCT25'!$E:$E,CONCENTRADO!$C31,'OCT25'!$F:$F),"")</f>
        <v>0</v>
      </c>
      <c r="P31" s="211">
        <f>IFERROR(SUMIF('NOV25'!$E:$E,CONCENTRADO!$C31,'NOV25'!$F:$F),"")</f>
        <v>0</v>
      </c>
      <c r="Q31" s="211">
        <f>IFERROR(SUMIF('DIC25'!$E:$E,CONCENTRADO!$C31,'DIC25'!$K:$K),"")</f>
        <v>0</v>
      </c>
      <c r="R31" s="212">
        <f t="shared" si="1"/>
        <v>0</v>
      </c>
      <c r="S31" s="213">
        <f t="shared" si="2"/>
        <v>0</v>
      </c>
      <c r="T31" s="223"/>
    </row>
    <row r="32" spans="1:20" s="215" customFormat="1" ht="15.75" customHeight="1" x14ac:dyDescent="0.3">
      <c r="A32" s="252"/>
      <c r="B32" s="252"/>
      <c r="C32" s="220" t="s">
        <v>112</v>
      </c>
      <c r="D32" s="221" t="s">
        <v>59</v>
      </c>
      <c r="E32" s="210"/>
      <c r="F32" s="211">
        <f>IFERROR(SUMIF('ENE25'!E:E,CONCENTRADO!$C32,'ENE25'!F:F),"")</f>
        <v>73260.460000000006</v>
      </c>
      <c r="G32" s="211">
        <f>IFERROR(SUMIF('FEB25'!$E:$E,CONCENTRADO!$C32,'FEB25'!$F:$F),"")</f>
        <v>42000</v>
      </c>
      <c r="H32" s="211">
        <f>IFERROR(SUMIF('MAR25'!$E:$E,CONCENTRADO!$C32,'MAR25'!$F:$F),"")</f>
        <v>0</v>
      </c>
      <c r="I32" s="211">
        <f>IFERROR(SUMIF('ABR25'!$E:$E,CONCENTRADO!$C32,'ABR25'!$F:$F),"")</f>
        <v>400000</v>
      </c>
      <c r="J32" s="211">
        <f>IFERROR(SUMIF('MAY25'!$E:$E,CONCENTRADO!$C32,'MAY25'!$F:$F),"")</f>
        <v>0</v>
      </c>
      <c r="K32" s="211">
        <f>IFERROR(SUMIF('JUN25'!$E:$E,CONCENTRADO!$C32,'JUN25'!$F:$F),"")</f>
        <v>0</v>
      </c>
      <c r="L32" s="211">
        <f>IFERROR(SUMIF('JUL25'!$E:$E,CONCENTRADO!$C32,'JUL25'!$F:$F),"")</f>
        <v>0</v>
      </c>
      <c r="M32" s="211">
        <f>IFERROR(SUMIF('AGO25'!$E:$E,CONCENTRADO!$C32,'AGO25'!$F:$F),"")</f>
        <v>0</v>
      </c>
      <c r="N32" s="211">
        <f>IFERROR(SUMIF('SEP25'!$E:$E,CONCENTRADO!$C32,'SEP25'!$F:$F),"")</f>
        <v>0</v>
      </c>
      <c r="O32" s="211">
        <f>IFERROR(SUMIF('OCT25'!$E:$E,CONCENTRADO!$C32,'OCT25'!$F:$F),"")</f>
        <v>0</v>
      </c>
      <c r="P32" s="211">
        <f>IFERROR(SUMIF('NOV25'!$E:$E,CONCENTRADO!$C32,'NOV25'!$F:$F),"")</f>
        <v>210000</v>
      </c>
      <c r="Q32" s="211">
        <f>IFERROR(SUMIF('DIC25'!$E:$E,CONCENTRADO!$C32,'DIC25'!$K:$K),"")</f>
        <v>0</v>
      </c>
      <c r="R32" s="212">
        <f t="shared" si="1"/>
        <v>210000</v>
      </c>
      <c r="S32" s="213">
        <f t="shared" si="2"/>
        <v>-210000</v>
      </c>
      <c r="T32" s="223"/>
    </row>
    <row r="33" spans="1:20" s="215" customFormat="1" ht="15.75" customHeight="1" x14ac:dyDescent="0.3">
      <c r="A33" s="252"/>
      <c r="B33" s="252"/>
      <c r="C33" s="220" t="s">
        <v>131</v>
      </c>
      <c r="D33" s="221" t="s">
        <v>195</v>
      </c>
      <c r="E33" s="210"/>
      <c r="F33" s="211">
        <f>IFERROR(SUMIF('ENE25'!E:E,CONCENTRADO!$C33,'ENE25'!F:F),"")</f>
        <v>0</v>
      </c>
      <c r="G33" s="211">
        <f>IFERROR(SUMIF('FEB25'!$E:$E,CONCENTRADO!$C33,'FEB25'!$F:$F),"")</f>
        <v>0</v>
      </c>
      <c r="H33" s="211">
        <f>IFERROR(SUMIF('MAR25'!$E:$E,CONCENTRADO!$C33,'MAR25'!$F:$F),"")</f>
        <v>44555.010000000009</v>
      </c>
      <c r="I33" s="211">
        <f>IFERROR(SUMIF('ABR25'!$E:$E,CONCENTRADO!$C33,'ABR25'!$F:$F),"")</f>
        <v>11172.34</v>
      </c>
      <c r="J33" s="211">
        <f>IFERROR(SUMIF('MAY25'!$E:$E,CONCENTRADO!$C33,'MAY25'!$F:$F),"")</f>
        <v>21934.28</v>
      </c>
      <c r="K33" s="211">
        <f>IFERROR(SUMIF('JUN25'!$E:$E,CONCENTRADO!$C33,'JUN25'!$F:$F),"")</f>
        <v>0</v>
      </c>
      <c r="L33" s="211">
        <f>IFERROR(SUMIF('JUL25'!$E:$E,CONCENTRADO!$C33,'JUL25'!$F:$F),"")</f>
        <v>23275.4</v>
      </c>
      <c r="M33" s="211">
        <f>IFERROR(SUMIF('AGO25'!$E:$E,CONCENTRADO!$C33,'AGO25'!$F:$F),"")</f>
        <v>63777.869999999995</v>
      </c>
      <c r="N33" s="211">
        <f>IFERROR(SUMIF('SEP25'!$E:$E,CONCENTRADO!$C33,'SEP25'!$F:$F),"")</f>
        <v>8923.9</v>
      </c>
      <c r="O33" s="211">
        <f>IFERROR(SUMIF('OCT25'!$E:$E,CONCENTRADO!$C33,'OCT25'!$F:$F),"")</f>
        <v>29832.010000000002</v>
      </c>
      <c r="P33" s="211">
        <f>IFERROR(SUMIF('NOV25'!$E:$E,CONCENTRADO!$C33,'NOV25'!$F:$F),"")</f>
        <v>0</v>
      </c>
      <c r="Q33" s="211">
        <f>IFERROR(SUMIF('DIC25'!$E:$E,CONCENTRADO!$C33,'DIC25'!$K:$K),"")</f>
        <v>0</v>
      </c>
      <c r="R33" s="212">
        <f t="shared" si="1"/>
        <v>125809.18</v>
      </c>
      <c r="S33" s="213">
        <f t="shared" si="2"/>
        <v>-125809.18</v>
      </c>
      <c r="T33" s="223"/>
    </row>
    <row r="34" spans="1:20" s="215" customFormat="1" ht="15.75" customHeight="1" x14ac:dyDescent="0.3">
      <c r="A34" s="252"/>
      <c r="B34" s="252"/>
      <c r="C34" s="220"/>
      <c r="D34" s="221"/>
      <c r="E34" s="210"/>
      <c r="F34" s="211">
        <f>IFERROR(SUMIF('ENE25'!E:E,CONCENTRADO!$C34,'ENE25'!F:F),"")</f>
        <v>0</v>
      </c>
      <c r="G34" s="211">
        <f>IFERROR(SUMIF('FEB25'!$E:$E,CONCENTRADO!$C34,'FEB25'!$F:$F),"")</f>
        <v>0</v>
      </c>
      <c r="H34" s="211">
        <f>IFERROR(SUMIF('MAR25'!$E:$E,CONCENTRADO!$C34,'MAR25'!$F:$F),"")</f>
        <v>0</v>
      </c>
      <c r="I34" s="211">
        <f>IFERROR(SUMIF('ABR25'!$E:$E,CONCENTRADO!$C34,'ABR25'!$F:$F),"")</f>
        <v>0</v>
      </c>
      <c r="J34" s="211">
        <f>IFERROR(SUMIF('MAY25'!$E:$E,CONCENTRADO!$C34,'MAY25'!$F:$F),"")</f>
        <v>0</v>
      </c>
      <c r="K34" s="211">
        <f>IFERROR(SUMIF('JUN25'!$E:$E,CONCENTRADO!$C34,'JUN25'!$F:$F),"")</f>
        <v>0</v>
      </c>
      <c r="L34" s="211">
        <f>IFERROR(SUMIF('JUL25'!$E:$E,CONCENTRADO!$C34,'JUL25'!$F:$F),"")</f>
        <v>0</v>
      </c>
      <c r="M34" s="211">
        <f>IFERROR(SUMIF('AGO25'!$E:$E,CONCENTRADO!$C34,'AGO25'!$F:$F),"")</f>
        <v>0</v>
      </c>
      <c r="N34" s="211">
        <f>IFERROR(SUMIF('SEP25'!$E:$E,CONCENTRADO!$C34,'SEP25'!$F:$F),"")</f>
        <v>0</v>
      </c>
      <c r="O34" s="211">
        <f>IFERROR(SUMIF('OCT25'!$E:$E,CONCENTRADO!$C34,'OCT25'!$F:$F),"")</f>
        <v>0</v>
      </c>
      <c r="P34" s="211">
        <f>IFERROR(SUMIF('NOV25'!$E:$E,CONCENTRADO!$C34,'NOV25'!$F:$F),"")</f>
        <v>0</v>
      </c>
      <c r="Q34" s="211">
        <f>IFERROR(SUMIF('DIC25'!$E:$E,CONCENTRADO!$C34,'DIC25'!$K:$K),"")</f>
        <v>0</v>
      </c>
      <c r="R34" s="212">
        <f t="shared" si="1"/>
        <v>0</v>
      </c>
      <c r="S34" s="213">
        <f t="shared" si="2"/>
        <v>0</v>
      </c>
      <c r="T34" s="223"/>
    </row>
    <row r="35" spans="1:20" s="215" customFormat="1" ht="15.75" customHeight="1" x14ac:dyDescent="0.3">
      <c r="A35" s="252"/>
      <c r="B35" s="252"/>
      <c r="C35" s="220"/>
      <c r="D35" s="221"/>
      <c r="E35" s="210"/>
      <c r="F35" s="211">
        <f>IFERROR(SUMIF('ENE25'!E:E,CONCENTRADO!$C35,'ENE25'!F:F),"")</f>
        <v>0</v>
      </c>
      <c r="G35" s="211">
        <f>IFERROR(SUMIF('FEB25'!$E:$E,CONCENTRADO!$C35,'FEB25'!$F:$F),"")</f>
        <v>0</v>
      </c>
      <c r="H35" s="211">
        <f>IFERROR(SUMIF('MAR25'!$E:$E,CONCENTRADO!$C35,'MAR25'!$F:$F),"")</f>
        <v>0</v>
      </c>
      <c r="I35" s="211">
        <f>IFERROR(SUMIF('ABR25'!$E:$E,CONCENTRADO!$C35,'ABR25'!$F:$F),"")</f>
        <v>0</v>
      </c>
      <c r="J35" s="211">
        <f>IFERROR(SUMIF('MAY25'!$E:$E,CONCENTRADO!$C35,'MAY25'!$F:$F),"")</f>
        <v>0</v>
      </c>
      <c r="K35" s="211">
        <f>IFERROR(SUMIF('JUN25'!$E:$E,CONCENTRADO!$C35,'JUN25'!$F:$F),"")</f>
        <v>0</v>
      </c>
      <c r="L35" s="211">
        <f>IFERROR(SUMIF('JUL25'!$E:$E,CONCENTRADO!$C35,'JUL25'!$F:$F),"")</f>
        <v>0</v>
      </c>
      <c r="M35" s="211">
        <f>IFERROR(SUMIF('AGO25'!$E:$E,CONCENTRADO!$C35,'AGO25'!$F:$F),"")</f>
        <v>0</v>
      </c>
      <c r="N35" s="211">
        <f>IFERROR(SUMIF('SEP25'!$E:$E,CONCENTRADO!$C35,'SEP25'!$F:$F),"")</f>
        <v>0</v>
      </c>
      <c r="O35" s="211">
        <f>IFERROR(SUMIF('OCT25'!$E:$E,CONCENTRADO!$C35,'OCT25'!$F:$F),"")</f>
        <v>0</v>
      </c>
      <c r="P35" s="211">
        <f>IFERROR(SUMIF('NOV25'!$E:$E,CONCENTRADO!$C35,'NOV25'!$F:$F),"")</f>
        <v>0</v>
      </c>
      <c r="Q35" s="211">
        <f>IFERROR(SUMIF('DIC25'!$E:$E,CONCENTRADO!$C35,'DIC25'!$K:$K),"")</f>
        <v>0</v>
      </c>
      <c r="R35" s="212">
        <f t="shared" si="1"/>
        <v>0</v>
      </c>
      <c r="S35" s="213">
        <f t="shared" si="2"/>
        <v>0</v>
      </c>
      <c r="T35" s="223"/>
    </row>
    <row r="36" spans="1:20" s="215" customFormat="1" ht="15.75" customHeight="1" x14ac:dyDescent="0.3">
      <c r="A36" s="253"/>
      <c r="B36" s="253"/>
      <c r="C36" s="220"/>
      <c r="D36" s="221"/>
      <c r="E36" s="210"/>
      <c r="F36" s="211">
        <f>IFERROR(SUMIF('ENE25'!E:E,CONCENTRADO!$C36,'ENE25'!F:F),"")</f>
        <v>0</v>
      </c>
      <c r="G36" s="211">
        <f>IFERROR(SUMIF('FEB25'!$E:$E,CONCENTRADO!$C36,'FEB25'!$F:$F),"")</f>
        <v>0</v>
      </c>
      <c r="H36" s="211">
        <f>IFERROR(SUMIF('MAR25'!$E:$E,CONCENTRADO!$C36,'MAR25'!$F:$F),"")</f>
        <v>0</v>
      </c>
      <c r="I36" s="211">
        <f>IFERROR(SUMIF('ABR25'!$E:$E,CONCENTRADO!$C36,'ABR25'!$F:$F),"")</f>
        <v>0</v>
      </c>
      <c r="J36" s="211">
        <f>IFERROR(SUMIF('MAY25'!$E:$E,CONCENTRADO!$C36,'MAY25'!$F:$F),"")</f>
        <v>0</v>
      </c>
      <c r="K36" s="211">
        <f>IFERROR(SUMIF('JUN25'!$E:$E,CONCENTRADO!$C36,'JUN25'!$F:$F),"")</f>
        <v>0</v>
      </c>
      <c r="L36" s="211">
        <f>IFERROR(SUMIF('JUL25'!$E:$E,CONCENTRADO!$C36,'JUL25'!$F:$F),"")</f>
        <v>0</v>
      </c>
      <c r="M36" s="211">
        <f>IFERROR(SUMIF('AGO25'!$E:$E,CONCENTRADO!$C36,'AGO25'!$F:$F),"")</f>
        <v>0</v>
      </c>
      <c r="N36" s="211">
        <f>IFERROR(SUMIF('SEP25'!$E:$E,CONCENTRADO!$C36,'SEP25'!$F:$F),"")</f>
        <v>0</v>
      </c>
      <c r="O36" s="211">
        <f>IFERROR(SUMIF('OCT25'!$E:$E,CONCENTRADO!$C36,'OCT25'!$F:$F),"")</f>
        <v>0</v>
      </c>
      <c r="P36" s="211">
        <f>IFERROR(SUMIF('NOV25'!$E:$E,CONCENTRADO!$C36,'NOV25'!$F:$F),"")</f>
        <v>0</v>
      </c>
      <c r="Q36" s="211">
        <f>IFERROR(SUMIF('DIC25'!$E:$E,CONCENTRADO!$C36,'DIC25'!$K:$K),"")</f>
        <v>0</v>
      </c>
      <c r="R36" s="212">
        <f t="shared" si="1"/>
        <v>0</v>
      </c>
      <c r="S36" s="213">
        <f t="shared" si="2"/>
        <v>0</v>
      </c>
      <c r="T36" s="223"/>
    </row>
    <row r="37" spans="1:20" s="215" customFormat="1" ht="15.75" customHeight="1" x14ac:dyDescent="0.3">
      <c r="A37" s="248" t="s">
        <v>60</v>
      </c>
      <c r="B37" s="245" t="s">
        <v>61</v>
      </c>
      <c r="C37" s="220" t="s">
        <v>62</v>
      </c>
      <c r="D37" s="221" t="s">
        <v>63</v>
      </c>
      <c r="E37" s="210"/>
      <c r="F37" s="211">
        <f>IFERROR(SUMIF('ENE25'!E:E,CONCENTRADO!$C37,'ENE25'!F:F),"")</f>
        <v>192755.6</v>
      </c>
      <c r="G37" s="211">
        <f>IFERROR(SUMIF('FEB25'!$E:$E,CONCENTRADO!$C37,'FEB25'!$F:$F),"")</f>
        <v>201664.37999999998</v>
      </c>
      <c r="H37" s="211">
        <f>IFERROR(SUMIF('MAR25'!$E:$E,CONCENTRADO!$C37,'MAR25'!$F:$F),"")</f>
        <v>444516.62999999989</v>
      </c>
      <c r="I37" s="211">
        <f>IFERROR(SUMIF('ABR25'!$E:$E,CONCENTRADO!$C37,'ABR25'!$F:$F),"")</f>
        <v>531090.21999999986</v>
      </c>
      <c r="J37" s="211">
        <f>IFERROR(SUMIF('MAY25'!$E:$E,CONCENTRADO!$C37,'MAY25'!$F:$F),"")</f>
        <v>550916.40000000014</v>
      </c>
      <c r="K37" s="211">
        <f>IFERROR(SUMIF('JUN25'!$E:$E,CONCENTRADO!$C37,'JUN25'!$F:$F),"")</f>
        <v>402093.46999999991</v>
      </c>
      <c r="L37" s="211">
        <f>IFERROR(SUMIF('JUL25'!$E:$E,CONCENTRADO!$C37,'JUL25'!$F:$F),"")</f>
        <v>682867.57000000018</v>
      </c>
      <c r="M37" s="211">
        <f>IFERROR(SUMIF('AGO25'!$E:$E,CONCENTRADO!$C37,'AGO25'!$F:$F),"")</f>
        <v>410964.49</v>
      </c>
      <c r="N37" s="211">
        <f>IFERROR(SUMIF('SEP25'!$E:$E,CONCENTRADO!$C37,'SEP25'!$F:$F),"")</f>
        <v>572793.69999999995</v>
      </c>
      <c r="O37" s="211">
        <f>IFERROR(SUMIF('OCT25'!$E:$E,CONCENTRADO!$C37,'OCT25'!$F:$F),"")</f>
        <v>1232287.26</v>
      </c>
      <c r="P37" s="211">
        <f>IFERROR(SUMIF('NOV25'!$E:$E,CONCENTRADO!$C37,'NOV25'!$F:$F),"")</f>
        <v>216526.53999999998</v>
      </c>
      <c r="Q37" s="211">
        <f>IFERROR(SUMIF('DIC25'!$E:$E,CONCENTRADO!$C37,'DIC25'!$K:$K),"")</f>
        <v>0</v>
      </c>
      <c r="R37" s="212">
        <f t="shared" si="1"/>
        <v>3517533.0300000003</v>
      </c>
      <c r="S37" s="213">
        <f t="shared" si="2"/>
        <v>-3517533.0300000003</v>
      </c>
      <c r="T37" s="223"/>
    </row>
    <row r="38" spans="1:20" s="215" customFormat="1" ht="15.75" customHeight="1" x14ac:dyDescent="0.3">
      <c r="A38" s="249"/>
      <c r="B38" s="246"/>
      <c r="C38" s="220" t="s">
        <v>64</v>
      </c>
      <c r="D38" s="221" t="s">
        <v>65</v>
      </c>
      <c r="E38" s="210"/>
      <c r="F38" s="211">
        <f>IFERROR(SUMIF('ENE25'!E:E,CONCENTRADO!$C38,'ENE25'!F:F),"")</f>
        <v>223935.97</v>
      </c>
      <c r="G38" s="211">
        <f>IFERROR(SUMIF('FEB25'!$E:$E,CONCENTRADO!$C38,'FEB25'!$F:$F),"")</f>
        <v>15934.35</v>
      </c>
      <c r="H38" s="211">
        <f>IFERROR(SUMIF('MAR25'!$E:$E,CONCENTRADO!$C38,'MAR25'!$F:$F),"")</f>
        <v>644.03</v>
      </c>
      <c r="I38" s="211">
        <f>IFERROR(SUMIF('ABR25'!$E:$E,CONCENTRADO!$C38,'ABR25'!$F:$F),"")</f>
        <v>7300</v>
      </c>
      <c r="J38" s="211">
        <f>IFERROR(SUMIF('MAY25'!$E:$E,CONCENTRADO!$C38,'MAY25'!$F:$F),"")</f>
        <v>0</v>
      </c>
      <c r="K38" s="211">
        <f>IFERROR(SUMIF('JUN25'!$E:$E,CONCENTRADO!$C38,'JUN25'!$F:$F),"")</f>
        <v>0</v>
      </c>
      <c r="L38" s="211">
        <f>IFERROR(SUMIF('JUL25'!$E:$E,CONCENTRADO!$C38,'JUL25'!$F:$F),"")</f>
        <v>0</v>
      </c>
      <c r="M38" s="211">
        <f>IFERROR(SUMIF('AGO25'!$E:$E,CONCENTRADO!$C38,'AGO25'!$F:$F),"")</f>
        <v>0</v>
      </c>
      <c r="N38" s="211">
        <f>IFERROR(SUMIF('SEP25'!$E:$E,CONCENTRADO!$C38,'SEP25'!$F:$F),"")</f>
        <v>0</v>
      </c>
      <c r="O38" s="211">
        <f>IFERROR(SUMIF('OCT25'!$E:$E,CONCENTRADO!$C38,'OCT25'!$F:$F),"")</f>
        <v>0</v>
      </c>
      <c r="P38" s="211">
        <f>IFERROR(SUMIF('NOV25'!$E:$E,CONCENTRADO!$C38,'NOV25'!$F:$F),"")</f>
        <v>0</v>
      </c>
      <c r="Q38" s="211">
        <f>IFERROR(SUMIF('DIC25'!$E:$E,CONCENTRADO!$C38,'DIC25'!$K:$K),"")</f>
        <v>0</v>
      </c>
      <c r="R38" s="212">
        <f t="shared" si="1"/>
        <v>0</v>
      </c>
      <c r="S38" s="213">
        <f t="shared" si="2"/>
        <v>0</v>
      </c>
      <c r="T38" s="223"/>
    </row>
    <row r="39" spans="1:20" s="215" customFormat="1" ht="15.75" customHeight="1" x14ac:dyDescent="0.3">
      <c r="A39" s="250"/>
      <c r="B39" s="247"/>
      <c r="C39" s="224"/>
      <c r="E39" s="210"/>
      <c r="F39" s="211">
        <f>IFERROR(SUMIF('ENE25'!E:E,CONCENTRADO!$C39,'ENE25'!F:F),"")</f>
        <v>0</v>
      </c>
      <c r="G39" s="211">
        <f>IFERROR(SUMIF('FEB25'!$E:$E,CONCENTRADO!$C39,'FEB25'!$F:$F),"")</f>
        <v>0</v>
      </c>
      <c r="H39" s="211">
        <f>IFERROR(SUMIF('MAR25'!$E:$E,CONCENTRADO!$C39,'MAR25'!$F:$F),"")</f>
        <v>0</v>
      </c>
      <c r="I39" s="211">
        <f>IFERROR(SUMIF('ABR25'!$E:$E,CONCENTRADO!$C39,'ABR25'!$F:$F),"")</f>
        <v>0</v>
      </c>
      <c r="J39" s="211">
        <f>IFERROR(SUMIF('MAY25'!$E:$E,CONCENTRADO!$C39,'MAY25'!$F:$F),"")</f>
        <v>0</v>
      </c>
      <c r="K39" s="211">
        <f>IFERROR(SUMIF('JUN25'!$E:$E,CONCENTRADO!$C39,'JUN25'!$F:$F),"")</f>
        <v>0</v>
      </c>
      <c r="L39" s="211">
        <f>IFERROR(SUMIF('JUL25'!$E:$E,CONCENTRADO!$C39,'JUL25'!$F:$F),"")</f>
        <v>0</v>
      </c>
      <c r="M39" s="211">
        <f>IFERROR(SUMIF('AGO25'!$E:$E,CONCENTRADO!$C39,'AGO25'!$F:$F),"")</f>
        <v>0</v>
      </c>
      <c r="N39" s="211">
        <f>IFERROR(SUMIF('SEP25'!$E:$E,CONCENTRADO!$C39,'SEP25'!$F:$F),"")</f>
        <v>0</v>
      </c>
      <c r="O39" s="211">
        <f>IFERROR(SUMIF('OCT25'!$E:$E,CONCENTRADO!$C39,'OCT25'!$F:$F),"")</f>
        <v>0</v>
      </c>
      <c r="P39" s="211">
        <f>IFERROR(SUMIF('NOV25'!$E:$E,CONCENTRADO!$C39,'NOV25'!$F:$F),"")</f>
        <v>0</v>
      </c>
      <c r="Q39" s="211">
        <f>IFERROR(SUMIF('DIC25'!$E:$E,CONCENTRADO!$C39,'DIC25'!$K:$K),"")</f>
        <v>0</v>
      </c>
      <c r="R39" s="212">
        <f t="shared" si="1"/>
        <v>0</v>
      </c>
      <c r="S39" s="213">
        <f t="shared" si="2"/>
        <v>0</v>
      </c>
      <c r="T39" s="223"/>
    </row>
    <row r="40" spans="1:20" s="215" customFormat="1" ht="15.75" customHeight="1" x14ac:dyDescent="0.3">
      <c r="A40" s="248" t="s">
        <v>66</v>
      </c>
      <c r="B40" s="245"/>
      <c r="C40" s="220" t="s">
        <v>66</v>
      </c>
      <c r="D40" s="221" t="s">
        <v>197</v>
      </c>
      <c r="E40" s="210"/>
      <c r="F40" s="211">
        <f>IFERROR(SUMIF('ENE25'!E:E,CONCENTRADO!$C40,'ENE25'!F:F),"")</f>
        <v>0</v>
      </c>
      <c r="G40" s="211">
        <f>IFERROR(SUMIF('FEB25'!$E:$E,CONCENTRADO!$C40,'FEB25'!$F:$F),"")</f>
        <v>0</v>
      </c>
      <c r="H40" s="211">
        <f>IFERROR(SUMIF('MAR25'!$E:$E,CONCENTRADO!$C40,'MAR25'!$F:$F),"")</f>
        <v>0</v>
      </c>
      <c r="I40" s="211">
        <f>IFERROR(SUMIF('ABR25'!$E:$E,CONCENTRADO!$C40,'ABR25'!$F:$F),"")</f>
        <v>0</v>
      </c>
      <c r="J40" s="211">
        <f>IFERROR(SUMIF('MAY25'!$E:$E,CONCENTRADO!$C40,'MAY25'!$F:$F),"")</f>
        <v>343371.88</v>
      </c>
      <c r="K40" s="211">
        <f>IFERROR(SUMIF('JUN25'!$E:$E,CONCENTRADO!$C40,'JUN25'!$F:$F),"")</f>
        <v>457881.57999999996</v>
      </c>
      <c r="L40" s="211">
        <f>IFERROR(SUMIF('JUL25'!$E:$E,CONCENTRADO!$C40,'JUL25'!$F:$F),"")</f>
        <v>1472806.0900000003</v>
      </c>
      <c r="M40" s="211">
        <f>IFERROR(SUMIF('AGO25'!$E:$E,CONCENTRADO!$C40,'AGO25'!$F:$F),"")</f>
        <v>393518.17</v>
      </c>
      <c r="N40" s="211">
        <f>IFERROR(SUMIF('SEP25'!$E:$E,CONCENTRADO!$C40,'SEP25'!$F:$F),"")</f>
        <v>0</v>
      </c>
      <c r="O40" s="211">
        <f>IFERROR(SUMIF('OCT25'!$E:$E,CONCENTRADO!$C40,'OCT25'!$F:$F),"")</f>
        <v>0</v>
      </c>
      <c r="P40" s="211">
        <f>IFERROR(SUMIF('NOV25'!$E:$E,CONCENTRADO!$C40,'NOV25'!$F:$F),"")</f>
        <v>0</v>
      </c>
      <c r="Q40" s="211">
        <f>IFERROR(SUMIF('DIC25'!$E:$E,CONCENTRADO!$C40,'DIC25'!$K:$K),"")</f>
        <v>0</v>
      </c>
      <c r="R40" s="212">
        <f t="shared" si="1"/>
        <v>2324205.8400000003</v>
      </c>
      <c r="S40" s="213">
        <f t="shared" si="2"/>
        <v>-2324205.8400000003</v>
      </c>
      <c r="T40" s="223"/>
    </row>
    <row r="41" spans="1:20" s="215" customFormat="1" ht="15.75" customHeight="1" x14ac:dyDescent="0.3">
      <c r="A41" s="250"/>
      <c r="B41" s="247"/>
      <c r="C41" s="220"/>
      <c r="D41" s="221"/>
      <c r="E41" s="210"/>
      <c r="F41" s="211">
        <f>IFERROR(SUMIF('ENE25'!E:E,CONCENTRADO!$C41,'ENE25'!F:F),"")</f>
        <v>0</v>
      </c>
      <c r="G41" s="211">
        <f>IFERROR(SUMIF('FEB25'!$E:$E,CONCENTRADO!$C41,'FEB25'!$F:$F),"")</f>
        <v>0</v>
      </c>
      <c r="H41" s="211">
        <f>IFERROR(SUMIF('MAR25'!$E:$E,CONCENTRADO!$C41,'MAR25'!$F:$F),"")</f>
        <v>0</v>
      </c>
      <c r="I41" s="211">
        <f>IFERROR(SUMIF('ABR25'!$E:$E,CONCENTRADO!$C41,'ABR25'!$F:$F),"")</f>
        <v>0</v>
      </c>
      <c r="J41" s="211">
        <f>IFERROR(SUMIF('MAY25'!$E:$E,CONCENTRADO!$C41,'MAY25'!$F:$F),"")</f>
        <v>0</v>
      </c>
      <c r="K41" s="211">
        <f>IFERROR(SUMIF('JUN25'!$E:$E,CONCENTRADO!$C41,'JUN25'!$F:$F),"")</f>
        <v>0</v>
      </c>
      <c r="L41" s="211">
        <f>IFERROR(SUMIF('JUL25'!$E:$E,CONCENTRADO!$C41,'JUL25'!$F:$F),"")</f>
        <v>0</v>
      </c>
      <c r="M41" s="211">
        <f>IFERROR(SUMIF('AGO25'!$E:$E,CONCENTRADO!$C41,'AGO25'!$F:$F),"")</f>
        <v>0</v>
      </c>
      <c r="N41" s="211">
        <f>IFERROR(SUMIF('SEP25'!$E:$E,CONCENTRADO!$C41,'SEP25'!$F:$F),"")</f>
        <v>0</v>
      </c>
      <c r="O41" s="211">
        <f>IFERROR(SUMIF('OCT25'!$E:$E,CONCENTRADO!$C41,'OCT25'!$F:$F),"")</f>
        <v>0</v>
      </c>
      <c r="P41" s="211">
        <f>IFERROR(SUMIF('NOV25'!$E:$E,CONCENTRADO!$C41,'NOV25'!$F:$F),"")</f>
        <v>0</v>
      </c>
      <c r="Q41" s="211">
        <f>IFERROR(SUMIF('DIC25'!$E:$E,CONCENTRADO!$C41,'DIC25'!$K:$K),"")</f>
        <v>0</v>
      </c>
      <c r="R41" s="212">
        <f t="shared" si="1"/>
        <v>0</v>
      </c>
      <c r="S41" s="213">
        <f t="shared" si="2"/>
        <v>0</v>
      </c>
      <c r="T41" s="223"/>
    </row>
    <row r="42" spans="1:20" s="215" customFormat="1" ht="15.75" customHeight="1" x14ac:dyDescent="0.3">
      <c r="A42" s="245" t="s">
        <v>67</v>
      </c>
      <c r="B42" s="245" t="s">
        <v>68</v>
      </c>
      <c r="C42" s="220" t="s">
        <v>69</v>
      </c>
      <c r="D42" s="221" t="s">
        <v>213</v>
      </c>
      <c r="E42" s="210"/>
      <c r="F42" s="211">
        <f>IFERROR(SUMIF('ENE25'!E:E,CONCENTRADO!$C42,'ENE25'!F:F),"")</f>
        <v>20298.27</v>
      </c>
      <c r="G42" s="211">
        <f>IFERROR(SUMIF('FEB25'!$E:$E,CONCENTRADO!$C42,'FEB25'!$F:$F),"")</f>
        <v>14880</v>
      </c>
      <c r="H42" s="211">
        <f>IFERROR(SUMIF('MAR25'!$E:$E,CONCENTRADO!$C42,'MAR25'!$F:$F),"")</f>
        <v>85013.999999999985</v>
      </c>
      <c r="I42" s="211">
        <f>IFERROR(SUMIF('ABR25'!$E:$E,CONCENTRADO!$C42,'ABR25'!$F:$F),"")</f>
        <v>66405.55</v>
      </c>
      <c r="J42" s="211">
        <f>IFERROR(SUMIF('MAY25'!$E:$E,CONCENTRADO!$C42,'MAY25'!$F:$F),"")</f>
        <v>80246.790000000008</v>
      </c>
      <c r="K42" s="211">
        <f>IFERROR(SUMIF('JUN25'!$E:$E,CONCENTRADO!$C42,'JUN25'!$F:$F),"")</f>
        <v>107430.51</v>
      </c>
      <c r="L42" s="211">
        <f>IFERROR(SUMIF('JUL25'!$E:$E,CONCENTRADO!$C42,'JUL25'!$F:$F),"")</f>
        <v>85178.84</v>
      </c>
      <c r="M42" s="211">
        <f>IFERROR(SUMIF('AGO25'!$E:$E,CONCENTRADO!$C42,'AGO25'!$F:$F),"")</f>
        <v>97790.030000000013</v>
      </c>
      <c r="N42" s="211">
        <f>IFERROR(SUMIF('SEP25'!$E:$E,CONCENTRADO!$C42,'SEP25'!$F:$F),"")</f>
        <v>43361.65</v>
      </c>
      <c r="O42" s="211">
        <f>IFERROR(SUMIF('OCT25'!$E:$E,CONCENTRADO!$C42,'OCT25'!$F:$F),"")</f>
        <v>21876.1</v>
      </c>
      <c r="P42" s="211">
        <f>IFERROR(SUMIF('NOV25'!$E:$E,CONCENTRADO!$C42,'NOV25'!$F:$F),"")</f>
        <v>12887</v>
      </c>
      <c r="Q42" s="211">
        <f>IFERROR(SUMIF('DIC25'!$E:$E,CONCENTRADO!$C42,'DIC25'!$K:$K),"")</f>
        <v>0</v>
      </c>
      <c r="R42" s="212">
        <f t="shared" si="1"/>
        <v>368524.13</v>
      </c>
      <c r="S42" s="213">
        <f t="shared" si="2"/>
        <v>-368524.13</v>
      </c>
      <c r="T42" s="223"/>
    </row>
    <row r="43" spans="1:20" s="215" customFormat="1" ht="15.75" customHeight="1" x14ac:dyDescent="0.3">
      <c r="A43" s="246"/>
      <c r="B43" s="246"/>
      <c r="C43" s="220" t="s">
        <v>70</v>
      </c>
      <c r="D43" s="221" t="s">
        <v>214</v>
      </c>
      <c r="E43" s="210"/>
      <c r="F43" s="211">
        <f>IFERROR(SUMIF('ENE25'!E:E,CONCENTRADO!$C43,'ENE25'!F:F),"")</f>
        <v>33143</v>
      </c>
      <c r="G43" s="211">
        <f>IFERROR(SUMIF('FEB25'!$E:$E,CONCENTRADO!$C43,'FEB25'!$F:$F),"")</f>
        <v>1211</v>
      </c>
      <c r="H43" s="211">
        <f>IFERROR(SUMIF('MAR25'!$E:$E,CONCENTRADO!$C43,'MAR25'!$F:$F),"")</f>
        <v>400</v>
      </c>
      <c r="I43" s="211">
        <f>IFERROR(SUMIF('ABR25'!$E:$E,CONCENTRADO!$C43,'ABR25'!$F:$F),"")</f>
        <v>1650</v>
      </c>
      <c r="J43" s="211">
        <f>IFERROR(SUMIF('MAY25'!$E:$E,CONCENTRADO!$C43,'MAY25'!$F:$F),"")</f>
        <v>2000</v>
      </c>
      <c r="K43" s="211">
        <f>IFERROR(SUMIF('JUN25'!$E:$E,CONCENTRADO!$C43,'JUN25'!$F:$F),"")</f>
        <v>13034</v>
      </c>
      <c r="L43" s="211">
        <f>IFERROR(SUMIF('JUL25'!$E:$E,CONCENTRADO!$C43,'JUL25'!$F:$F),"")</f>
        <v>3045</v>
      </c>
      <c r="M43" s="211">
        <f>IFERROR(SUMIF('AGO25'!$E:$E,CONCENTRADO!$C43,'AGO25'!$F:$F),"")</f>
        <v>1559.15</v>
      </c>
      <c r="N43" s="211">
        <f>IFERROR(SUMIF('SEP25'!$E:$E,CONCENTRADO!$C43,'SEP25'!$F:$F),"")</f>
        <v>0</v>
      </c>
      <c r="O43" s="211">
        <f>IFERROR(SUMIF('OCT25'!$E:$E,CONCENTRADO!$C43,'OCT25'!$F:$F),"")</f>
        <v>0</v>
      </c>
      <c r="P43" s="211">
        <f>IFERROR(SUMIF('NOV25'!$E:$E,CONCENTRADO!$C43,'NOV25'!$F:$F),"")</f>
        <v>0</v>
      </c>
      <c r="Q43" s="211">
        <f>IFERROR(SUMIF('DIC25'!$E:$E,CONCENTRADO!$C43,'DIC25'!$K:$K),"")</f>
        <v>0</v>
      </c>
      <c r="R43" s="212">
        <f t="shared" si="1"/>
        <v>17638.150000000001</v>
      </c>
      <c r="S43" s="213">
        <f t="shared" si="2"/>
        <v>-17638.150000000001</v>
      </c>
      <c r="T43" s="223"/>
    </row>
    <row r="44" spans="1:20" s="215" customFormat="1" ht="15.75" customHeight="1" x14ac:dyDescent="0.3">
      <c r="A44" s="246"/>
      <c r="B44" s="246"/>
      <c r="C44" s="220" t="s">
        <v>71</v>
      </c>
      <c r="D44" s="221" t="s">
        <v>215</v>
      </c>
      <c r="E44" s="210"/>
      <c r="F44" s="211">
        <f>IFERROR(SUMIF('ENE25'!E:E,CONCENTRADO!$C44,'ENE25'!F:F),"")</f>
        <v>89234.25</v>
      </c>
      <c r="G44" s="211">
        <f>IFERROR(SUMIF('FEB25'!$E:$E,CONCENTRADO!$C44,'FEB25'!$F:$F),"")</f>
        <v>900</v>
      </c>
      <c r="H44" s="211">
        <f>IFERROR(SUMIF('MAR25'!$E:$E,CONCENTRADO!$C44,'MAR25'!$F:$F),"")</f>
        <v>69037.899999999994</v>
      </c>
      <c r="I44" s="211">
        <f>IFERROR(SUMIF('ABR25'!$E:$E,CONCENTRADO!$C44,'ABR25'!$F:$F),"")</f>
        <v>0</v>
      </c>
      <c r="J44" s="211">
        <f>IFERROR(SUMIF('MAY25'!$E:$E,CONCENTRADO!$C44,'MAY25'!$F:$F),"")</f>
        <v>0</v>
      </c>
      <c r="K44" s="211">
        <f>IFERROR(SUMIF('JUN25'!$E:$E,CONCENTRADO!$C44,'JUN25'!$F:$F),"")</f>
        <v>21747.21</v>
      </c>
      <c r="L44" s="211">
        <f>IFERROR(SUMIF('JUL25'!$E:$E,CONCENTRADO!$C44,'JUL25'!$F:$F),"")</f>
        <v>0</v>
      </c>
      <c r="M44" s="211">
        <f>IFERROR(SUMIF('AGO25'!$E:$E,CONCENTRADO!$C44,'AGO25'!$F:$F),"")</f>
        <v>0</v>
      </c>
      <c r="N44" s="211">
        <f>IFERROR(SUMIF('SEP25'!$E:$E,CONCENTRADO!$C44,'SEP25'!$F:$F),"")</f>
        <v>0</v>
      </c>
      <c r="O44" s="211">
        <f>IFERROR(SUMIF('OCT25'!$E:$E,CONCENTRADO!$C44,'OCT25'!$F:$F),"")</f>
        <v>0</v>
      </c>
      <c r="P44" s="211">
        <f>IFERROR(SUMIF('NOV25'!$E:$E,CONCENTRADO!$C44,'NOV25'!$F:$F),"")</f>
        <v>0</v>
      </c>
      <c r="Q44" s="211">
        <f>IFERROR(SUMIF('DIC25'!$E:$E,CONCENTRADO!$C44,'DIC25'!$K:$K),"")</f>
        <v>0</v>
      </c>
      <c r="R44" s="212">
        <f t="shared" si="1"/>
        <v>21747.21</v>
      </c>
      <c r="S44" s="213">
        <f t="shared" si="2"/>
        <v>-21747.21</v>
      </c>
      <c r="T44" s="223"/>
    </row>
    <row r="45" spans="1:20" s="215" customFormat="1" ht="15.75" customHeight="1" x14ac:dyDescent="0.3">
      <c r="A45" s="246"/>
      <c r="B45" s="246"/>
      <c r="C45" s="220" t="s">
        <v>72</v>
      </c>
      <c r="D45" s="221" t="s">
        <v>216</v>
      </c>
      <c r="E45" s="210"/>
      <c r="F45" s="211">
        <f>IFERROR(SUMIF('ENE25'!E:E,CONCENTRADO!$C45,'ENE25'!F:F),"")</f>
        <v>-23300.86</v>
      </c>
      <c r="G45" s="211">
        <f>IFERROR(SUMIF('FEB25'!$E:$E,CONCENTRADO!$C45,'FEB25'!$F:$F),"")</f>
        <v>25157.759999999998</v>
      </c>
      <c r="H45" s="211">
        <f>IFERROR(SUMIF('MAR25'!$E:$E,CONCENTRADO!$C45,'MAR25'!$F:$F),"")</f>
        <v>5021.93</v>
      </c>
      <c r="I45" s="211">
        <f>IFERROR(SUMIF('ABR25'!$E:$E,CONCENTRADO!$C45,'ABR25'!$F:$F),"")</f>
        <v>7019.3899999999994</v>
      </c>
      <c r="J45" s="211">
        <f>IFERROR(SUMIF('MAY25'!$E:$E,CONCENTRADO!$C45,'MAY25'!$F:$F),"")</f>
        <v>15632.5</v>
      </c>
      <c r="K45" s="211">
        <f>IFERROR(SUMIF('JUN25'!$E:$E,CONCENTRADO!$C45,'JUN25'!$F:$F),"")</f>
        <v>3044.88</v>
      </c>
      <c r="L45" s="211">
        <f>IFERROR(SUMIF('JUL25'!$E:$E,CONCENTRADO!$C45,'JUL25'!$F:$F),"")</f>
        <v>32855.35</v>
      </c>
      <c r="M45" s="211">
        <f>IFERROR(SUMIF('AGO25'!$E:$E,CONCENTRADO!$C45,'AGO25'!$F:$F),"")</f>
        <v>17427.09</v>
      </c>
      <c r="N45" s="211">
        <f>IFERROR(SUMIF('SEP25'!$E:$E,CONCENTRADO!$C45,'SEP25'!$F:$F),"")</f>
        <v>3960.42</v>
      </c>
      <c r="O45" s="211">
        <f>IFERROR(SUMIF('OCT25'!$E:$E,CONCENTRADO!$C45,'OCT25'!$F:$F),"")</f>
        <v>2769.03</v>
      </c>
      <c r="P45" s="211">
        <f>IFERROR(SUMIF('NOV25'!$E:$E,CONCENTRADO!$C45,'NOV25'!$F:$F),"")</f>
        <v>95.69</v>
      </c>
      <c r="Q45" s="211">
        <f>IFERROR(SUMIF('DIC25'!$E:$E,CONCENTRADO!$C45,'DIC25'!$K:$K),"")</f>
        <v>0</v>
      </c>
      <c r="R45" s="212">
        <f t="shared" si="1"/>
        <v>60152.459999999992</v>
      </c>
      <c r="S45" s="213">
        <f t="shared" si="2"/>
        <v>-60152.459999999992</v>
      </c>
      <c r="T45" s="223"/>
    </row>
    <row r="46" spans="1:20" s="215" customFormat="1" ht="15.75" customHeight="1" x14ac:dyDescent="0.3">
      <c r="A46" s="246"/>
      <c r="B46" s="246"/>
      <c r="C46" s="220" t="s">
        <v>54</v>
      </c>
      <c r="D46" s="221" t="s">
        <v>217</v>
      </c>
      <c r="E46" s="210"/>
      <c r="F46" s="211">
        <f>IFERROR(SUMIF('ENE25'!E:E,CONCENTRADO!$C46,'ENE25'!F:F),"")</f>
        <v>1072.03</v>
      </c>
      <c r="G46" s="211">
        <f>IFERROR(SUMIF('FEB25'!$E:$E,CONCENTRADO!$C46,'FEB25'!$F:$F),"")</f>
        <v>0</v>
      </c>
      <c r="H46" s="211">
        <f>IFERROR(SUMIF('MAR25'!$E:$E,CONCENTRADO!$C46,'MAR25'!$F:$F),"")</f>
        <v>100</v>
      </c>
      <c r="I46" s="211">
        <f>IFERROR(SUMIF('ABR25'!$E:$E,CONCENTRADO!$C46,'ABR25'!$F:$F),"")</f>
        <v>0</v>
      </c>
      <c r="J46" s="211">
        <f>IFERROR(SUMIF('MAY25'!$E:$E,CONCENTRADO!$C46,'MAY25'!$F:$F),"")</f>
        <v>0</v>
      </c>
      <c r="K46" s="211">
        <f>IFERROR(SUMIF('JUN25'!$E:$E,CONCENTRADO!$C46,'JUN25'!$F:$F),"")</f>
        <v>0</v>
      </c>
      <c r="L46" s="211">
        <f>IFERROR(SUMIF('JUL25'!$E:$E,CONCENTRADO!$C46,'JUL25'!$F:$F),"")</f>
        <v>53</v>
      </c>
      <c r="M46" s="211">
        <f>IFERROR(SUMIF('AGO25'!$E:$E,CONCENTRADO!$C46,'AGO25'!$F:$F),"")</f>
        <v>0</v>
      </c>
      <c r="N46" s="211">
        <f>IFERROR(SUMIF('SEP25'!$E:$E,CONCENTRADO!$C46,'SEP25'!$F:$F),"")</f>
        <v>0</v>
      </c>
      <c r="O46" s="211">
        <f>IFERROR(SUMIF('OCT25'!$E:$E,CONCENTRADO!$C46,'OCT25'!$F:$F),"")</f>
        <v>0</v>
      </c>
      <c r="P46" s="211">
        <f>IFERROR(SUMIF('NOV25'!$E:$E,CONCENTRADO!$C46,'NOV25'!$F:$F),"")</f>
        <v>36</v>
      </c>
      <c r="Q46" s="211">
        <f>IFERROR(SUMIF('DIC25'!$E:$E,CONCENTRADO!$C46,'DIC25'!$K:$K),"")</f>
        <v>0</v>
      </c>
      <c r="R46" s="212">
        <f t="shared" si="1"/>
        <v>89</v>
      </c>
      <c r="S46" s="213">
        <f t="shared" si="2"/>
        <v>-89</v>
      </c>
      <c r="T46" s="223"/>
    </row>
    <row r="47" spans="1:20" s="215" customFormat="1" ht="15.75" customHeight="1" x14ac:dyDescent="0.3">
      <c r="A47" s="246"/>
      <c r="B47" s="246"/>
      <c r="C47" s="220" t="s">
        <v>73</v>
      </c>
      <c r="D47" s="221" t="s">
        <v>218</v>
      </c>
      <c r="E47" s="210"/>
      <c r="F47" s="211">
        <f>IFERROR(SUMIF('ENE25'!E:E,CONCENTRADO!$C47,'ENE25'!F:F),"")</f>
        <v>0</v>
      </c>
      <c r="G47" s="211">
        <f>IFERROR(SUMIF('FEB25'!$E:$E,CONCENTRADO!$C47,'FEB25'!$F:$F),"")</f>
        <v>0</v>
      </c>
      <c r="H47" s="211">
        <f>IFERROR(SUMIF('MAR25'!$E:$E,CONCENTRADO!$C47,'MAR25'!$F:$F),"")</f>
        <v>0</v>
      </c>
      <c r="I47" s="211">
        <f>IFERROR(SUMIF('ABR25'!$E:$E,CONCENTRADO!$C47,'ABR25'!$F:$F),"")</f>
        <v>0</v>
      </c>
      <c r="J47" s="211">
        <f>IFERROR(SUMIF('MAY25'!$E:$E,CONCENTRADO!$C47,'MAY25'!$F:$F),"")</f>
        <v>0</v>
      </c>
      <c r="K47" s="211">
        <f>IFERROR(SUMIF('JUN25'!$E:$E,CONCENTRADO!$C47,'JUN25'!$F:$F),"")</f>
        <v>0</v>
      </c>
      <c r="L47" s="211">
        <f>IFERROR(SUMIF('JUL25'!$E:$E,CONCENTRADO!$C47,'JUL25'!$F:$F),"")</f>
        <v>0</v>
      </c>
      <c r="M47" s="211">
        <f>IFERROR(SUMIF('AGO25'!$E:$E,CONCENTRADO!$C47,'AGO25'!$F:$F),"")</f>
        <v>1458</v>
      </c>
      <c r="N47" s="211">
        <f>IFERROR(SUMIF('SEP25'!$E:$E,CONCENTRADO!$C47,'SEP25'!$F:$F),"")</f>
        <v>2500</v>
      </c>
      <c r="O47" s="211">
        <f>IFERROR(SUMIF('OCT25'!$E:$E,CONCENTRADO!$C47,'OCT25'!$F:$F),"")</f>
        <v>0</v>
      </c>
      <c r="P47" s="211">
        <f>IFERROR(SUMIF('NOV25'!$E:$E,CONCENTRADO!$C47,'NOV25'!$F:$F),"")</f>
        <v>0</v>
      </c>
      <c r="Q47" s="211">
        <f>IFERROR(SUMIF('DIC25'!$E:$E,CONCENTRADO!$C47,'DIC25'!$K:$K),"")</f>
        <v>0</v>
      </c>
      <c r="R47" s="212">
        <f t="shared" si="1"/>
        <v>3958</v>
      </c>
      <c r="S47" s="213">
        <f t="shared" si="2"/>
        <v>-3958</v>
      </c>
      <c r="T47" s="223"/>
    </row>
    <row r="48" spans="1:20" s="215" customFormat="1" ht="15.75" customHeight="1" x14ac:dyDescent="0.3">
      <c r="A48" s="246"/>
      <c r="B48" s="246"/>
      <c r="C48" s="220" t="s">
        <v>211</v>
      </c>
      <c r="D48" s="221" t="s">
        <v>219</v>
      </c>
      <c r="E48" s="210"/>
      <c r="F48" s="211">
        <f>IFERROR(SUMIF('ENE25'!E:E,CONCENTRADO!$C48,'ENE25'!F:F),"")</f>
        <v>0</v>
      </c>
      <c r="G48" s="211">
        <f>IFERROR(SUMIF('FEB25'!$E:$E,CONCENTRADO!$C48,'FEB25'!$F:$F),"")</f>
        <v>0</v>
      </c>
      <c r="H48" s="211">
        <f>IFERROR(SUMIF('MAR25'!$E:$E,CONCENTRADO!$C48,'MAR25'!$F:$F),"")</f>
        <v>0</v>
      </c>
      <c r="I48" s="211">
        <f>IFERROR(SUMIF('ABR25'!$E:$E,CONCENTRADO!$C48,'ABR25'!$F:$F),"")</f>
        <v>400</v>
      </c>
      <c r="J48" s="211">
        <f>IFERROR(SUMIF('MAY25'!$E:$E,CONCENTRADO!$C48,'MAY25'!$F:$F),"")</f>
        <v>3000</v>
      </c>
      <c r="K48" s="211">
        <f>IFERROR(SUMIF('JUN25'!$E:$E,CONCENTRADO!$C48,'JUN25'!$F:$F),"")</f>
        <v>150</v>
      </c>
      <c r="L48" s="211">
        <f>IFERROR(SUMIF('JUL25'!$E:$E,CONCENTRADO!$C48,'JUL25'!$F:$F),"")</f>
        <v>0</v>
      </c>
      <c r="M48" s="211">
        <f>IFERROR(SUMIF('AGO25'!$E:$E,CONCENTRADO!$C48,'AGO25'!$F:$F),"")</f>
        <v>0</v>
      </c>
      <c r="N48" s="211">
        <f>IFERROR(SUMIF('SEP25'!$E:$E,CONCENTRADO!$C48,'SEP25'!$F:$F),"")</f>
        <v>0</v>
      </c>
      <c r="O48" s="211">
        <f>IFERROR(SUMIF('OCT25'!$E:$E,CONCENTRADO!$C48,'OCT25'!$F:$F),"")</f>
        <v>7500</v>
      </c>
      <c r="P48" s="211">
        <f>IFERROR(SUMIF('NOV25'!$E:$E,CONCENTRADO!$C48,'NOV25'!$F:$F),"")</f>
        <v>0</v>
      </c>
      <c r="Q48" s="211">
        <f>IFERROR(SUMIF('DIC25'!$E:$E,CONCENTRADO!$C48,'DIC25'!$K:$K),"")</f>
        <v>0</v>
      </c>
      <c r="R48" s="212">
        <f t="shared" si="1"/>
        <v>7650</v>
      </c>
      <c r="S48" s="213">
        <f t="shared" si="2"/>
        <v>-7650</v>
      </c>
      <c r="T48" s="223"/>
    </row>
    <row r="49" spans="1:20" s="215" customFormat="1" ht="15.75" customHeight="1" x14ac:dyDescent="0.3">
      <c r="A49" s="246"/>
      <c r="B49" s="246"/>
      <c r="C49" s="220" t="s">
        <v>212</v>
      </c>
      <c r="D49" s="221" t="s">
        <v>220</v>
      </c>
      <c r="E49" s="210"/>
      <c r="F49" s="211">
        <f>IFERROR(SUMIF('ENE25'!E:E,CONCENTRADO!$C49,'ENE25'!F:F),"")</f>
        <v>0</v>
      </c>
      <c r="G49" s="211">
        <f>IFERROR(SUMIF('FEB25'!$E:$E,CONCENTRADO!$C49,'FEB25'!$F:$F),"")</f>
        <v>0</v>
      </c>
      <c r="H49" s="211">
        <f>IFERROR(SUMIF('MAR25'!$E:$E,CONCENTRADO!$C49,'MAR25'!$F:$F),"")</f>
        <v>0</v>
      </c>
      <c r="I49" s="211">
        <f>IFERROR(SUMIF('ABR25'!$E:$E,CONCENTRADO!$C49,'ABR25'!$F:$F),"")</f>
        <v>0</v>
      </c>
      <c r="J49" s="211">
        <f>IFERROR(SUMIF('MAY25'!$E:$E,CONCENTRADO!$C49,'MAY25'!$F:$F),"")</f>
        <v>0</v>
      </c>
      <c r="K49" s="211">
        <f>IFERROR(SUMIF('JUN25'!$E:$E,CONCENTRADO!$C49,'JUN25'!$F:$F),"")</f>
        <v>0</v>
      </c>
      <c r="L49" s="211">
        <f>IFERROR(SUMIF('JUL25'!$E:$E,CONCENTRADO!$C49,'JUL25'!$F:$F),"")</f>
        <v>0</v>
      </c>
      <c r="M49" s="211">
        <f>IFERROR(SUMIF('AGO25'!$E:$E,CONCENTRADO!$C49,'AGO25'!$F:$F),"")</f>
        <v>0</v>
      </c>
      <c r="N49" s="211">
        <f>IFERROR(SUMIF('SEP25'!$E:$E,CONCENTRADO!$C49,'SEP25'!$F:$F),"")</f>
        <v>0</v>
      </c>
      <c r="O49" s="211">
        <f>IFERROR(SUMIF('OCT25'!$E:$E,CONCENTRADO!$C49,'OCT25'!$F:$F),"")</f>
        <v>0</v>
      </c>
      <c r="P49" s="211">
        <f>IFERROR(SUMIF('NOV25'!$E:$E,CONCENTRADO!$C49,'NOV25'!$F:$F),"")</f>
        <v>0</v>
      </c>
      <c r="Q49" s="211">
        <f>IFERROR(SUMIF('DIC25'!$E:$E,CONCENTRADO!$C49,'DIC25'!$K:$K),"")</f>
        <v>0</v>
      </c>
      <c r="R49" s="212">
        <f t="shared" si="1"/>
        <v>0</v>
      </c>
      <c r="S49" s="213">
        <f t="shared" si="2"/>
        <v>0</v>
      </c>
      <c r="T49" s="223"/>
    </row>
    <row r="50" spans="1:20" s="215" customFormat="1" ht="15.75" customHeight="1" x14ac:dyDescent="0.3">
      <c r="A50" s="246"/>
      <c r="B50" s="246"/>
      <c r="C50" s="220"/>
      <c r="D50" s="221"/>
      <c r="E50" s="210"/>
      <c r="F50" s="211">
        <f>IFERROR(SUMIF('ENE25'!E:E,CONCENTRADO!$C50,'ENE25'!F:F),"")</f>
        <v>0</v>
      </c>
      <c r="G50" s="211">
        <f>IFERROR(SUMIF('FEB25'!$E:$E,CONCENTRADO!$C50,'FEB25'!$F:$F),"")</f>
        <v>0</v>
      </c>
      <c r="H50" s="211">
        <f>IFERROR(SUMIF('MAR25'!$E:$E,CONCENTRADO!$C50,'MAR25'!$F:$F),"")</f>
        <v>0</v>
      </c>
      <c r="I50" s="211">
        <f>IFERROR(SUMIF('ABR25'!$E:$E,CONCENTRADO!$C50,'ABR25'!$F:$F),"")</f>
        <v>0</v>
      </c>
      <c r="J50" s="211">
        <f>IFERROR(SUMIF('MAY25'!$E:$E,CONCENTRADO!$C50,'MAY25'!$F:$F),"")</f>
        <v>0</v>
      </c>
      <c r="K50" s="211">
        <f>IFERROR(SUMIF('JUN25'!$E:$E,CONCENTRADO!$C50,'JUN25'!$F:$F),"")</f>
        <v>0</v>
      </c>
      <c r="L50" s="211">
        <f>IFERROR(SUMIF('JUL25'!$E:$E,CONCENTRADO!$C50,'JUL25'!$F:$F),"")</f>
        <v>0</v>
      </c>
      <c r="M50" s="211">
        <f>IFERROR(SUMIF('AGO25'!$E:$E,CONCENTRADO!$C50,'AGO25'!$F:$F),"")</f>
        <v>0</v>
      </c>
      <c r="N50" s="211">
        <f>IFERROR(SUMIF('SEP25'!$E:$E,CONCENTRADO!$C50,'SEP25'!$F:$F),"")</f>
        <v>0</v>
      </c>
      <c r="O50" s="211">
        <f>IFERROR(SUMIF('OCT25'!$E:$E,CONCENTRADO!$C50,'OCT25'!$F:$F),"")</f>
        <v>0</v>
      </c>
      <c r="P50" s="211">
        <f>IFERROR(SUMIF('NOV25'!$E:$E,CONCENTRADO!$C50,'NOV25'!$F:$F),"")</f>
        <v>0</v>
      </c>
      <c r="Q50" s="211">
        <f>IFERROR(SUMIF('DIC25'!$E:$E,CONCENTRADO!$C50,'DIC25'!$K:$K),"")</f>
        <v>0</v>
      </c>
      <c r="R50" s="212">
        <f t="shared" si="1"/>
        <v>0</v>
      </c>
      <c r="S50" s="213">
        <f t="shared" si="2"/>
        <v>0</v>
      </c>
      <c r="T50" s="223"/>
    </row>
    <row r="51" spans="1:20" s="215" customFormat="1" ht="15.75" customHeight="1" x14ac:dyDescent="0.3">
      <c r="A51" s="247"/>
      <c r="B51" s="247"/>
      <c r="C51" s="220"/>
      <c r="D51" s="221"/>
      <c r="E51" s="210"/>
      <c r="F51" s="211">
        <f>IFERROR(SUMIF('ENE25'!E:E,CONCENTRADO!$C51,'ENE25'!F:F),"")</f>
        <v>0</v>
      </c>
      <c r="G51" s="211">
        <f>IFERROR(SUMIF('FEB25'!$E:$E,CONCENTRADO!$C51,'FEB25'!$F:$F),"")</f>
        <v>0</v>
      </c>
      <c r="H51" s="211">
        <f>IFERROR(SUMIF('MAR25'!$E:$E,CONCENTRADO!$C51,'MAR25'!$F:$F),"")</f>
        <v>0</v>
      </c>
      <c r="I51" s="211">
        <f>IFERROR(SUMIF('ABR25'!$E:$E,CONCENTRADO!$C51,'ABR25'!$F:$F),"")</f>
        <v>0</v>
      </c>
      <c r="J51" s="211">
        <f>IFERROR(SUMIF('MAY25'!$E:$E,CONCENTRADO!$C51,'MAY25'!$F:$F),"")</f>
        <v>0</v>
      </c>
      <c r="K51" s="211">
        <f>IFERROR(SUMIF('JUN25'!$E:$E,CONCENTRADO!$C51,'JUN25'!$F:$F),"")</f>
        <v>0</v>
      </c>
      <c r="L51" s="211">
        <f>IFERROR(SUMIF('JUL25'!$E:$E,CONCENTRADO!$C51,'JUL25'!$F:$F),"")</f>
        <v>0</v>
      </c>
      <c r="M51" s="211">
        <f>IFERROR(SUMIF('AGO25'!$E:$E,CONCENTRADO!$C51,'AGO25'!$F:$F),"")</f>
        <v>0</v>
      </c>
      <c r="N51" s="211">
        <f>IFERROR(SUMIF('SEP25'!$E:$E,CONCENTRADO!$C51,'SEP25'!$F:$F),"")</f>
        <v>0</v>
      </c>
      <c r="O51" s="211">
        <f>IFERROR(SUMIF('OCT25'!$E:$E,CONCENTRADO!$C51,'OCT25'!$F:$F),"")</f>
        <v>0</v>
      </c>
      <c r="P51" s="211">
        <f>IFERROR(SUMIF('NOV25'!$E:$E,CONCENTRADO!$C51,'NOV25'!$F:$F),"")</f>
        <v>0</v>
      </c>
      <c r="Q51" s="211">
        <f>IFERROR(SUMIF('DIC25'!$E:$E,CONCENTRADO!$C51,'DIC25'!$K:$K),"")</f>
        <v>0</v>
      </c>
      <c r="R51" s="212">
        <f t="shared" si="1"/>
        <v>0</v>
      </c>
      <c r="S51" s="213">
        <f t="shared" si="2"/>
        <v>0</v>
      </c>
      <c r="T51" s="223"/>
    </row>
    <row r="52" spans="1:20" s="215" customFormat="1" ht="33" customHeight="1" x14ac:dyDescent="0.3">
      <c r="A52" s="251" t="s">
        <v>74</v>
      </c>
      <c r="B52" s="251" t="s">
        <v>75</v>
      </c>
      <c r="C52" s="220" t="s">
        <v>127</v>
      </c>
      <c r="D52" s="221" t="s">
        <v>203</v>
      </c>
      <c r="E52" s="210"/>
      <c r="F52" s="211">
        <f>IFERROR(SUMIF('ENE25'!E:E,CONCENTRADO!$C52,'ENE25'!F:F),"")</f>
        <v>398800</v>
      </c>
      <c r="G52" s="211">
        <f>IFERROR(SUMIF('FEB25'!$E:$E,CONCENTRADO!$C52,'FEB25'!$F:$F),"")</f>
        <v>0</v>
      </c>
      <c r="H52" s="211">
        <f>IFERROR(SUMIF('MAR25'!$E:$E,CONCENTRADO!$C52,'MAR25'!$F:$F),"")</f>
        <v>0</v>
      </c>
      <c r="I52" s="211">
        <f>IFERROR(SUMIF('ABR25'!$E:$E,CONCENTRADO!$C52,'ABR25'!$F:$F),"")</f>
        <v>0</v>
      </c>
      <c r="J52" s="211">
        <f>IFERROR(SUMIF('MAY25'!$E:$E,CONCENTRADO!$C52,'MAY25'!$F:$F),"")</f>
        <v>274137.93</v>
      </c>
      <c r="K52" s="211">
        <f>IFERROR(SUMIF('JUN25'!$E:$E,CONCENTRADO!$C52,'JUN25'!$F:$F),"")</f>
        <v>10000</v>
      </c>
      <c r="L52" s="211">
        <f>IFERROR(SUMIF('JUL25'!$E:$E,CONCENTRADO!$C52,'JUL25'!$F:$F),"")</f>
        <v>0</v>
      </c>
      <c r="M52" s="211">
        <f>IFERROR(SUMIF('AGO25'!$E:$E,CONCENTRADO!$C52,'AGO25'!$F:$F),"")</f>
        <v>0</v>
      </c>
      <c r="N52" s="211">
        <f>IFERROR(SUMIF('SEP25'!$E:$E,CONCENTRADO!$C52,'SEP25'!$F:$F),"")</f>
        <v>0</v>
      </c>
      <c r="O52" s="211">
        <f>IFERROR(SUMIF('OCT25'!$E:$E,CONCENTRADO!$C52,'OCT25'!$F:$F),"")</f>
        <v>15000</v>
      </c>
      <c r="P52" s="211">
        <f>IFERROR(SUMIF('NOV25'!$E:$E,CONCENTRADO!$C52,'NOV25'!$F:$F),"")</f>
        <v>0</v>
      </c>
      <c r="Q52" s="211">
        <f>IFERROR(SUMIF('DIC25'!$E:$E,CONCENTRADO!$C52,'DIC25'!$K:$K),"")</f>
        <v>0</v>
      </c>
      <c r="R52" s="212">
        <f t="shared" si="1"/>
        <v>25000</v>
      </c>
      <c r="S52" s="213">
        <f t="shared" si="2"/>
        <v>-25000</v>
      </c>
      <c r="T52" s="223"/>
    </row>
    <row r="53" spans="1:20" s="215" customFormat="1" ht="33" customHeight="1" x14ac:dyDescent="0.3">
      <c r="A53" s="252"/>
      <c r="B53" s="252"/>
      <c r="C53" s="225" t="s">
        <v>122</v>
      </c>
      <c r="D53" s="221" t="s">
        <v>204</v>
      </c>
      <c r="E53" s="210"/>
      <c r="F53" s="211">
        <f>IFERROR(SUMIF('ENE25'!E:E,CONCENTRADO!$C53,'ENE25'!F:F),"")</f>
        <v>7879</v>
      </c>
      <c r="G53" s="211">
        <f>IFERROR(SUMIF('FEB25'!$E:$E,CONCENTRADO!$C53,'FEB25'!$F:$F),"")</f>
        <v>21417.26</v>
      </c>
      <c r="H53" s="211">
        <f>IFERROR(SUMIF('MAR25'!$E:$E,CONCENTRADO!$C53,'MAR25'!$F:$F),"")</f>
        <v>42102.25</v>
      </c>
      <c r="I53" s="211">
        <f>IFERROR(SUMIF('ABR25'!$E:$E,CONCENTRADO!$C53,'ABR25'!$F:$F),"")</f>
        <v>97128.67</v>
      </c>
      <c r="J53" s="211">
        <f>IFERROR(SUMIF('MAY25'!$E:$E,CONCENTRADO!$C53,'MAY25'!$F:$F),"")</f>
        <v>144323.58000000002</v>
      </c>
      <c r="K53" s="211">
        <f>IFERROR(SUMIF('JUN25'!$E:$E,CONCENTRADO!$C53,'JUN25'!$F:$F),"")</f>
        <v>63979.02</v>
      </c>
      <c r="L53" s="211">
        <f>IFERROR(SUMIF('JUL25'!$E:$E,CONCENTRADO!$C53,'JUL25'!$F:$F),"")</f>
        <v>47683.83</v>
      </c>
      <c r="M53" s="211">
        <f>IFERROR(SUMIF('AGO25'!$E:$E,CONCENTRADO!$C53,'AGO25'!$F:$F),"")</f>
        <v>49535.05</v>
      </c>
      <c r="N53" s="211">
        <f>IFERROR(SUMIF('SEP25'!$E:$E,CONCENTRADO!$C53,'SEP25'!$F:$F),"")</f>
        <v>16731.02</v>
      </c>
      <c r="O53" s="211">
        <f>IFERROR(SUMIF('OCT25'!$E:$E,CONCENTRADO!$C53,'OCT25'!$F:$F),"")</f>
        <v>58646.92</v>
      </c>
      <c r="P53" s="211">
        <f>IFERROR(SUMIF('NOV25'!$E:$E,CONCENTRADO!$C53,'NOV25'!$F:$F),"")</f>
        <v>0</v>
      </c>
      <c r="Q53" s="211">
        <f>IFERROR(SUMIF('DIC25'!$E:$E,CONCENTRADO!$C53,'DIC25'!$K:$K),"")</f>
        <v>0</v>
      </c>
      <c r="R53" s="212">
        <f t="shared" si="1"/>
        <v>236575.84000000003</v>
      </c>
      <c r="S53" s="213">
        <f t="shared" si="2"/>
        <v>-236575.84000000003</v>
      </c>
      <c r="T53" s="223"/>
    </row>
    <row r="54" spans="1:20" s="215" customFormat="1" ht="27" customHeight="1" x14ac:dyDescent="0.3">
      <c r="A54" s="252"/>
      <c r="B54" s="252"/>
      <c r="C54" s="225" t="s">
        <v>124</v>
      </c>
      <c r="D54" s="221" t="s">
        <v>205</v>
      </c>
      <c r="E54" s="210"/>
      <c r="F54" s="211">
        <f>IFERROR(SUMIF('ENE25'!E:E,CONCENTRADO!$C54,'ENE25'!F:F),"")</f>
        <v>2308.9899999999998</v>
      </c>
      <c r="G54" s="211">
        <f>IFERROR(SUMIF('FEB25'!$E:$E,CONCENTRADO!$C54,'FEB25'!$F:$F),"")</f>
        <v>0</v>
      </c>
      <c r="H54" s="211">
        <f>IFERROR(SUMIF('MAR25'!$E:$E,CONCENTRADO!$C54,'MAR25'!$F:$F),"")</f>
        <v>0</v>
      </c>
      <c r="I54" s="211">
        <f>IFERROR(SUMIF('ABR25'!$E:$E,CONCENTRADO!$C54,'ABR25'!$F:$F),"")</f>
        <v>2020.98</v>
      </c>
      <c r="J54" s="211">
        <f>IFERROR(SUMIF('MAY25'!$E:$E,CONCENTRADO!$C54,'MAY25'!$F:$F),"")</f>
        <v>53742.879999999997</v>
      </c>
      <c r="K54" s="211">
        <f>IFERROR(SUMIF('JUN25'!$E:$E,CONCENTRADO!$C54,'JUN25'!$F:$F),"")</f>
        <v>0</v>
      </c>
      <c r="L54" s="211">
        <f>IFERROR(SUMIF('JUL25'!$E:$E,CONCENTRADO!$C54,'JUL25'!$F:$F),"")</f>
        <v>5065</v>
      </c>
      <c r="M54" s="211">
        <f>IFERROR(SUMIF('AGO25'!$E:$E,CONCENTRADO!$C54,'AGO25'!$F:$F),"")</f>
        <v>62456.36</v>
      </c>
      <c r="N54" s="211">
        <f>IFERROR(SUMIF('SEP25'!$E:$E,CONCENTRADO!$C54,'SEP25'!$F:$F),"")</f>
        <v>0</v>
      </c>
      <c r="O54" s="211">
        <f>IFERROR(SUMIF('OCT25'!$E:$E,CONCENTRADO!$C54,'OCT25'!$F:$F),"")</f>
        <v>21000</v>
      </c>
      <c r="P54" s="211">
        <f>IFERROR(SUMIF('NOV25'!$E:$E,CONCENTRADO!$C54,'NOV25'!$F:$F),"")</f>
        <v>5520.38</v>
      </c>
      <c r="Q54" s="211">
        <f>IFERROR(SUMIF('DIC25'!$E:$E,CONCENTRADO!$C54,'DIC25'!$K:$K),"")</f>
        <v>0</v>
      </c>
      <c r="R54" s="212">
        <f t="shared" si="1"/>
        <v>94041.74</v>
      </c>
      <c r="S54" s="213">
        <f t="shared" si="2"/>
        <v>-94041.74</v>
      </c>
      <c r="T54" s="223"/>
    </row>
    <row r="55" spans="1:20" s="215" customFormat="1" ht="21.75" customHeight="1" x14ac:dyDescent="0.3">
      <c r="A55" s="252"/>
      <c r="B55" s="252"/>
      <c r="C55" s="225" t="s">
        <v>129</v>
      </c>
      <c r="D55" s="221" t="s">
        <v>206</v>
      </c>
      <c r="E55" s="210"/>
      <c r="F55" s="211">
        <f>IFERROR(SUMIF('ENE25'!E:E,CONCENTRADO!$C55,'ENE25'!F:F),"")</f>
        <v>19370.690000000002</v>
      </c>
      <c r="G55" s="211">
        <f>IFERROR(SUMIF('FEB25'!$E:$E,CONCENTRADO!$C55,'FEB25'!$F:$F),"")</f>
        <v>5671.55</v>
      </c>
      <c r="H55" s="211">
        <f>IFERROR(SUMIF('MAR25'!$E:$E,CONCENTRADO!$C55,'MAR25'!$F:$F),"")</f>
        <v>0</v>
      </c>
      <c r="I55" s="211">
        <f>IFERROR(SUMIF('ABR25'!$E:$E,CONCENTRADO!$C55,'ABR25'!$F:$F),"")</f>
        <v>0</v>
      </c>
      <c r="J55" s="211">
        <f>IFERROR(SUMIF('MAY25'!$E:$E,CONCENTRADO!$C55,'MAY25'!$F:$F),"")</f>
        <v>6499</v>
      </c>
      <c r="K55" s="211">
        <f>IFERROR(SUMIF('JUN25'!$E:$E,CONCENTRADO!$C55,'JUN25'!$F:$F),"")</f>
        <v>562.82000000000005</v>
      </c>
      <c r="L55" s="211">
        <f>IFERROR(SUMIF('JUL25'!$E:$E,CONCENTRADO!$C55,'JUL25'!$F:$F),"")</f>
        <v>0</v>
      </c>
      <c r="M55" s="211">
        <f>IFERROR(SUMIF('AGO25'!$E:$E,CONCENTRADO!$C55,'AGO25'!$F:$F),"")</f>
        <v>0</v>
      </c>
      <c r="N55" s="211">
        <f>IFERROR(SUMIF('SEP25'!$E:$E,CONCENTRADO!$C55,'SEP25'!$F:$F),"")</f>
        <v>395.66999999999996</v>
      </c>
      <c r="O55" s="211">
        <f>IFERROR(SUMIF('OCT25'!$E:$E,CONCENTRADO!$C55,'OCT25'!$F:$F),"")</f>
        <v>405.17</v>
      </c>
      <c r="P55" s="211">
        <f>IFERROR(SUMIF('NOV25'!$E:$E,CONCENTRADO!$C55,'NOV25'!$F:$F),"")</f>
        <v>0</v>
      </c>
      <c r="Q55" s="211">
        <f>IFERROR(SUMIF('DIC25'!$E:$E,CONCENTRADO!$C55,'DIC25'!$K:$K),"")</f>
        <v>0</v>
      </c>
      <c r="R55" s="212">
        <f t="shared" si="1"/>
        <v>1363.66</v>
      </c>
      <c r="S55" s="213">
        <f t="shared" si="2"/>
        <v>-1363.66</v>
      </c>
      <c r="T55" s="223"/>
    </row>
    <row r="56" spans="1:20" s="215" customFormat="1" ht="15.75" customHeight="1" x14ac:dyDescent="0.3">
      <c r="A56" s="252"/>
      <c r="B56" s="252"/>
      <c r="C56" s="225" t="s">
        <v>132</v>
      </c>
      <c r="D56" s="221" t="s">
        <v>207</v>
      </c>
      <c r="E56" s="210"/>
      <c r="F56" s="211">
        <f>IFERROR(SUMIF('ENE25'!E:E,CONCENTRADO!$C56,'ENE25'!F:F),"")</f>
        <v>10234.09</v>
      </c>
      <c r="G56" s="211">
        <f>IFERROR(SUMIF('FEB25'!$E:$E,CONCENTRADO!$C56,'FEB25'!$F:$F),"")</f>
        <v>0</v>
      </c>
      <c r="H56" s="211">
        <f>IFERROR(SUMIF('MAR25'!$E:$E,CONCENTRADO!$C56,'MAR25'!$F:$F),"")</f>
        <v>5799</v>
      </c>
      <c r="I56" s="211">
        <f>IFERROR(SUMIF('ABR25'!$E:$E,CONCENTRADO!$C56,'ABR25'!$F:$F),"")</f>
        <v>0</v>
      </c>
      <c r="J56" s="211">
        <f>IFERROR(SUMIF('MAY25'!$E:$E,CONCENTRADO!$C56,'MAY25'!$F:$F),"")</f>
        <v>0</v>
      </c>
      <c r="K56" s="211">
        <f>IFERROR(SUMIF('JUN25'!$E:$E,CONCENTRADO!$C56,'JUN25'!$F:$F),"")</f>
        <v>0</v>
      </c>
      <c r="L56" s="211">
        <f>IFERROR(SUMIF('JUL25'!$E:$E,CONCENTRADO!$C56,'JUL25'!$F:$F),"")</f>
        <v>0</v>
      </c>
      <c r="M56" s="211">
        <f>IFERROR(SUMIF('AGO25'!$E:$E,CONCENTRADO!$C56,'AGO25'!$F:$F),"")</f>
        <v>8133.0599999999995</v>
      </c>
      <c r="N56" s="211">
        <f>IFERROR(SUMIF('SEP25'!$E:$E,CONCENTRADO!$C56,'SEP25'!$F:$F),"")</f>
        <v>0</v>
      </c>
      <c r="O56" s="211">
        <f>IFERROR(SUMIF('OCT25'!$E:$E,CONCENTRADO!$C56,'OCT25'!$F:$F),"")</f>
        <v>21419.909999999996</v>
      </c>
      <c r="P56" s="211">
        <f>IFERROR(SUMIF('NOV25'!$E:$E,CONCENTRADO!$C56,'NOV25'!$F:$F),"")</f>
        <v>0</v>
      </c>
      <c r="Q56" s="211">
        <f>IFERROR(SUMIF('DIC25'!$E:$E,CONCENTRADO!$C56,'DIC25'!$K:$K),"")</f>
        <v>0</v>
      </c>
      <c r="R56" s="212">
        <f t="shared" si="1"/>
        <v>29552.969999999994</v>
      </c>
      <c r="S56" s="213">
        <f t="shared" si="2"/>
        <v>-29552.969999999994</v>
      </c>
      <c r="T56" s="223"/>
    </row>
    <row r="57" spans="1:20" s="215" customFormat="1" ht="15.75" customHeight="1" x14ac:dyDescent="0.3">
      <c r="A57" s="252"/>
      <c r="B57" s="252"/>
      <c r="C57" s="220" t="s">
        <v>76</v>
      </c>
      <c r="D57" s="221" t="s">
        <v>77</v>
      </c>
      <c r="E57" s="210"/>
      <c r="F57" s="211">
        <f>IFERROR(SUMIF('ENE25'!E:E,CONCENTRADO!$C57,'ENE25'!F:F),"")</f>
        <v>0</v>
      </c>
      <c r="G57" s="211">
        <f>IFERROR(SUMIF('FEB25'!$E:$E,CONCENTRADO!$C57,'FEB25'!$F:$F),"")</f>
        <v>0</v>
      </c>
      <c r="H57" s="211">
        <f>IFERROR(SUMIF('MAR25'!$E:$E,CONCENTRADO!$C57,'MAR25'!$F:$F),"")</f>
        <v>0</v>
      </c>
      <c r="I57" s="211">
        <f>IFERROR(SUMIF('ABR25'!$E:$E,CONCENTRADO!$C57,'ABR25'!$F:$F),"")</f>
        <v>0</v>
      </c>
      <c r="J57" s="211">
        <f>IFERROR(SUMIF('MAY25'!$E:$E,CONCENTRADO!$C57,'MAY25'!$F:$F),"")</f>
        <v>0</v>
      </c>
      <c r="K57" s="211">
        <f>IFERROR(SUMIF('JUN25'!$E:$E,CONCENTRADO!$C57,'JUN25'!$F:$F),"")</f>
        <v>0</v>
      </c>
      <c r="L57" s="211">
        <f>IFERROR(SUMIF('JUL25'!$E:$E,CONCENTRADO!$C57,'JUL25'!$F:$F),"")</f>
        <v>0</v>
      </c>
      <c r="M57" s="211">
        <f>IFERROR(SUMIF('AGO25'!$E:$E,CONCENTRADO!$C57,'AGO25'!$F:$F),"")</f>
        <v>0</v>
      </c>
      <c r="N57" s="211">
        <f>IFERROR(SUMIF('SEP25'!$E:$E,CONCENTRADO!$C57,'SEP25'!$F:$F),"")</f>
        <v>0</v>
      </c>
      <c r="O57" s="211">
        <f>IFERROR(SUMIF('OCT25'!$E:$E,CONCENTRADO!$C57,'OCT25'!$F:$F),"")</f>
        <v>6000</v>
      </c>
      <c r="P57" s="211">
        <f>IFERROR(SUMIF('NOV25'!$E:$E,CONCENTRADO!$C57,'NOV25'!$F:$F),"")</f>
        <v>0</v>
      </c>
      <c r="Q57" s="211">
        <f>IFERROR(SUMIF('DIC25'!$E:$E,CONCENTRADO!$C57,'DIC25'!$K:$K),"")</f>
        <v>0</v>
      </c>
      <c r="R57" s="212">
        <f t="shared" si="1"/>
        <v>6000</v>
      </c>
      <c r="S57" s="213">
        <f t="shared" si="2"/>
        <v>-6000</v>
      </c>
      <c r="T57" s="223"/>
    </row>
    <row r="58" spans="1:20" s="215" customFormat="1" ht="15.75" customHeight="1" x14ac:dyDescent="0.3">
      <c r="A58" s="252"/>
      <c r="B58" s="252"/>
      <c r="C58" s="220" t="s">
        <v>78</v>
      </c>
      <c r="D58" s="221" t="s">
        <v>208</v>
      </c>
      <c r="E58" s="210"/>
      <c r="F58" s="211">
        <f>IFERROR(SUMIF('ENE25'!E:E,CONCENTRADO!$C58,'ENE25'!F:F),"")</f>
        <v>0</v>
      </c>
      <c r="G58" s="211">
        <f>IFERROR(SUMIF('FEB25'!$E:$E,CONCENTRADO!$C58,'FEB25'!$F:$F),"")</f>
        <v>0</v>
      </c>
      <c r="H58" s="211">
        <f>IFERROR(SUMIF('MAR25'!$E:$E,CONCENTRADO!$C58,'MAR25'!$F:$F),"")</f>
        <v>0</v>
      </c>
      <c r="I58" s="211">
        <f>IFERROR(SUMIF('ABR25'!$E:$E,CONCENTRADO!$C58,'ABR25'!$F:$F),"")</f>
        <v>0</v>
      </c>
      <c r="J58" s="211">
        <f>IFERROR(SUMIF('MAY25'!$E:$E,CONCENTRADO!$C58,'MAY25'!$F:$F),"")</f>
        <v>0</v>
      </c>
      <c r="K58" s="211">
        <f>IFERROR(SUMIF('JUN25'!$E:$E,CONCENTRADO!$C58,'JUN25'!$F:$F),"")</f>
        <v>0</v>
      </c>
      <c r="L58" s="211">
        <f>IFERROR(SUMIF('JUL25'!$E:$E,CONCENTRADO!$C58,'JUL25'!$F:$F),"")</f>
        <v>4623.38</v>
      </c>
      <c r="M58" s="211">
        <f>IFERROR(SUMIF('AGO25'!$E:$E,CONCENTRADO!$C58,'AGO25'!$F:$F),"")</f>
        <v>0</v>
      </c>
      <c r="N58" s="211">
        <f>IFERROR(SUMIF('SEP25'!$E:$E,CONCENTRADO!$C58,'SEP25'!$F:$F),"")</f>
        <v>0</v>
      </c>
      <c r="O58" s="211">
        <f>IFERROR(SUMIF('OCT25'!$E:$E,CONCENTRADO!$C58,'OCT25'!$F:$F),"")</f>
        <v>0</v>
      </c>
      <c r="P58" s="211">
        <f>IFERROR(SUMIF('NOV25'!$E:$E,CONCENTRADO!$C58,'NOV25'!$F:$F),"")</f>
        <v>0</v>
      </c>
      <c r="Q58" s="211">
        <f>IFERROR(SUMIF('DIC25'!$E:$E,CONCENTRADO!$C58,'DIC25'!$K:$K),"")</f>
        <v>0</v>
      </c>
      <c r="R58" s="212">
        <f t="shared" si="1"/>
        <v>4623.38</v>
      </c>
      <c r="S58" s="213">
        <f t="shared" si="2"/>
        <v>-4623.38</v>
      </c>
      <c r="T58" s="223"/>
    </row>
    <row r="59" spans="1:20" s="215" customFormat="1" ht="15.75" customHeight="1" x14ac:dyDescent="0.3">
      <c r="A59" s="252"/>
      <c r="B59" s="252"/>
      <c r="C59" s="220" t="s">
        <v>79</v>
      </c>
      <c r="D59" s="221" t="s">
        <v>209</v>
      </c>
      <c r="E59" s="210"/>
      <c r="F59" s="211">
        <f>IFERROR(SUMIF('ENE25'!E:E,CONCENTRADO!$C59,'ENE25'!F:F),"")</f>
        <v>0</v>
      </c>
      <c r="G59" s="211">
        <f>IFERROR(SUMIF('FEB25'!$E:$E,CONCENTRADO!$C59,'FEB25'!$F:$F),"")</f>
        <v>0</v>
      </c>
      <c r="H59" s="211">
        <f>IFERROR(SUMIF('MAR25'!$E:$E,CONCENTRADO!$C59,'MAR25'!$F:$F),"")</f>
        <v>0</v>
      </c>
      <c r="I59" s="211">
        <f>IFERROR(SUMIF('ABR25'!$E:$E,CONCENTRADO!$C59,'ABR25'!$F:$F),"")</f>
        <v>0</v>
      </c>
      <c r="J59" s="211">
        <f>IFERROR(SUMIF('MAY25'!$E:$E,CONCENTRADO!$C59,'MAY25'!$F:$F),"")</f>
        <v>0</v>
      </c>
      <c r="K59" s="211">
        <f>IFERROR(SUMIF('JUN25'!$E:$E,CONCENTRADO!$C59,'JUN25'!$F:$F),"")</f>
        <v>1787.93</v>
      </c>
      <c r="L59" s="211">
        <f>IFERROR(SUMIF('JUL25'!$E:$E,CONCENTRADO!$C59,'JUL25'!$F:$F),"")</f>
        <v>0</v>
      </c>
      <c r="M59" s="211">
        <f>IFERROR(SUMIF('AGO25'!$E:$E,CONCENTRADO!$C59,'AGO25'!$F:$F),"")</f>
        <v>0</v>
      </c>
      <c r="N59" s="211">
        <f>IFERROR(SUMIF('SEP25'!$E:$E,CONCENTRADO!$C59,'SEP25'!$F:$F),"")</f>
        <v>0</v>
      </c>
      <c r="O59" s="211">
        <f>IFERROR(SUMIF('OCT25'!$E:$E,CONCENTRADO!$C59,'OCT25'!$F:$F),"")</f>
        <v>0</v>
      </c>
      <c r="P59" s="211">
        <f>IFERROR(SUMIF('NOV25'!$E:$E,CONCENTRADO!$C59,'NOV25'!$F:$F),"")</f>
        <v>0</v>
      </c>
      <c r="Q59" s="211">
        <f>IFERROR(SUMIF('DIC25'!$E:$E,CONCENTRADO!$C59,'DIC25'!$K:$K),"")</f>
        <v>0</v>
      </c>
      <c r="R59" s="212">
        <f t="shared" si="1"/>
        <v>1787.93</v>
      </c>
      <c r="S59" s="213">
        <f t="shared" si="2"/>
        <v>-1787.93</v>
      </c>
      <c r="T59" s="223"/>
    </row>
    <row r="60" spans="1:20" s="215" customFormat="1" ht="15.75" customHeight="1" x14ac:dyDescent="0.3">
      <c r="A60" s="252"/>
      <c r="B60" s="252"/>
      <c r="C60" s="220" t="s">
        <v>80</v>
      </c>
      <c r="D60" s="221" t="s">
        <v>210</v>
      </c>
      <c r="E60" s="210"/>
      <c r="F60" s="211">
        <f>IFERROR(SUMIF('ENE25'!E:E,CONCENTRADO!$C60,'ENE25'!F:F),"")</f>
        <v>164222.81</v>
      </c>
      <c r="G60" s="211">
        <f>IFERROR(SUMIF('FEB25'!$E:$E,CONCENTRADO!$C60,'FEB25'!$F:$F),"")</f>
        <v>69705.919999999998</v>
      </c>
      <c r="H60" s="211">
        <f>IFERROR(SUMIF('MAR25'!$E:$E,CONCENTRADO!$C60,'MAR25'!$F:$F),"")</f>
        <v>50535.54</v>
      </c>
      <c r="I60" s="211">
        <f>IFERROR(SUMIF('ABR25'!$E:$E,CONCENTRADO!$C60,'ABR25'!$F:$F),"")</f>
        <v>71832.45</v>
      </c>
      <c r="J60" s="211">
        <f>IFERROR(SUMIF('MAY25'!$E:$E,CONCENTRADO!$C60,'MAY25'!$F:$F),"")</f>
        <v>106898.73000000001</v>
      </c>
      <c r="K60" s="211">
        <f>IFERROR(SUMIF('JUN25'!$E:$E,CONCENTRADO!$C60,'JUN25'!$F:$F),"")</f>
        <v>70175.44</v>
      </c>
      <c r="L60" s="211">
        <f>IFERROR(SUMIF('JUL25'!$E:$E,CONCENTRADO!$C60,'JUL25'!$F:$F),"")</f>
        <v>69848.600000000006</v>
      </c>
      <c r="M60" s="211">
        <f>IFERROR(SUMIF('AGO25'!$E:$E,CONCENTRADO!$C60,'AGO25'!$F:$F),"")</f>
        <v>27443.68</v>
      </c>
      <c r="N60" s="211">
        <f>IFERROR(SUMIF('SEP25'!$E:$E,CONCENTRADO!$C60,'SEP25'!$F:$F),"")</f>
        <v>23400</v>
      </c>
      <c r="O60" s="211">
        <f>IFERROR(SUMIF('OCT25'!$E:$E,CONCENTRADO!$C60,'OCT25'!$F:$F),"")</f>
        <v>10000</v>
      </c>
      <c r="P60" s="211">
        <f>IFERROR(SUMIF('NOV25'!$E:$E,CONCENTRADO!$C60,'NOV25'!$F:$F),"")</f>
        <v>0</v>
      </c>
      <c r="Q60" s="211">
        <f>IFERROR(SUMIF('DIC25'!$E:$E,CONCENTRADO!$C60,'DIC25'!$K:$K),"")</f>
        <v>0</v>
      </c>
      <c r="R60" s="212">
        <f t="shared" si="1"/>
        <v>200867.72</v>
      </c>
      <c r="S60" s="213">
        <f t="shared" si="2"/>
        <v>-200867.72</v>
      </c>
      <c r="T60" s="223"/>
    </row>
    <row r="61" spans="1:20" s="215" customFormat="1" ht="15.75" customHeight="1" x14ac:dyDescent="0.3">
      <c r="A61" s="252"/>
      <c r="B61" s="252"/>
      <c r="C61" s="220" t="s">
        <v>81</v>
      </c>
      <c r="D61" s="221" t="s">
        <v>82</v>
      </c>
      <c r="E61" s="210"/>
      <c r="F61" s="211">
        <f>IFERROR(SUMIF('ENE25'!E:E,CONCENTRADO!$C61,'ENE25'!F:F),"")</f>
        <v>0</v>
      </c>
      <c r="G61" s="211">
        <f>IFERROR(SUMIF('FEB25'!$E:$E,CONCENTRADO!$C61,'FEB25'!$F:$F),"")</f>
        <v>0</v>
      </c>
      <c r="H61" s="211">
        <f>IFERROR(SUMIF('MAR25'!$E:$E,CONCENTRADO!$C61,'MAR25'!$F:$F),"")</f>
        <v>0</v>
      </c>
      <c r="I61" s="211">
        <f>IFERROR(SUMIF('ABR25'!$E:$E,CONCENTRADO!$C61,'ABR25'!$F:$F),"")</f>
        <v>0</v>
      </c>
      <c r="J61" s="211">
        <f>IFERROR(SUMIF('MAY25'!$E:$E,CONCENTRADO!$C61,'MAY25'!$F:$F),"")</f>
        <v>0</v>
      </c>
      <c r="K61" s="211">
        <f>IFERROR(SUMIF('JUN25'!$E:$E,CONCENTRADO!$C61,'JUN25'!$F:$F),"")</f>
        <v>0</v>
      </c>
      <c r="L61" s="211">
        <f>IFERROR(SUMIF('JUL25'!$E:$E,CONCENTRADO!$C61,'JUL25'!$F:$F),"")</f>
        <v>0</v>
      </c>
      <c r="M61" s="211">
        <f>IFERROR(SUMIF('AGO25'!$E:$E,CONCENTRADO!$C61,'AGO25'!$F:$F),"")</f>
        <v>23980</v>
      </c>
      <c r="N61" s="211">
        <f>IFERROR(SUMIF('SEP25'!$E:$E,CONCENTRADO!$C61,'SEP25'!$F:$F),"")</f>
        <v>0</v>
      </c>
      <c r="O61" s="211">
        <f>IFERROR(SUMIF('OCT25'!$E:$E,CONCENTRADO!$C61,'OCT25'!$F:$F),"")</f>
        <v>0</v>
      </c>
      <c r="P61" s="211">
        <f>IFERROR(SUMIF('NOV25'!$E:$E,CONCENTRADO!$C61,'NOV25'!$F:$F),"")</f>
        <v>0</v>
      </c>
      <c r="Q61" s="211">
        <f>IFERROR(SUMIF('DIC25'!$E:$E,CONCENTRADO!$C61,'DIC25'!$K:$K),"")</f>
        <v>0</v>
      </c>
      <c r="R61" s="212">
        <f t="shared" si="1"/>
        <v>23980</v>
      </c>
      <c r="S61" s="213">
        <f t="shared" si="2"/>
        <v>-23980</v>
      </c>
      <c r="T61" s="223"/>
    </row>
    <row r="62" spans="1:20" s="215" customFormat="1" ht="15.75" customHeight="1" x14ac:dyDescent="0.3">
      <c r="A62" s="252"/>
      <c r="B62" s="252"/>
      <c r="C62" s="220"/>
      <c r="D62" s="221"/>
      <c r="E62" s="210"/>
      <c r="F62" s="211">
        <f>IFERROR(SUMIF('ENE25'!E:E,CONCENTRADO!$C62,'ENE25'!F:F),"")</f>
        <v>0</v>
      </c>
      <c r="G62" s="211">
        <f>IFERROR(SUMIF('FEB25'!$E:$E,CONCENTRADO!$C62,'FEB25'!$F:$F),"")</f>
        <v>0</v>
      </c>
      <c r="H62" s="211">
        <f>IFERROR(SUMIF('MAR25'!$E:$E,CONCENTRADO!$C62,'MAR25'!$F:$F),"")</f>
        <v>0</v>
      </c>
      <c r="I62" s="211">
        <f>IFERROR(SUMIF('ABR25'!$E:$E,CONCENTRADO!$C62,'ABR25'!$F:$F),"")</f>
        <v>0</v>
      </c>
      <c r="J62" s="211">
        <f>IFERROR(SUMIF('MAY25'!$E:$E,CONCENTRADO!$C62,'MAY25'!$F:$F),"")</f>
        <v>0</v>
      </c>
      <c r="K62" s="211">
        <f>IFERROR(SUMIF('JUN25'!$E:$E,CONCENTRADO!$C62,'JUN25'!$F:$F),"")</f>
        <v>0</v>
      </c>
      <c r="L62" s="211">
        <f>IFERROR(SUMIF('JUL25'!$E:$E,CONCENTRADO!$C62,'JUL25'!$F:$F),"")</f>
        <v>0</v>
      </c>
      <c r="M62" s="211">
        <f>IFERROR(SUMIF('AGO25'!$E:$E,CONCENTRADO!$C62,'AGO25'!$F:$F),"")</f>
        <v>0</v>
      </c>
      <c r="N62" s="211">
        <f>IFERROR(SUMIF('SEP25'!$E:$E,CONCENTRADO!$C62,'SEP25'!$F:$F),"")</f>
        <v>0</v>
      </c>
      <c r="O62" s="211">
        <f>IFERROR(SUMIF('OCT25'!$E:$E,CONCENTRADO!$C62,'OCT25'!$F:$F),"")</f>
        <v>0</v>
      </c>
      <c r="P62" s="211">
        <f>IFERROR(SUMIF('NOV25'!$E:$E,CONCENTRADO!$C62,'NOV25'!$F:$F),"")</f>
        <v>0</v>
      </c>
      <c r="Q62" s="211">
        <f>IFERROR(SUMIF('DIC25'!$E:$E,CONCENTRADO!$C62,'DIC25'!$K:$K),"")</f>
        <v>0</v>
      </c>
      <c r="R62" s="212">
        <f t="shared" si="1"/>
        <v>0</v>
      </c>
      <c r="S62" s="213">
        <f t="shared" si="2"/>
        <v>0</v>
      </c>
      <c r="T62" s="223"/>
    </row>
    <row r="63" spans="1:20" s="215" customFormat="1" ht="15.75" customHeight="1" x14ac:dyDescent="0.3">
      <c r="A63" s="252"/>
      <c r="B63" s="252"/>
      <c r="C63" s="220"/>
      <c r="D63" s="221"/>
      <c r="E63" s="210"/>
      <c r="F63" s="211">
        <f>IFERROR(SUMIF('ENE25'!E:E,CONCENTRADO!$C63,'ENE25'!F:F),"")</f>
        <v>0</v>
      </c>
      <c r="G63" s="211">
        <f>IFERROR(SUMIF('FEB25'!$E:$E,CONCENTRADO!$C63,'FEB25'!$F:$F),"")</f>
        <v>0</v>
      </c>
      <c r="H63" s="211">
        <f>IFERROR(SUMIF('MAR25'!$E:$E,CONCENTRADO!$C63,'MAR25'!$F:$F),"")</f>
        <v>0</v>
      </c>
      <c r="I63" s="211">
        <f>IFERROR(SUMIF('ABR25'!$E:$E,CONCENTRADO!$C63,'ABR25'!$F:$F),"")</f>
        <v>0</v>
      </c>
      <c r="J63" s="211">
        <f>IFERROR(SUMIF('MAY25'!$E:$E,CONCENTRADO!$C63,'MAY25'!$F:$F),"")</f>
        <v>0</v>
      </c>
      <c r="K63" s="211">
        <f>IFERROR(SUMIF('JUN25'!$E:$E,CONCENTRADO!$C63,'JUN25'!$F:$F),"")</f>
        <v>0</v>
      </c>
      <c r="L63" s="211">
        <f>IFERROR(SUMIF('JUL25'!$E:$E,CONCENTRADO!$C63,'JUL25'!$F:$F),"")</f>
        <v>0</v>
      </c>
      <c r="M63" s="211">
        <f>IFERROR(SUMIF('AGO25'!$E:$E,CONCENTRADO!$C63,'AGO25'!$F:$F),"")</f>
        <v>0</v>
      </c>
      <c r="N63" s="211">
        <f>IFERROR(SUMIF('SEP25'!$E:$E,CONCENTRADO!$C63,'SEP25'!$F:$F),"")</f>
        <v>0</v>
      </c>
      <c r="O63" s="211">
        <f>IFERROR(SUMIF('OCT25'!$E:$E,CONCENTRADO!$C63,'OCT25'!$F:$F),"")</f>
        <v>0</v>
      </c>
      <c r="P63" s="211">
        <f>IFERROR(SUMIF('NOV25'!$E:$E,CONCENTRADO!$C63,'NOV25'!$F:$F),"")</f>
        <v>0</v>
      </c>
      <c r="Q63" s="211">
        <f>IFERROR(SUMIF('DIC25'!$E:$E,CONCENTRADO!$C63,'DIC25'!$K:$K),"")</f>
        <v>0</v>
      </c>
      <c r="R63" s="212">
        <f t="shared" si="1"/>
        <v>0</v>
      </c>
      <c r="S63" s="213">
        <f t="shared" si="2"/>
        <v>0</v>
      </c>
      <c r="T63" s="223"/>
    </row>
    <row r="64" spans="1:20" s="215" customFormat="1" ht="15.75" customHeight="1" x14ac:dyDescent="0.3">
      <c r="A64" s="253"/>
      <c r="B64" s="253"/>
      <c r="C64" s="220"/>
      <c r="D64" s="221"/>
      <c r="E64" s="210"/>
      <c r="F64" s="211">
        <f>IFERROR(SUMIF('ENE25'!E:E,CONCENTRADO!$C64,'ENE25'!F:F),"")</f>
        <v>0</v>
      </c>
      <c r="G64" s="211">
        <f>IFERROR(SUMIF('FEB25'!$E:$E,CONCENTRADO!$C64,'FEB25'!$F:$F),"")</f>
        <v>0</v>
      </c>
      <c r="H64" s="211">
        <f>IFERROR(SUMIF('MAR25'!$E:$E,CONCENTRADO!$C64,'MAR25'!$F:$F),"")</f>
        <v>0</v>
      </c>
      <c r="I64" s="211">
        <f>IFERROR(SUMIF('ABR25'!$E:$E,CONCENTRADO!$C64,'ABR25'!$F:$F),"")</f>
        <v>0</v>
      </c>
      <c r="J64" s="211">
        <f>IFERROR(SUMIF('MAY25'!$E:$E,CONCENTRADO!$C64,'MAY25'!$F:$F),"")</f>
        <v>0</v>
      </c>
      <c r="K64" s="211">
        <f>IFERROR(SUMIF('JUN25'!$E:$E,CONCENTRADO!$C64,'JUN25'!$F:$F),"")</f>
        <v>0</v>
      </c>
      <c r="L64" s="211">
        <f>IFERROR(SUMIF('JUL25'!$E:$E,CONCENTRADO!$C64,'JUL25'!$F:$F),"")</f>
        <v>0</v>
      </c>
      <c r="M64" s="211">
        <f>IFERROR(SUMIF('AGO25'!$E:$E,CONCENTRADO!$C64,'AGO25'!$F:$F),"")</f>
        <v>0</v>
      </c>
      <c r="N64" s="211">
        <f>IFERROR(SUMIF('SEP25'!$E:$E,CONCENTRADO!$C64,'SEP25'!$F:$F),"")</f>
        <v>0</v>
      </c>
      <c r="O64" s="211">
        <f>IFERROR(SUMIF('OCT25'!$E:$E,CONCENTRADO!$C64,'OCT25'!$F:$F),"")</f>
        <v>0</v>
      </c>
      <c r="P64" s="211">
        <f>IFERROR(SUMIF('NOV25'!$E:$E,CONCENTRADO!$C64,'NOV25'!$F:$F),"")</f>
        <v>0</v>
      </c>
      <c r="Q64" s="211">
        <f>IFERROR(SUMIF('DIC25'!$E:$E,CONCENTRADO!$C64,'DIC25'!$K:$K),"")</f>
        <v>0</v>
      </c>
      <c r="R64" s="212">
        <f t="shared" si="1"/>
        <v>0</v>
      </c>
      <c r="S64" s="213">
        <f t="shared" si="2"/>
        <v>0</v>
      </c>
      <c r="T64" s="223"/>
    </row>
    <row r="65" spans="1:21" s="215" customFormat="1" ht="15.75" customHeight="1" x14ac:dyDescent="0.3">
      <c r="A65" s="251" t="s">
        <v>83</v>
      </c>
      <c r="B65" s="251" t="s">
        <v>84</v>
      </c>
      <c r="C65" s="220" t="s">
        <v>85</v>
      </c>
      <c r="D65" s="221" t="s">
        <v>86</v>
      </c>
      <c r="E65" s="210"/>
      <c r="F65" s="211">
        <f>IFERROR(SUMIF('ENE25'!E:E,CONCENTRADO!$C65,'ENE25'!F:F),"")</f>
        <v>0</v>
      </c>
      <c r="G65" s="211">
        <f>IFERROR(SUMIF('FEB25'!$E:$E,CONCENTRADO!$C65,'FEB25'!$F:$F),"")</f>
        <v>0</v>
      </c>
      <c r="H65" s="211">
        <f>IFERROR(SUMIF('MAR25'!$E:$E,CONCENTRADO!$C65,'MAR25'!$F:$F),"")</f>
        <v>10330.86</v>
      </c>
      <c r="I65" s="211">
        <f>IFERROR(SUMIF('ABR25'!$E:$E,CONCENTRADO!$C65,'ABR25'!$F:$F),"")</f>
        <v>0</v>
      </c>
      <c r="J65" s="211">
        <f>IFERROR(SUMIF('MAY25'!$E:$E,CONCENTRADO!$C65,'MAY25'!$F:$F),"")</f>
        <v>0</v>
      </c>
      <c r="K65" s="211">
        <f>IFERROR(SUMIF('JUN25'!$E:$E,CONCENTRADO!$C65,'JUN25'!$F:$F),"")</f>
        <v>0</v>
      </c>
      <c r="L65" s="211">
        <f>IFERROR(SUMIF('JUL25'!$E:$E,CONCENTRADO!$C65,'JUL25'!$F:$F),"")</f>
        <v>0</v>
      </c>
      <c r="M65" s="211">
        <f>IFERROR(SUMIF('AGO25'!$E:$E,CONCENTRADO!$C65,'AGO25'!$F:$F),"")</f>
        <v>0</v>
      </c>
      <c r="N65" s="211">
        <f>IFERROR(SUMIF('SEP25'!$E:$E,CONCENTRADO!$C65,'SEP25'!$F:$F),"")</f>
        <v>0</v>
      </c>
      <c r="O65" s="211">
        <f>IFERROR(SUMIF('OCT25'!$E:$E,CONCENTRADO!$C65,'OCT25'!$F:$F),"")</f>
        <v>0</v>
      </c>
      <c r="P65" s="211">
        <f>IFERROR(SUMIF('NOV25'!$E:$E,CONCENTRADO!$C65,'NOV25'!$F:$F),"")</f>
        <v>0</v>
      </c>
      <c r="Q65" s="211">
        <f>IFERROR(SUMIF('DIC25'!$E:$E,CONCENTRADO!$C65,'DIC25'!$K:$K),"")</f>
        <v>0</v>
      </c>
      <c r="R65" s="212">
        <f t="shared" si="1"/>
        <v>0</v>
      </c>
      <c r="S65" s="213">
        <f t="shared" si="2"/>
        <v>0</v>
      </c>
      <c r="T65" s="223"/>
    </row>
    <row r="66" spans="1:21" s="215" customFormat="1" ht="15.75" customHeight="1" x14ac:dyDescent="0.3">
      <c r="A66" s="252"/>
      <c r="B66" s="252"/>
      <c r="C66" s="220" t="s">
        <v>87</v>
      </c>
      <c r="D66" s="221" t="s">
        <v>88</v>
      </c>
      <c r="E66" s="210"/>
      <c r="F66" s="211">
        <f>IFERROR(SUMIF('ENE25'!E:E,CONCENTRADO!$C66,'ENE25'!F:F),"")</f>
        <v>41918.899999999994</v>
      </c>
      <c r="G66" s="211">
        <f>IFERROR(SUMIF('FEB25'!$E:$E,CONCENTRADO!$C66,'FEB25'!$F:$F),"")</f>
        <v>7000</v>
      </c>
      <c r="H66" s="211">
        <f>IFERROR(SUMIF('MAR25'!$E:$E,CONCENTRADO!$C66,'MAR25'!$F:$F),"")</f>
        <v>1654.79</v>
      </c>
      <c r="I66" s="211">
        <f>IFERROR(SUMIF('ABR25'!$E:$E,CONCENTRADO!$C66,'ABR25'!$F:$F),"")</f>
        <v>1612.27</v>
      </c>
      <c r="J66" s="211">
        <f>IFERROR(SUMIF('MAY25'!$E:$E,CONCENTRADO!$C66,'MAY25'!$F:$F),"")</f>
        <v>0</v>
      </c>
      <c r="K66" s="211">
        <f>IFERROR(SUMIF('JUN25'!$E:$E,CONCENTRADO!$C66,'JUN25'!$F:$F),"")</f>
        <v>7512.7800000000007</v>
      </c>
      <c r="L66" s="211">
        <f>IFERROR(SUMIF('JUL25'!$E:$E,CONCENTRADO!$C66,'JUL25'!$F:$F),"")</f>
        <v>0</v>
      </c>
      <c r="M66" s="211">
        <f>IFERROR(SUMIF('AGO25'!$E:$E,CONCENTRADO!$C66,'AGO25'!$F:$F),"")</f>
        <v>0</v>
      </c>
      <c r="N66" s="211">
        <f>IFERROR(SUMIF('SEP25'!$E:$E,CONCENTRADO!$C66,'SEP25'!$F:$F),"")</f>
        <v>25000</v>
      </c>
      <c r="O66" s="211">
        <f>IFERROR(SUMIF('OCT25'!$E:$E,CONCENTRADO!$C66,'OCT25'!$F:$F),"")</f>
        <v>25000</v>
      </c>
      <c r="P66" s="211">
        <f>IFERROR(SUMIF('NOV25'!$E:$E,CONCENTRADO!$C66,'NOV25'!$F:$F),"")</f>
        <v>961.18000000000006</v>
      </c>
      <c r="Q66" s="211">
        <f>IFERROR(SUMIF('DIC25'!$E:$E,CONCENTRADO!$C66,'DIC25'!$K:$K),"")</f>
        <v>0</v>
      </c>
      <c r="R66" s="212">
        <f t="shared" si="1"/>
        <v>58473.96</v>
      </c>
      <c r="S66" s="213">
        <f t="shared" si="2"/>
        <v>-58473.96</v>
      </c>
      <c r="T66" s="223"/>
    </row>
    <row r="67" spans="1:21" s="215" customFormat="1" ht="15.75" customHeight="1" x14ac:dyDescent="0.3">
      <c r="A67" s="253"/>
      <c r="B67" s="253"/>
      <c r="C67" s="220"/>
      <c r="D67" s="221"/>
      <c r="E67" s="210"/>
      <c r="F67" s="211">
        <f>IFERROR(SUMIF('ENE25'!E:E,CONCENTRADO!$C67,'ENE25'!F:F),"")</f>
        <v>0</v>
      </c>
      <c r="G67" s="211">
        <f>IFERROR(SUMIF('FEB25'!$E:$E,CONCENTRADO!$C67,'FEB25'!$F:$F),"")</f>
        <v>0</v>
      </c>
      <c r="H67" s="211">
        <f>IFERROR(SUMIF('MAR25'!$E:$E,CONCENTRADO!$C67,'MAR25'!$F:$F),"")</f>
        <v>0</v>
      </c>
      <c r="I67" s="211">
        <f>IFERROR(SUMIF('ABR25'!$E:$E,CONCENTRADO!$C67,'ABR25'!$F:$F),"")</f>
        <v>0</v>
      </c>
      <c r="J67" s="211">
        <f>IFERROR(SUMIF('MAY25'!$E:$E,CONCENTRADO!$C67,'MAY25'!$F:$F),"")</f>
        <v>0</v>
      </c>
      <c r="K67" s="211">
        <f>IFERROR(SUMIF('JUN25'!$E:$E,CONCENTRADO!$C67,'JUN25'!$F:$F),"")</f>
        <v>0</v>
      </c>
      <c r="L67" s="211">
        <f>IFERROR(SUMIF('JUL25'!$E:$E,CONCENTRADO!$C67,'JUL25'!$F:$F),"")</f>
        <v>0</v>
      </c>
      <c r="M67" s="211">
        <f>IFERROR(SUMIF('AGO25'!$E:$E,CONCENTRADO!$C67,'AGO25'!$F:$F),"")</f>
        <v>0</v>
      </c>
      <c r="N67" s="211">
        <f>IFERROR(SUMIF('SEP25'!$E:$E,CONCENTRADO!$C67,'SEP25'!$F:$F),"")</f>
        <v>0</v>
      </c>
      <c r="O67" s="211">
        <f>IFERROR(SUMIF('OCT25'!$E:$E,CONCENTRADO!$C67,'OCT25'!$F:$F),"")</f>
        <v>0</v>
      </c>
      <c r="P67" s="211">
        <f>IFERROR(SUMIF('NOV25'!$E:$E,CONCENTRADO!$C67,'NOV25'!$F:$F),"")</f>
        <v>0</v>
      </c>
      <c r="Q67" s="211">
        <f>IFERROR(SUMIF('DIC25'!$E:$E,CONCENTRADO!$C67,'DIC25'!$K:$K),"")</f>
        <v>0</v>
      </c>
      <c r="R67" s="212">
        <f t="shared" ref="R67:R74" si="3">SUM(K67:Q67)</f>
        <v>0</v>
      </c>
      <c r="S67" s="213">
        <f t="shared" ref="S67:S74" si="4">$E67-$R67</f>
        <v>0</v>
      </c>
      <c r="T67" s="223"/>
    </row>
    <row r="68" spans="1:21" s="215" customFormat="1" ht="16.5" customHeight="1" x14ac:dyDescent="0.3">
      <c r="A68" s="251" t="s">
        <v>89</v>
      </c>
      <c r="B68" s="251" t="s">
        <v>90</v>
      </c>
      <c r="C68" s="220" t="s">
        <v>136</v>
      </c>
      <c r="D68" s="221" t="s">
        <v>198</v>
      </c>
      <c r="E68" s="210"/>
      <c r="F68" s="211">
        <f>IFERROR(SUMIF('ENE25'!E:E,CONCENTRADO!$C68,'ENE25'!F:F),"")</f>
        <v>20444.599999999999</v>
      </c>
      <c r="G68" s="211">
        <f>IFERROR(SUMIF('FEB25'!$E:$E,CONCENTRADO!$C68,'FEB25'!$F:$F),"")</f>
        <v>12823.63</v>
      </c>
      <c r="H68" s="211">
        <f>IFERROR(SUMIF('MAR25'!$E:$E,CONCENTRADO!$C68,'MAR25'!$F:$F),"")</f>
        <v>6754.6600000000017</v>
      </c>
      <c r="I68" s="211">
        <f>IFERROR(SUMIF('ABR25'!$E:$E,CONCENTRADO!$C68,'ABR25'!$F:$F),"")</f>
        <v>16545.949999999997</v>
      </c>
      <c r="J68" s="211">
        <f>IFERROR(SUMIF('MAY25'!$E:$E,CONCENTRADO!$C68,'MAY25'!$F:$F),"")</f>
        <v>2418.6999999999994</v>
      </c>
      <c r="K68" s="211">
        <f>IFERROR(SUMIF('JUN25'!$E:$E,CONCENTRADO!$C68,'JUN25'!$F:$F),"")</f>
        <v>1109.0999999999999</v>
      </c>
      <c r="L68" s="211">
        <f>IFERROR(SUMIF('JUL25'!$E:$E,CONCENTRADO!$C68,'JUL25'!$F:$F),"")</f>
        <v>775.08</v>
      </c>
      <c r="M68" s="211">
        <f>IFERROR(SUMIF('AGO25'!$E:$E,CONCENTRADO!$C68,'AGO25'!$F:$F),"")</f>
        <v>4951.16</v>
      </c>
      <c r="N68" s="211">
        <f>IFERROR(SUMIF('SEP25'!$E:$E,CONCENTRADO!$C68,'SEP25'!$F:$F),"")</f>
        <v>2031.89</v>
      </c>
      <c r="O68" s="211">
        <f>IFERROR(SUMIF('OCT25'!$E:$E,CONCENTRADO!$C68,'OCT25'!$F:$F),"")</f>
        <v>0</v>
      </c>
      <c r="P68" s="211">
        <f>IFERROR(SUMIF('NOV25'!$E:$E,CONCENTRADO!$C68,'NOV25'!$F:$F),"")</f>
        <v>0</v>
      </c>
      <c r="Q68" s="211">
        <f>IFERROR(SUMIF('DIC25'!$E:$E,CONCENTRADO!$C68,'DIC25'!$K:$K),"")</f>
        <v>0</v>
      </c>
      <c r="R68" s="212">
        <f t="shared" si="3"/>
        <v>8867.23</v>
      </c>
      <c r="S68" s="213">
        <f t="shared" si="4"/>
        <v>-8867.23</v>
      </c>
      <c r="T68" s="223"/>
    </row>
    <row r="69" spans="1:21" s="215" customFormat="1" ht="16.5" customHeight="1" x14ac:dyDescent="0.3">
      <c r="A69" s="252"/>
      <c r="B69" s="252"/>
      <c r="C69" s="225" t="s">
        <v>119</v>
      </c>
      <c r="D69" s="221" t="s">
        <v>199</v>
      </c>
      <c r="E69" s="210"/>
      <c r="F69" s="211">
        <f>IFERROR(SUMIF('ENE25'!E:E,CONCENTRADO!$C69,'ENE25'!F:F),"")</f>
        <v>26715.55</v>
      </c>
      <c r="G69" s="211">
        <f>IFERROR(SUMIF('FEB25'!$E:$E,CONCENTRADO!$C69,'FEB25'!$F:$F),"")</f>
        <v>10900</v>
      </c>
      <c r="H69" s="211">
        <f>IFERROR(SUMIF('MAR25'!$E:$E,CONCENTRADO!$C69,'MAR25'!$F:$F),"")</f>
        <v>39181.35</v>
      </c>
      <c r="I69" s="211">
        <f>IFERROR(SUMIF('ABR25'!$E:$E,CONCENTRADO!$C69,'ABR25'!$F:$F),"")</f>
        <v>7846.68</v>
      </c>
      <c r="J69" s="211">
        <f>IFERROR(SUMIF('MAY25'!$E:$E,CONCENTRADO!$C69,'MAY25'!$F:$F),"")</f>
        <v>17982.73</v>
      </c>
      <c r="K69" s="211">
        <f>IFERROR(SUMIF('JUN25'!$E:$E,CONCENTRADO!$C69,'JUN25'!$F:$F),"")</f>
        <v>43339.659999999996</v>
      </c>
      <c r="L69" s="211">
        <f>IFERROR(SUMIF('JUL25'!$E:$E,CONCENTRADO!$C69,'JUL25'!$F:$F),"")</f>
        <v>23867.3</v>
      </c>
      <c r="M69" s="211">
        <f>IFERROR(SUMIF('AGO25'!$E:$E,CONCENTRADO!$C69,'AGO25'!$F:$F),"")</f>
        <v>14312.24</v>
      </c>
      <c r="N69" s="211">
        <f>IFERROR(SUMIF('SEP25'!$E:$E,CONCENTRADO!$C69,'SEP25'!$F:$F),"")</f>
        <v>57491.729999999989</v>
      </c>
      <c r="O69" s="211">
        <f>IFERROR(SUMIF('OCT25'!$E:$E,CONCENTRADO!$C69,'OCT25'!$F:$F),"")</f>
        <v>66714.299999999988</v>
      </c>
      <c r="P69" s="211">
        <f>IFERROR(SUMIF('NOV25'!$E:$E,CONCENTRADO!$C69,'NOV25'!$F:$F),"")</f>
        <v>0</v>
      </c>
      <c r="Q69" s="211">
        <f>IFERROR(SUMIF('DIC25'!$E:$E,CONCENTRADO!$C69,'DIC25'!$K:$K),"")</f>
        <v>0</v>
      </c>
      <c r="R69" s="212">
        <f t="shared" si="3"/>
        <v>205725.22999999998</v>
      </c>
      <c r="S69" s="213">
        <f t="shared" si="4"/>
        <v>-205725.22999999998</v>
      </c>
      <c r="T69" s="223"/>
    </row>
    <row r="70" spans="1:21" s="215" customFormat="1" ht="16.5" customHeight="1" x14ac:dyDescent="0.3">
      <c r="A70" s="252"/>
      <c r="B70" s="252"/>
      <c r="C70" s="225" t="s">
        <v>171</v>
      </c>
      <c r="D70" s="221" t="s">
        <v>200</v>
      </c>
      <c r="E70" s="210"/>
      <c r="F70" s="211">
        <f>IFERROR(SUMIF('ENE25'!E:E,CONCENTRADO!$C70,'ENE25'!F:F),"")</f>
        <v>0</v>
      </c>
      <c r="G70" s="211">
        <f>IFERROR(SUMIF('FEB25'!$E:$E,CONCENTRADO!$C70,'FEB25'!$F:$F),"")</f>
        <v>0</v>
      </c>
      <c r="H70" s="211">
        <f>IFERROR(SUMIF('MAR25'!$E:$E,CONCENTRADO!$C70,'MAR25'!$F:$F),"")</f>
        <v>0</v>
      </c>
      <c r="I70" s="211">
        <f>IFERROR(SUMIF('ABR25'!$E:$E,CONCENTRADO!$C70,'ABR25'!$F:$F),"")</f>
        <v>0</v>
      </c>
      <c r="J70" s="211">
        <f>IFERROR(SUMIF('MAY25'!$E:$E,CONCENTRADO!$C70,'MAY25'!$F:$F),"")</f>
        <v>0</v>
      </c>
      <c r="K70" s="211">
        <f>IFERROR(SUMIF('JUN25'!$E:$E,CONCENTRADO!$C70,'JUN25'!$F:$F),"")</f>
        <v>0</v>
      </c>
      <c r="L70" s="211">
        <f>IFERROR(SUMIF('JUL25'!$E:$E,CONCENTRADO!$C70,'JUL25'!$F:$F),"")</f>
        <v>45307.57</v>
      </c>
      <c r="M70" s="211">
        <f>IFERROR(SUMIF('AGO25'!$E:$E,CONCENTRADO!$C70,'AGO25'!$F:$F),"")</f>
        <v>0</v>
      </c>
      <c r="N70" s="211">
        <f>IFERROR(SUMIF('SEP25'!$E:$E,CONCENTRADO!$C70,'SEP25'!$F:$F),"")</f>
        <v>0</v>
      </c>
      <c r="O70" s="211">
        <f>IFERROR(SUMIF('OCT25'!$E:$E,CONCENTRADO!$C70,'OCT25'!$F:$F),"")</f>
        <v>0</v>
      </c>
      <c r="P70" s="211">
        <f>IFERROR(SUMIF('NOV25'!$E:$E,CONCENTRADO!$C70,'NOV25'!$F:$F),"")</f>
        <v>0</v>
      </c>
      <c r="Q70" s="211">
        <f>IFERROR(SUMIF('DIC25'!$E:$E,CONCENTRADO!$C70,'DIC25'!$K:$K),"")</f>
        <v>0</v>
      </c>
      <c r="R70" s="212">
        <f t="shared" si="3"/>
        <v>45307.57</v>
      </c>
      <c r="S70" s="213">
        <f t="shared" si="4"/>
        <v>-45307.57</v>
      </c>
      <c r="T70" s="223"/>
    </row>
    <row r="71" spans="1:21" s="215" customFormat="1" ht="15.75" customHeight="1" x14ac:dyDescent="0.3">
      <c r="A71" s="253"/>
      <c r="B71" s="253"/>
      <c r="C71" s="225"/>
      <c r="D71" s="221"/>
      <c r="E71" s="210"/>
      <c r="F71" s="211">
        <f>IFERROR(SUMIF('ENE25'!E:E,CONCENTRADO!$C71,'ENE25'!F:F),"")</f>
        <v>0</v>
      </c>
      <c r="G71" s="211">
        <f>IFERROR(SUMIF('FEB25'!$E:$E,CONCENTRADO!$C71,'FEB25'!$F:$F),"")</f>
        <v>0</v>
      </c>
      <c r="H71" s="211">
        <f>IFERROR(SUMIF('MAR25'!$E:$E,CONCENTRADO!$C71,'MAR25'!$F:$F),"")</f>
        <v>0</v>
      </c>
      <c r="I71" s="211">
        <f>IFERROR(SUMIF('ABR25'!$E:$E,CONCENTRADO!$C71,'ABR25'!$F:$F),"")</f>
        <v>0</v>
      </c>
      <c r="J71" s="211">
        <f>IFERROR(SUMIF('MAY25'!$E:$E,CONCENTRADO!$C71,'MAY25'!$F:$F),"")</f>
        <v>0</v>
      </c>
      <c r="K71" s="211">
        <f>IFERROR(SUMIF('JUN25'!$E:$E,CONCENTRADO!$C71,'JUN25'!$F:$F),"")</f>
        <v>0</v>
      </c>
      <c r="L71" s="211">
        <f>IFERROR(SUMIF('JUL25'!$E:$E,CONCENTRADO!$C71,'JUL25'!$F:$F),"")</f>
        <v>0</v>
      </c>
      <c r="M71" s="211">
        <f>IFERROR(SUMIF('AGO25'!$E:$E,CONCENTRADO!$C71,'AGO25'!$F:$F),"")</f>
        <v>0</v>
      </c>
      <c r="N71" s="211">
        <f>IFERROR(SUMIF('SEP25'!$E:$E,CONCENTRADO!$C71,'SEP25'!$F:$F),"")</f>
        <v>0</v>
      </c>
      <c r="O71" s="211">
        <f>IFERROR(SUMIF('OCT25'!$E:$E,CONCENTRADO!$C71,'OCT25'!$F:$F),"")</f>
        <v>0</v>
      </c>
      <c r="P71" s="211">
        <f>IFERROR(SUMIF('NOV25'!$E:$E,CONCENTRADO!$C71,'NOV25'!$F:$F),"")</f>
        <v>0</v>
      </c>
      <c r="Q71" s="211">
        <f>IFERROR(SUMIF('DIC25'!$E:$E,CONCENTRADO!$C71,'DIC25'!$K:$K),"")</f>
        <v>0</v>
      </c>
      <c r="R71" s="212">
        <f t="shared" si="3"/>
        <v>0</v>
      </c>
      <c r="S71" s="213">
        <f t="shared" si="4"/>
        <v>0</v>
      </c>
      <c r="T71" s="223"/>
    </row>
    <row r="72" spans="1:21" s="215" customFormat="1" ht="15.75" customHeight="1" x14ac:dyDescent="0.3">
      <c r="A72" s="245" t="s">
        <v>91</v>
      </c>
      <c r="B72" s="245" t="s">
        <v>92</v>
      </c>
      <c r="C72" s="225" t="s">
        <v>93</v>
      </c>
      <c r="D72" s="221" t="s">
        <v>94</v>
      </c>
      <c r="E72" s="210"/>
      <c r="F72" s="211">
        <f>IFERROR(SUMIF('ENE25'!E:E,CONCENTRADO!$C72,'ENE25'!F:F),"")</f>
        <v>0</v>
      </c>
      <c r="G72" s="211">
        <f>IFERROR(SUMIF('FEB25'!$E:$E,CONCENTRADO!$C72,'FEB25'!$F:$F),"")</f>
        <v>0</v>
      </c>
      <c r="H72" s="211">
        <f>IFERROR(SUMIF('MAR25'!$E:$E,CONCENTRADO!$C72,'MAR25'!$F:$F),"")</f>
        <v>0</v>
      </c>
      <c r="I72" s="211">
        <f>IFERROR(SUMIF('ABR25'!$E:$E,CONCENTRADO!$C72,'ABR25'!$F:$F),"")</f>
        <v>0</v>
      </c>
      <c r="J72" s="211">
        <f>IFERROR(SUMIF('MAY25'!$E:$E,CONCENTRADO!$C72,'MAY25'!$F:$F),"")</f>
        <v>800</v>
      </c>
      <c r="K72" s="211">
        <f>IFERROR(SUMIF('JUN25'!$E:$E,CONCENTRADO!$C72,'JUN25'!$F:$F),"")</f>
        <v>0</v>
      </c>
      <c r="L72" s="211">
        <f>IFERROR(SUMIF('JUL25'!$E:$E,CONCENTRADO!$C72,'JUL25'!$F:$F),"")</f>
        <v>0</v>
      </c>
      <c r="M72" s="211">
        <f>IFERROR(SUMIF('AGO25'!$E:$E,CONCENTRADO!$C72,'AGO25'!$F:$F),"")</f>
        <v>0</v>
      </c>
      <c r="N72" s="211">
        <f>IFERROR(SUMIF('SEP25'!$E:$E,CONCENTRADO!$C72,'SEP25'!$F:$F),"")</f>
        <v>0</v>
      </c>
      <c r="O72" s="211">
        <f>IFERROR(SUMIF('OCT25'!$E:$E,CONCENTRADO!$C72,'OCT25'!$F:$F),"")</f>
        <v>0</v>
      </c>
      <c r="P72" s="211">
        <f>IFERROR(SUMIF('NOV25'!$E:$E,CONCENTRADO!$C72,'NOV25'!$F:$F),"")</f>
        <v>3750</v>
      </c>
      <c r="Q72" s="211">
        <f>IFERROR(SUMIF('DIC25'!$E:$E,CONCENTRADO!$C72,'DIC25'!$K:$K),"")</f>
        <v>0</v>
      </c>
      <c r="R72" s="212">
        <f t="shared" si="3"/>
        <v>3750</v>
      </c>
      <c r="S72" s="213">
        <f t="shared" si="4"/>
        <v>-3750</v>
      </c>
      <c r="T72" s="223"/>
    </row>
    <row r="73" spans="1:21" s="215" customFormat="1" ht="15.75" customHeight="1" x14ac:dyDescent="0.3">
      <c r="A73" s="252"/>
      <c r="B73" s="252"/>
      <c r="C73" s="225" t="s">
        <v>95</v>
      </c>
      <c r="D73" s="221" t="s">
        <v>96</v>
      </c>
      <c r="E73" s="210"/>
      <c r="F73" s="211">
        <f>IFERROR(SUMIF('ENE25'!E:E,CONCENTRADO!$C73,'ENE25'!F:F),"")</f>
        <v>400</v>
      </c>
      <c r="G73" s="211">
        <f>IFERROR(SUMIF('FEB25'!$E:$E,CONCENTRADO!$C73,'FEB25'!$F:$F),"")</f>
        <v>0</v>
      </c>
      <c r="H73" s="211">
        <f>IFERROR(SUMIF('MAR25'!$E:$E,CONCENTRADO!$C73,'MAR25'!$F:$F),"")</f>
        <v>0</v>
      </c>
      <c r="I73" s="211">
        <f>IFERROR(SUMIF('ABR25'!$E:$E,CONCENTRADO!$C73,'ABR25'!$F:$F),"")</f>
        <v>0</v>
      </c>
      <c r="J73" s="211">
        <f>IFERROR(SUMIF('MAY25'!$E:$E,CONCENTRADO!$C73,'MAY25'!$F:$F),"")</f>
        <v>500</v>
      </c>
      <c r="K73" s="211">
        <f>IFERROR(SUMIF('JUN25'!$E:$E,CONCENTRADO!$C73,'JUN25'!$F:$F),"")</f>
        <v>0</v>
      </c>
      <c r="L73" s="211">
        <f>IFERROR(SUMIF('JUL25'!$E:$E,CONCENTRADO!$C73,'JUL25'!$F:$F),"")</f>
        <v>0</v>
      </c>
      <c r="M73" s="211">
        <f>IFERROR(SUMIF('AGO25'!$E:$E,CONCENTRADO!$C73,'AGO25'!$F:$F),"")</f>
        <v>0</v>
      </c>
      <c r="N73" s="211">
        <f>IFERROR(SUMIF('SEP25'!$E:$E,CONCENTRADO!$C73,'SEP25'!$F:$F),"")</f>
        <v>1400</v>
      </c>
      <c r="O73" s="211">
        <f>IFERROR(SUMIF('OCT25'!$E:$E,CONCENTRADO!$C73,'OCT25'!$F:$F),"")</f>
        <v>0</v>
      </c>
      <c r="P73" s="211">
        <f>IFERROR(SUMIF('NOV25'!$E:$E,CONCENTRADO!$C73,'NOV25'!$F:$F),"")</f>
        <v>2250</v>
      </c>
      <c r="Q73" s="211">
        <f>IFERROR(SUMIF('DIC25'!$E:$E,CONCENTRADO!$C73,'DIC25'!$K:$K),"")</f>
        <v>0</v>
      </c>
      <c r="R73" s="212">
        <f t="shared" si="3"/>
        <v>3650</v>
      </c>
      <c r="S73" s="213">
        <f t="shared" si="4"/>
        <v>-3650</v>
      </c>
      <c r="T73" s="223"/>
    </row>
    <row r="74" spans="1:21" s="215" customFormat="1" ht="15.75" customHeight="1" x14ac:dyDescent="0.3">
      <c r="A74" s="253"/>
      <c r="B74" s="253"/>
      <c r="C74" s="225" t="s">
        <v>97</v>
      </c>
      <c r="D74" s="221" t="s">
        <v>98</v>
      </c>
      <c r="E74" s="210"/>
      <c r="F74" s="211">
        <f>IFERROR(SUMIF('ENE25'!E:E,CONCENTRADO!$C74,'ENE25'!F:F),"")</f>
        <v>348</v>
      </c>
      <c r="G74" s="211">
        <f>IFERROR(SUMIF('FEB25'!$E:$E,CONCENTRADO!$C74,'FEB25'!$F:$F),"")</f>
        <v>1200</v>
      </c>
      <c r="H74" s="211">
        <f>IFERROR(SUMIF('MAR25'!$E:$E,CONCENTRADO!$C74,'MAR25'!$F:$F),"")</f>
        <v>800</v>
      </c>
      <c r="I74" s="211">
        <f>IFERROR(SUMIF('ABR25'!$E:$E,CONCENTRADO!$C74,'ABR25'!$F:$F),"")</f>
        <v>1826.5</v>
      </c>
      <c r="J74" s="211">
        <f>IFERROR(SUMIF('MAY25'!$E:$E,CONCENTRADO!$C74,'MAY25'!$F:$F),"")</f>
        <v>1441.92</v>
      </c>
      <c r="K74" s="211">
        <f>IFERROR(SUMIF('JUN25'!$E:$E,CONCENTRADO!$C74,'JUN25'!$F:$F),"")</f>
        <v>1892</v>
      </c>
      <c r="L74" s="211">
        <f>IFERROR(SUMIF('JUL25'!$E:$E,CONCENTRADO!$C74,'JUL25'!$F:$F),"")</f>
        <v>780</v>
      </c>
      <c r="M74" s="211">
        <f>IFERROR(SUMIF('AGO25'!$E:$E,CONCENTRADO!$C74,'AGO25'!$F:$F),"")</f>
        <v>1300</v>
      </c>
      <c r="N74" s="211">
        <f>IFERROR(SUMIF('SEP25'!$E:$E,CONCENTRADO!$C74,'SEP25'!$F:$F),"")</f>
        <v>0</v>
      </c>
      <c r="O74" s="211">
        <f>IFERROR(SUMIF('OCT25'!$E:$E,CONCENTRADO!$C74,'OCT25'!$F:$F),"")</f>
        <v>7819.2</v>
      </c>
      <c r="P74" s="211">
        <f>IFERROR(SUMIF('NOV25'!$E:$E,CONCENTRADO!$C74,'NOV25'!$F:$F),"")</f>
        <v>0</v>
      </c>
      <c r="Q74" s="211">
        <f>IFERROR(SUMIF('DIC25'!$E:$E,CONCENTRADO!$C74,'DIC25'!$K:$K),"")</f>
        <v>0</v>
      </c>
      <c r="R74" s="212">
        <f t="shared" si="3"/>
        <v>11791.2</v>
      </c>
      <c r="S74" s="213">
        <f t="shared" si="4"/>
        <v>-11791.2</v>
      </c>
      <c r="T74" s="223"/>
    </row>
    <row r="75" spans="1:21" ht="15.75" customHeight="1" x14ac:dyDescent="0.3">
      <c r="A75" s="38"/>
      <c r="B75" s="38"/>
      <c r="C75" s="39"/>
      <c r="D75" s="40"/>
      <c r="E75" s="41"/>
      <c r="F75" s="189"/>
      <c r="G75" s="42"/>
      <c r="H75" s="43"/>
      <c r="I75" s="41"/>
      <c r="J75" s="42"/>
      <c r="K75" s="44"/>
      <c r="L75" s="45"/>
      <c r="M75" s="45"/>
      <c r="N75" s="45"/>
      <c r="O75" s="45"/>
      <c r="P75" s="45"/>
      <c r="Q75" s="45"/>
      <c r="R75" s="190"/>
      <c r="S75" s="190"/>
      <c r="T75" s="46"/>
      <c r="U75" s="37"/>
    </row>
    <row r="76" spans="1:21" ht="15.75" customHeight="1" thickBot="1" x14ac:dyDescent="0.35">
      <c r="A76" s="38"/>
      <c r="B76" s="38"/>
      <c r="C76" s="39"/>
      <c r="D76" s="47"/>
      <c r="E76" s="46"/>
      <c r="F76" s="189"/>
      <c r="G76" s="42"/>
      <c r="H76" s="48"/>
      <c r="I76" s="46"/>
      <c r="J76" s="42"/>
      <c r="K76" s="44"/>
      <c r="L76" s="49"/>
      <c r="M76" s="49"/>
      <c r="N76" s="49"/>
      <c r="O76" s="49"/>
      <c r="P76" s="49"/>
      <c r="Q76" s="49"/>
      <c r="R76" s="190"/>
      <c r="S76" s="190"/>
      <c r="T76" s="46"/>
      <c r="U76" s="37"/>
    </row>
    <row r="77" spans="1:21" ht="23.4" customHeight="1" thickTop="1" thickBot="1" x14ac:dyDescent="0.35">
      <c r="A77" s="46"/>
      <c r="B77" s="46"/>
      <c r="C77" s="46"/>
      <c r="D77" s="192" t="s">
        <v>3152</v>
      </c>
      <c r="E77" s="73">
        <f>SUM(E2:E74)</f>
        <v>0</v>
      </c>
      <c r="F77" s="191">
        <f t="shared" ref="F77:R77" si="5">SUM(F2:F74)</f>
        <v>2086743.4100000001</v>
      </c>
      <c r="G77" s="191">
        <f t="shared" si="5"/>
        <v>1381340.1599999999</v>
      </c>
      <c r="H77" s="191">
        <f t="shared" si="5"/>
        <v>1553929.27</v>
      </c>
      <c r="I77" s="191">
        <f t="shared" si="5"/>
        <v>2215727.1300000004</v>
      </c>
      <c r="J77" s="191">
        <f t="shared" si="5"/>
        <v>2594922.9800000004</v>
      </c>
      <c r="K77" s="191">
        <f t="shared" si="5"/>
        <v>2400596.6199999996</v>
      </c>
      <c r="L77" s="191">
        <f t="shared" si="5"/>
        <v>3378879.31</v>
      </c>
      <c r="M77" s="191">
        <f t="shared" si="5"/>
        <v>1909091.9600000002</v>
      </c>
      <c r="N77" s="191">
        <f t="shared" si="5"/>
        <v>1672603.3199999996</v>
      </c>
      <c r="O77" s="191">
        <f t="shared" si="5"/>
        <v>1604989.8099999998</v>
      </c>
      <c r="P77" s="191">
        <f t="shared" si="5"/>
        <v>768726.21</v>
      </c>
      <c r="Q77" s="191">
        <f t="shared" si="5"/>
        <v>0</v>
      </c>
      <c r="R77" s="191">
        <f t="shared" si="5"/>
        <v>11734887.230000006</v>
      </c>
      <c r="S77" s="70"/>
      <c r="T77" s="46"/>
      <c r="U77" s="37"/>
    </row>
    <row r="78" spans="1:21" ht="11.4" customHeight="1" thickTop="1" x14ac:dyDescent="0.3">
      <c r="A78" s="46"/>
      <c r="B78" s="46"/>
      <c r="C78" s="46"/>
      <c r="D78" s="47"/>
      <c r="E78" s="46"/>
      <c r="F78" s="46"/>
      <c r="G78" s="50"/>
      <c r="H78" s="46"/>
      <c r="I78" s="46"/>
      <c r="J78" s="50"/>
      <c r="K78" s="48"/>
      <c r="L78" s="48"/>
      <c r="M78" s="48"/>
      <c r="N78" s="48"/>
      <c r="O78" s="48"/>
      <c r="P78" s="48"/>
      <c r="Q78" s="48"/>
      <c r="R78" s="48"/>
      <c r="S78" s="48"/>
      <c r="T78" s="46"/>
      <c r="U78" s="37"/>
    </row>
    <row r="79" spans="1:21" ht="15.75" customHeight="1" x14ac:dyDescent="0.3">
      <c r="A79" s="46"/>
      <c r="B79" s="46"/>
      <c r="C79" s="46"/>
      <c r="D79" s="193" t="s">
        <v>655</v>
      </c>
      <c r="E79" s="194"/>
      <c r="F79" s="194">
        <f>SUM('ENE25'!$F:$F)</f>
        <v>2086743.4099999992</v>
      </c>
      <c r="G79" s="194">
        <f>SUM('FEB25'!$F:$F)</f>
        <v>1381340.1599999999</v>
      </c>
      <c r="H79" s="194">
        <f>SUM('MAR25'!$F:$F)</f>
        <v>1553929.2700000005</v>
      </c>
      <c r="I79" s="194">
        <f>SUM('ABR25'!$F:$F)</f>
        <v>2215727.1300000004</v>
      </c>
      <c r="J79" s="194">
        <f>SUM('MAY25'!$F:$F)</f>
        <v>2594922.9799999991</v>
      </c>
      <c r="K79" s="194">
        <f>SUM('JUN25'!$F:$F)</f>
        <v>2400596.6199999992</v>
      </c>
      <c r="L79" s="194">
        <f>SUM('JUL25'!$F:$F)</f>
        <v>3378879.3100000005</v>
      </c>
      <c r="M79" s="194">
        <f>SUM('AGO25'!$F:$F)</f>
        <v>1909091.96</v>
      </c>
      <c r="N79" s="194">
        <f>SUM('SEP25'!$F:$F)</f>
        <v>1672603.3199999996</v>
      </c>
      <c r="O79" s="194">
        <f>SUM('OCT25'!$F:$F)</f>
        <v>1604989.8099999996</v>
      </c>
      <c r="P79" s="194">
        <f>SUM('NOV25'!$F:$F)</f>
        <v>768726.21000000008</v>
      </c>
      <c r="Q79" s="194">
        <f>SUM('DIC25'!$F:$F)</f>
        <v>0</v>
      </c>
      <c r="R79" s="48"/>
      <c r="S79" s="48"/>
      <c r="T79" s="46"/>
      <c r="U79" s="37"/>
    </row>
    <row r="80" spans="1:21" ht="7.8" customHeight="1" x14ac:dyDescent="0.3">
      <c r="A80" s="46"/>
      <c r="B80" s="46"/>
      <c r="C80" s="46"/>
      <c r="D80" s="51"/>
      <c r="E80" s="39"/>
      <c r="F80" s="39"/>
      <c r="G80" s="52"/>
      <c r="H80" s="39"/>
      <c r="I80" s="39"/>
      <c r="J80" s="52"/>
      <c r="K80" s="49"/>
      <c r="L80" s="49"/>
      <c r="M80" s="49"/>
      <c r="N80" s="49"/>
      <c r="O80" s="49"/>
      <c r="P80" s="48"/>
      <c r="Q80" s="48"/>
      <c r="R80" s="48"/>
      <c r="S80" s="48"/>
      <c r="T80" s="46"/>
      <c r="U80" s="37"/>
    </row>
    <row r="81" spans="1:21" ht="15.75" customHeight="1" x14ac:dyDescent="0.3">
      <c r="A81" s="46"/>
      <c r="B81" s="46"/>
      <c r="C81" s="46"/>
      <c r="D81" s="195" t="s">
        <v>3153</v>
      </c>
      <c r="E81" s="196"/>
      <c r="F81" s="197">
        <f t="shared" ref="F81:Q81" si="6">F77-F79</f>
        <v>0</v>
      </c>
      <c r="G81" s="197">
        <f t="shared" si="6"/>
        <v>0</v>
      </c>
      <c r="H81" s="197">
        <f t="shared" si="6"/>
        <v>0</v>
      </c>
      <c r="I81" s="197">
        <f t="shared" si="6"/>
        <v>0</v>
      </c>
      <c r="J81" s="197">
        <f t="shared" si="6"/>
        <v>0</v>
      </c>
      <c r="K81" s="197">
        <f t="shared" si="6"/>
        <v>0</v>
      </c>
      <c r="L81" s="197">
        <f t="shared" si="6"/>
        <v>0</v>
      </c>
      <c r="M81" s="197">
        <f t="shared" si="6"/>
        <v>0</v>
      </c>
      <c r="N81" s="197">
        <f t="shared" si="6"/>
        <v>0</v>
      </c>
      <c r="O81" s="197">
        <f t="shared" si="6"/>
        <v>0</v>
      </c>
      <c r="P81" s="197">
        <f t="shared" si="6"/>
        <v>0</v>
      </c>
      <c r="Q81" s="197">
        <f t="shared" si="6"/>
        <v>0</v>
      </c>
      <c r="R81" s="72"/>
      <c r="S81" s="53"/>
      <c r="T81" s="46"/>
      <c r="U81" s="37"/>
    </row>
    <row r="82" spans="1:21" s="37" customFormat="1" ht="15.75" customHeight="1" x14ac:dyDescent="0.3">
      <c r="A82" s="46"/>
      <c r="B82" s="46"/>
      <c r="C82" s="46"/>
      <c r="D82" s="47"/>
      <c r="E82" s="46"/>
      <c r="F82" s="46"/>
      <c r="G82" s="50"/>
      <c r="H82" s="46"/>
      <c r="I82" s="46"/>
      <c r="J82" s="50"/>
      <c r="K82" s="48"/>
      <c r="L82" s="48"/>
      <c r="M82" s="48"/>
      <c r="N82" s="48"/>
      <c r="O82" s="48"/>
      <c r="P82" s="48"/>
      <c r="Q82" s="48"/>
      <c r="R82" s="48"/>
      <c r="S82" s="48"/>
      <c r="T82" s="46"/>
    </row>
    <row r="83" spans="1:21" ht="15.75" customHeight="1" x14ac:dyDescent="0.3">
      <c r="A83" s="33"/>
      <c r="B83" s="33"/>
      <c r="C83" s="33"/>
      <c r="D83" s="54"/>
      <c r="E83" s="33"/>
      <c r="F83" s="33"/>
      <c r="G83" s="55"/>
      <c r="H83" s="33"/>
      <c r="I83" s="33"/>
      <c r="J83" s="55"/>
      <c r="K83" s="56"/>
      <c r="L83" s="56"/>
      <c r="M83" s="56"/>
      <c r="N83" s="56"/>
      <c r="O83" s="56"/>
      <c r="P83" s="56"/>
      <c r="Q83" s="56"/>
      <c r="R83" s="56"/>
      <c r="S83" s="56"/>
      <c r="T83" s="33"/>
    </row>
    <row r="84" spans="1:21" ht="15.75" customHeight="1" x14ac:dyDescent="0.3">
      <c r="A84" s="33"/>
      <c r="B84" s="33"/>
      <c r="C84" s="33"/>
      <c r="D84" s="54"/>
      <c r="E84" s="33"/>
      <c r="F84" s="33"/>
      <c r="G84" s="55"/>
      <c r="H84" s="33"/>
      <c r="I84" s="33"/>
      <c r="J84" s="55"/>
      <c r="K84" s="56"/>
      <c r="L84" s="56"/>
      <c r="M84" s="56"/>
      <c r="N84" s="56"/>
      <c r="O84" s="56"/>
      <c r="P84" s="56"/>
      <c r="Q84" s="56"/>
      <c r="R84" s="56"/>
      <c r="S84" s="56"/>
      <c r="T84" s="33"/>
    </row>
    <row r="85" spans="1:21" ht="15.75" customHeight="1" x14ac:dyDescent="0.3">
      <c r="A85" s="33"/>
      <c r="B85" s="33"/>
      <c r="C85" s="33"/>
      <c r="D85" s="54"/>
      <c r="E85" s="33"/>
      <c r="F85" s="33"/>
      <c r="G85" s="55"/>
      <c r="H85" s="33"/>
      <c r="I85" s="33"/>
      <c r="J85" s="55"/>
      <c r="K85" s="56"/>
      <c r="L85" s="56"/>
      <c r="M85" s="56"/>
      <c r="N85" s="56"/>
      <c r="O85" s="56"/>
      <c r="P85" s="56"/>
      <c r="Q85" s="56"/>
      <c r="R85" s="56"/>
      <c r="S85" s="56"/>
      <c r="T85" s="33"/>
    </row>
    <row r="86" spans="1:21" ht="15.75" customHeight="1" x14ac:dyDescent="0.3">
      <c r="A86" s="33"/>
      <c r="B86" s="33"/>
      <c r="C86" s="33"/>
      <c r="D86" s="54"/>
      <c r="E86" s="33"/>
      <c r="F86" s="33"/>
      <c r="G86" s="55"/>
      <c r="H86" s="33"/>
      <c r="I86" s="33"/>
      <c r="J86" s="55"/>
      <c r="K86" s="56"/>
      <c r="L86" s="56"/>
      <c r="M86" s="56"/>
      <c r="N86" s="56"/>
      <c r="O86" s="56"/>
      <c r="P86" s="56"/>
      <c r="Q86" s="56"/>
      <c r="R86" s="56"/>
      <c r="S86" s="56"/>
      <c r="T86" s="33"/>
    </row>
    <row r="87" spans="1:21" ht="15.75" customHeight="1" x14ac:dyDescent="0.3">
      <c r="A87" s="33"/>
      <c r="B87" s="33"/>
      <c r="C87" s="33"/>
      <c r="D87" s="54"/>
      <c r="E87" s="33"/>
      <c r="F87" s="33"/>
      <c r="G87" s="55"/>
      <c r="H87" s="33"/>
      <c r="I87" s="33"/>
      <c r="J87" s="55"/>
      <c r="K87" s="56"/>
      <c r="L87" s="56"/>
      <c r="M87" s="56"/>
      <c r="N87" s="56"/>
      <c r="O87" s="56"/>
      <c r="P87" s="56"/>
      <c r="Q87" s="56"/>
      <c r="R87" s="56"/>
      <c r="S87" s="56"/>
      <c r="T87" s="33"/>
    </row>
    <row r="88" spans="1:21" ht="15.75" customHeight="1" x14ac:dyDescent="0.3">
      <c r="A88" s="33"/>
      <c r="B88" s="33"/>
      <c r="C88" s="33"/>
      <c r="D88" s="54"/>
      <c r="E88" s="33"/>
      <c r="F88" s="33"/>
      <c r="G88" s="55"/>
      <c r="H88" s="33"/>
      <c r="I88" s="33"/>
      <c r="J88" s="55"/>
      <c r="K88" s="56"/>
      <c r="L88" s="56"/>
      <c r="M88" s="56"/>
      <c r="N88" s="56"/>
      <c r="O88" s="56"/>
      <c r="P88" s="56"/>
      <c r="Q88" s="56"/>
      <c r="R88" s="56"/>
      <c r="S88" s="56"/>
      <c r="T88" s="33"/>
    </row>
    <row r="89" spans="1:21" ht="15.75" customHeight="1" x14ac:dyDescent="0.3">
      <c r="A89" s="33"/>
      <c r="B89" s="33"/>
      <c r="C89" s="33"/>
      <c r="D89" s="54"/>
      <c r="E89" s="33"/>
      <c r="F89" s="33"/>
      <c r="G89" s="55"/>
      <c r="H89" s="33"/>
      <c r="I89" s="33"/>
      <c r="J89" s="55"/>
      <c r="K89" s="56"/>
      <c r="L89" s="56"/>
      <c r="M89" s="56"/>
      <c r="N89" s="56"/>
      <c r="O89" s="56"/>
      <c r="P89" s="56"/>
      <c r="Q89" s="56"/>
      <c r="R89" s="56"/>
      <c r="S89" s="56"/>
      <c r="T89" s="33"/>
    </row>
    <row r="90" spans="1:21" ht="15.75" customHeight="1" x14ac:dyDescent="0.3">
      <c r="A90" s="33"/>
      <c r="B90" s="33"/>
      <c r="C90" s="33"/>
      <c r="D90" s="54"/>
      <c r="E90" s="33"/>
      <c r="F90" s="33"/>
      <c r="G90" s="55"/>
      <c r="H90" s="33"/>
      <c r="I90" s="33"/>
      <c r="J90" s="55"/>
      <c r="K90" s="56"/>
      <c r="L90" s="56"/>
      <c r="M90" s="56"/>
      <c r="N90" s="56"/>
      <c r="O90" s="56"/>
      <c r="P90" s="56"/>
      <c r="Q90" s="56"/>
      <c r="R90" s="56"/>
      <c r="S90" s="56"/>
      <c r="T90" s="33"/>
    </row>
    <row r="91" spans="1:21" ht="15.75" customHeight="1" x14ac:dyDescent="0.3">
      <c r="A91" s="33"/>
      <c r="B91" s="33"/>
      <c r="C91" s="33"/>
      <c r="D91" s="54"/>
      <c r="E91" s="33"/>
      <c r="F91" s="33"/>
      <c r="G91" s="55"/>
      <c r="H91" s="33"/>
      <c r="I91" s="33"/>
      <c r="J91" s="55"/>
      <c r="K91" s="56"/>
      <c r="L91" s="56"/>
      <c r="M91" s="56"/>
      <c r="N91" s="56"/>
      <c r="O91" s="56"/>
      <c r="P91" s="56"/>
      <c r="Q91" s="56"/>
      <c r="R91" s="56"/>
      <c r="S91" s="56"/>
      <c r="T91" s="33"/>
    </row>
    <row r="92" spans="1:21" ht="15.75" customHeight="1" x14ac:dyDescent="0.3">
      <c r="A92" s="33"/>
      <c r="B92" s="33"/>
      <c r="C92" s="33"/>
      <c r="D92" s="54"/>
      <c r="E92" s="33"/>
      <c r="F92" s="33"/>
      <c r="G92" s="55"/>
      <c r="H92" s="33"/>
      <c r="I92" s="33"/>
      <c r="J92" s="55"/>
      <c r="K92" s="56"/>
      <c r="L92" s="56"/>
      <c r="M92" s="56"/>
      <c r="N92" s="56"/>
      <c r="O92" s="56"/>
      <c r="P92" s="56"/>
      <c r="Q92" s="56"/>
      <c r="R92" s="56"/>
      <c r="S92" s="56"/>
      <c r="T92" s="33"/>
    </row>
    <row r="93" spans="1:21" ht="15.75" customHeight="1" x14ac:dyDescent="0.3">
      <c r="A93" s="33"/>
      <c r="B93" s="33"/>
      <c r="C93" s="33"/>
      <c r="D93" s="54"/>
      <c r="E93" s="33"/>
      <c r="F93" s="33"/>
      <c r="G93" s="55"/>
      <c r="H93" s="33"/>
      <c r="I93" s="33"/>
      <c r="J93" s="55"/>
      <c r="K93" s="56"/>
      <c r="L93" s="56"/>
      <c r="M93" s="56"/>
      <c r="N93" s="56"/>
      <c r="O93" s="56"/>
      <c r="P93" s="56"/>
      <c r="Q93" s="56"/>
      <c r="R93" s="56"/>
      <c r="S93" s="56"/>
      <c r="T93" s="33"/>
    </row>
    <row r="94" spans="1:21" ht="15.75" customHeight="1" x14ac:dyDescent="0.3">
      <c r="A94" s="33"/>
      <c r="B94" s="33"/>
      <c r="C94" s="33"/>
      <c r="D94" s="54"/>
      <c r="E94" s="33"/>
      <c r="F94" s="33"/>
      <c r="G94" s="55"/>
      <c r="H94" s="33"/>
      <c r="I94" s="33"/>
      <c r="J94" s="55"/>
      <c r="K94" s="56"/>
      <c r="L94" s="56"/>
      <c r="M94" s="56"/>
      <c r="N94" s="56"/>
      <c r="O94" s="56"/>
      <c r="P94" s="56"/>
      <c r="Q94" s="56"/>
      <c r="R94" s="56"/>
      <c r="S94" s="56"/>
      <c r="T94" s="33"/>
    </row>
    <row r="95" spans="1:21" ht="15.75" customHeight="1" x14ac:dyDescent="0.3">
      <c r="A95" s="33"/>
      <c r="B95" s="33"/>
      <c r="C95" s="33"/>
      <c r="D95" s="54"/>
      <c r="E95" s="33"/>
      <c r="F95" s="33"/>
      <c r="G95" s="55"/>
      <c r="H95" s="33"/>
      <c r="I95" s="33"/>
      <c r="J95" s="55"/>
      <c r="K95" s="56"/>
      <c r="L95" s="56"/>
      <c r="M95" s="56"/>
      <c r="N95" s="56"/>
      <c r="O95" s="56"/>
      <c r="P95" s="56"/>
      <c r="Q95" s="56"/>
      <c r="R95" s="56"/>
      <c r="S95" s="56"/>
      <c r="T95" s="33"/>
    </row>
    <row r="96" spans="1:21" ht="15.75" customHeight="1" x14ac:dyDescent="0.3">
      <c r="A96" s="33"/>
      <c r="B96" s="33"/>
      <c r="C96" s="33"/>
      <c r="D96" s="54"/>
      <c r="E96" s="33"/>
      <c r="F96" s="33"/>
      <c r="G96" s="55"/>
      <c r="H96" s="33"/>
      <c r="I96" s="33"/>
      <c r="J96" s="55"/>
      <c r="K96" s="56"/>
      <c r="L96" s="56"/>
      <c r="M96" s="56"/>
      <c r="N96" s="56"/>
      <c r="O96" s="56"/>
      <c r="P96" s="56"/>
      <c r="Q96" s="56"/>
      <c r="R96" s="56"/>
      <c r="S96" s="56"/>
      <c r="T96" s="33"/>
    </row>
    <row r="97" spans="1:20" ht="15.75" customHeight="1" x14ac:dyDescent="0.3">
      <c r="A97" s="33"/>
      <c r="B97" s="33"/>
      <c r="C97" s="33"/>
      <c r="D97" s="54"/>
      <c r="E97" s="33"/>
      <c r="F97" s="33"/>
      <c r="G97" s="55"/>
      <c r="H97" s="33"/>
      <c r="I97" s="33"/>
      <c r="J97" s="55"/>
      <c r="K97" s="56"/>
      <c r="L97" s="56"/>
      <c r="M97" s="56"/>
      <c r="N97" s="56"/>
      <c r="O97" s="56"/>
      <c r="P97" s="56"/>
      <c r="Q97" s="56"/>
      <c r="R97" s="56"/>
      <c r="S97" s="56"/>
      <c r="T97" s="33"/>
    </row>
    <row r="98" spans="1:20" ht="15.75" customHeight="1" x14ac:dyDescent="0.3">
      <c r="A98" s="33"/>
      <c r="B98" s="33"/>
      <c r="C98" s="33"/>
      <c r="D98" s="54"/>
      <c r="E98" s="33"/>
      <c r="F98" s="33"/>
      <c r="G98" s="55"/>
      <c r="H98" s="33"/>
      <c r="I98" s="33"/>
      <c r="J98" s="55"/>
      <c r="K98" s="56"/>
      <c r="L98" s="56"/>
      <c r="M98" s="56"/>
      <c r="N98" s="56"/>
      <c r="O98" s="56"/>
      <c r="P98" s="56"/>
      <c r="Q98" s="56"/>
      <c r="R98" s="56"/>
      <c r="S98" s="56"/>
      <c r="T98" s="33"/>
    </row>
    <row r="99" spans="1:20" ht="15.75" customHeight="1" x14ac:dyDescent="0.3">
      <c r="A99" s="33"/>
      <c r="B99" s="33"/>
      <c r="C99" s="33"/>
      <c r="D99" s="54"/>
      <c r="E99" s="33"/>
      <c r="F99" s="33"/>
      <c r="G99" s="55"/>
      <c r="H99" s="33"/>
      <c r="I99" s="33"/>
      <c r="J99" s="55"/>
      <c r="K99" s="56"/>
      <c r="L99" s="56"/>
      <c r="M99" s="56"/>
      <c r="N99" s="56"/>
      <c r="O99" s="56"/>
      <c r="P99" s="56"/>
      <c r="Q99" s="56"/>
      <c r="R99" s="56"/>
      <c r="S99" s="56"/>
      <c r="T99" s="33"/>
    </row>
    <row r="100" spans="1:20" ht="15.75" customHeight="1" x14ac:dyDescent="0.3">
      <c r="A100" s="33"/>
      <c r="B100" s="33"/>
      <c r="C100" s="33"/>
      <c r="D100" s="54"/>
      <c r="E100" s="33"/>
      <c r="F100" s="33"/>
      <c r="G100" s="55"/>
      <c r="H100" s="33"/>
      <c r="I100" s="33"/>
      <c r="J100" s="55"/>
      <c r="K100" s="56"/>
      <c r="L100" s="56"/>
      <c r="M100" s="56"/>
      <c r="N100" s="56"/>
      <c r="O100" s="56"/>
      <c r="P100" s="56"/>
      <c r="Q100" s="56"/>
      <c r="R100" s="56"/>
      <c r="S100" s="56"/>
      <c r="T100" s="33"/>
    </row>
    <row r="101" spans="1:20" ht="15.75" customHeight="1" x14ac:dyDescent="0.3">
      <c r="A101" s="33"/>
      <c r="B101" s="33"/>
      <c r="C101" s="33"/>
      <c r="D101" s="54"/>
      <c r="E101" s="33"/>
      <c r="F101" s="33"/>
      <c r="G101" s="55"/>
      <c r="H101" s="33"/>
      <c r="I101" s="33"/>
      <c r="J101" s="55"/>
      <c r="K101" s="56"/>
      <c r="L101" s="56"/>
      <c r="M101" s="56"/>
      <c r="N101" s="56"/>
      <c r="O101" s="56"/>
      <c r="P101" s="56"/>
      <c r="Q101" s="56"/>
      <c r="R101" s="56"/>
      <c r="S101" s="56"/>
      <c r="T101" s="33"/>
    </row>
    <row r="102" spans="1:20" ht="15.75" customHeight="1" x14ac:dyDescent="0.3">
      <c r="A102" s="33"/>
      <c r="B102" s="33"/>
      <c r="C102" s="33"/>
      <c r="D102" s="54"/>
      <c r="E102" s="33"/>
      <c r="F102" s="33"/>
      <c r="G102" s="55"/>
      <c r="H102" s="33"/>
      <c r="I102" s="33"/>
      <c r="J102" s="55"/>
      <c r="K102" s="56"/>
      <c r="L102" s="56"/>
      <c r="M102" s="56"/>
      <c r="N102" s="56"/>
      <c r="O102" s="56"/>
      <c r="P102" s="56"/>
      <c r="Q102" s="56"/>
      <c r="R102" s="56"/>
      <c r="S102" s="56"/>
      <c r="T102" s="33"/>
    </row>
    <row r="103" spans="1:20" ht="15.75" customHeight="1" x14ac:dyDescent="0.3">
      <c r="A103" s="33"/>
      <c r="B103" s="33"/>
      <c r="C103" s="33"/>
      <c r="D103" s="54"/>
      <c r="E103" s="33"/>
      <c r="F103" s="33"/>
      <c r="G103" s="55"/>
      <c r="H103" s="33"/>
      <c r="I103" s="33"/>
      <c r="J103" s="55"/>
      <c r="K103" s="56"/>
      <c r="L103" s="56"/>
      <c r="M103" s="56"/>
      <c r="N103" s="56"/>
      <c r="O103" s="56"/>
      <c r="P103" s="56"/>
      <c r="Q103" s="56"/>
      <c r="R103" s="56"/>
      <c r="S103" s="56"/>
      <c r="T103" s="33"/>
    </row>
    <row r="104" spans="1:20" ht="15.75" customHeight="1" x14ac:dyDescent="0.3">
      <c r="A104" s="33"/>
      <c r="B104" s="33"/>
      <c r="C104" s="33"/>
      <c r="D104" s="54"/>
      <c r="E104" s="33"/>
      <c r="F104" s="33"/>
      <c r="G104" s="55"/>
      <c r="H104" s="33"/>
      <c r="I104" s="33"/>
      <c r="J104" s="55"/>
      <c r="K104" s="56"/>
      <c r="L104" s="56"/>
      <c r="M104" s="56"/>
      <c r="N104" s="56"/>
      <c r="O104" s="56"/>
      <c r="P104" s="56"/>
      <c r="Q104" s="56"/>
      <c r="R104" s="56"/>
      <c r="S104" s="56"/>
      <c r="T104" s="33"/>
    </row>
    <row r="105" spans="1:20" ht="15.75" customHeight="1" x14ac:dyDescent="0.3">
      <c r="A105" s="33"/>
      <c r="B105" s="33"/>
      <c r="C105" s="33"/>
      <c r="D105" s="54"/>
      <c r="E105" s="33"/>
      <c r="F105" s="33"/>
      <c r="G105" s="55"/>
      <c r="H105" s="33"/>
      <c r="I105" s="33"/>
      <c r="J105" s="55"/>
      <c r="K105" s="56"/>
      <c r="L105" s="56"/>
      <c r="M105" s="56"/>
      <c r="N105" s="56"/>
      <c r="O105" s="56"/>
      <c r="P105" s="56"/>
      <c r="Q105" s="56"/>
      <c r="R105" s="56"/>
      <c r="S105" s="56"/>
      <c r="T105" s="33"/>
    </row>
    <row r="106" spans="1:20" ht="15.75" customHeight="1" x14ac:dyDescent="0.3">
      <c r="A106" s="33"/>
      <c r="B106" s="33"/>
      <c r="C106" s="33"/>
      <c r="D106" s="54"/>
      <c r="E106" s="33"/>
      <c r="F106" s="33"/>
      <c r="G106" s="55"/>
      <c r="H106" s="33"/>
      <c r="I106" s="33"/>
      <c r="J106" s="55"/>
      <c r="K106" s="56"/>
      <c r="L106" s="56"/>
      <c r="M106" s="56"/>
      <c r="N106" s="56"/>
      <c r="O106" s="56"/>
      <c r="P106" s="56"/>
      <c r="Q106" s="56"/>
      <c r="R106" s="56"/>
      <c r="S106" s="56"/>
      <c r="T106" s="33"/>
    </row>
    <row r="107" spans="1:20" ht="15.75" customHeight="1" x14ac:dyDescent="0.3">
      <c r="A107" s="33"/>
      <c r="B107" s="33"/>
      <c r="C107" s="33"/>
      <c r="D107" s="54"/>
      <c r="E107" s="33"/>
      <c r="F107" s="33"/>
      <c r="G107" s="55"/>
      <c r="H107" s="33"/>
      <c r="I107" s="33"/>
      <c r="J107" s="55"/>
      <c r="K107" s="56"/>
      <c r="L107" s="56"/>
      <c r="M107" s="56"/>
      <c r="N107" s="56"/>
      <c r="O107" s="56"/>
      <c r="P107" s="56"/>
      <c r="Q107" s="56"/>
      <c r="R107" s="56"/>
      <c r="S107" s="56"/>
      <c r="T107" s="33"/>
    </row>
    <row r="108" spans="1:20" ht="15.75" customHeight="1" x14ac:dyDescent="0.3">
      <c r="A108" s="33"/>
      <c r="B108" s="33"/>
      <c r="C108" s="33"/>
      <c r="D108" s="54"/>
      <c r="E108" s="33"/>
      <c r="F108" s="33"/>
      <c r="G108" s="55"/>
      <c r="H108" s="33"/>
      <c r="I108" s="33"/>
      <c r="J108" s="55"/>
      <c r="K108" s="56"/>
      <c r="L108" s="56"/>
      <c r="M108" s="56"/>
      <c r="N108" s="56"/>
      <c r="O108" s="56"/>
      <c r="P108" s="56"/>
      <c r="Q108" s="56"/>
      <c r="R108" s="56"/>
      <c r="S108" s="56"/>
      <c r="T108" s="33"/>
    </row>
    <row r="109" spans="1:20" ht="15.75" customHeight="1" x14ac:dyDescent="0.3">
      <c r="A109" s="33"/>
      <c r="B109" s="33"/>
      <c r="C109" s="33"/>
      <c r="D109" s="54"/>
      <c r="E109" s="33"/>
      <c r="F109" s="33"/>
      <c r="G109" s="55"/>
      <c r="H109" s="33"/>
      <c r="I109" s="33"/>
      <c r="J109" s="55"/>
      <c r="K109" s="56"/>
      <c r="L109" s="56"/>
      <c r="M109" s="56"/>
      <c r="N109" s="56"/>
      <c r="O109" s="56"/>
      <c r="P109" s="56"/>
      <c r="Q109" s="56"/>
      <c r="R109" s="56"/>
      <c r="S109" s="56"/>
      <c r="T109" s="33"/>
    </row>
    <row r="110" spans="1:20" ht="15.75" customHeight="1" x14ac:dyDescent="0.3">
      <c r="A110" s="33"/>
      <c r="B110" s="33"/>
      <c r="C110" s="33"/>
      <c r="D110" s="54"/>
      <c r="E110" s="33"/>
      <c r="F110" s="33"/>
      <c r="G110" s="55"/>
      <c r="H110" s="33"/>
      <c r="I110" s="33"/>
      <c r="J110" s="55"/>
      <c r="K110" s="56"/>
      <c r="L110" s="56"/>
      <c r="M110" s="56"/>
      <c r="N110" s="56"/>
      <c r="O110" s="56"/>
      <c r="P110" s="56"/>
      <c r="Q110" s="56"/>
      <c r="R110" s="56"/>
      <c r="S110" s="56"/>
      <c r="T110" s="33"/>
    </row>
    <row r="111" spans="1:20" ht="15.75" customHeight="1" x14ac:dyDescent="0.3">
      <c r="A111" s="33"/>
      <c r="B111" s="33"/>
      <c r="C111" s="33"/>
      <c r="D111" s="54"/>
      <c r="E111" s="33"/>
      <c r="F111" s="33"/>
      <c r="G111" s="55"/>
      <c r="H111" s="33"/>
      <c r="I111" s="33"/>
      <c r="J111" s="55"/>
      <c r="K111" s="56"/>
      <c r="L111" s="56"/>
      <c r="M111" s="56"/>
      <c r="N111" s="56"/>
      <c r="O111" s="56"/>
      <c r="P111" s="56"/>
      <c r="Q111" s="56"/>
      <c r="R111" s="56"/>
      <c r="S111" s="56"/>
      <c r="T111" s="33"/>
    </row>
    <row r="112" spans="1:20" ht="15.75" customHeight="1" x14ac:dyDescent="0.3">
      <c r="A112" s="33"/>
      <c r="B112" s="33"/>
      <c r="C112" s="33"/>
      <c r="D112" s="54"/>
      <c r="E112" s="33"/>
      <c r="F112" s="33"/>
      <c r="G112" s="55"/>
      <c r="H112" s="33"/>
      <c r="I112" s="33"/>
      <c r="J112" s="55"/>
      <c r="K112" s="56"/>
      <c r="L112" s="56"/>
      <c r="M112" s="56"/>
      <c r="N112" s="56"/>
      <c r="O112" s="56"/>
      <c r="P112" s="56"/>
      <c r="Q112" s="56"/>
      <c r="R112" s="56"/>
      <c r="S112" s="56"/>
      <c r="T112" s="33"/>
    </row>
    <row r="113" spans="1:20" ht="15.75" customHeight="1" x14ac:dyDescent="0.3">
      <c r="A113" s="33"/>
      <c r="B113" s="33"/>
      <c r="C113" s="33"/>
      <c r="D113" s="54"/>
      <c r="E113" s="33"/>
      <c r="F113" s="33"/>
      <c r="G113" s="55"/>
      <c r="H113" s="33"/>
      <c r="I113" s="33"/>
      <c r="J113" s="55"/>
      <c r="K113" s="56"/>
      <c r="L113" s="56"/>
      <c r="M113" s="56"/>
      <c r="N113" s="56"/>
      <c r="O113" s="56"/>
      <c r="P113" s="56"/>
      <c r="Q113" s="56"/>
      <c r="R113" s="56"/>
      <c r="S113" s="56"/>
      <c r="T113" s="33"/>
    </row>
    <row r="114" spans="1:20" ht="15.75" customHeight="1" x14ac:dyDescent="0.3">
      <c r="A114" s="33"/>
      <c r="B114" s="33"/>
      <c r="C114" s="33"/>
      <c r="D114" s="54"/>
      <c r="E114" s="33"/>
      <c r="F114" s="33"/>
      <c r="G114" s="55"/>
      <c r="H114" s="33"/>
      <c r="I114" s="33"/>
      <c r="J114" s="55"/>
      <c r="K114" s="56"/>
      <c r="L114" s="56"/>
      <c r="M114" s="56"/>
      <c r="N114" s="56"/>
      <c r="O114" s="56"/>
      <c r="P114" s="56"/>
      <c r="Q114" s="56"/>
      <c r="R114" s="56"/>
      <c r="S114" s="56"/>
      <c r="T114" s="33"/>
    </row>
    <row r="115" spans="1:20" ht="15.75" customHeight="1" x14ac:dyDescent="0.3">
      <c r="A115" s="33"/>
      <c r="B115" s="33"/>
      <c r="C115" s="33"/>
      <c r="D115" s="54"/>
      <c r="E115" s="33"/>
      <c r="F115" s="33"/>
      <c r="G115" s="55"/>
      <c r="H115" s="33"/>
      <c r="I115" s="33"/>
      <c r="J115" s="55"/>
      <c r="K115" s="56"/>
      <c r="L115" s="56"/>
      <c r="M115" s="56"/>
      <c r="N115" s="56"/>
      <c r="O115" s="56"/>
      <c r="P115" s="56"/>
      <c r="Q115" s="56"/>
      <c r="R115" s="56"/>
      <c r="S115" s="56"/>
      <c r="T115" s="33"/>
    </row>
    <row r="116" spans="1:20" ht="15.75" customHeight="1" x14ac:dyDescent="0.3">
      <c r="A116" s="33"/>
      <c r="B116" s="33"/>
      <c r="C116" s="33"/>
      <c r="D116" s="54"/>
      <c r="E116" s="33"/>
      <c r="F116" s="33"/>
      <c r="G116" s="55"/>
      <c r="H116" s="33"/>
      <c r="I116" s="33"/>
      <c r="J116" s="55"/>
      <c r="K116" s="56"/>
      <c r="L116" s="56"/>
      <c r="M116" s="56"/>
      <c r="N116" s="56"/>
      <c r="O116" s="56"/>
      <c r="P116" s="56"/>
      <c r="Q116" s="56"/>
      <c r="R116" s="56"/>
      <c r="S116" s="56"/>
      <c r="T116" s="33"/>
    </row>
    <row r="117" spans="1:20" ht="15.75" customHeight="1" x14ac:dyDescent="0.3">
      <c r="A117" s="33"/>
      <c r="B117" s="33"/>
      <c r="C117" s="33"/>
      <c r="D117" s="54"/>
      <c r="E117" s="33"/>
      <c r="F117" s="33"/>
      <c r="G117" s="55"/>
      <c r="H117" s="33"/>
      <c r="I117" s="33"/>
      <c r="J117" s="55"/>
      <c r="K117" s="56"/>
      <c r="L117" s="56"/>
      <c r="M117" s="56"/>
      <c r="N117" s="56"/>
      <c r="O117" s="56"/>
      <c r="P117" s="56"/>
      <c r="Q117" s="56"/>
      <c r="R117" s="56"/>
      <c r="S117" s="56"/>
      <c r="T117" s="33"/>
    </row>
    <row r="118" spans="1:20" ht="15.75" customHeight="1" x14ac:dyDescent="0.3">
      <c r="A118" s="33"/>
      <c r="B118" s="33"/>
      <c r="C118" s="33"/>
      <c r="D118" s="54"/>
      <c r="E118" s="33"/>
      <c r="F118" s="33"/>
      <c r="G118" s="55"/>
      <c r="H118" s="33"/>
      <c r="I118" s="33"/>
      <c r="J118" s="55"/>
      <c r="K118" s="56"/>
      <c r="L118" s="56"/>
      <c r="M118" s="56"/>
      <c r="N118" s="56"/>
      <c r="O118" s="56"/>
      <c r="P118" s="56"/>
      <c r="Q118" s="56"/>
      <c r="R118" s="56"/>
      <c r="S118" s="56"/>
      <c r="T118" s="33"/>
    </row>
    <row r="119" spans="1:20" ht="15.75" customHeight="1" x14ac:dyDescent="0.3">
      <c r="A119" s="33"/>
      <c r="B119" s="33"/>
      <c r="C119" s="33"/>
      <c r="D119" s="54"/>
      <c r="E119" s="33"/>
      <c r="F119" s="33"/>
      <c r="G119" s="55"/>
      <c r="H119" s="33"/>
      <c r="I119" s="33"/>
      <c r="J119" s="55"/>
      <c r="K119" s="56"/>
      <c r="L119" s="56"/>
      <c r="M119" s="56"/>
      <c r="N119" s="56"/>
      <c r="O119" s="56"/>
      <c r="P119" s="56"/>
      <c r="Q119" s="56"/>
      <c r="R119" s="56"/>
      <c r="S119" s="56"/>
      <c r="T119" s="33"/>
    </row>
    <row r="120" spans="1:20" ht="15.75" customHeight="1" x14ac:dyDescent="0.3">
      <c r="A120" s="33"/>
      <c r="B120" s="33"/>
      <c r="C120" s="33"/>
      <c r="D120" s="54"/>
      <c r="E120" s="33"/>
      <c r="F120" s="33"/>
      <c r="G120" s="55"/>
      <c r="H120" s="33"/>
      <c r="I120" s="33"/>
      <c r="J120" s="55"/>
      <c r="K120" s="56"/>
      <c r="L120" s="56"/>
      <c r="M120" s="56"/>
      <c r="N120" s="56"/>
      <c r="O120" s="56"/>
      <c r="P120" s="56"/>
      <c r="Q120" s="56"/>
      <c r="R120" s="56"/>
      <c r="S120" s="56"/>
      <c r="T120" s="33"/>
    </row>
    <row r="121" spans="1:20" ht="15.75" customHeight="1" x14ac:dyDescent="0.3">
      <c r="A121" s="33"/>
      <c r="B121" s="33"/>
      <c r="C121" s="33"/>
      <c r="D121" s="54"/>
      <c r="E121" s="33"/>
      <c r="F121" s="33"/>
      <c r="G121" s="55"/>
      <c r="H121" s="33"/>
      <c r="I121" s="33"/>
      <c r="J121" s="55"/>
      <c r="K121" s="56"/>
      <c r="L121" s="56"/>
      <c r="M121" s="56"/>
      <c r="N121" s="56"/>
      <c r="O121" s="56"/>
      <c r="P121" s="56"/>
      <c r="Q121" s="56"/>
      <c r="R121" s="56"/>
      <c r="S121" s="56"/>
      <c r="T121" s="33"/>
    </row>
    <row r="122" spans="1:20" ht="15.75" customHeight="1" x14ac:dyDescent="0.3">
      <c r="A122" s="33"/>
      <c r="B122" s="33"/>
      <c r="C122" s="33"/>
      <c r="D122" s="54"/>
      <c r="E122" s="33"/>
      <c r="F122" s="33"/>
      <c r="G122" s="55"/>
      <c r="H122" s="33"/>
      <c r="I122" s="33"/>
      <c r="J122" s="55"/>
      <c r="K122" s="56"/>
      <c r="L122" s="56"/>
      <c r="M122" s="56"/>
      <c r="N122" s="56"/>
      <c r="O122" s="56"/>
      <c r="P122" s="56"/>
      <c r="Q122" s="56"/>
      <c r="R122" s="56"/>
      <c r="S122" s="56"/>
      <c r="T122" s="33"/>
    </row>
    <row r="123" spans="1:20" ht="15.75" customHeight="1" x14ac:dyDescent="0.3">
      <c r="A123" s="33"/>
      <c r="B123" s="33"/>
      <c r="C123" s="33"/>
      <c r="D123" s="54"/>
      <c r="E123" s="33"/>
      <c r="F123" s="33"/>
      <c r="G123" s="55"/>
      <c r="H123" s="33"/>
      <c r="I123" s="33"/>
      <c r="J123" s="55"/>
      <c r="K123" s="56"/>
      <c r="L123" s="56"/>
      <c r="M123" s="56"/>
      <c r="N123" s="56"/>
      <c r="O123" s="56"/>
      <c r="P123" s="56"/>
      <c r="Q123" s="56"/>
      <c r="R123" s="56"/>
      <c r="S123" s="56"/>
      <c r="T123" s="33"/>
    </row>
    <row r="124" spans="1:20" ht="15.75" customHeight="1" x14ac:dyDescent="0.3">
      <c r="A124" s="33"/>
      <c r="B124" s="33"/>
      <c r="C124" s="33"/>
      <c r="D124" s="54"/>
      <c r="E124" s="33"/>
      <c r="F124" s="33"/>
      <c r="G124" s="55"/>
      <c r="H124" s="33"/>
      <c r="I124" s="33"/>
      <c r="J124" s="55"/>
      <c r="K124" s="56"/>
      <c r="L124" s="56"/>
      <c r="M124" s="56"/>
      <c r="N124" s="56"/>
      <c r="O124" s="56"/>
      <c r="P124" s="56"/>
      <c r="Q124" s="56"/>
      <c r="R124" s="56"/>
      <c r="S124" s="56"/>
      <c r="T124" s="33"/>
    </row>
    <row r="125" spans="1:20" ht="15.75" customHeight="1" x14ac:dyDescent="0.3">
      <c r="A125" s="33"/>
      <c r="B125" s="33"/>
      <c r="C125" s="33"/>
      <c r="D125" s="54"/>
      <c r="E125" s="33"/>
      <c r="F125" s="33"/>
      <c r="G125" s="55"/>
      <c r="H125" s="33"/>
      <c r="I125" s="33"/>
      <c r="J125" s="55"/>
      <c r="K125" s="56"/>
      <c r="L125" s="56"/>
      <c r="M125" s="56"/>
      <c r="N125" s="56"/>
      <c r="O125" s="56"/>
      <c r="P125" s="56"/>
      <c r="Q125" s="56"/>
      <c r="R125" s="56"/>
      <c r="S125" s="56"/>
      <c r="T125" s="33"/>
    </row>
    <row r="126" spans="1:20" ht="15.75" customHeight="1" x14ac:dyDescent="0.3">
      <c r="A126" s="33"/>
      <c r="B126" s="33"/>
      <c r="C126" s="33"/>
      <c r="D126" s="54"/>
      <c r="E126" s="33"/>
      <c r="F126" s="33"/>
      <c r="G126" s="55"/>
      <c r="H126" s="33"/>
      <c r="I126" s="33"/>
      <c r="J126" s="55"/>
      <c r="K126" s="56"/>
      <c r="L126" s="56"/>
      <c r="M126" s="56"/>
      <c r="N126" s="56"/>
      <c r="O126" s="56"/>
      <c r="P126" s="56"/>
      <c r="Q126" s="56"/>
      <c r="R126" s="56"/>
      <c r="S126" s="56"/>
      <c r="T126" s="33"/>
    </row>
    <row r="127" spans="1:20" ht="15.75" customHeight="1" x14ac:dyDescent="0.3">
      <c r="A127" s="33"/>
      <c r="B127" s="33"/>
      <c r="C127" s="33"/>
      <c r="D127" s="54"/>
      <c r="E127" s="33"/>
      <c r="F127" s="33"/>
      <c r="G127" s="55"/>
      <c r="H127" s="33"/>
      <c r="I127" s="33"/>
      <c r="J127" s="55"/>
      <c r="K127" s="56"/>
      <c r="L127" s="56"/>
      <c r="M127" s="56"/>
      <c r="N127" s="56"/>
      <c r="O127" s="56"/>
      <c r="P127" s="56"/>
      <c r="Q127" s="56"/>
      <c r="R127" s="56"/>
      <c r="S127" s="56"/>
      <c r="T127" s="33"/>
    </row>
    <row r="128" spans="1:20" ht="15.75" customHeight="1" x14ac:dyDescent="0.3">
      <c r="A128" s="33"/>
      <c r="B128" s="33"/>
      <c r="C128" s="33"/>
      <c r="D128" s="54"/>
      <c r="E128" s="33"/>
      <c r="F128" s="33"/>
      <c r="G128" s="55"/>
      <c r="H128" s="33"/>
      <c r="I128" s="33"/>
      <c r="J128" s="55"/>
      <c r="K128" s="56"/>
      <c r="L128" s="56"/>
      <c r="M128" s="56"/>
      <c r="N128" s="56"/>
      <c r="O128" s="56"/>
      <c r="P128" s="56"/>
      <c r="Q128" s="56"/>
      <c r="R128" s="56"/>
      <c r="S128" s="56"/>
      <c r="T128" s="33"/>
    </row>
    <row r="129" spans="1:20" ht="15.75" customHeight="1" x14ac:dyDescent="0.3">
      <c r="A129" s="33"/>
      <c r="B129" s="33"/>
      <c r="C129" s="33"/>
      <c r="D129" s="54"/>
      <c r="E129" s="33"/>
      <c r="F129" s="33"/>
      <c r="G129" s="55"/>
      <c r="H129" s="33"/>
      <c r="I129" s="33"/>
      <c r="J129" s="55"/>
      <c r="K129" s="56"/>
      <c r="L129" s="56"/>
      <c r="M129" s="56"/>
      <c r="N129" s="56"/>
      <c r="O129" s="56"/>
      <c r="P129" s="56"/>
      <c r="Q129" s="56"/>
      <c r="R129" s="56"/>
      <c r="S129" s="56"/>
      <c r="T129" s="33"/>
    </row>
    <row r="130" spans="1:20" ht="15.75" customHeight="1" x14ac:dyDescent="0.3">
      <c r="A130" s="33"/>
      <c r="B130" s="33"/>
      <c r="C130" s="33"/>
      <c r="D130" s="54"/>
      <c r="E130" s="33"/>
      <c r="F130" s="33"/>
      <c r="G130" s="55"/>
      <c r="H130" s="33"/>
      <c r="I130" s="33"/>
      <c r="J130" s="55"/>
      <c r="K130" s="56"/>
      <c r="L130" s="56"/>
      <c r="M130" s="56"/>
      <c r="N130" s="56"/>
      <c r="O130" s="56"/>
      <c r="P130" s="56"/>
      <c r="Q130" s="56"/>
      <c r="R130" s="56"/>
      <c r="S130" s="56"/>
      <c r="T130" s="33"/>
    </row>
    <row r="131" spans="1:20" ht="15.75" customHeight="1" x14ac:dyDescent="0.3">
      <c r="A131" s="33"/>
      <c r="B131" s="33"/>
      <c r="C131" s="33"/>
      <c r="D131" s="54"/>
      <c r="E131" s="33"/>
      <c r="F131" s="33"/>
      <c r="G131" s="55"/>
      <c r="H131" s="33"/>
      <c r="I131" s="33"/>
      <c r="J131" s="55"/>
      <c r="K131" s="56"/>
      <c r="L131" s="56"/>
      <c r="M131" s="56"/>
      <c r="N131" s="56"/>
      <c r="O131" s="56"/>
      <c r="P131" s="56"/>
      <c r="Q131" s="56"/>
      <c r="R131" s="56"/>
      <c r="S131" s="56"/>
      <c r="T131" s="33"/>
    </row>
    <row r="132" spans="1:20" ht="15.75" customHeight="1" x14ac:dyDescent="0.3">
      <c r="A132" s="33"/>
      <c r="B132" s="33"/>
      <c r="C132" s="33"/>
      <c r="D132" s="54"/>
      <c r="E132" s="33"/>
      <c r="F132" s="33"/>
      <c r="G132" s="55"/>
      <c r="H132" s="33"/>
      <c r="I132" s="33"/>
      <c r="J132" s="55"/>
      <c r="K132" s="56"/>
      <c r="L132" s="56"/>
      <c r="M132" s="56"/>
      <c r="N132" s="56"/>
      <c r="O132" s="56"/>
      <c r="P132" s="56"/>
      <c r="Q132" s="56"/>
      <c r="R132" s="56"/>
      <c r="S132" s="56"/>
      <c r="T132" s="33"/>
    </row>
    <row r="133" spans="1:20" ht="15.75" customHeight="1" x14ac:dyDescent="0.3">
      <c r="A133" s="33"/>
      <c r="B133" s="33"/>
      <c r="C133" s="33"/>
      <c r="D133" s="54"/>
      <c r="E133" s="33"/>
      <c r="F133" s="33"/>
      <c r="G133" s="55"/>
      <c r="H133" s="33"/>
      <c r="I133" s="33"/>
      <c r="J133" s="55"/>
      <c r="K133" s="56"/>
      <c r="L133" s="56"/>
      <c r="M133" s="56"/>
      <c r="N133" s="56"/>
      <c r="O133" s="56"/>
      <c r="P133" s="56"/>
      <c r="Q133" s="56"/>
      <c r="R133" s="56"/>
      <c r="S133" s="56"/>
      <c r="T133" s="33"/>
    </row>
    <row r="134" spans="1:20" ht="15.75" customHeight="1" x14ac:dyDescent="0.3">
      <c r="A134" s="33"/>
      <c r="B134" s="33"/>
      <c r="C134" s="33"/>
      <c r="D134" s="54"/>
      <c r="E134" s="33"/>
      <c r="F134" s="33"/>
      <c r="G134" s="55"/>
      <c r="H134" s="33"/>
      <c r="I134" s="33"/>
      <c r="J134" s="55"/>
      <c r="K134" s="56"/>
      <c r="L134" s="56"/>
      <c r="M134" s="56"/>
      <c r="N134" s="56"/>
      <c r="O134" s="56"/>
      <c r="P134" s="56"/>
      <c r="Q134" s="56"/>
      <c r="R134" s="56"/>
      <c r="S134" s="56"/>
      <c r="T134" s="33"/>
    </row>
    <row r="135" spans="1:20" ht="15.75" customHeight="1" x14ac:dyDescent="0.3">
      <c r="A135" s="33"/>
      <c r="B135" s="33"/>
      <c r="C135" s="33"/>
      <c r="D135" s="54"/>
      <c r="E135" s="33"/>
      <c r="F135" s="33"/>
      <c r="G135" s="55"/>
      <c r="H135" s="33"/>
      <c r="I135" s="33"/>
      <c r="J135" s="55"/>
      <c r="K135" s="56"/>
      <c r="L135" s="56"/>
      <c r="M135" s="56"/>
      <c r="N135" s="56"/>
      <c r="O135" s="56"/>
      <c r="P135" s="56"/>
      <c r="Q135" s="56"/>
      <c r="R135" s="56"/>
      <c r="S135" s="56"/>
      <c r="T135" s="33"/>
    </row>
    <row r="136" spans="1:20" ht="15.75" customHeight="1" x14ac:dyDescent="0.3">
      <c r="A136" s="33"/>
      <c r="B136" s="33"/>
      <c r="C136" s="33"/>
      <c r="D136" s="54"/>
      <c r="E136" s="33"/>
      <c r="F136" s="33"/>
      <c r="G136" s="55"/>
      <c r="H136" s="33"/>
      <c r="I136" s="33"/>
      <c r="J136" s="55"/>
      <c r="K136" s="56"/>
      <c r="L136" s="56"/>
      <c r="M136" s="56"/>
      <c r="N136" s="56"/>
      <c r="O136" s="56"/>
      <c r="P136" s="56"/>
      <c r="Q136" s="56"/>
      <c r="R136" s="56"/>
      <c r="S136" s="56"/>
      <c r="T136" s="33"/>
    </row>
    <row r="137" spans="1:20" ht="15.75" customHeight="1" x14ac:dyDescent="0.3">
      <c r="A137" s="33"/>
      <c r="B137" s="33"/>
      <c r="C137" s="33"/>
      <c r="D137" s="54"/>
      <c r="E137" s="33"/>
      <c r="F137" s="33"/>
      <c r="G137" s="55"/>
      <c r="H137" s="33"/>
      <c r="I137" s="33"/>
      <c r="J137" s="55"/>
      <c r="K137" s="56"/>
      <c r="L137" s="56"/>
      <c r="M137" s="56"/>
      <c r="N137" s="56"/>
      <c r="O137" s="56"/>
      <c r="P137" s="56"/>
      <c r="Q137" s="56"/>
      <c r="R137" s="56"/>
      <c r="S137" s="56"/>
      <c r="T137" s="33"/>
    </row>
    <row r="138" spans="1:20" ht="15.75" customHeight="1" x14ac:dyDescent="0.3">
      <c r="A138" s="33"/>
      <c r="B138" s="33"/>
      <c r="C138" s="33"/>
      <c r="D138" s="54"/>
      <c r="E138" s="33"/>
      <c r="F138" s="33"/>
      <c r="G138" s="55"/>
      <c r="H138" s="33"/>
      <c r="I138" s="33"/>
      <c r="J138" s="55"/>
      <c r="K138" s="56"/>
      <c r="L138" s="56"/>
      <c r="M138" s="56"/>
      <c r="N138" s="56"/>
      <c r="O138" s="56"/>
      <c r="P138" s="56"/>
      <c r="Q138" s="56"/>
      <c r="R138" s="56"/>
      <c r="S138" s="56"/>
      <c r="T138" s="33"/>
    </row>
    <row r="139" spans="1:20" ht="15.75" customHeight="1" x14ac:dyDescent="0.3">
      <c r="A139" s="33"/>
      <c r="B139" s="33"/>
      <c r="C139" s="33"/>
      <c r="D139" s="54"/>
      <c r="E139" s="33"/>
      <c r="F139" s="33"/>
      <c r="G139" s="55"/>
      <c r="H139" s="33"/>
      <c r="I139" s="33"/>
      <c r="J139" s="55"/>
      <c r="K139" s="56"/>
      <c r="L139" s="56"/>
      <c r="M139" s="56"/>
      <c r="N139" s="56"/>
      <c r="O139" s="56"/>
      <c r="P139" s="56"/>
      <c r="Q139" s="56"/>
      <c r="R139" s="56"/>
      <c r="S139" s="56"/>
      <c r="T139" s="33"/>
    </row>
    <row r="140" spans="1:20" ht="15.75" customHeight="1" x14ac:dyDescent="0.3">
      <c r="A140" s="33"/>
      <c r="B140" s="33"/>
      <c r="C140" s="33"/>
      <c r="D140" s="54"/>
      <c r="E140" s="33"/>
      <c r="F140" s="33"/>
      <c r="G140" s="55"/>
      <c r="H140" s="33"/>
      <c r="I140" s="33"/>
      <c r="J140" s="55"/>
      <c r="K140" s="56"/>
      <c r="L140" s="56"/>
      <c r="M140" s="56"/>
      <c r="N140" s="56"/>
      <c r="O140" s="56"/>
      <c r="P140" s="56"/>
      <c r="Q140" s="56"/>
      <c r="R140" s="56"/>
      <c r="S140" s="56"/>
      <c r="T140" s="33"/>
    </row>
    <row r="141" spans="1:20" ht="15.75" customHeight="1" x14ac:dyDescent="0.3">
      <c r="A141" s="33"/>
      <c r="B141" s="33"/>
      <c r="C141" s="33"/>
      <c r="D141" s="54"/>
      <c r="E141" s="33"/>
      <c r="F141" s="33"/>
      <c r="G141" s="55"/>
      <c r="H141" s="33"/>
      <c r="I141" s="33"/>
      <c r="J141" s="55"/>
      <c r="K141" s="56"/>
      <c r="L141" s="56"/>
      <c r="M141" s="56"/>
      <c r="N141" s="56"/>
      <c r="O141" s="56"/>
      <c r="P141" s="56"/>
      <c r="Q141" s="56"/>
      <c r="R141" s="56"/>
      <c r="S141" s="56"/>
      <c r="T141" s="33"/>
    </row>
    <row r="142" spans="1:20" ht="15.75" customHeight="1" x14ac:dyDescent="0.3">
      <c r="A142" s="33"/>
      <c r="B142" s="33"/>
      <c r="C142" s="33"/>
      <c r="D142" s="54"/>
      <c r="E142" s="33"/>
      <c r="F142" s="33"/>
      <c r="G142" s="55"/>
      <c r="H142" s="33"/>
      <c r="I142" s="33"/>
      <c r="J142" s="55"/>
      <c r="K142" s="56"/>
      <c r="L142" s="56"/>
      <c r="M142" s="56"/>
      <c r="N142" s="56"/>
      <c r="O142" s="56"/>
      <c r="P142" s="56"/>
      <c r="Q142" s="56"/>
      <c r="R142" s="56"/>
      <c r="S142" s="56"/>
      <c r="T142" s="33"/>
    </row>
    <row r="143" spans="1:20" ht="15.75" customHeight="1" x14ac:dyDescent="0.3">
      <c r="A143" s="33"/>
      <c r="B143" s="33"/>
      <c r="C143" s="33"/>
      <c r="D143" s="54"/>
      <c r="E143" s="33"/>
      <c r="F143" s="33"/>
      <c r="G143" s="55"/>
      <c r="H143" s="33"/>
      <c r="I143" s="33"/>
      <c r="J143" s="55"/>
      <c r="K143" s="56"/>
      <c r="L143" s="56"/>
      <c r="M143" s="56"/>
      <c r="N143" s="56"/>
      <c r="O143" s="56"/>
      <c r="P143" s="56"/>
      <c r="Q143" s="56"/>
      <c r="R143" s="56"/>
      <c r="S143" s="56"/>
      <c r="T143" s="33"/>
    </row>
    <row r="144" spans="1:20" ht="15.75" customHeight="1" x14ac:dyDescent="0.3">
      <c r="A144" s="33"/>
      <c r="B144" s="33"/>
      <c r="C144" s="33"/>
      <c r="D144" s="54"/>
      <c r="E144" s="33"/>
      <c r="F144" s="33"/>
      <c r="G144" s="55"/>
      <c r="H144" s="33"/>
      <c r="I144" s="33"/>
      <c r="J144" s="55"/>
      <c r="K144" s="56"/>
      <c r="L144" s="56"/>
      <c r="M144" s="56"/>
      <c r="N144" s="56"/>
      <c r="O144" s="56"/>
      <c r="P144" s="56"/>
      <c r="Q144" s="56"/>
      <c r="R144" s="56"/>
      <c r="S144" s="56"/>
      <c r="T144" s="33"/>
    </row>
    <row r="145" spans="1:20" ht="15.75" customHeight="1" x14ac:dyDescent="0.3">
      <c r="A145" s="33"/>
      <c r="B145" s="33"/>
      <c r="C145" s="33"/>
      <c r="D145" s="54"/>
      <c r="E145" s="33"/>
      <c r="F145" s="33"/>
      <c r="G145" s="55"/>
      <c r="H145" s="33"/>
      <c r="I145" s="33"/>
      <c r="J145" s="55"/>
      <c r="K145" s="56"/>
      <c r="L145" s="56"/>
      <c r="M145" s="56"/>
      <c r="N145" s="56"/>
      <c r="O145" s="56"/>
      <c r="P145" s="56"/>
      <c r="Q145" s="56"/>
      <c r="R145" s="56"/>
      <c r="S145" s="56"/>
      <c r="T145" s="33"/>
    </row>
    <row r="146" spans="1:20" ht="15.75" customHeight="1" x14ac:dyDescent="0.3">
      <c r="A146" s="33"/>
      <c r="B146" s="33"/>
      <c r="C146" s="33"/>
      <c r="D146" s="54"/>
      <c r="E146" s="33"/>
      <c r="F146" s="33"/>
      <c r="G146" s="55"/>
      <c r="H146" s="33"/>
      <c r="I146" s="33"/>
      <c r="J146" s="55"/>
      <c r="K146" s="56"/>
      <c r="L146" s="56"/>
      <c r="M146" s="56"/>
      <c r="N146" s="56"/>
      <c r="O146" s="56"/>
      <c r="P146" s="56"/>
      <c r="Q146" s="56"/>
      <c r="R146" s="56"/>
      <c r="S146" s="56"/>
      <c r="T146" s="33"/>
    </row>
    <row r="147" spans="1:20" ht="15.75" customHeight="1" x14ac:dyDescent="0.3">
      <c r="A147" s="33"/>
      <c r="B147" s="33"/>
      <c r="C147" s="33"/>
      <c r="D147" s="54"/>
      <c r="E147" s="33"/>
      <c r="F147" s="33"/>
      <c r="G147" s="55"/>
      <c r="H147" s="33"/>
      <c r="I147" s="33"/>
      <c r="J147" s="55"/>
      <c r="K147" s="56"/>
      <c r="L147" s="56"/>
      <c r="M147" s="56"/>
      <c r="N147" s="56"/>
      <c r="O147" s="56"/>
      <c r="P147" s="56"/>
      <c r="Q147" s="56"/>
      <c r="R147" s="56"/>
      <c r="S147" s="56"/>
      <c r="T147" s="33"/>
    </row>
    <row r="148" spans="1:20" ht="15.75" customHeight="1" x14ac:dyDescent="0.3">
      <c r="A148" s="33"/>
      <c r="B148" s="33"/>
      <c r="C148" s="33"/>
      <c r="D148" s="54"/>
      <c r="E148" s="33"/>
      <c r="F148" s="33"/>
      <c r="G148" s="55"/>
      <c r="H148" s="33"/>
      <c r="I148" s="33"/>
      <c r="J148" s="55"/>
      <c r="K148" s="56"/>
      <c r="L148" s="56"/>
      <c r="M148" s="56"/>
      <c r="N148" s="56"/>
      <c r="O148" s="56"/>
      <c r="P148" s="56"/>
      <c r="Q148" s="56"/>
      <c r="R148" s="56"/>
      <c r="S148" s="56"/>
      <c r="T148" s="33"/>
    </row>
    <row r="149" spans="1:20" ht="15.75" customHeight="1" x14ac:dyDescent="0.3">
      <c r="A149" s="33"/>
      <c r="B149" s="33"/>
      <c r="C149" s="33"/>
      <c r="D149" s="54"/>
      <c r="E149" s="33"/>
      <c r="F149" s="33"/>
      <c r="G149" s="55"/>
      <c r="H149" s="33"/>
      <c r="I149" s="33"/>
      <c r="J149" s="55"/>
      <c r="K149" s="56"/>
      <c r="L149" s="56"/>
      <c r="M149" s="56"/>
      <c r="N149" s="56"/>
      <c r="O149" s="56"/>
      <c r="P149" s="56"/>
      <c r="Q149" s="56"/>
      <c r="R149" s="56"/>
      <c r="S149" s="56"/>
      <c r="T149" s="33"/>
    </row>
    <row r="150" spans="1:20" ht="15.75" customHeight="1" x14ac:dyDescent="0.3">
      <c r="A150" s="33"/>
      <c r="B150" s="33"/>
      <c r="C150" s="33"/>
      <c r="D150" s="54"/>
      <c r="E150" s="33"/>
      <c r="F150" s="33"/>
      <c r="G150" s="55"/>
      <c r="H150" s="33"/>
      <c r="I150" s="33"/>
      <c r="J150" s="55"/>
      <c r="K150" s="56"/>
      <c r="L150" s="56"/>
      <c r="M150" s="56"/>
      <c r="N150" s="56"/>
      <c r="O150" s="56"/>
      <c r="P150" s="56"/>
      <c r="Q150" s="56"/>
      <c r="R150" s="56"/>
      <c r="S150" s="56"/>
      <c r="T150" s="33"/>
    </row>
    <row r="151" spans="1:20" ht="15.75" customHeight="1" x14ac:dyDescent="0.3">
      <c r="A151" s="33"/>
      <c r="B151" s="33"/>
      <c r="C151" s="33"/>
      <c r="D151" s="54"/>
      <c r="E151" s="33"/>
      <c r="F151" s="33"/>
      <c r="G151" s="55"/>
      <c r="H151" s="33"/>
      <c r="I151" s="33"/>
      <c r="J151" s="55"/>
      <c r="K151" s="56"/>
      <c r="L151" s="56"/>
      <c r="M151" s="56"/>
      <c r="N151" s="56"/>
      <c r="O151" s="56"/>
      <c r="P151" s="56"/>
      <c r="Q151" s="56"/>
      <c r="R151" s="56"/>
      <c r="S151" s="56"/>
      <c r="T151" s="33"/>
    </row>
    <row r="152" spans="1:20" ht="15.75" customHeight="1" x14ac:dyDescent="0.3">
      <c r="A152" s="33"/>
      <c r="B152" s="33"/>
      <c r="C152" s="33"/>
      <c r="D152" s="54"/>
      <c r="E152" s="33"/>
      <c r="F152" s="33"/>
      <c r="G152" s="55"/>
      <c r="H152" s="33"/>
      <c r="I152" s="33"/>
      <c r="J152" s="55"/>
      <c r="K152" s="56"/>
      <c r="L152" s="56"/>
      <c r="M152" s="56"/>
      <c r="N152" s="56"/>
      <c r="O152" s="56"/>
      <c r="P152" s="56"/>
      <c r="Q152" s="56"/>
      <c r="R152" s="56"/>
      <c r="S152" s="56"/>
      <c r="T152" s="33"/>
    </row>
    <row r="153" spans="1:20" ht="15.75" customHeight="1" x14ac:dyDescent="0.3">
      <c r="A153" s="33"/>
      <c r="B153" s="33"/>
      <c r="C153" s="33"/>
      <c r="D153" s="54"/>
      <c r="E153" s="33"/>
      <c r="F153" s="33"/>
      <c r="G153" s="55"/>
      <c r="H153" s="33"/>
      <c r="I153" s="33"/>
      <c r="J153" s="55"/>
      <c r="K153" s="56"/>
      <c r="L153" s="56"/>
      <c r="M153" s="56"/>
      <c r="N153" s="56"/>
      <c r="O153" s="56"/>
      <c r="P153" s="56"/>
      <c r="Q153" s="56"/>
      <c r="R153" s="56"/>
      <c r="S153" s="56"/>
      <c r="T153" s="33"/>
    </row>
    <row r="154" spans="1:20" ht="15.75" customHeight="1" x14ac:dyDescent="0.3">
      <c r="A154" s="33"/>
      <c r="B154" s="33"/>
      <c r="C154" s="33"/>
      <c r="D154" s="54"/>
      <c r="E154" s="33"/>
      <c r="F154" s="33"/>
      <c r="G154" s="55"/>
      <c r="H154" s="33"/>
      <c r="I154" s="33"/>
      <c r="J154" s="55"/>
      <c r="K154" s="56"/>
      <c r="L154" s="56"/>
      <c r="M154" s="56"/>
      <c r="N154" s="56"/>
      <c r="O154" s="56"/>
      <c r="P154" s="56"/>
      <c r="Q154" s="56"/>
      <c r="R154" s="56"/>
      <c r="S154" s="56"/>
      <c r="T154" s="33"/>
    </row>
    <row r="155" spans="1:20" ht="15.75" customHeight="1" x14ac:dyDescent="0.3">
      <c r="A155" s="33"/>
      <c r="B155" s="33"/>
      <c r="C155" s="33"/>
      <c r="D155" s="54"/>
      <c r="E155" s="33"/>
      <c r="F155" s="33"/>
      <c r="G155" s="55"/>
      <c r="H155" s="33"/>
      <c r="I155" s="33"/>
      <c r="J155" s="55"/>
      <c r="K155" s="56"/>
      <c r="L155" s="56"/>
      <c r="M155" s="56"/>
      <c r="N155" s="56"/>
      <c r="O155" s="56"/>
      <c r="P155" s="56"/>
      <c r="Q155" s="56"/>
      <c r="R155" s="56"/>
      <c r="S155" s="56"/>
      <c r="T155" s="33"/>
    </row>
    <row r="156" spans="1:20" ht="15.75" customHeight="1" x14ac:dyDescent="0.3">
      <c r="A156" s="33"/>
      <c r="B156" s="33"/>
      <c r="C156" s="33"/>
      <c r="D156" s="54"/>
      <c r="E156" s="33"/>
      <c r="F156" s="33"/>
      <c r="G156" s="55"/>
      <c r="H156" s="33"/>
      <c r="I156" s="33"/>
      <c r="J156" s="55"/>
      <c r="K156" s="56"/>
      <c r="L156" s="56"/>
      <c r="M156" s="56"/>
      <c r="N156" s="56"/>
      <c r="O156" s="56"/>
      <c r="P156" s="56"/>
      <c r="Q156" s="56"/>
      <c r="R156" s="56"/>
      <c r="S156" s="56"/>
      <c r="T156" s="33"/>
    </row>
    <row r="157" spans="1:20" ht="15.75" customHeight="1" x14ac:dyDescent="0.3">
      <c r="A157" s="33"/>
      <c r="B157" s="33"/>
      <c r="C157" s="33"/>
      <c r="D157" s="54"/>
      <c r="E157" s="33"/>
      <c r="F157" s="33"/>
      <c r="G157" s="55"/>
      <c r="H157" s="33"/>
      <c r="I157" s="33"/>
      <c r="J157" s="55"/>
      <c r="K157" s="56"/>
      <c r="L157" s="56"/>
      <c r="M157" s="56"/>
      <c r="N157" s="56"/>
      <c r="O157" s="56"/>
      <c r="P157" s="56"/>
      <c r="Q157" s="56"/>
      <c r="R157" s="56"/>
      <c r="S157" s="56"/>
      <c r="T157" s="33"/>
    </row>
    <row r="158" spans="1:20" ht="15.75" customHeight="1" x14ac:dyDescent="0.3">
      <c r="A158" s="33"/>
      <c r="B158" s="33"/>
      <c r="C158" s="33"/>
      <c r="D158" s="54"/>
      <c r="E158" s="33"/>
      <c r="F158" s="33"/>
      <c r="G158" s="55"/>
      <c r="H158" s="33"/>
      <c r="I158" s="33"/>
      <c r="J158" s="55"/>
      <c r="K158" s="56"/>
      <c r="L158" s="56"/>
      <c r="M158" s="56"/>
      <c r="N158" s="56"/>
      <c r="O158" s="56"/>
      <c r="P158" s="56"/>
      <c r="Q158" s="56"/>
      <c r="R158" s="56"/>
      <c r="S158" s="56"/>
      <c r="T158" s="33"/>
    </row>
    <row r="159" spans="1:20" ht="15.75" customHeight="1" x14ac:dyDescent="0.3">
      <c r="A159" s="33"/>
      <c r="B159" s="33"/>
      <c r="C159" s="33"/>
      <c r="D159" s="54"/>
      <c r="E159" s="33"/>
      <c r="F159" s="33"/>
      <c r="G159" s="55"/>
      <c r="H159" s="33"/>
      <c r="I159" s="33"/>
      <c r="J159" s="55"/>
      <c r="K159" s="56"/>
      <c r="L159" s="56"/>
      <c r="M159" s="56"/>
      <c r="N159" s="56"/>
      <c r="O159" s="56"/>
      <c r="P159" s="56"/>
      <c r="Q159" s="56"/>
      <c r="R159" s="56"/>
      <c r="S159" s="56"/>
      <c r="T159" s="33"/>
    </row>
    <row r="160" spans="1:20" ht="15.75" customHeight="1" x14ac:dyDescent="0.3">
      <c r="A160" s="33"/>
      <c r="B160" s="33"/>
      <c r="C160" s="33"/>
      <c r="D160" s="54"/>
      <c r="E160" s="33"/>
      <c r="F160" s="33"/>
      <c r="G160" s="55"/>
      <c r="H160" s="33"/>
      <c r="I160" s="33"/>
      <c r="J160" s="55"/>
      <c r="K160" s="56"/>
      <c r="L160" s="56"/>
      <c r="M160" s="56"/>
      <c r="N160" s="56"/>
      <c r="O160" s="56"/>
      <c r="P160" s="56"/>
      <c r="Q160" s="56"/>
      <c r="R160" s="56"/>
      <c r="S160" s="56"/>
      <c r="T160" s="33"/>
    </row>
    <row r="161" spans="1:20" ht="15.75" customHeight="1" x14ac:dyDescent="0.3">
      <c r="A161" s="33"/>
      <c r="B161" s="33"/>
      <c r="C161" s="33"/>
      <c r="D161" s="54"/>
      <c r="E161" s="33"/>
      <c r="F161" s="33"/>
      <c r="G161" s="55"/>
      <c r="H161" s="33"/>
      <c r="I161" s="33"/>
      <c r="J161" s="55"/>
      <c r="K161" s="56"/>
      <c r="L161" s="56"/>
      <c r="M161" s="56"/>
      <c r="N161" s="56"/>
      <c r="O161" s="56"/>
      <c r="P161" s="56"/>
      <c r="Q161" s="56"/>
      <c r="R161" s="56"/>
      <c r="S161" s="56"/>
      <c r="T161" s="33"/>
    </row>
    <row r="162" spans="1:20" ht="15.75" customHeight="1" x14ac:dyDescent="0.3">
      <c r="A162" s="33"/>
      <c r="B162" s="33"/>
      <c r="C162" s="33"/>
      <c r="D162" s="54"/>
      <c r="E162" s="33"/>
      <c r="F162" s="33"/>
      <c r="G162" s="55"/>
      <c r="H162" s="33"/>
      <c r="I162" s="33"/>
      <c r="J162" s="55"/>
      <c r="K162" s="56"/>
      <c r="L162" s="56"/>
      <c r="M162" s="56"/>
      <c r="N162" s="56"/>
      <c r="O162" s="56"/>
      <c r="P162" s="56"/>
      <c r="Q162" s="56"/>
      <c r="R162" s="56"/>
      <c r="S162" s="56"/>
      <c r="T162" s="33"/>
    </row>
    <row r="163" spans="1:20" ht="15.75" customHeight="1" x14ac:dyDescent="0.3">
      <c r="A163" s="33"/>
      <c r="B163" s="33"/>
      <c r="C163" s="33"/>
      <c r="D163" s="54"/>
      <c r="E163" s="33"/>
      <c r="F163" s="33"/>
      <c r="G163" s="55"/>
      <c r="H163" s="33"/>
      <c r="I163" s="33"/>
      <c r="J163" s="55"/>
      <c r="K163" s="56"/>
      <c r="L163" s="56"/>
      <c r="M163" s="56"/>
      <c r="N163" s="56"/>
      <c r="O163" s="56"/>
      <c r="P163" s="56"/>
      <c r="Q163" s="56"/>
      <c r="R163" s="56"/>
      <c r="S163" s="56"/>
      <c r="T163" s="33"/>
    </row>
    <row r="164" spans="1:20" ht="15.75" customHeight="1" x14ac:dyDescent="0.3">
      <c r="A164" s="33"/>
      <c r="B164" s="33"/>
      <c r="C164" s="33"/>
      <c r="D164" s="54"/>
      <c r="E164" s="33"/>
      <c r="F164" s="33"/>
      <c r="G164" s="55"/>
      <c r="H164" s="33"/>
      <c r="I164" s="33"/>
      <c r="J164" s="55"/>
      <c r="K164" s="56"/>
      <c r="L164" s="56"/>
      <c r="M164" s="56"/>
      <c r="N164" s="56"/>
      <c r="O164" s="56"/>
      <c r="P164" s="56"/>
      <c r="Q164" s="56"/>
      <c r="R164" s="56"/>
      <c r="S164" s="56"/>
      <c r="T164" s="33"/>
    </row>
    <row r="165" spans="1:20" ht="15.75" customHeight="1" x14ac:dyDescent="0.3">
      <c r="A165" s="33"/>
      <c r="B165" s="33"/>
      <c r="C165" s="33"/>
      <c r="D165" s="54"/>
      <c r="E165" s="33"/>
      <c r="F165" s="33"/>
      <c r="G165" s="55"/>
      <c r="H165" s="33"/>
      <c r="I165" s="33"/>
      <c r="J165" s="55"/>
      <c r="K165" s="56"/>
      <c r="L165" s="56"/>
      <c r="M165" s="56"/>
      <c r="N165" s="56"/>
      <c r="O165" s="56"/>
      <c r="P165" s="56"/>
      <c r="Q165" s="56"/>
      <c r="R165" s="56"/>
      <c r="S165" s="56"/>
      <c r="T165" s="33"/>
    </row>
    <row r="166" spans="1:20" ht="15.75" customHeight="1" x14ac:dyDescent="0.3">
      <c r="A166" s="33"/>
      <c r="B166" s="33"/>
      <c r="C166" s="33"/>
      <c r="D166" s="54"/>
      <c r="E166" s="33"/>
      <c r="F166" s="33"/>
      <c r="G166" s="55"/>
      <c r="H166" s="33"/>
      <c r="I166" s="33"/>
      <c r="J166" s="55"/>
      <c r="K166" s="56"/>
      <c r="L166" s="56"/>
      <c r="M166" s="56"/>
      <c r="N166" s="56"/>
      <c r="O166" s="56"/>
      <c r="P166" s="56"/>
      <c r="Q166" s="56"/>
      <c r="R166" s="56"/>
      <c r="S166" s="56"/>
      <c r="T166" s="33"/>
    </row>
    <row r="167" spans="1:20" ht="15.75" customHeight="1" x14ac:dyDescent="0.3">
      <c r="A167" s="33"/>
      <c r="B167" s="33"/>
      <c r="C167" s="33"/>
      <c r="D167" s="54"/>
      <c r="E167" s="33"/>
      <c r="F167" s="33"/>
      <c r="G167" s="55"/>
      <c r="H167" s="33"/>
      <c r="I167" s="33"/>
      <c r="J167" s="55"/>
      <c r="K167" s="56"/>
      <c r="L167" s="56"/>
      <c r="M167" s="56"/>
      <c r="N167" s="56"/>
      <c r="O167" s="56"/>
      <c r="P167" s="56"/>
      <c r="Q167" s="56"/>
      <c r="R167" s="56"/>
      <c r="S167" s="56"/>
      <c r="T167" s="33"/>
    </row>
    <row r="168" spans="1:20" ht="15.75" customHeight="1" x14ac:dyDescent="0.3">
      <c r="A168" s="33"/>
      <c r="B168" s="33"/>
      <c r="C168" s="33"/>
      <c r="D168" s="54"/>
      <c r="E168" s="33"/>
      <c r="F168" s="33"/>
      <c r="G168" s="55"/>
      <c r="H168" s="33"/>
      <c r="I168" s="33"/>
      <c r="J168" s="55"/>
      <c r="K168" s="56"/>
      <c r="L168" s="56"/>
      <c r="M168" s="56"/>
      <c r="N168" s="56"/>
      <c r="O168" s="56"/>
      <c r="P168" s="56"/>
      <c r="Q168" s="56"/>
      <c r="R168" s="56"/>
      <c r="S168" s="56"/>
      <c r="T168" s="33"/>
    </row>
    <row r="169" spans="1:20" ht="15.75" customHeight="1" x14ac:dyDescent="0.3">
      <c r="A169" s="33"/>
      <c r="B169" s="33"/>
      <c r="C169" s="33"/>
      <c r="D169" s="54"/>
      <c r="E169" s="33"/>
      <c r="F169" s="33"/>
      <c r="G169" s="55"/>
      <c r="H169" s="33"/>
      <c r="I169" s="33"/>
      <c r="J169" s="55"/>
      <c r="K169" s="56"/>
      <c r="L169" s="56"/>
      <c r="M169" s="56"/>
      <c r="N169" s="56"/>
      <c r="O169" s="56"/>
      <c r="P169" s="56"/>
      <c r="Q169" s="56"/>
      <c r="R169" s="56"/>
      <c r="S169" s="56"/>
      <c r="T169" s="33"/>
    </row>
    <row r="170" spans="1:20" ht="15.75" customHeight="1" x14ac:dyDescent="0.3">
      <c r="A170" s="33"/>
      <c r="B170" s="33"/>
      <c r="C170" s="33"/>
      <c r="D170" s="54"/>
      <c r="E170" s="33"/>
      <c r="F170" s="33"/>
      <c r="G170" s="55"/>
      <c r="H170" s="33"/>
      <c r="I170" s="33"/>
      <c r="J170" s="55"/>
      <c r="K170" s="56"/>
      <c r="L170" s="56"/>
      <c r="M170" s="56"/>
      <c r="N170" s="56"/>
      <c r="O170" s="56"/>
      <c r="P170" s="56"/>
      <c r="Q170" s="56"/>
      <c r="R170" s="56"/>
      <c r="S170" s="56"/>
      <c r="T170" s="33"/>
    </row>
    <row r="171" spans="1:20" ht="15.75" customHeight="1" x14ac:dyDescent="0.3">
      <c r="A171" s="33"/>
      <c r="B171" s="33"/>
      <c r="C171" s="33"/>
      <c r="D171" s="54"/>
      <c r="E171" s="33"/>
      <c r="F171" s="33"/>
      <c r="G171" s="55"/>
      <c r="H171" s="33"/>
      <c r="I171" s="33"/>
      <c r="J171" s="55"/>
      <c r="K171" s="56"/>
      <c r="L171" s="56"/>
      <c r="M171" s="56"/>
      <c r="N171" s="56"/>
      <c r="O171" s="56"/>
      <c r="P171" s="56"/>
      <c r="Q171" s="56"/>
      <c r="R171" s="56"/>
      <c r="S171" s="56"/>
      <c r="T171" s="33"/>
    </row>
    <row r="172" spans="1:20" ht="15.75" customHeight="1" x14ac:dyDescent="0.3">
      <c r="A172" s="33"/>
      <c r="B172" s="33"/>
      <c r="C172" s="33"/>
      <c r="D172" s="54"/>
      <c r="E172" s="33"/>
      <c r="F172" s="33"/>
      <c r="G172" s="55"/>
      <c r="H172" s="33"/>
      <c r="I172" s="33"/>
      <c r="J172" s="55"/>
      <c r="K172" s="56"/>
      <c r="L172" s="56"/>
      <c r="M172" s="56"/>
      <c r="N172" s="56"/>
      <c r="O172" s="56"/>
      <c r="P172" s="56"/>
      <c r="Q172" s="56"/>
      <c r="R172" s="56"/>
      <c r="S172" s="56"/>
      <c r="T172" s="33"/>
    </row>
    <row r="173" spans="1:20" ht="15.75" customHeight="1" x14ac:dyDescent="0.3">
      <c r="A173" s="33"/>
      <c r="B173" s="33"/>
      <c r="C173" s="33"/>
      <c r="D173" s="54"/>
      <c r="E173" s="33"/>
      <c r="F173" s="33"/>
      <c r="G173" s="55"/>
      <c r="H173" s="33"/>
      <c r="I173" s="33"/>
      <c r="J173" s="55"/>
      <c r="K173" s="56"/>
      <c r="L173" s="56"/>
      <c r="M173" s="56"/>
      <c r="N173" s="56"/>
      <c r="O173" s="56"/>
      <c r="P173" s="56"/>
      <c r="Q173" s="56"/>
      <c r="R173" s="56"/>
      <c r="S173" s="56"/>
      <c r="T173" s="33"/>
    </row>
    <row r="174" spans="1:20" ht="15.75" customHeight="1" x14ac:dyDescent="0.3">
      <c r="A174" s="33"/>
      <c r="B174" s="33"/>
      <c r="C174" s="33"/>
      <c r="D174" s="54"/>
      <c r="E174" s="33"/>
      <c r="F174" s="33"/>
      <c r="G174" s="55"/>
      <c r="H174" s="33"/>
      <c r="I174" s="33"/>
      <c r="J174" s="55"/>
      <c r="K174" s="56"/>
      <c r="L174" s="56"/>
      <c r="M174" s="56"/>
      <c r="N174" s="56"/>
      <c r="O174" s="56"/>
      <c r="P174" s="56"/>
      <c r="Q174" s="56"/>
      <c r="R174" s="56"/>
      <c r="S174" s="56"/>
      <c r="T174" s="33"/>
    </row>
    <row r="175" spans="1:20" ht="15.75" customHeight="1" x14ac:dyDescent="0.3">
      <c r="A175" s="33"/>
      <c r="B175" s="33"/>
      <c r="C175" s="33"/>
      <c r="D175" s="54"/>
      <c r="E175" s="33"/>
      <c r="F175" s="33"/>
      <c r="G175" s="55"/>
      <c r="H175" s="33"/>
      <c r="I175" s="33"/>
      <c r="J175" s="55"/>
      <c r="K175" s="56"/>
      <c r="L175" s="56"/>
      <c r="M175" s="56"/>
      <c r="N175" s="56"/>
      <c r="O175" s="56"/>
      <c r="P175" s="56"/>
      <c r="Q175" s="56"/>
      <c r="R175" s="56"/>
      <c r="S175" s="56"/>
      <c r="T175" s="33"/>
    </row>
    <row r="176" spans="1:20" ht="15.75" customHeight="1" x14ac:dyDescent="0.3">
      <c r="A176" s="33"/>
      <c r="B176" s="33"/>
      <c r="C176" s="33"/>
      <c r="D176" s="54"/>
      <c r="E176" s="33"/>
      <c r="F176" s="33"/>
      <c r="G176" s="55"/>
      <c r="H176" s="33"/>
      <c r="I176" s="33"/>
      <c r="J176" s="55"/>
      <c r="K176" s="56"/>
      <c r="L176" s="56"/>
      <c r="M176" s="56"/>
      <c r="N176" s="56"/>
      <c r="O176" s="56"/>
      <c r="P176" s="56"/>
      <c r="Q176" s="56"/>
      <c r="R176" s="56"/>
      <c r="S176" s="56"/>
      <c r="T176" s="33"/>
    </row>
    <row r="177" spans="1:20" ht="15.75" customHeight="1" x14ac:dyDescent="0.3">
      <c r="A177" s="33"/>
      <c r="B177" s="33"/>
      <c r="C177" s="33"/>
      <c r="D177" s="54"/>
      <c r="E177" s="33"/>
      <c r="F177" s="33"/>
      <c r="G177" s="55"/>
      <c r="H177" s="33"/>
      <c r="I177" s="33"/>
      <c r="J177" s="55"/>
      <c r="K177" s="56"/>
      <c r="L177" s="56"/>
      <c r="M177" s="56"/>
      <c r="N177" s="56"/>
      <c r="O177" s="56"/>
      <c r="P177" s="56"/>
      <c r="Q177" s="56"/>
      <c r="R177" s="56"/>
      <c r="S177" s="56"/>
      <c r="T177" s="33"/>
    </row>
    <row r="178" spans="1:20" ht="15.75" customHeight="1" x14ac:dyDescent="0.3">
      <c r="A178" s="33"/>
      <c r="B178" s="33"/>
      <c r="C178" s="33"/>
      <c r="D178" s="54"/>
      <c r="E178" s="33"/>
      <c r="F178" s="33"/>
      <c r="G178" s="55"/>
      <c r="H178" s="33"/>
      <c r="I178" s="33"/>
      <c r="J178" s="55"/>
      <c r="K178" s="56"/>
      <c r="L178" s="56"/>
      <c r="M178" s="56"/>
      <c r="N178" s="56"/>
      <c r="O178" s="56"/>
      <c r="P178" s="56"/>
      <c r="Q178" s="56"/>
      <c r="R178" s="56"/>
      <c r="S178" s="56"/>
      <c r="T178" s="33"/>
    </row>
    <row r="179" spans="1:20" ht="15.75" customHeight="1" x14ac:dyDescent="0.3">
      <c r="A179" s="33"/>
      <c r="B179" s="33"/>
      <c r="C179" s="33"/>
      <c r="D179" s="54"/>
      <c r="E179" s="33"/>
      <c r="F179" s="33"/>
      <c r="G179" s="55"/>
      <c r="H179" s="33"/>
      <c r="I179" s="33"/>
      <c r="J179" s="55"/>
      <c r="K179" s="56"/>
      <c r="L179" s="56"/>
      <c r="M179" s="56"/>
      <c r="N179" s="56"/>
      <c r="O179" s="56"/>
      <c r="P179" s="56"/>
      <c r="Q179" s="56"/>
      <c r="R179" s="56"/>
      <c r="S179" s="56"/>
      <c r="T179" s="33"/>
    </row>
    <row r="180" spans="1:20" ht="15.75" customHeight="1" x14ac:dyDescent="0.3">
      <c r="A180" s="33"/>
      <c r="B180" s="33"/>
      <c r="C180" s="33"/>
      <c r="D180" s="54"/>
      <c r="E180" s="33"/>
      <c r="F180" s="33"/>
      <c r="G180" s="55"/>
      <c r="H180" s="33"/>
      <c r="I180" s="33"/>
      <c r="J180" s="55"/>
      <c r="K180" s="56"/>
      <c r="L180" s="56"/>
      <c r="M180" s="56"/>
      <c r="N180" s="56"/>
      <c r="O180" s="56"/>
      <c r="P180" s="56"/>
      <c r="Q180" s="56"/>
      <c r="R180" s="56"/>
      <c r="S180" s="56"/>
      <c r="T180" s="33"/>
    </row>
    <row r="181" spans="1:20" ht="15.75" customHeight="1" x14ac:dyDescent="0.3">
      <c r="A181" s="33"/>
      <c r="B181" s="33"/>
      <c r="C181" s="33"/>
      <c r="D181" s="54"/>
      <c r="E181" s="33"/>
      <c r="F181" s="33"/>
      <c r="G181" s="55"/>
      <c r="H181" s="33"/>
      <c r="I181" s="33"/>
      <c r="J181" s="55"/>
      <c r="K181" s="56"/>
      <c r="L181" s="56"/>
      <c r="M181" s="56"/>
      <c r="N181" s="56"/>
      <c r="O181" s="56"/>
      <c r="P181" s="56"/>
      <c r="Q181" s="56"/>
      <c r="R181" s="56"/>
      <c r="S181" s="56"/>
      <c r="T181" s="33"/>
    </row>
    <row r="182" spans="1:20" ht="15.75" customHeight="1" x14ac:dyDescent="0.3">
      <c r="A182" s="33"/>
      <c r="B182" s="33"/>
      <c r="C182" s="33"/>
      <c r="D182" s="54"/>
      <c r="E182" s="33"/>
      <c r="F182" s="33"/>
      <c r="G182" s="55"/>
      <c r="H182" s="33"/>
      <c r="I182" s="33"/>
      <c r="J182" s="55"/>
      <c r="K182" s="56"/>
      <c r="L182" s="56"/>
      <c r="M182" s="56"/>
      <c r="N182" s="56"/>
      <c r="O182" s="56"/>
      <c r="P182" s="56"/>
      <c r="Q182" s="56"/>
      <c r="R182" s="56"/>
      <c r="S182" s="56"/>
      <c r="T182" s="33"/>
    </row>
    <row r="183" spans="1:20" ht="15.75" customHeight="1" x14ac:dyDescent="0.3">
      <c r="A183" s="33"/>
      <c r="B183" s="33"/>
      <c r="C183" s="33"/>
      <c r="D183" s="54"/>
      <c r="E183" s="33"/>
      <c r="F183" s="33"/>
      <c r="G183" s="55"/>
      <c r="H183" s="33"/>
      <c r="I183" s="33"/>
      <c r="J183" s="55"/>
      <c r="K183" s="56"/>
      <c r="L183" s="56"/>
      <c r="M183" s="56"/>
      <c r="N183" s="56"/>
      <c r="O183" s="56"/>
      <c r="P183" s="56"/>
      <c r="Q183" s="56"/>
      <c r="R183" s="56"/>
      <c r="S183" s="56"/>
      <c r="T183" s="33"/>
    </row>
    <row r="184" spans="1:20" ht="15.75" customHeight="1" x14ac:dyDescent="0.3">
      <c r="A184" s="33"/>
      <c r="B184" s="33"/>
      <c r="C184" s="33"/>
      <c r="D184" s="54"/>
      <c r="E184" s="33"/>
      <c r="F184" s="33"/>
      <c r="G184" s="55"/>
      <c r="H184" s="33"/>
      <c r="I184" s="33"/>
      <c r="J184" s="55"/>
      <c r="K184" s="56"/>
      <c r="L184" s="56"/>
      <c r="M184" s="56"/>
      <c r="N184" s="56"/>
      <c r="O184" s="56"/>
      <c r="P184" s="56"/>
      <c r="Q184" s="56"/>
      <c r="R184" s="56"/>
      <c r="S184" s="56"/>
      <c r="T184" s="33"/>
    </row>
    <row r="185" spans="1:20" ht="15.75" customHeight="1" x14ac:dyDescent="0.3">
      <c r="A185" s="33"/>
      <c r="B185" s="33"/>
      <c r="C185" s="33"/>
      <c r="D185" s="54"/>
      <c r="E185" s="33"/>
      <c r="F185" s="33"/>
      <c r="G185" s="55"/>
      <c r="H185" s="33"/>
      <c r="I185" s="33"/>
      <c r="J185" s="55"/>
      <c r="K185" s="56"/>
      <c r="L185" s="56"/>
      <c r="M185" s="56"/>
      <c r="N185" s="56"/>
      <c r="O185" s="56"/>
      <c r="P185" s="56"/>
      <c r="Q185" s="56"/>
      <c r="R185" s="56"/>
      <c r="S185" s="56"/>
      <c r="T185" s="33"/>
    </row>
    <row r="186" spans="1:20" ht="15.75" customHeight="1" x14ac:dyDescent="0.3">
      <c r="A186" s="33"/>
      <c r="B186" s="33"/>
      <c r="C186" s="33"/>
      <c r="D186" s="54"/>
      <c r="E186" s="33"/>
      <c r="F186" s="33"/>
      <c r="G186" s="55"/>
      <c r="H186" s="33"/>
      <c r="I186" s="33"/>
      <c r="J186" s="55"/>
      <c r="K186" s="56"/>
      <c r="L186" s="56"/>
      <c r="M186" s="56"/>
      <c r="N186" s="56"/>
      <c r="O186" s="56"/>
      <c r="P186" s="56"/>
      <c r="Q186" s="56"/>
      <c r="R186" s="56"/>
      <c r="S186" s="56"/>
      <c r="T186" s="33"/>
    </row>
    <row r="187" spans="1:20" ht="15.75" customHeight="1" x14ac:dyDescent="0.3">
      <c r="A187" s="33"/>
      <c r="B187" s="33"/>
      <c r="C187" s="33"/>
      <c r="D187" s="54"/>
      <c r="E187" s="33"/>
      <c r="F187" s="33"/>
      <c r="G187" s="55"/>
      <c r="H187" s="33"/>
      <c r="I187" s="33"/>
      <c r="J187" s="55"/>
      <c r="K187" s="56"/>
      <c r="L187" s="56"/>
      <c r="M187" s="56"/>
      <c r="N187" s="56"/>
      <c r="O187" s="56"/>
      <c r="P187" s="56"/>
      <c r="Q187" s="56"/>
      <c r="R187" s="56"/>
      <c r="S187" s="56"/>
      <c r="T187" s="33"/>
    </row>
    <row r="188" spans="1:20" ht="15.75" customHeight="1" x14ac:dyDescent="0.3">
      <c r="A188" s="33"/>
      <c r="B188" s="33"/>
      <c r="C188" s="33"/>
      <c r="D188" s="54"/>
      <c r="E188" s="33"/>
      <c r="F188" s="33"/>
      <c r="G188" s="55"/>
      <c r="H188" s="33"/>
      <c r="I188" s="33"/>
      <c r="J188" s="55"/>
      <c r="K188" s="56"/>
      <c r="L188" s="56"/>
      <c r="M188" s="56"/>
      <c r="N188" s="56"/>
      <c r="O188" s="56"/>
      <c r="P188" s="56"/>
      <c r="Q188" s="56"/>
      <c r="R188" s="56"/>
      <c r="S188" s="56"/>
      <c r="T188" s="33"/>
    </row>
    <row r="189" spans="1:20" ht="15.75" customHeight="1" x14ac:dyDescent="0.3">
      <c r="A189" s="33"/>
      <c r="B189" s="33"/>
      <c r="C189" s="33"/>
      <c r="D189" s="54"/>
      <c r="E189" s="33"/>
      <c r="F189" s="33"/>
      <c r="G189" s="55"/>
      <c r="H189" s="33"/>
      <c r="I189" s="33"/>
      <c r="J189" s="55"/>
      <c r="K189" s="56"/>
      <c r="L189" s="56"/>
      <c r="M189" s="56"/>
      <c r="N189" s="56"/>
      <c r="O189" s="56"/>
      <c r="P189" s="56"/>
      <c r="Q189" s="56"/>
      <c r="R189" s="56"/>
      <c r="S189" s="56"/>
      <c r="T189" s="33"/>
    </row>
    <row r="190" spans="1:20" ht="15.75" customHeight="1" x14ac:dyDescent="0.3">
      <c r="A190" s="33"/>
      <c r="B190" s="33"/>
      <c r="C190" s="33"/>
      <c r="D190" s="54"/>
      <c r="E190" s="33"/>
      <c r="F190" s="33"/>
      <c r="G190" s="55"/>
      <c r="H190" s="33"/>
      <c r="I190" s="33"/>
      <c r="J190" s="55"/>
      <c r="K190" s="56"/>
      <c r="L190" s="56"/>
      <c r="M190" s="56"/>
      <c r="N190" s="56"/>
      <c r="O190" s="56"/>
      <c r="P190" s="56"/>
      <c r="Q190" s="56"/>
      <c r="R190" s="56"/>
      <c r="S190" s="56"/>
      <c r="T190" s="33"/>
    </row>
    <row r="191" spans="1:20" ht="15.75" customHeight="1" x14ac:dyDescent="0.3">
      <c r="A191" s="33"/>
      <c r="B191" s="33"/>
      <c r="C191" s="33"/>
      <c r="D191" s="54"/>
      <c r="E191" s="33"/>
      <c r="F191" s="33"/>
      <c r="G191" s="55"/>
      <c r="H191" s="33"/>
      <c r="I191" s="33"/>
      <c r="J191" s="55"/>
      <c r="K191" s="56"/>
      <c r="L191" s="56"/>
      <c r="M191" s="56"/>
      <c r="N191" s="56"/>
      <c r="O191" s="56"/>
      <c r="P191" s="56"/>
      <c r="Q191" s="56"/>
      <c r="R191" s="56"/>
      <c r="S191" s="56"/>
      <c r="T191" s="33"/>
    </row>
    <row r="192" spans="1:20" ht="15.75" customHeight="1" x14ac:dyDescent="0.3">
      <c r="A192" s="33"/>
      <c r="B192" s="33"/>
      <c r="C192" s="33"/>
      <c r="D192" s="54"/>
      <c r="E192" s="33"/>
      <c r="F192" s="33"/>
      <c r="G192" s="55"/>
      <c r="H192" s="33"/>
      <c r="I192" s="33"/>
      <c r="J192" s="55"/>
      <c r="K192" s="56"/>
      <c r="L192" s="56"/>
      <c r="M192" s="56"/>
      <c r="N192" s="56"/>
      <c r="O192" s="56"/>
      <c r="P192" s="56"/>
      <c r="Q192" s="56"/>
      <c r="R192" s="56"/>
      <c r="S192" s="56"/>
      <c r="T192" s="33"/>
    </row>
    <row r="193" spans="1:20" ht="15.75" customHeight="1" x14ac:dyDescent="0.3">
      <c r="A193" s="33"/>
      <c r="B193" s="33"/>
      <c r="C193" s="33"/>
      <c r="D193" s="54"/>
      <c r="E193" s="33"/>
      <c r="F193" s="33"/>
      <c r="G193" s="55"/>
      <c r="H193" s="33"/>
      <c r="I193" s="33"/>
      <c r="J193" s="55"/>
      <c r="K193" s="56"/>
      <c r="L193" s="56"/>
      <c r="M193" s="56"/>
      <c r="N193" s="56"/>
      <c r="O193" s="56"/>
      <c r="P193" s="56"/>
      <c r="Q193" s="56"/>
      <c r="R193" s="56"/>
      <c r="S193" s="56"/>
      <c r="T193" s="33"/>
    </row>
    <row r="194" spans="1:20" ht="15.75" customHeight="1" x14ac:dyDescent="0.3">
      <c r="A194" s="33"/>
      <c r="B194" s="33"/>
      <c r="C194" s="33"/>
      <c r="D194" s="54"/>
      <c r="E194" s="33"/>
      <c r="F194" s="33"/>
      <c r="G194" s="55"/>
      <c r="H194" s="33"/>
      <c r="I194" s="33"/>
      <c r="J194" s="55"/>
      <c r="K194" s="56"/>
      <c r="L194" s="56"/>
      <c r="M194" s="56"/>
      <c r="N194" s="56"/>
      <c r="O194" s="56"/>
      <c r="P194" s="56"/>
      <c r="Q194" s="56"/>
      <c r="R194" s="56"/>
      <c r="S194" s="56"/>
      <c r="T194" s="33"/>
    </row>
    <row r="195" spans="1:20" ht="15.75" customHeight="1" x14ac:dyDescent="0.3">
      <c r="A195" s="33"/>
      <c r="B195" s="33"/>
      <c r="C195" s="33"/>
      <c r="D195" s="54"/>
      <c r="E195" s="33"/>
      <c r="F195" s="33"/>
      <c r="G195" s="55"/>
      <c r="H195" s="33"/>
      <c r="I195" s="33"/>
      <c r="J195" s="55"/>
      <c r="K195" s="56"/>
      <c r="L195" s="56"/>
      <c r="M195" s="56"/>
      <c r="N195" s="56"/>
      <c r="O195" s="56"/>
      <c r="P195" s="56"/>
      <c r="Q195" s="56"/>
      <c r="R195" s="56"/>
      <c r="S195" s="56"/>
      <c r="T195" s="33"/>
    </row>
    <row r="196" spans="1:20" ht="15.75" customHeight="1" x14ac:dyDescent="0.3">
      <c r="A196" s="33"/>
      <c r="B196" s="33"/>
      <c r="C196" s="33"/>
      <c r="D196" s="54"/>
      <c r="E196" s="33"/>
      <c r="F196" s="33"/>
      <c r="G196" s="55"/>
      <c r="H196" s="33"/>
      <c r="I196" s="33"/>
      <c r="J196" s="55"/>
      <c r="K196" s="56"/>
      <c r="L196" s="56"/>
      <c r="M196" s="56"/>
      <c r="N196" s="56"/>
      <c r="O196" s="56"/>
      <c r="P196" s="56"/>
      <c r="Q196" s="56"/>
      <c r="R196" s="56"/>
      <c r="S196" s="56"/>
      <c r="T196" s="33"/>
    </row>
    <row r="197" spans="1:20" ht="15.75" customHeight="1" x14ac:dyDescent="0.3">
      <c r="A197" s="33"/>
      <c r="B197" s="33"/>
      <c r="C197" s="33"/>
      <c r="D197" s="54"/>
      <c r="E197" s="33"/>
      <c r="F197" s="33"/>
      <c r="G197" s="55"/>
      <c r="H197" s="33"/>
      <c r="I197" s="33"/>
      <c r="J197" s="55"/>
      <c r="K197" s="56"/>
      <c r="L197" s="56"/>
      <c r="M197" s="56"/>
      <c r="N197" s="56"/>
      <c r="O197" s="56"/>
      <c r="P197" s="56"/>
      <c r="Q197" s="56"/>
      <c r="R197" s="56"/>
      <c r="S197" s="56"/>
      <c r="T197" s="33"/>
    </row>
    <row r="198" spans="1:20" ht="15.75" customHeight="1" x14ac:dyDescent="0.3">
      <c r="A198" s="33"/>
      <c r="B198" s="33"/>
      <c r="C198" s="33"/>
      <c r="D198" s="54"/>
      <c r="E198" s="33"/>
      <c r="F198" s="33"/>
      <c r="G198" s="55"/>
      <c r="H198" s="33"/>
      <c r="I198" s="33"/>
      <c r="J198" s="55"/>
      <c r="K198" s="56"/>
      <c r="L198" s="56"/>
      <c r="M198" s="56"/>
      <c r="N198" s="56"/>
      <c r="O198" s="56"/>
      <c r="P198" s="56"/>
      <c r="Q198" s="56"/>
      <c r="R198" s="56"/>
      <c r="S198" s="56"/>
      <c r="T198" s="33"/>
    </row>
    <row r="199" spans="1:20" ht="15.75" customHeight="1" x14ac:dyDescent="0.3">
      <c r="A199" s="33"/>
      <c r="B199" s="33"/>
      <c r="C199" s="33"/>
      <c r="D199" s="54"/>
      <c r="E199" s="33"/>
      <c r="F199" s="33"/>
      <c r="G199" s="55"/>
      <c r="H199" s="33"/>
      <c r="I199" s="33"/>
      <c r="J199" s="55"/>
      <c r="K199" s="56"/>
      <c r="L199" s="56"/>
      <c r="M199" s="56"/>
      <c r="N199" s="56"/>
      <c r="O199" s="56"/>
      <c r="P199" s="56"/>
      <c r="Q199" s="56"/>
      <c r="R199" s="56"/>
      <c r="S199" s="56"/>
      <c r="T199" s="33"/>
    </row>
    <row r="200" spans="1:20" ht="15.75" customHeight="1" x14ac:dyDescent="0.3">
      <c r="A200" s="33"/>
      <c r="B200" s="33"/>
      <c r="C200" s="33"/>
      <c r="D200" s="54"/>
      <c r="E200" s="33"/>
      <c r="F200" s="33"/>
      <c r="G200" s="55"/>
      <c r="H200" s="33"/>
      <c r="I200" s="33"/>
      <c r="J200" s="55"/>
      <c r="K200" s="56"/>
      <c r="L200" s="56"/>
      <c r="M200" s="56"/>
      <c r="N200" s="56"/>
      <c r="O200" s="56"/>
      <c r="P200" s="56"/>
      <c r="Q200" s="56"/>
      <c r="R200" s="56"/>
      <c r="S200" s="56"/>
      <c r="T200" s="33"/>
    </row>
    <row r="201" spans="1:20" ht="15.75" customHeight="1" x14ac:dyDescent="0.3">
      <c r="A201" s="33"/>
      <c r="B201" s="33"/>
      <c r="C201" s="33"/>
      <c r="D201" s="54"/>
      <c r="E201" s="33"/>
      <c r="F201" s="33"/>
      <c r="G201" s="55"/>
      <c r="H201" s="33"/>
      <c r="I201" s="33"/>
      <c r="J201" s="55"/>
      <c r="K201" s="56"/>
      <c r="L201" s="56"/>
      <c r="M201" s="56"/>
      <c r="N201" s="56"/>
      <c r="O201" s="56"/>
      <c r="P201" s="56"/>
      <c r="Q201" s="56"/>
      <c r="R201" s="56"/>
      <c r="S201" s="56"/>
      <c r="T201" s="33"/>
    </row>
    <row r="202" spans="1:20" ht="15.75" customHeight="1" x14ac:dyDescent="0.3">
      <c r="A202" s="33"/>
      <c r="B202" s="33"/>
      <c r="C202" s="33"/>
      <c r="D202" s="54"/>
      <c r="E202" s="33"/>
      <c r="F202" s="33"/>
      <c r="G202" s="55"/>
      <c r="H202" s="33"/>
      <c r="I202" s="33"/>
      <c r="J202" s="55"/>
      <c r="K202" s="56"/>
      <c r="L202" s="56"/>
      <c r="M202" s="56"/>
      <c r="N202" s="56"/>
      <c r="O202" s="56"/>
      <c r="P202" s="56"/>
      <c r="Q202" s="56"/>
      <c r="R202" s="56"/>
      <c r="S202" s="56"/>
      <c r="T202" s="33"/>
    </row>
    <row r="203" spans="1:20" ht="15.75" customHeight="1" x14ac:dyDescent="0.3">
      <c r="A203" s="33"/>
      <c r="B203" s="33"/>
      <c r="C203" s="33"/>
      <c r="D203" s="54"/>
      <c r="E203" s="33"/>
      <c r="F203" s="33"/>
      <c r="G203" s="55"/>
      <c r="H203" s="33"/>
      <c r="I203" s="33"/>
      <c r="J203" s="55"/>
      <c r="K203" s="56"/>
      <c r="L203" s="56"/>
      <c r="M203" s="56"/>
      <c r="N203" s="56"/>
      <c r="O203" s="56"/>
      <c r="P203" s="56"/>
      <c r="Q203" s="56"/>
      <c r="R203" s="56"/>
      <c r="S203" s="56"/>
      <c r="T203" s="33"/>
    </row>
    <row r="204" spans="1:20" ht="15.75" customHeight="1" x14ac:dyDescent="0.3">
      <c r="A204" s="33"/>
      <c r="B204" s="33"/>
      <c r="C204" s="33"/>
      <c r="D204" s="54"/>
      <c r="E204" s="33"/>
      <c r="F204" s="33"/>
      <c r="G204" s="55"/>
      <c r="H204" s="33"/>
      <c r="I204" s="33"/>
      <c r="J204" s="55"/>
      <c r="K204" s="56"/>
      <c r="L204" s="56"/>
      <c r="M204" s="56"/>
      <c r="N204" s="56"/>
      <c r="O204" s="56"/>
      <c r="P204" s="56"/>
      <c r="Q204" s="56"/>
      <c r="R204" s="56"/>
      <c r="S204" s="56"/>
      <c r="T204" s="33"/>
    </row>
    <row r="205" spans="1:20" ht="15.75" customHeight="1" x14ac:dyDescent="0.3">
      <c r="A205" s="33"/>
      <c r="B205" s="33"/>
      <c r="C205" s="33"/>
      <c r="D205" s="54"/>
      <c r="E205" s="33"/>
      <c r="F205" s="33"/>
      <c r="G205" s="55"/>
      <c r="H205" s="33"/>
      <c r="I205" s="33"/>
      <c r="J205" s="55"/>
      <c r="K205" s="56"/>
      <c r="L205" s="56"/>
      <c r="M205" s="56"/>
      <c r="N205" s="56"/>
      <c r="O205" s="56"/>
      <c r="P205" s="56"/>
      <c r="Q205" s="56"/>
      <c r="R205" s="56"/>
      <c r="S205" s="56"/>
      <c r="T205" s="33"/>
    </row>
    <row r="206" spans="1:20" ht="15.75" customHeight="1" x14ac:dyDescent="0.3">
      <c r="A206" s="33"/>
      <c r="B206" s="33"/>
      <c r="C206" s="33"/>
      <c r="D206" s="54"/>
      <c r="E206" s="33"/>
      <c r="F206" s="33"/>
      <c r="G206" s="55"/>
      <c r="H206" s="33"/>
      <c r="I206" s="33"/>
      <c r="J206" s="55"/>
      <c r="K206" s="56"/>
      <c r="L206" s="56"/>
      <c r="M206" s="56"/>
      <c r="N206" s="56"/>
      <c r="O206" s="56"/>
      <c r="P206" s="56"/>
      <c r="Q206" s="56"/>
      <c r="R206" s="56"/>
      <c r="S206" s="56"/>
      <c r="T206" s="33"/>
    </row>
    <row r="207" spans="1:20" ht="15.75" customHeight="1" x14ac:dyDescent="0.3">
      <c r="A207" s="33"/>
      <c r="B207" s="33"/>
      <c r="C207" s="33"/>
      <c r="D207" s="54"/>
      <c r="E207" s="33"/>
      <c r="F207" s="33"/>
      <c r="G207" s="55"/>
      <c r="H207" s="33"/>
      <c r="I207" s="33"/>
      <c r="J207" s="55"/>
      <c r="K207" s="56"/>
      <c r="L207" s="56"/>
      <c r="M207" s="56"/>
      <c r="N207" s="56"/>
      <c r="O207" s="56"/>
      <c r="P207" s="56"/>
      <c r="Q207" s="56"/>
      <c r="R207" s="56"/>
      <c r="S207" s="56"/>
      <c r="T207" s="33"/>
    </row>
    <row r="208" spans="1:20" ht="15.75" customHeight="1" x14ac:dyDescent="0.3">
      <c r="A208" s="33"/>
      <c r="B208" s="33"/>
      <c r="C208" s="33"/>
      <c r="D208" s="54"/>
      <c r="E208" s="33"/>
      <c r="F208" s="33"/>
      <c r="G208" s="55"/>
      <c r="H208" s="33"/>
      <c r="I208" s="33"/>
      <c r="J208" s="55"/>
      <c r="K208" s="56"/>
      <c r="L208" s="56"/>
      <c r="M208" s="56"/>
      <c r="N208" s="56"/>
      <c r="O208" s="56"/>
      <c r="P208" s="56"/>
      <c r="Q208" s="56"/>
      <c r="R208" s="56"/>
      <c r="S208" s="56"/>
      <c r="T208" s="33"/>
    </row>
    <row r="209" spans="1:20" ht="15.75" customHeight="1" x14ac:dyDescent="0.3">
      <c r="A209" s="33"/>
      <c r="B209" s="33"/>
      <c r="C209" s="33"/>
      <c r="D209" s="54"/>
      <c r="E209" s="33"/>
      <c r="F209" s="33"/>
      <c r="G209" s="55"/>
      <c r="H209" s="33"/>
      <c r="I209" s="33"/>
      <c r="J209" s="55"/>
      <c r="K209" s="56"/>
      <c r="L209" s="56"/>
      <c r="M209" s="56"/>
      <c r="N209" s="56"/>
      <c r="O209" s="56"/>
      <c r="P209" s="56"/>
      <c r="Q209" s="56"/>
      <c r="R209" s="56"/>
      <c r="S209" s="56"/>
      <c r="T209" s="33"/>
    </row>
    <row r="210" spans="1:20" ht="15.75" customHeight="1" x14ac:dyDescent="0.3">
      <c r="A210" s="33"/>
      <c r="B210" s="33"/>
      <c r="C210" s="33"/>
      <c r="D210" s="54"/>
      <c r="E210" s="33"/>
      <c r="F210" s="33"/>
      <c r="G210" s="55"/>
      <c r="H210" s="33"/>
      <c r="I210" s="33"/>
      <c r="J210" s="55"/>
      <c r="K210" s="56"/>
      <c r="L210" s="56"/>
      <c r="M210" s="56"/>
      <c r="N210" s="56"/>
      <c r="O210" s="56"/>
      <c r="P210" s="56"/>
      <c r="Q210" s="56"/>
      <c r="R210" s="56"/>
      <c r="S210" s="56"/>
      <c r="T210" s="33"/>
    </row>
    <row r="211" spans="1:20" ht="15.75" customHeight="1" x14ac:dyDescent="0.3">
      <c r="A211" s="33"/>
      <c r="B211" s="33"/>
      <c r="C211" s="33"/>
      <c r="D211" s="54"/>
      <c r="E211" s="33"/>
      <c r="F211" s="33"/>
      <c r="G211" s="55"/>
      <c r="H211" s="33"/>
      <c r="I211" s="33"/>
      <c r="J211" s="55"/>
      <c r="K211" s="56"/>
      <c r="L211" s="56"/>
      <c r="M211" s="56"/>
      <c r="N211" s="56"/>
      <c r="O211" s="56"/>
      <c r="P211" s="56"/>
      <c r="Q211" s="56"/>
      <c r="R211" s="56"/>
      <c r="S211" s="56"/>
      <c r="T211" s="33"/>
    </row>
    <row r="212" spans="1:20" ht="15.75" customHeight="1" x14ac:dyDescent="0.3">
      <c r="A212" s="33"/>
      <c r="B212" s="33"/>
      <c r="C212" s="33"/>
      <c r="D212" s="54"/>
      <c r="E212" s="33"/>
      <c r="F212" s="33"/>
      <c r="G212" s="55"/>
      <c r="H212" s="33"/>
      <c r="I212" s="33"/>
      <c r="J212" s="55"/>
      <c r="K212" s="56"/>
      <c r="L212" s="56"/>
      <c r="M212" s="56"/>
      <c r="N212" s="56"/>
      <c r="O212" s="56"/>
      <c r="P212" s="56"/>
      <c r="Q212" s="56"/>
      <c r="R212" s="56"/>
      <c r="S212" s="56"/>
      <c r="T212" s="33"/>
    </row>
    <row r="213" spans="1:20" ht="15.75" customHeight="1" x14ac:dyDescent="0.3">
      <c r="A213" s="33"/>
      <c r="B213" s="33"/>
      <c r="C213" s="33"/>
      <c r="D213" s="54"/>
      <c r="E213" s="33"/>
      <c r="F213" s="33"/>
      <c r="G213" s="55"/>
      <c r="H213" s="33"/>
      <c r="I213" s="33"/>
      <c r="J213" s="55"/>
      <c r="K213" s="56"/>
      <c r="L213" s="56"/>
      <c r="M213" s="56"/>
      <c r="N213" s="56"/>
      <c r="O213" s="56"/>
      <c r="P213" s="56"/>
      <c r="Q213" s="56"/>
      <c r="R213" s="56"/>
      <c r="S213" s="56"/>
      <c r="T213" s="33"/>
    </row>
    <row r="214" spans="1:20" ht="15.75" customHeight="1" x14ac:dyDescent="0.3">
      <c r="A214" s="33"/>
      <c r="B214" s="33"/>
      <c r="C214" s="33"/>
      <c r="D214" s="54"/>
      <c r="E214" s="33"/>
      <c r="F214" s="33"/>
      <c r="G214" s="55"/>
      <c r="H214" s="33"/>
      <c r="I214" s="33"/>
      <c r="J214" s="55"/>
      <c r="K214" s="56"/>
      <c r="L214" s="56"/>
      <c r="M214" s="56"/>
      <c r="N214" s="56"/>
      <c r="O214" s="56"/>
      <c r="P214" s="56"/>
      <c r="Q214" s="56"/>
      <c r="R214" s="56"/>
      <c r="S214" s="56"/>
      <c r="T214" s="33"/>
    </row>
    <row r="215" spans="1:20" ht="15.75" customHeight="1" x14ac:dyDescent="0.3">
      <c r="A215" s="33"/>
      <c r="B215" s="33"/>
      <c r="C215" s="33"/>
      <c r="D215" s="54"/>
      <c r="E215" s="33"/>
      <c r="F215" s="33"/>
      <c r="G215" s="55"/>
      <c r="H215" s="33"/>
      <c r="I215" s="33"/>
      <c r="J215" s="55"/>
      <c r="K215" s="56"/>
      <c r="L215" s="56"/>
      <c r="M215" s="56"/>
      <c r="N215" s="56"/>
      <c r="O215" s="56"/>
      <c r="P215" s="56"/>
      <c r="Q215" s="56"/>
      <c r="R215" s="56"/>
      <c r="S215" s="56"/>
      <c r="T215" s="33"/>
    </row>
    <row r="216" spans="1:20" ht="15.75" customHeight="1" x14ac:dyDescent="0.3">
      <c r="A216" s="33"/>
      <c r="B216" s="33"/>
      <c r="C216" s="33"/>
      <c r="D216" s="54"/>
      <c r="E216" s="33"/>
      <c r="F216" s="33"/>
      <c r="G216" s="55"/>
      <c r="H216" s="33"/>
      <c r="I216" s="33"/>
      <c r="J216" s="55"/>
      <c r="K216" s="56"/>
      <c r="L216" s="56"/>
      <c r="M216" s="56"/>
      <c r="N216" s="56"/>
      <c r="O216" s="56"/>
      <c r="P216" s="56"/>
      <c r="Q216" s="56"/>
      <c r="R216" s="56"/>
      <c r="S216" s="56"/>
      <c r="T216" s="33"/>
    </row>
    <row r="217" spans="1:20" ht="15.75" customHeight="1" x14ac:dyDescent="0.3">
      <c r="A217" s="33"/>
      <c r="B217" s="33"/>
      <c r="C217" s="33"/>
      <c r="D217" s="54"/>
      <c r="E217" s="33"/>
      <c r="F217" s="33"/>
      <c r="G217" s="55"/>
      <c r="H217" s="33"/>
      <c r="I217" s="33"/>
      <c r="J217" s="55"/>
      <c r="K217" s="56"/>
      <c r="L217" s="56"/>
      <c r="M217" s="56"/>
      <c r="N217" s="56"/>
      <c r="O217" s="56"/>
      <c r="P217" s="56"/>
      <c r="Q217" s="56"/>
      <c r="R217" s="56"/>
      <c r="S217" s="56"/>
      <c r="T217" s="33"/>
    </row>
    <row r="218" spans="1:20" ht="15.75" customHeight="1" x14ac:dyDescent="0.3">
      <c r="A218" s="33"/>
      <c r="B218" s="33"/>
      <c r="C218" s="33"/>
      <c r="D218" s="54"/>
      <c r="E218" s="33"/>
      <c r="F218" s="33"/>
      <c r="G218" s="55"/>
      <c r="H218" s="33"/>
      <c r="I218" s="33"/>
      <c r="J218" s="55"/>
      <c r="K218" s="56"/>
      <c r="L218" s="56"/>
      <c r="M218" s="56"/>
      <c r="N218" s="56"/>
      <c r="O218" s="56"/>
      <c r="P218" s="56"/>
      <c r="Q218" s="56"/>
      <c r="R218" s="56"/>
      <c r="S218" s="56"/>
      <c r="T218" s="33"/>
    </row>
    <row r="219" spans="1:20" ht="15.75" customHeight="1" x14ac:dyDescent="0.3">
      <c r="A219" s="33"/>
      <c r="B219" s="33"/>
      <c r="C219" s="33"/>
      <c r="D219" s="54"/>
      <c r="E219" s="33"/>
      <c r="F219" s="33"/>
      <c r="G219" s="55"/>
      <c r="H219" s="33"/>
      <c r="I219" s="33"/>
      <c r="J219" s="55"/>
      <c r="K219" s="56"/>
      <c r="L219" s="56"/>
      <c r="M219" s="56"/>
      <c r="N219" s="56"/>
      <c r="O219" s="56"/>
      <c r="P219" s="56"/>
      <c r="Q219" s="56"/>
      <c r="R219" s="56"/>
      <c r="S219" s="56"/>
      <c r="T219" s="33"/>
    </row>
    <row r="220" spans="1:20" ht="15.75" customHeight="1" x14ac:dyDescent="0.3">
      <c r="A220" s="33"/>
      <c r="B220" s="33"/>
      <c r="C220" s="33"/>
      <c r="D220" s="54"/>
      <c r="E220" s="33"/>
      <c r="F220" s="33"/>
      <c r="G220" s="55"/>
      <c r="H220" s="33"/>
      <c r="I220" s="33"/>
      <c r="J220" s="55"/>
      <c r="K220" s="56"/>
      <c r="L220" s="56"/>
      <c r="M220" s="56"/>
      <c r="N220" s="56"/>
      <c r="O220" s="56"/>
      <c r="P220" s="56"/>
      <c r="Q220" s="56"/>
      <c r="R220" s="56"/>
      <c r="S220" s="56"/>
      <c r="T220" s="33"/>
    </row>
    <row r="221" spans="1:20" ht="15.75" customHeight="1" x14ac:dyDescent="0.3">
      <c r="A221" s="33"/>
      <c r="B221" s="33"/>
      <c r="C221" s="33"/>
      <c r="D221" s="54"/>
      <c r="E221" s="33"/>
      <c r="F221" s="33"/>
      <c r="G221" s="55"/>
      <c r="H221" s="33"/>
      <c r="I221" s="33"/>
      <c r="J221" s="55"/>
      <c r="K221" s="56"/>
      <c r="L221" s="56"/>
      <c r="M221" s="56"/>
      <c r="N221" s="56"/>
      <c r="O221" s="56"/>
      <c r="P221" s="56"/>
      <c r="Q221" s="56"/>
      <c r="R221" s="56"/>
      <c r="S221" s="56"/>
      <c r="T221" s="33"/>
    </row>
    <row r="222" spans="1:20" ht="15.75" customHeight="1" x14ac:dyDescent="0.3">
      <c r="A222" s="33"/>
      <c r="B222" s="33"/>
      <c r="C222" s="33"/>
      <c r="D222" s="54"/>
      <c r="E222" s="33"/>
      <c r="F222" s="33"/>
      <c r="G222" s="55"/>
      <c r="H222" s="33"/>
      <c r="I222" s="33"/>
      <c r="J222" s="55"/>
      <c r="K222" s="56"/>
      <c r="L222" s="56"/>
      <c r="M222" s="56"/>
      <c r="N222" s="56"/>
      <c r="O222" s="56"/>
      <c r="P222" s="56"/>
      <c r="Q222" s="56"/>
      <c r="R222" s="56"/>
      <c r="S222" s="56"/>
      <c r="T222" s="33"/>
    </row>
    <row r="223" spans="1:20" ht="15.75" customHeight="1" x14ac:dyDescent="0.3">
      <c r="A223" s="33"/>
      <c r="B223" s="33"/>
      <c r="C223" s="33"/>
      <c r="D223" s="54"/>
      <c r="E223" s="33"/>
      <c r="F223" s="33"/>
      <c r="G223" s="55"/>
      <c r="H223" s="33"/>
      <c r="I223" s="33"/>
      <c r="J223" s="55"/>
      <c r="K223" s="56"/>
      <c r="L223" s="56"/>
      <c r="M223" s="56"/>
      <c r="N223" s="56"/>
      <c r="O223" s="56"/>
      <c r="P223" s="56"/>
      <c r="Q223" s="56"/>
      <c r="R223" s="56"/>
      <c r="S223" s="56"/>
      <c r="T223" s="33"/>
    </row>
    <row r="224" spans="1:20" ht="15.75" customHeight="1" x14ac:dyDescent="0.3">
      <c r="A224" s="33"/>
      <c r="B224" s="33"/>
      <c r="C224" s="33"/>
      <c r="D224" s="54"/>
      <c r="E224" s="33"/>
      <c r="F224" s="33"/>
      <c r="G224" s="55"/>
      <c r="H224" s="33"/>
      <c r="I224" s="33"/>
      <c r="J224" s="55"/>
      <c r="K224" s="56"/>
      <c r="L224" s="56"/>
      <c r="M224" s="56"/>
      <c r="N224" s="56"/>
      <c r="O224" s="56"/>
      <c r="P224" s="56"/>
      <c r="Q224" s="56"/>
      <c r="R224" s="56"/>
      <c r="S224" s="56"/>
      <c r="T224" s="33"/>
    </row>
    <row r="225" spans="1:20" ht="15.75" customHeight="1" x14ac:dyDescent="0.3">
      <c r="A225" s="33"/>
      <c r="B225" s="33"/>
      <c r="C225" s="33"/>
      <c r="D225" s="54"/>
      <c r="E225" s="33"/>
      <c r="F225" s="33"/>
      <c r="G225" s="55"/>
      <c r="H225" s="33"/>
      <c r="I225" s="33"/>
      <c r="J225" s="55"/>
      <c r="K225" s="56"/>
      <c r="L225" s="56"/>
      <c r="M225" s="56"/>
      <c r="N225" s="56"/>
      <c r="O225" s="56"/>
      <c r="P225" s="56"/>
      <c r="Q225" s="56"/>
      <c r="R225" s="56"/>
      <c r="S225" s="56"/>
      <c r="T225" s="33"/>
    </row>
    <row r="226" spans="1:20" ht="15.75" customHeight="1" x14ac:dyDescent="0.3">
      <c r="A226" s="33"/>
      <c r="B226" s="33"/>
      <c r="C226" s="33"/>
      <c r="D226" s="54"/>
      <c r="E226" s="33"/>
      <c r="F226" s="33"/>
      <c r="G226" s="55"/>
      <c r="H226" s="33"/>
      <c r="I226" s="33"/>
      <c r="J226" s="55"/>
      <c r="K226" s="56"/>
      <c r="L226" s="56"/>
      <c r="M226" s="56"/>
      <c r="N226" s="56"/>
      <c r="O226" s="56"/>
      <c r="P226" s="56"/>
      <c r="Q226" s="56"/>
      <c r="R226" s="56"/>
      <c r="S226" s="56"/>
      <c r="T226" s="33"/>
    </row>
    <row r="227" spans="1:20" ht="15.75" customHeight="1" x14ac:dyDescent="0.3">
      <c r="A227" s="33"/>
      <c r="B227" s="33"/>
      <c r="C227" s="33"/>
      <c r="D227" s="54"/>
      <c r="E227" s="33"/>
      <c r="F227" s="33"/>
      <c r="G227" s="55"/>
      <c r="H227" s="33"/>
      <c r="I227" s="33"/>
      <c r="J227" s="55"/>
      <c r="K227" s="56"/>
      <c r="L227" s="56"/>
      <c r="M227" s="56"/>
      <c r="N227" s="56"/>
      <c r="O227" s="56"/>
      <c r="P227" s="56"/>
      <c r="Q227" s="56"/>
      <c r="R227" s="56"/>
      <c r="S227" s="56"/>
      <c r="T227" s="33"/>
    </row>
    <row r="228" spans="1:20" ht="15.75" customHeight="1" x14ac:dyDescent="0.3">
      <c r="A228" s="33"/>
      <c r="B228" s="33"/>
      <c r="C228" s="33"/>
      <c r="D228" s="54"/>
      <c r="E228" s="33"/>
      <c r="F228" s="33"/>
      <c r="G228" s="55"/>
      <c r="H228" s="33"/>
      <c r="I228" s="33"/>
      <c r="J228" s="55"/>
      <c r="K228" s="56"/>
      <c r="L228" s="56"/>
      <c r="M228" s="56"/>
      <c r="N228" s="56"/>
      <c r="O228" s="56"/>
      <c r="P228" s="56"/>
      <c r="Q228" s="56"/>
      <c r="R228" s="56"/>
      <c r="S228" s="56"/>
      <c r="T228" s="33"/>
    </row>
    <row r="229" spans="1:20" ht="15.75" customHeight="1" x14ac:dyDescent="0.3">
      <c r="A229" s="33"/>
      <c r="B229" s="33"/>
      <c r="C229" s="33"/>
      <c r="D229" s="54"/>
      <c r="E229" s="33"/>
      <c r="F229" s="33"/>
      <c r="G229" s="55"/>
      <c r="H229" s="33"/>
      <c r="I229" s="33"/>
      <c r="J229" s="55"/>
      <c r="K229" s="56"/>
      <c r="L229" s="56"/>
      <c r="M229" s="56"/>
      <c r="N229" s="56"/>
      <c r="O229" s="56"/>
      <c r="P229" s="56"/>
      <c r="Q229" s="56"/>
      <c r="R229" s="56"/>
      <c r="S229" s="56"/>
      <c r="T229" s="33"/>
    </row>
    <row r="230" spans="1:20" ht="15.75" customHeight="1" x14ac:dyDescent="0.3">
      <c r="A230" s="33"/>
      <c r="B230" s="33"/>
      <c r="C230" s="33"/>
      <c r="D230" s="54"/>
      <c r="E230" s="33"/>
      <c r="F230" s="33"/>
      <c r="G230" s="55"/>
      <c r="H230" s="33"/>
      <c r="I230" s="33"/>
      <c r="J230" s="55"/>
      <c r="K230" s="56"/>
      <c r="L230" s="56"/>
      <c r="M230" s="56"/>
      <c r="N230" s="56"/>
      <c r="O230" s="56"/>
      <c r="P230" s="56"/>
      <c r="Q230" s="56"/>
      <c r="R230" s="56"/>
      <c r="S230" s="56"/>
      <c r="T230" s="33"/>
    </row>
    <row r="231" spans="1:20" ht="15.75" customHeight="1" x14ac:dyDescent="0.3">
      <c r="A231" s="33"/>
      <c r="B231" s="33"/>
      <c r="C231" s="33"/>
      <c r="D231" s="54"/>
      <c r="E231" s="33"/>
      <c r="F231" s="33"/>
      <c r="G231" s="55"/>
      <c r="H231" s="33"/>
      <c r="I231" s="33"/>
      <c r="J231" s="55"/>
      <c r="K231" s="56"/>
      <c r="L231" s="56"/>
      <c r="M231" s="56"/>
      <c r="N231" s="56"/>
      <c r="O231" s="56"/>
      <c r="P231" s="56"/>
      <c r="Q231" s="56"/>
      <c r="R231" s="56"/>
      <c r="S231" s="56"/>
      <c r="T231" s="33"/>
    </row>
    <row r="232" spans="1:20" ht="15.75" customHeight="1" x14ac:dyDescent="0.3">
      <c r="A232" s="33"/>
      <c r="B232" s="33"/>
      <c r="C232" s="33"/>
      <c r="D232" s="54"/>
      <c r="E232" s="33"/>
      <c r="F232" s="33"/>
      <c r="G232" s="55"/>
      <c r="H232" s="33"/>
      <c r="I232" s="33"/>
      <c r="J232" s="55"/>
      <c r="K232" s="56"/>
      <c r="L232" s="56"/>
      <c r="M232" s="56"/>
      <c r="N232" s="56"/>
      <c r="O232" s="56"/>
      <c r="P232" s="56"/>
      <c r="Q232" s="56"/>
      <c r="R232" s="56"/>
      <c r="S232" s="56"/>
      <c r="T232" s="33"/>
    </row>
    <row r="233" spans="1:20" ht="15.75" customHeight="1" x14ac:dyDescent="0.3">
      <c r="A233" s="33"/>
      <c r="B233" s="33"/>
      <c r="C233" s="33"/>
      <c r="D233" s="54"/>
      <c r="E233" s="33"/>
      <c r="F233" s="33"/>
      <c r="G233" s="55"/>
      <c r="H233" s="33"/>
      <c r="I233" s="33"/>
      <c r="J233" s="55"/>
      <c r="K233" s="56"/>
      <c r="L233" s="56"/>
      <c r="M233" s="56"/>
      <c r="N233" s="56"/>
      <c r="O233" s="56"/>
      <c r="P233" s="56"/>
      <c r="Q233" s="56"/>
      <c r="R233" s="56"/>
      <c r="S233" s="56"/>
      <c r="T233" s="33"/>
    </row>
    <row r="234" spans="1:20" ht="15.75" customHeight="1" x14ac:dyDescent="0.3">
      <c r="A234" s="33"/>
      <c r="B234" s="33"/>
      <c r="C234" s="33"/>
      <c r="D234" s="54"/>
      <c r="E234" s="33"/>
      <c r="F234" s="33"/>
      <c r="G234" s="55"/>
      <c r="H234" s="33"/>
      <c r="I234" s="33"/>
      <c r="J234" s="55"/>
      <c r="K234" s="56"/>
      <c r="L234" s="56"/>
      <c r="M234" s="56"/>
      <c r="N234" s="56"/>
      <c r="O234" s="56"/>
      <c r="P234" s="56"/>
      <c r="Q234" s="56"/>
      <c r="R234" s="56"/>
      <c r="S234" s="56"/>
      <c r="T234" s="33"/>
    </row>
    <row r="235" spans="1:20" ht="15.75" customHeight="1" x14ac:dyDescent="0.3">
      <c r="A235" s="33"/>
      <c r="B235" s="33"/>
      <c r="C235" s="33"/>
      <c r="D235" s="54"/>
      <c r="E235" s="33"/>
      <c r="F235" s="33"/>
      <c r="G235" s="55"/>
      <c r="H235" s="33"/>
      <c r="I235" s="33"/>
      <c r="J235" s="55"/>
      <c r="K235" s="56"/>
      <c r="L235" s="56"/>
      <c r="M235" s="56"/>
      <c r="N235" s="56"/>
      <c r="O235" s="56"/>
      <c r="P235" s="56"/>
      <c r="Q235" s="56"/>
      <c r="R235" s="56"/>
      <c r="S235" s="56"/>
      <c r="T235" s="33"/>
    </row>
    <row r="236" spans="1:20" ht="15.75" customHeight="1" x14ac:dyDescent="0.3">
      <c r="A236" s="33"/>
      <c r="B236" s="33"/>
      <c r="C236" s="33"/>
      <c r="D236" s="54"/>
      <c r="E236" s="33"/>
      <c r="F236" s="33"/>
      <c r="G236" s="55"/>
      <c r="H236" s="33"/>
      <c r="I236" s="33"/>
      <c r="J236" s="55"/>
      <c r="K236" s="56"/>
      <c r="L236" s="56"/>
      <c r="M236" s="56"/>
      <c r="N236" s="56"/>
      <c r="O236" s="56"/>
      <c r="P236" s="56"/>
      <c r="Q236" s="56"/>
      <c r="R236" s="56"/>
      <c r="S236" s="56"/>
      <c r="T236" s="33"/>
    </row>
    <row r="237" spans="1:20" ht="15.75" customHeight="1" x14ac:dyDescent="0.3">
      <c r="A237" s="33"/>
      <c r="B237" s="33"/>
      <c r="C237" s="33"/>
      <c r="D237" s="54"/>
      <c r="E237" s="33"/>
      <c r="F237" s="33"/>
      <c r="G237" s="55"/>
      <c r="H237" s="33"/>
      <c r="I237" s="33"/>
      <c r="J237" s="55"/>
      <c r="K237" s="56"/>
      <c r="L237" s="56"/>
      <c r="M237" s="56"/>
      <c r="N237" s="56"/>
      <c r="O237" s="56"/>
      <c r="P237" s="56"/>
      <c r="Q237" s="56"/>
      <c r="R237" s="56"/>
      <c r="S237" s="56"/>
      <c r="T237" s="33"/>
    </row>
    <row r="238" spans="1:20" ht="15.75" customHeight="1" x14ac:dyDescent="0.3">
      <c r="A238" s="33"/>
      <c r="B238" s="33"/>
      <c r="C238" s="33"/>
      <c r="D238" s="54"/>
      <c r="E238" s="33"/>
      <c r="F238" s="33"/>
      <c r="G238" s="55"/>
      <c r="H238" s="33"/>
      <c r="I238" s="33"/>
      <c r="J238" s="55"/>
      <c r="K238" s="56"/>
      <c r="L238" s="56"/>
      <c r="M238" s="56"/>
      <c r="N238" s="56"/>
      <c r="O238" s="56"/>
      <c r="P238" s="56"/>
      <c r="Q238" s="56"/>
      <c r="R238" s="56"/>
      <c r="S238" s="56"/>
      <c r="T238" s="33"/>
    </row>
    <row r="239" spans="1:20" ht="15.75" customHeight="1" x14ac:dyDescent="0.3">
      <c r="A239" s="33"/>
      <c r="B239" s="33"/>
      <c r="C239" s="33"/>
      <c r="D239" s="54"/>
      <c r="E239" s="33"/>
      <c r="F239" s="33"/>
      <c r="G239" s="55"/>
      <c r="H239" s="33"/>
      <c r="I239" s="33"/>
      <c r="J239" s="55"/>
      <c r="K239" s="56"/>
      <c r="L239" s="56"/>
      <c r="M239" s="56"/>
      <c r="N239" s="56"/>
      <c r="O239" s="56"/>
      <c r="P239" s="56"/>
      <c r="Q239" s="56"/>
      <c r="R239" s="56"/>
      <c r="S239" s="56"/>
      <c r="T239" s="33"/>
    </row>
    <row r="240" spans="1:20" ht="15.75" customHeight="1" x14ac:dyDescent="0.3">
      <c r="A240" s="33"/>
      <c r="B240" s="33"/>
      <c r="C240" s="33"/>
      <c r="D240" s="54"/>
      <c r="E240" s="33"/>
      <c r="F240" s="33"/>
      <c r="G240" s="55"/>
      <c r="H240" s="33"/>
      <c r="I240" s="33"/>
      <c r="J240" s="55"/>
      <c r="K240" s="56"/>
      <c r="L240" s="56"/>
      <c r="M240" s="56"/>
      <c r="N240" s="56"/>
      <c r="O240" s="56"/>
      <c r="P240" s="56"/>
      <c r="Q240" s="56"/>
      <c r="R240" s="56"/>
      <c r="S240" s="56"/>
      <c r="T240" s="33"/>
    </row>
    <row r="241" spans="1:20" ht="15.75" customHeight="1" x14ac:dyDescent="0.3">
      <c r="A241" s="33"/>
      <c r="B241" s="33"/>
      <c r="C241" s="33"/>
      <c r="D241" s="54"/>
      <c r="E241" s="33"/>
      <c r="F241" s="33"/>
      <c r="G241" s="55"/>
      <c r="H241" s="33"/>
      <c r="I241" s="33"/>
      <c r="J241" s="55"/>
      <c r="K241" s="56"/>
      <c r="L241" s="56"/>
      <c r="M241" s="56"/>
      <c r="N241" s="56"/>
      <c r="O241" s="56"/>
      <c r="P241" s="56"/>
      <c r="Q241" s="56"/>
      <c r="R241" s="56"/>
      <c r="S241" s="56"/>
      <c r="T241" s="33"/>
    </row>
    <row r="242" spans="1:20" ht="15.75" customHeight="1" x14ac:dyDescent="0.3">
      <c r="A242" s="33"/>
      <c r="B242" s="33"/>
      <c r="C242" s="33"/>
      <c r="D242" s="54"/>
      <c r="E242" s="33"/>
      <c r="F242" s="33"/>
      <c r="G242" s="55"/>
      <c r="H242" s="33"/>
      <c r="I242" s="33"/>
      <c r="J242" s="55"/>
      <c r="K242" s="56"/>
      <c r="L242" s="56"/>
      <c r="M242" s="56"/>
      <c r="N242" s="56"/>
      <c r="O242" s="56"/>
      <c r="P242" s="56"/>
      <c r="Q242" s="56"/>
      <c r="R242" s="56"/>
      <c r="S242" s="56"/>
      <c r="T242" s="33"/>
    </row>
    <row r="243" spans="1:20" ht="15.75" customHeight="1" x14ac:dyDescent="0.3">
      <c r="A243" s="33"/>
      <c r="B243" s="33"/>
      <c r="C243" s="33"/>
      <c r="D243" s="54"/>
      <c r="E243" s="33"/>
      <c r="F243" s="33"/>
      <c r="G243" s="55"/>
      <c r="H243" s="33"/>
      <c r="I243" s="33"/>
      <c r="J243" s="55"/>
      <c r="K243" s="56"/>
      <c r="L243" s="56"/>
      <c r="M243" s="56"/>
      <c r="N243" s="56"/>
      <c r="O243" s="56"/>
      <c r="P243" s="56"/>
      <c r="Q243" s="56"/>
      <c r="R243" s="56"/>
      <c r="S243" s="56"/>
      <c r="T243" s="33"/>
    </row>
    <row r="244" spans="1:20" ht="15.75" customHeight="1" x14ac:dyDescent="0.3">
      <c r="A244" s="33"/>
      <c r="B244" s="33"/>
      <c r="C244" s="33"/>
      <c r="D244" s="54"/>
      <c r="E244" s="33"/>
      <c r="F244" s="33"/>
      <c r="G244" s="55"/>
      <c r="H244" s="33"/>
      <c r="I244" s="33"/>
      <c r="J244" s="55"/>
      <c r="K244" s="56"/>
      <c r="L244" s="56"/>
      <c r="M244" s="56"/>
      <c r="N244" s="56"/>
      <c r="O244" s="56"/>
      <c r="P244" s="56"/>
      <c r="Q244" s="56"/>
      <c r="R244" s="56"/>
      <c r="S244" s="56"/>
      <c r="T244" s="33"/>
    </row>
    <row r="245" spans="1:20" ht="15.75" customHeight="1" x14ac:dyDescent="0.3">
      <c r="A245" s="33"/>
      <c r="B245" s="33"/>
      <c r="C245" s="33"/>
      <c r="D245" s="54"/>
      <c r="E245" s="33"/>
      <c r="F245" s="33"/>
      <c r="G245" s="55"/>
      <c r="H245" s="33"/>
      <c r="I245" s="33"/>
      <c r="J245" s="55"/>
      <c r="K245" s="56"/>
      <c r="L245" s="56"/>
      <c r="M245" s="56"/>
      <c r="N245" s="56"/>
      <c r="O245" s="56"/>
      <c r="P245" s="56"/>
      <c r="Q245" s="56"/>
      <c r="R245" s="56"/>
      <c r="S245" s="56"/>
      <c r="T245" s="33"/>
    </row>
    <row r="246" spans="1:20" ht="15.75" customHeight="1" x14ac:dyDescent="0.3">
      <c r="A246" s="33"/>
      <c r="B246" s="33"/>
      <c r="C246" s="33"/>
      <c r="D246" s="54"/>
      <c r="E246" s="33"/>
      <c r="F246" s="33"/>
      <c r="G246" s="55"/>
      <c r="H246" s="33"/>
      <c r="I246" s="33"/>
      <c r="J246" s="55"/>
      <c r="K246" s="56"/>
      <c r="L246" s="56"/>
      <c r="M246" s="56"/>
      <c r="N246" s="56"/>
      <c r="O246" s="56"/>
      <c r="P246" s="56"/>
      <c r="Q246" s="56"/>
      <c r="R246" s="56"/>
      <c r="S246" s="56"/>
      <c r="T246" s="33"/>
    </row>
    <row r="247" spans="1:20" ht="15.75" customHeight="1" x14ac:dyDescent="0.3">
      <c r="A247" s="33"/>
      <c r="B247" s="33"/>
      <c r="C247" s="33"/>
      <c r="D247" s="54"/>
      <c r="E247" s="33"/>
      <c r="F247" s="33"/>
      <c r="G247" s="55"/>
      <c r="H247" s="33"/>
      <c r="I247" s="33"/>
      <c r="J247" s="55"/>
      <c r="K247" s="56"/>
      <c r="L247" s="56"/>
      <c r="M247" s="56"/>
      <c r="N247" s="56"/>
      <c r="O247" s="56"/>
      <c r="P247" s="56"/>
      <c r="Q247" s="56"/>
      <c r="R247" s="56"/>
      <c r="S247" s="56"/>
      <c r="T247" s="33"/>
    </row>
    <row r="248" spans="1:20" ht="15.75" customHeight="1" x14ac:dyDescent="0.3">
      <c r="A248" s="33"/>
      <c r="B248" s="33"/>
      <c r="C248" s="33"/>
      <c r="D248" s="54"/>
      <c r="E248" s="33"/>
      <c r="F248" s="33"/>
      <c r="G248" s="55"/>
      <c r="H248" s="33"/>
      <c r="I248" s="33"/>
      <c r="J248" s="55"/>
      <c r="K248" s="56"/>
      <c r="L248" s="56"/>
      <c r="M248" s="56"/>
      <c r="N248" s="56"/>
      <c r="O248" s="56"/>
      <c r="P248" s="56"/>
      <c r="Q248" s="56"/>
      <c r="R248" s="56"/>
      <c r="S248" s="56"/>
      <c r="T248" s="33"/>
    </row>
    <row r="249" spans="1:20" ht="15.75" customHeight="1" x14ac:dyDescent="0.3">
      <c r="A249" s="33"/>
      <c r="B249" s="33"/>
      <c r="C249" s="33"/>
      <c r="D249" s="54"/>
      <c r="E249" s="33"/>
      <c r="F249" s="33"/>
      <c r="G249" s="55"/>
      <c r="H249" s="33"/>
      <c r="I249" s="33"/>
      <c r="J249" s="55"/>
      <c r="K249" s="56"/>
      <c r="L249" s="56"/>
      <c r="M249" s="56"/>
      <c r="N249" s="56"/>
      <c r="O249" s="56"/>
      <c r="P249" s="56"/>
      <c r="Q249" s="56"/>
      <c r="R249" s="56"/>
      <c r="S249" s="56"/>
      <c r="T249" s="33"/>
    </row>
    <row r="250" spans="1:20" ht="15.75" customHeight="1" x14ac:dyDescent="0.3">
      <c r="A250" s="33"/>
      <c r="B250" s="33"/>
      <c r="C250" s="33"/>
      <c r="D250" s="54"/>
      <c r="E250" s="33"/>
      <c r="F250" s="33"/>
      <c r="G250" s="55"/>
      <c r="H250" s="33"/>
      <c r="I250" s="33"/>
      <c r="J250" s="55"/>
      <c r="K250" s="56"/>
      <c r="L250" s="56"/>
      <c r="M250" s="56"/>
      <c r="N250" s="56"/>
      <c r="O250" s="56"/>
      <c r="P250" s="56"/>
      <c r="Q250" s="56"/>
      <c r="R250" s="56"/>
      <c r="S250" s="56"/>
      <c r="T250" s="33"/>
    </row>
    <row r="251" spans="1:20" ht="15.75" customHeight="1" x14ac:dyDescent="0.3">
      <c r="A251" s="33"/>
      <c r="B251" s="33"/>
      <c r="C251" s="33"/>
      <c r="D251" s="54"/>
      <c r="E251" s="33"/>
      <c r="F251" s="33"/>
      <c r="G251" s="55"/>
      <c r="H251" s="33"/>
      <c r="I251" s="33"/>
      <c r="J251" s="55"/>
      <c r="K251" s="56"/>
      <c r="L251" s="56"/>
      <c r="M251" s="56"/>
      <c r="N251" s="56"/>
      <c r="O251" s="56"/>
      <c r="P251" s="56"/>
      <c r="Q251" s="56"/>
      <c r="R251" s="56"/>
      <c r="S251" s="56"/>
      <c r="T251" s="33"/>
    </row>
    <row r="252" spans="1:20" ht="15.75" customHeight="1" x14ac:dyDescent="0.3">
      <c r="A252" s="33"/>
      <c r="B252" s="33"/>
      <c r="C252" s="33"/>
      <c r="D252" s="54"/>
      <c r="E252" s="33"/>
      <c r="F252" s="33"/>
      <c r="G252" s="55"/>
      <c r="H252" s="33"/>
      <c r="I252" s="33"/>
      <c r="J252" s="55"/>
      <c r="K252" s="56"/>
      <c r="L252" s="56"/>
      <c r="M252" s="56"/>
      <c r="N252" s="56"/>
      <c r="O252" s="56"/>
      <c r="P252" s="56"/>
      <c r="Q252" s="56"/>
      <c r="R252" s="56"/>
      <c r="S252" s="56"/>
      <c r="T252" s="33"/>
    </row>
    <row r="253" spans="1:20" ht="15.75" customHeight="1" x14ac:dyDescent="0.3">
      <c r="A253" s="33"/>
      <c r="B253" s="33"/>
      <c r="C253" s="33"/>
      <c r="D253" s="54"/>
      <c r="E253" s="33"/>
      <c r="F253" s="33"/>
      <c r="G253" s="55"/>
      <c r="H253" s="33"/>
      <c r="I253" s="33"/>
      <c r="J253" s="55"/>
      <c r="K253" s="56"/>
      <c r="L253" s="56"/>
      <c r="M253" s="56"/>
      <c r="N253" s="56"/>
      <c r="O253" s="56"/>
      <c r="P253" s="56"/>
      <c r="Q253" s="56"/>
      <c r="R253" s="56"/>
      <c r="S253" s="56"/>
      <c r="T253" s="33"/>
    </row>
    <row r="254" spans="1:20" ht="15.75" customHeight="1" x14ac:dyDescent="0.3">
      <c r="A254" s="33"/>
      <c r="B254" s="33"/>
      <c r="C254" s="33"/>
      <c r="D254" s="54"/>
      <c r="E254" s="33"/>
      <c r="F254" s="33"/>
      <c r="G254" s="55"/>
      <c r="H254" s="33"/>
      <c r="I254" s="33"/>
      <c r="J254" s="55"/>
      <c r="K254" s="56"/>
      <c r="L254" s="56"/>
      <c r="M254" s="56"/>
      <c r="N254" s="56"/>
      <c r="O254" s="56"/>
      <c r="P254" s="56"/>
      <c r="Q254" s="56"/>
      <c r="R254" s="56"/>
      <c r="S254" s="56"/>
      <c r="T254" s="33"/>
    </row>
    <row r="255" spans="1:20" ht="15.75" customHeight="1" x14ac:dyDescent="0.3">
      <c r="A255" s="33"/>
      <c r="B255" s="33"/>
      <c r="C255" s="33"/>
      <c r="D255" s="54"/>
      <c r="E255" s="33"/>
      <c r="F255" s="33"/>
      <c r="G255" s="55"/>
      <c r="H255" s="33"/>
      <c r="I255" s="33"/>
      <c r="J255" s="55"/>
      <c r="K255" s="56"/>
      <c r="L255" s="56"/>
      <c r="M255" s="56"/>
      <c r="N255" s="56"/>
      <c r="O255" s="56"/>
      <c r="P255" s="56"/>
      <c r="Q255" s="56"/>
      <c r="R255" s="56"/>
      <c r="S255" s="56"/>
      <c r="T255" s="33"/>
    </row>
    <row r="256" spans="1:20" ht="15.75" customHeight="1" x14ac:dyDescent="0.3">
      <c r="A256" s="33"/>
      <c r="B256" s="33"/>
      <c r="C256" s="33"/>
      <c r="D256" s="54"/>
      <c r="E256" s="33"/>
      <c r="F256" s="33"/>
      <c r="G256" s="55"/>
      <c r="H256" s="33"/>
      <c r="I256" s="33"/>
      <c r="J256" s="55"/>
      <c r="K256" s="56"/>
      <c r="L256" s="56"/>
      <c r="M256" s="56"/>
      <c r="N256" s="56"/>
      <c r="O256" s="56"/>
      <c r="P256" s="56"/>
      <c r="Q256" s="56"/>
      <c r="R256" s="56"/>
      <c r="S256" s="56"/>
      <c r="T256" s="33"/>
    </row>
    <row r="257" spans="1:20" ht="15.75" customHeight="1" x14ac:dyDescent="0.3">
      <c r="A257" s="33"/>
      <c r="B257" s="33"/>
      <c r="C257" s="33"/>
      <c r="D257" s="54"/>
      <c r="E257" s="33"/>
      <c r="F257" s="33"/>
      <c r="G257" s="55"/>
      <c r="H257" s="33"/>
      <c r="I257" s="33"/>
      <c r="J257" s="55"/>
      <c r="K257" s="56"/>
      <c r="L257" s="56"/>
      <c r="M257" s="56"/>
      <c r="N257" s="56"/>
      <c r="O257" s="56"/>
      <c r="P257" s="56"/>
      <c r="Q257" s="56"/>
      <c r="R257" s="56"/>
      <c r="S257" s="56"/>
      <c r="T257" s="33"/>
    </row>
    <row r="258" spans="1:20" ht="15.75" customHeight="1" x14ac:dyDescent="0.3">
      <c r="A258" s="33"/>
      <c r="B258" s="33"/>
      <c r="C258" s="33"/>
      <c r="D258" s="54"/>
      <c r="E258" s="33"/>
      <c r="F258" s="33"/>
      <c r="G258" s="55"/>
      <c r="H258" s="33"/>
      <c r="I258" s="33"/>
      <c r="J258" s="55"/>
      <c r="K258" s="56"/>
      <c r="L258" s="56"/>
      <c r="M258" s="56"/>
      <c r="N258" s="56"/>
      <c r="O258" s="56"/>
      <c r="P258" s="56"/>
      <c r="Q258" s="56"/>
      <c r="R258" s="56"/>
      <c r="S258" s="56"/>
      <c r="T258" s="33"/>
    </row>
    <row r="259" spans="1:20" ht="15.75" customHeight="1" x14ac:dyDescent="0.3">
      <c r="A259" s="33"/>
      <c r="B259" s="33"/>
      <c r="C259" s="33"/>
      <c r="D259" s="54"/>
      <c r="E259" s="33"/>
      <c r="F259" s="33"/>
      <c r="G259" s="55"/>
      <c r="H259" s="33"/>
      <c r="I259" s="33"/>
      <c r="J259" s="55"/>
      <c r="K259" s="56"/>
      <c r="L259" s="56"/>
      <c r="M259" s="56"/>
      <c r="N259" s="56"/>
      <c r="O259" s="56"/>
      <c r="P259" s="56"/>
      <c r="Q259" s="56"/>
      <c r="R259" s="56"/>
      <c r="S259" s="56"/>
      <c r="T259" s="33"/>
    </row>
    <row r="260" spans="1:20" ht="15.75" customHeight="1" x14ac:dyDescent="0.3">
      <c r="A260" s="33"/>
      <c r="B260" s="33"/>
      <c r="C260" s="33"/>
      <c r="D260" s="54"/>
      <c r="E260" s="33"/>
      <c r="F260" s="33"/>
      <c r="G260" s="55"/>
      <c r="H260" s="33"/>
      <c r="I260" s="33"/>
      <c r="J260" s="55"/>
      <c r="K260" s="56"/>
      <c r="L260" s="56"/>
      <c r="M260" s="56"/>
      <c r="N260" s="56"/>
      <c r="O260" s="56"/>
      <c r="P260" s="56"/>
      <c r="Q260" s="56"/>
      <c r="R260" s="56"/>
      <c r="S260" s="56"/>
      <c r="T260" s="33"/>
    </row>
    <row r="261" spans="1:20" ht="15.75" customHeight="1" x14ac:dyDescent="0.3">
      <c r="A261" s="33"/>
      <c r="B261" s="33"/>
      <c r="C261" s="33"/>
      <c r="D261" s="54"/>
      <c r="E261" s="33"/>
      <c r="F261" s="33"/>
      <c r="G261" s="55"/>
      <c r="H261" s="33"/>
      <c r="I261" s="33"/>
      <c r="J261" s="55"/>
      <c r="K261" s="56"/>
      <c r="L261" s="56"/>
      <c r="M261" s="56"/>
      <c r="N261" s="56"/>
      <c r="O261" s="56"/>
      <c r="P261" s="56"/>
      <c r="Q261" s="56"/>
      <c r="R261" s="56"/>
      <c r="S261" s="56"/>
      <c r="T261" s="33"/>
    </row>
    <row r="262" spans="1:20" ht="15.75" customHeight="1" x14ac:dyDescent="0.3">
      <c r="A262" s="33"/>
      <c r="B262" s="33"/>
      <c r="C262" s="33"/>
      <c r="D262" s="54"/>
      <c r="E262" s="33"/>
      <c r="F262" s="33"/>
      <c r="G262" s="55"/>
      <c r="H262" s="33"/>
      <c r="I262" s="33"/>
      <c r="J262" s="55"/>
      <c r="K262" s="56"/>
      <c r="L262" s="56"/>
      <c r="M262" s="56"/>
      <c r="N262" s="56"/>
      <c r="O262" s="56"/>
      <c r="P262" s="56"/>
      <c r="Q262" s="56"/>
      <c r="R262" s="56"/>
      <c r="S262" s="56"/>
      <c r="T262" s="33"/>
    </row>
    <row r="263" spans="1:20" ht="15.75" customHeight="1" x14ac:dyDescent="0.3">
      <c r="A263" s="33"/>
      <c r="B263" s="33"/>
      <c r="C263" s="33"/>
      <c r="D263" s="54"/>
      <c r="E263" s="33"/>
      <c r="F263" s="33"/>
      <c r="G263" s="55"/>
      <c r="H263" s="33"/>
      <c r="I263" s="33"/>
      <c r="J263" s="55"/>
      <c r="K263" s="56"/>
      <c r="L263" s="56"/>
      <c r="M263" s="56"/>
      <c r="N263" s="56"/>
      <c r="O263" s="56"/>
      <c r="P263" s="56"/>
      <c r="Q263" s="56"/>
      <c r="R263" s="56"/>
      <c r="S263" s="56"/>
      <c r="T263" s="33"/>
    </row>
    <row r="264" spans="1:20" ht="15.75" customHeight="1" x14ac:dyDescent="0.3">
      <c r="A264" s="33"/>
      <c r="B264" s="33"/>
      <c r="C264" s="33"/>
      <c r="D264" s="54"/>
      <c r="E264" s="33"/>
      <c r="F264" s="33"/>
      <c r="G264" s="55"/>
      <c r="H264" s="33"/>
      <c r="I264" s="33"/>
      <c r="J264" s="55"/>
      <c r="K264" s="56"/>
      <c r="L264" s="56"/>
      <c r="M264" s="56"/>
      <c r="N264" s="56"/>
      <c r="O264" s="56"/>
      <c r="P264" s="56"/>
      <c r="Q264" s="56"/>
      <c r="R264" s="56"/>
      <c r="S264" s="56"/>
      <c r="T264" s="33"/>
    </row>
    <row r="265" spans="1:20" ht="15.75" customHeight="1" x14ac:dyDescent="0.3">
      <c r="A265" s="33"/>
      <c r="B265" s="33"/>
      <c r="C265" s="33"/>
      <c r="D265" s="54"/>
      <c r="E265" s="33"/>
      <c r="F265" s="33"/>
      <c r="G265" s="55"/>
      <c r="H265" s="33"/>
      <c r="I265" s="33"/>
      <c r="J265" s="55"/>
      <c r="K265" s="56"/>
      <c r="L265" s="56"/>
      <c r="M265" s="56"/>
      <c r="N265" s="56"/>
      <c r="O265" s="56"/>
      <c r="P265" s="56"/>
      <c r="Q265" s="56"/>
      <c r="R265" s="56"/>
      <c r="S265" s="56"/>
      <c r="T265" s="33"/>
    </row>
    <row r="266" spans="1:20" ht="15.75" customHeight="1" x14ac:dyDescent="0.3">
      <c r="A266" s="33"/>
      <c r="B266" s="33"/>
      <c r="C266" s="33"/>
      <c r="D266" s="54"/>
      <c r="E266" s="33"/>
      <c r="F266" s="33"/>
      <c r="G266" s="55"/>
      <c r="H266" s="33"/>
      <c r="I266" s="33"/>
      <c r="J266" s="55"/>
      <c r="K266" s="56"/>
      <c r="L266" s="56"/>
      <c r="M266" s="56"/>
      <c r="N266" s="56"/>
      <c r="O266" s="56"/>
      <c r="P266" s="56"/>
      <c r="Q266" s="56"/>
      <c r="R266" s="56"/>
      <c r="S266" s="56"/>
      <c r="T266" s="33"/>
    </row>
    <row r="267" spans="1:20" ht="15.75" customHeight="1" x14ac:dyDescent="0.3">
      <c r="A267" s="33"/>
      <c r="B267" s="33"/>
      <c r="C267" s="33"/>
      <c r="D267" s="54"/>
      <c r="E267" s="33"/>
      <c r="F267" s="33"/>
      <c r="G267" s="55"/>
      <c r="H267" s="33"/>
      <c r="I267" s="33"/>
      <c r="J267" s="55"/>
      <c r="K267" s="56"/>
      <c r="L267" s="56"/>
      <c r="M267" s="56"/>
      <c r="N267" s="56"/>
      <c r="O267" s="56"/>
      <c r="P267" s="56"/>
      <c r="Q267" s="56"/>
      <c r="R267" s="56"/>
      <c r="S267" s="56"/>
      <c r="T267" s="33"/>
    </row>
    <row r="268" spans="1:20" ht="15.75" customHeight="1" x14ac:dyDescent="0.3">
      <c r="A268" s="33"/>
      <c r="B268" s="33"/>
      <c r="C268" s="33"/>
      <c r="D268" s="54"/>
      <c r="E268" s="33"/>
      <c r="F268" s="33"/>
      <c r="G268" s="55"/>
      <c r="H268" s="33"/>
      <c r="I268" s="33"/>
      <c r="J268" s="55"/>
      <c r="K268" s="56"/>
      <c r="L268" s="56"/>
      <c r="M268" s="56"/>
      <c r="N268" s="56"/>
      <c r="O268" s="56"/>
      <c r="P268" s="56"/>
      <c r="Q268" s="56"/>
      <c r="R268" s="56"/>
      <c r="S268" s="56"/>
      <c r="T268" s="33"/>
    </row>
    <row r="269" spans="1:20" ht="15.75" customHeight="1" x14ac:dyDescent="0.3">
      <c r="A269" s="33"/>
      <c r="B269" s="33"/>
      <c r="C269" s="33"/>
      <c r="D269" s="54"/>
      <c r="E269" s="33"/>
      <c r="F269" s="33"/>
      <c r="G269" s="55"/>
      <c r="H269" s="33"/>
      <c r="I269" s="33"/>
      <c r="J269" s="55"/>
      <c r="K269" s="56"/>
      <c r="L269" s="56"/>
      <c r="M269" s="56"/>
      <c r="N269" s="56"/>
      <c r="O269" s="56"/>
      <c r="P269" s="56"/>
      <c r="Q269" s="56"/>
      <c r="R269" s="56"/>
      <c r="S269" s="56"/>
      <c r="T269" s="33"/>
    </row>
    <row r="270" spans="1:20" ht="15.75" customHeight="1" x14ac:dyDescent="0.3">
      <c r="A270" s="33"/>
      <c r="B270" s="33"/>
      <c r="C270" s="33"/>
      <c r="D270" s="54"/>
      <c r="E270" s="33"/>
      <c r="F270" s="33"/>
      <c r="G270" s="55"/>
      <c r="H270" s="33"/>
      <c r="I270" s="33"/>
      <c r="J270" s="55"/>
      <c r="K270" s="56"/>
      <c r="L270" s="56"/>
      <c r="M270" s="56"/>
      <c r="N270" s="56"/>
      <c r="O270" s="56"/>
      <c r="P270" s="56"/>
      <c r="Q270" s="56"/>
      <c r="R270" s="56"/>
      <c r="S270" s="56"/>
      <c r="T270" s="33"/>
    </row>
    <row r="271" spans="1:20" ht="15.75" customHeight="1" x14ac:dyDescent="0.3">
      <c r="A271" s="33"/>
      <c r="B271" s="33"/>
      <c r="C271" s="33"/>
      <c r="D271" s="54"/>
      <c r="E271" s="33"/>
      <c r="F271" s="33"/>
      <c r="G271" s="55"/>
      <c r="H271" s="33"/>
      <c r="I271" s="33"/>
      <c r="J271" s="55"/>
      <c r="K271" s="56"/>
      <c r="L271" s="56"/>
      <c r="M271" s="56"/>
      <c r="N271" s="56"/>
      <c r="O271" s="56"/>
      <c r="P271" s="56"/>
      <c r="Q271" s="56"/>
      <c r="R271" s="56"/>
      <c r="S271" s="56"/>
      <c r="T271" s="33"/>
    </row>
    <row r="272" spans="1:20" ht="15.75" customHeight="1" x14ac:dyDescent="0.3">
      <c r="A272" s="33"/>
      <c r="B272" s="33"/>
      <c r="C272" s="33"/>
      <c r="D272" s="54"/>
      <c r="E272" s="33"/>
      <c r="F272" s="33"/>
      <c r="G272" s="55"/>
      <c r="H272" s="33"/>
      <c r="I272" s="33"/>
      <c r="J272" s="55"/>
      <c r="K272" s="56"/>
      <c r="L272" s="56"/>
      <c r="M272" s="56"/>
      <c r="N272" s="56"/>
      <c r="O272" s="56"/>
      <c r="P272" s="56"/>
      <c r="Q272" s="56"/>
      <c r="R272" s="56"/>
      <c r="S272" s="56"/>
      <c r="T272" s="33"/>
    </row>
    <row r="273" spans="1:20" ht="15.75" customHeight="1" x14ac:dyDescent="0.3">
      <c r="A273" s="33"/>
      <c r="B273" s="33"/>
      <c r="C273" s="33"/>
      <c r="D273" s="54"/>
      <c r="E273" s="33"/>
      <c r="F273" s="33"/>
      <c r="G273" s="55"/>
      <c r="H273" s="33"/>
      <c r="I273" s="33"/>
      <c r="J273" s="55"/>
      <c r="K273" s="56"/>
      <c r="L273" s="56"/>
      <c r="M273" s="56"/>
      <c r="N273" s="56"/>
      <c r="O273" s="56"/>
      <c r="P273" s="56"/>
      <c r="Q273" s="56"/>
      <c r="R273" s="56"/>
      <c r="S273" s="56"/>
      <c r="T273" s="33"/>
    </row>
    <row r="274" spans="1:20" ht="15.75" customHeight="1" x14ac:dyDescent="0.3">
      <c r="A274" s="33"/>
      <c r="B274" s="33"/>
      <c r="C274" s="33"/>
      <c r="D274" s="54"/>
      <c r="E274" s="33"/>
      <c r="F274" s="33"/>
      <c r="G274" s="55"/>
      <c r="H274" s="33"/>
      <c r="I274" s="33"/>
      <c r="J274" s="55"/>
      <c r="K274" s="56"/>
      <c r="L274" s="56"/>
      <c r="M274" s="56"/>
      <c r="N274" s="56"/>
      <c r="O274" s="56"/>
      <c r="P274" s="56"/>
      <c r="Q274" s="56"/>
      <c r="R274" s="56"/>
      <c r="S274" s="56"/>
      <c r="T274" s="33"/>
    </row>
    <row r="275" spans="1:20" ht="15.75" customHeight="1" x14ac:dyDescent="0.3">
      <c r="A275" s="33"/>
      <c r="B275" s="33"/>
      <c r="C275" s="33"/>
      <c r="D275" s="54"/>
      <c r="E275" s="33"/>
      <c r="F275" s="33"/>
      <c r="G275" s="55"/>
      <c r="H275" s="33"/>
      <c r="I275" s="33"/>
      <c r="J275" s="55"/>
      <c r="K275" s="56"/>
      <c r="L275" s="56"/>
      <c r="M275" s="56"/>
      <c r="N275" s="56"/>
      <c r="O275" s="56"/>
      <c r="P275" s="56"/>
      <c r="Q275" s="56"/>
      <c r="R275" s="56"/>
      <c r="S275" s="56"/>
      <c r="T275" s="33"/>
    </row>
    <row r="276" spans="1:20" ht="15.75" customHeight="1" x14ac:dyDescent="0.3">
      <c r="A276" s="33"/>
      <c r="B276" s="33"/>
      <c r="C276" s="33"/>
      <c r="D276" s="54"/>
      <c r="E276" s="33"/>
      <c r="F276" s="33"/>
      <c r="G276" s="55"/>
      <c r="H276" s="33"/>
      <c r="I276" s="33"/>
      <c r="J276" s="55"/>
      <c r="K276" s="56"/>
      <c r="L276" s="56"/>
      <c r="M276" s="56"/>
      <c r="N276" s="56"/>
      <c r="O276" s="56"/>
      <c r="P276" s="56"/>
      <c r="Q276" s="56"/>
      <c r="R276" s="56"/>
      <c r="S276" s="56"/>
      <c r="T276" s="33"/>
    </row>
    <row r="277" spans="1:20" ht="15.75" customHeight="1" x14ac:dyDescent="0.3">
      <c r="A277" s="33"/>
      <c r="B277" s="33"/>
      <c r="C277" s="33"/>
      <c r="D277" s="54"/>
      <c r="E277" s="33"/>
      <c r="F277" s="33"/>
      <c r="G277" s="55"/>
      <c r="H277" s="33"/>
      <c r="I277" s="33"/>
      <c r="J277" s="55"/>
      <c r="K277" s="56"/>
      <c r="L277" s="56"/>
      <c r="M277" s="56"/>
      <c r="N277" s="56"/>
      <c r="O277" s="56"/>
      <c r="P277" s="56"/>
      <c r="Q277" s="56"/>
      <c r="R277" s="56"/>
      <c r="S277" s="56"/>
      <c r="T277" s="33"/>
    </row>
    <row r="278" spans="1:20" ht="15.75" customHeight="1" x14ac:dyDescent="0.3">
      <c r="A278" s="33"/>
      <c r="B278" s="33"/>
      <c r="C278" s="33"/>
      <c r="D278" s="54"/>
      <c r="E278" s="33"/>
      <c r="F278" s="33"/>
      <c r="G278" s="55"/>
      <c r="H278" s="33"/>
      <c r="I278" s="33"/>
      <c r="J278" s="55"/>
      <c r="K278" s="56"/>
      <c r="L278" s="56"/>
      <c r="M278" s="56"/>
      <c r="N278" s="56"/>
      <c r="O278" s="56"/>
      <c r="P278" s="56"/>
      <c r="Q278" s="56"/>
      <c r="R278" s="56"/>
      <c r="S278" s="56"/>
      <c r="T278" s="33"/>
    </row>
    <row r="279" spans="1:20" ht="15.75" customHeight="1" x14ac:dyDescent="0.3">
      <c r="A279" s="33"/>
      <c r="B279" s="33"/>
      <c r="C279" s="33"/>
      <c r="D279" s="54"/>
      <c r="E279" s="33"/>
      <c r="F279" s="33"/>
      <c r="G279" s="55"/>
      <c r="H279" s="33"/>
      <c r="I279" s="33"/>
      <c r="J279" s="55"/>
      <c r="K279" s="56"/>
      <c r="L279" s="56"/>
      <c r="M279" s="56"/>
      <c r="N279" s="56"/>
      <c r="O279" s="56"/>
      <c r="P279" s="56"/>
      <c r="Q279" s="56"/>
      <c r="R279" s="56"/>
      <c r="S279" s="56"/>
      <c r="T279" s="33"/>
    </row>
    <row r="280" spans="1:20" ht="15.75" customHeight="1" x14ac:dyDescent="0.3">
      <c r="A280" s="33"/>
      <c r="B280" s="33"/>
      <c r="C280" s="33"/>
      <c r="D280" s="54"/>
      <c r="E280" s="33"/>
      <c r="F280" s="33"/>
      <c r="G280" s="55"/>
      <c r="H280" s="33"/>
      <c r="I280" s="33"/>
      <c r="J280" s="55"/>
      <c r="K280" s="56"/>
      <c r="L280" s="56"/>
      <c r="M280" s="56"/>
      <c r="N280" s="56"/>
      <c r="O280" s="56"/>
      <c r="P280" s="56"/>
      <c r="Q280" s="56"/>
      <c r="R280" s="56"/>
      <c r="S280" s="56"/>
      <c r="T280" s="33"/>
    </row>
    <row r="281" spans="1:20" ht="15.75" customHeight="1" x14ac:dyDescent="0.3">
      <c r="A281" s="33"/>
      <c r="B281" s="33"/>
      <c r="C281" s="33"/>
      <c r="D281" s="54"/>
      <c r="E281" s="33"/>
      <c r="F281" s="33"/>
      <c r="G281" s="55"/>
      <c r="H281" s="33"/>
      <c r="I281" s="33"/>
      <c r="J281" s="55"/>
      <c r="K281" s="56"/>
      <c r="L281" s="56"/>
      <c r="M281" s="56"/>
      <c r="N281" s="56"/>
      <c r="O281" s="56"/>
      <c r="P281" s="56"/>
      <c r="Q281" s="56"/>
      <c r="R281" s="56"/>
      <c r="S281" s="56"/>
      <c r="T281" s="33"/>
    </row>
    <row r="282" spans="1:20" ht="15.75" customHeight="1" x14ac:dyDescent="0.3">
      <c r="A282" s="33"/>
      <c r="B282" s="33"/>
      <c r="C282" s="33"/>
      <c r="D282" s="54"/>
      <c r="E282" s="33"/>
      <c r="F282" s="33"/>
      <c r="G282" s="55"/>
      <c r="H282" s="33"/>
      <c r="I282" s="33"/>
      <c r="J282" s="55"/>
      <c r="K282" s="56"/>
      <c r="L282" s="56"/>
      <c r="M282" s="56"/>
      <c r="N282" s="56"/>
      <c r="O282" s="56"/>
      <c r="P282" s="56"/>
      <c r="Q282" s="56"/>
      <c r="R282" s="56"/>
      <c r="S282" s="56"/>
      <c r="T282" s="33"/>
    </row>
    <row r="283" spans="1:20" ht="15.75" customHeight="1" x14ac:dyDescent="0.3">
      <c r="A283" s="33"/>
      <c r="B283" s="33"/>
      <c r="C283" s="33"/>
      <c r="D283" s="54"/>
      <c r="E283" s="33"/>
      <c r="F283" s="33"/>
      <c r="G283" s="55"/>
      <c r="H283" s="33"/>
      <c r="I283" s="33"/>
      <c r="J283" s="55"/>
      <c r="K283" s="56"/>
      <c r="L283" s="56"/>
      <c r="M283" s="56"/>
      <c r="N283" s="56"/>
      <c r="O283" s="56"/>
      <c r="P283" s="56"/>
      <c r="Q283" s="56"/>
      <c r="R283" s="56"/>
      <c r="S283" s="56"/>
      <c r="T283" s="33"/>
    </row>
    <row r="284" spans="1:20" ht="15.75" customHeight="1" x14ac:dyDescent="0.3">
      <c r="A284" s="33"/>
      <c r="B284" s="33"/>
      <c r="C284" s="33"/>
      <c r="D284" s="54"/>
      <c r="E284" s="33"/>
      <c r="F284" s="33"/>
      <c r="G284" s="55"/>
      <c r="H284" s="33"/>
      <c r="I284" s="33"/>
      <c r="J284" s="55"/>
      <c r="K284" s="56"/>
      <c r="L284" s="56"/>
      <c r="M284" s="56"/>
      <c r="N284" s="56"/>
      <c r="O284" s="56"/>
      <c r="P284" s="56"/>
      <c r="Q284" s="56"/>
      <c r="R284" s="56"/>
      <c r="S284" s="56"/>
      <c r="T284" s="33"/>
    </row>
    <row r="285" spans="1:20" ht="15.75" customHeight="1" x14ac:dyDescent="0.3">
      <c r="A285" s="33"/>
      <c r="B285" s="33"/>
      <c r="C285" s="33"/>
      <c r="D285" s="54"/>
      <c r="E285" s="33"/>
      <c r="F285" s="33"/>
      <c r="G285" s="55"/>
      <c r="H285" s="33"/>
      <c r="I285" s="33"/>
      <c r="J285" s="55"/>
      <c r="K285" s="56"/>
      <c r="L285" s="56"/>
      <c r="M285" s="56"/>
      <c r="N285" s="56"/>
      <c r="O285" s="56"/>
      <c r="P285" s="56"/>
      <c r="Q285" s="56"/>
      <c r="R285" s="56"/>
      <c r="S285" s="56"/>
      <c r="T285" s="33"/>
    </row>
    <row r="286" spans="1:20" ht="15.75" customHeight="1" x14ac:dyDescent="0.3">
      <c r="A286" s="33"/>
      <c r="B286" s="33"/>
      <c r="C286" s="33"/>
      <c r="D286" s="54"/>
      <c r="E286" s="33"/>
      <c r="F286" s="33"/>
      <c r="G286" s="55"/>
      <c r="H286" s="33"/>
      <c r="I286" s="33"/>
      <c r="J286" s="55"/>
      <c r="K286" s="56"/>
      <c r="L286" s="56"/>
      <c r="M286" s="56"/>
      <c r="N286" s="56"/>
      <c r="O286" s="56"/>
      <c r="P286" s="56"/>
      <c r="Q286" s="56"/>
      <c r="R286" s="56"/>
      <c r="S286" s="56"/>
      <c r="T286" s="33"/>
    </row>
    <row r="287" spans="1:20" ht="15.75" customHeight="1" x14ac:dyDescent="0.3">
      <c r="A287" s="33"/>
      <c r="B287" s="33"/>
      <c r="C287" s="33"/>
      <c r="D287" s="54"/>
      <c r="E287" s="33"/>
      <c r="F287" s="33"/>
      <c r="G287" s="55"/>
      <c r="H287" s="33"/>
      <c r="I287" s="33"/>
      <c r="J287" s="55"/>
      <c r="K287" s="56"/>
      <c r="L287" s="56"/>
      <c r="M287" s="56"/>
      <c r="N287" s="56"/>
      <c r="O287" s="56"/>
      <c r="P287" s="56"/>
      <c r="Q287" s="56"/>
      <c r="R287" s="56"/>
      <c r="S287" s="56"/>
      <c r="T287" s="33"/>
    </row>
    <row r="288" spans="1:20" ht="15.75" customHeight="1" x14ac:dyDescent="0.3">
      <c r="A288" s="33"/>
      <c r="B288" s="33"/>
      <c r="C288" s="33"/>
      <c r="D288" s="54"/>
      <c r="E288" s="33"/>
      <c r="F288" s="33"/>
      <c r="G288" s="55"/>
      <c r="H288" s="33"/>
      <c r="I288" s="33"/>
      <c r="J288" s="55"/>
      <c r="K288" s="56"/>
      <c r="L288" s="56"/>
      <c r="M288" s="56"/>
      <c r="N288" s="56"/>
      <c r="O288" s="56"/>
      <c r="P288" s="56"/>
      <c r="Q288" s="56"/>
      <c r="R288" s="56"/>
      <c r="S288" s="56"/>
      <c r="T288" s="33"/>
    </row>
    <row r="289" spans="1:20" ht="15.75" customHeight="1" x14ac:dyDescent="0.3">
      <c r="A289" s="33"/>
      <c r="B289" s="33"/>
      <c r="C289" s="33"/>
      <c r="D289" s="54"/>
      <c r="E289" s="33"/>
      <c r="F289" s="33"/>
      <c r="G289" s="55"/>
      <c r="H289" s="33"/>
      <c r="I289" s="33"/>
      <c r="J289" s="55"/>
      <c r="K289" s="56"/>
      <c r="L289" s="56"/>
      <c r="M289" s="56"/>
      <c r="N289" s="56"/>
      <c r="O289" s="56"/>
      <c r="P289" s="56"/>
      <c r="Q289" s="56"/>
      <c r="R289" s="56"/>
      <c r="S289" s="56"/>
      <c r="T289" s="33"/>
    </row>
    <row r="290" spans="1:20" ht="15.75" customHeight="1" x14ac:dyDescent="0.3">
      <c r="A290" s="33"/>
      <c r="B290" s="33"/>
      <c r="C290" s="33"/>
      <c r="D290" s="54"/>
      <c r="E290" s="33"/>
      <c r="F290" s="33"/>
      <c r="G290" s="55"/>
      <c r="H290" s="33"/>
      <c r="I290" s="33"/>
      <c r="J290" s="55"/>
      <c r="K290" s="56"/>
      <c r="L290" s="56"/>
      <c r="M290" s="56"/>
      <c r="N290" s="56"/>
      <c r="O290" s="56"/>
      <c r="P290" s="56"/>
      <c r="Q290" s="56"/>
      <c r="R290" s="56"/>
      <c r="S290" s="56"/>
      <c r="T290" s="33"/>
    </row>
    <row r="291" spans="1:20" ht="15.75" customHeight="1" x14ac:dyDescent="0.3">
      <c r="A291" s="33"/>
      <c r="B291" s="33"/>
      <c r="C291" s="33"/>
      <c r="D291" s="54"/>
      <c r="E291" s="33"/>
      <c r="F291" s="33"/>
      <c r="G291" s="55"/>
      <c r="H291" s="33"/>
      <c r="I291" s="33"/>
      <c r="J291" s="55"/>
      <c r="K291" s="56"/>
      <c r="L291" s="56"/>
      <c r="M291" s="56"/>
      <c r="N291" s="56"/>
      <c r="O291" s="56"/>
      <c r="P291" s="56"/>
      <c r="Q291" s="56"/>
      <c r="R291" s="56"/>
      <c r="S291" s="56"/>
      <c r="T291" s="33"/>
    </row>
    <row r="292" spans="1:20" ht="15.75" customHeight="1" x14ac:dyDescent="0.3">
      <c r="A292" s="33"/>
      <c r="B292" s="33"/>
      <c r="C292" s="33"/>
      <c r="D292" s="54"/>
      <c r="E292" s="33"/>
      <c r="F292" s="33"/>
      <c r="G292" s="55"/>
      <c r="H292" s="33"/>
      <c r="I292" s="33"/>
      <c r="J292" s="55"/>
      <c r="K292" s="56"/>
      <c r="L292" s="56"/>
      <c r="M292" s="56"/>
      <c r="N292" s="56"/>
      <c r="O292" s="56"/>
      <c r="P292" s="56"/>
      <c r="Q292" s="56"/>
      <c r="R292" s="56"/>
      <c r="S292" s="56"/>
      <c r="T292" s="33"/>
    </row>
    <row r="293" spans="1:20" ht="15.75" customHeight="1" x14ac:dyDescent="0.3">
      <c r="A293" s="33"/>
      <c r="B293" s="33"/>
      <c r="C293" s="33"/>
      <c r="D293" s="54"/>
      <c r="E293" s="33"/>
      <c r="F293" s="33"/>
      <c r="G293" s="55"/>
      <c r="H293" s="33"/>
      <c r="I293" s="33"/>
      <c r="J293" s="55"/>
      <c r="K293" s="56"/>
      <c r="L293" s="56"/>
      <c r="M293" s="56"/>
      <c r="N293" s="56"/>
      <c r="O293" s="56"/>
      <c r="P293" s="56"/>
      <c r="Q293" s="56"/>
      <c r="R293" s="56"/>
      <c r="S293" s="56"/>
      <c r="T293" s="33"/>
    </row>
    <row r="294" spans="1:20" ht="15.75" customHeight="1" x14ac:dyDescent="0.3">
      <c r="A294" s="33"/>
      <c r="B294" s="33"/>
      <c r="C294" s="33"/>
      <c r="D294" s="54"/>
      <c r="E294" s="33"/>
      <c r="F294" s="33"/>
      <c r="G294" s="55"/>
      <c r="H294" s="33"/>
      <c r="I294" s="33"/>
      <c r="J294" s="55"/>
      <c r="K294" s="56"/>
      <c r="L294" s="56"/>
      <c r="M294" s="56"/>
      <c r="N294" s="56"/>
      <c r="O294" s="56"/>
      <c r="P294" s="56"/>
      <c r="Q294" s="56"/>
      <c r="R294" s="56"/>
      <c r="S294" s="56"/>
      <c r="T294" s="33"/>
    </row>
    <row r="295" spans="1:20" ht="15.75" customHeight="1" x14ac:dyDescent="0.3">
      <c r="A295" s="33"/>
      <c r="B295" s="33"/>
      <c r="C295" s="33"/>
      <c r="D295" s="54"/>
      <c r="E295" s="33"/>
      <c r="F295" s="33"/>
      <c r="G295" s="55"/>
      <c r="H295" s="33"/>
      <c r="I295" s="33"/>
      <c r="J295" s="55"/>
      <c r="K295" s="56"/>
      <c r="L295" s="56"/>
      <c r="M295" s="56"/>
      <c r="N295" s="56"/>
      <c r="O295" s="56"/>
      <c r="P295" s="56"/>
      <c r="Q295" s="56"/>
      <c r="R295" s="56"/>
      <c r="S295" s="56"/>
      <c r="T295" s="33"/>
    </row>
    <row r="296" spans="1:20" ht="15.75" customHeight="1" x14ac:dyDescent="0.3">
      <c r="A296" s="33"/>
      <c r="B296" s="33"/>
      <c r="C296" s="33"/>
      <c r="D296" s="54"/>
      <c r="E296" s="33"/>
      <c r="F296" s="33"/>
      <c r="G296" s="55"/>
      <c r="H296" s="33"/>
      <c r="I296" s="33"/>
      <c r="J296" s="55"/>
      <c r="K296" s="56"/>
      <c r="L296" s="56"/>
      <c r="M296" s="56"/>
      <c r="N296" s="56"/>
      <c r="O296" s="56"/>
      <c r="P296" s="56"/>
      <c r="Q296" s="56"/>
      <c r="R296" s="56"/>
      <c r="S296" s="56"/>
      <c r="T296" s="33"/>
    </row>
    <row r="297" spans="1:20" ht="15.75" customHeight="1" x14ac:dyDescent="0.3">
      <c r="A297" s="33"/>
      <c r="B297" s="33"/>
      <c r="C297" s="33"/>
      <c r="D297" s="54"/>
      <c r="E297" s="33"/>
      <c r="F297" s="33"/>
      <c r="G297" s="55"/>
      <c r="H297" s="33"/>
      <c r="I297" s="33"/>
      <c r="J297" s="55"/>
      <c r="K297" s="56"/>
      <c r="L297" s="56"/>
      <c r="M297" s="56"/>
      <c r="N297" s="56"/>
      <c r="O297" s="56"/>
      <c r="P297" s="56"/>
      <c r="Q297" s="56"/>
      <c r="R297" s="56"/>
      <c r="S297" s="56"/>
      <c r="T297" s="33"/>
    </row>
    <row r="298" spans="1:20" ht="15.75" customHeight="1" x14ac:dyDescent="0.3">
      <c r="A298" s="33"/>
      <c r="B298" s="33"/>
      <c r="C298" s="33"/>
      <c r="D298" s="54"/>
      <c r="E298" s="33"/>
      <c r="F298" s="33"/>
      <c r="G298" s="55"/>
      <c r="H298" s="33"/>
      <c r="I298" s="33"/>
      <c r="J298" s="55"/>
      <c r="K298" s="56"/>
      <c r="L298" s="56"/>
      <c r="M298" s="56"/>
      <c r="N298" s="56"/>
      <c r="O298" s="56"/>
      <c r="P298" s="56"/>
      <c r="Q298" s="56"/>
      <c r="R298" s="56"/>
      <c r="S298" s="56"/>
      <c r="T298" s="33"/>
    </row>
    <row r="299" spans="1:20" ht="15.75" customHeight="1" x14ac:dyDescent="0.3">
      <c r="A299" s="33"/>
      <c r="B299" s="33"/>
      <c r="C299" s="33"/>
      <c r="D299" s="54"/>
      <c r="E299" s="33"/>
      <c r="F299" s="33"/>
      <c r="G299" s="55"/>
      <c r="H299" s="33"/>
      <c r="I299" s="33"/>
      <c r="J299" s="55"/>
      <c r="K299" s="56"/>
      <c r="L299" s="56"/>
      <c r="M299" s="56"/>
      <c r="N299" s="56"/>
      <c r="O299" s="56"/>
      <c r="P299" s="56"/>
      <c r="Q299" s="56"/>
      <c r="R299" s="56"/>
      <c r="S299" s="56"/>
      <c r="T299" s="33"/>
    </row>
    <row r="300" spans="1:20" ht="15.75" customHeight="1" x14ac:dyDescent="0.3">
      <c r="A300" s="33"/>
      <c r="B300" s="33"/>
      <c r="C300" s="33"/>
      <c r="D300" s="54"/>
      <c r="E300" s="33"/>
      <c r="F300" s="33"/>
      <c r="G300" s="55"/>
      <c r="H300" s="33"/>
      <c r="I300" s="33"/>
      <c r="J300" s="55"/>
      <c r="K300" s="56"/>
      <c r="L300" s="56"/>
      <c r="M300" s="56"/>
      <c r="N300" s="56"/>
      <c r="O300" s="56"/>
      <c r="P300" s="56"/>
      <c r="Q300" s="56"/>
      <c r="R300" s="56"/>
      <c r="S300" s="56"/>
      <c r="T300" s="33"/>
    </row>
    <row r="301" spans="1:20" ht="15.75" customHeight="1" x14ac:dyDescent="0.3">
      <c r="A301" s="33"/>
      <c r="B301" s="33"/>
      <c r="C301" s="33"/>
      <c r="D301" s="54"/>
      <c r="E301" s="33"/>
      <c r="F301" s="33"/>
      <c r="G301" s="55"/>
      <c r="H301" s="33"/>
      <c r="I301" s="33"/>
      <c r="J301" s="55"/>
      <c r="K301" s="56"/>
      <c r="L301" s="56"/>
      <c r="M301" s="56"/>
      <c r="N301" s="56"/>
      <c r="O301" s="56"/>
      <c r="P301" s="56"/>
      <c r="Q301" s="56"/>
      <c r="R301" s="56"/>
      <c r="S301" s="56"/>
      <c r="T301" s="33"/>
    </row>
    <row r="302" spans="1:20" ht="15.75" customHeight="1" x14ac:dyDescent="0.3">
      <c r="A302" s="33"/>
      <c r="B302" s="33"/>
      <c r="C302" s="33"/>
      <c r="D302" s="54"/>
      <c r="E302" s="33"/>
      <c r="F302" s="33"/>
      <c r="G302" s="55"/>
      <c r="H302" s="33"/>
      <c r="I302" s="33"/>
      <c r="J302" s="55"/>
      <c r="K302" s="56"/>
      <c r="L302" s="56"/>
      <c r="M302" s="56"/>
      <c r="N302" s="56"/>
      <c r="O302" s="56"/>
      <c r="P302" s="56"/>
      <c r="Q302" s="56"/>
      <c r="R302" s="56"/>
      <c r="S302" s="56"/>
      <c r="T302" s="33"/>
    </row>
    <row r="303" spans="1:20" ht="15.75" customHeight="1" x14ac:dyDescent="0.3">
      <c r="A303" s="33"/>
      <c r="B303" s="33"/>
      <c r="C303" s="33"/>
      <c r="D303" s="54"/>
      <c r="E303" s="33"/>
      <c r="F303" s="33"/>
      <c r="G303" s="55"/>
      <c r="H303" s="33"/>
      <c r="I303" s="33"/>
      <c r="J303" s="55"/>
      <c r="K303" s="56"/>
      <c r="L303" s="56"/>
      <c r="M303" s="56"/>
      <c r="N303" s="56"/>
      <c r="O303" s="56"/>
      <c r="P303" s="56"/>
      <c r="Q303" s="56"/>
      <c r="R303" s="56"/>
      <c r="S303" s="56"/>
      <c r="T303" s="33"/>
    </row>
    <row r="304" spans="1:20" ht="15.75" customHeight="1" x14ac:dyDescent="0.3">
      <c r="A304" s="33"/>
      <c r="B304" s="33"/>
      <c r="C304" s="33"/>
      <c r="D304" s="54"/>
      <c r="E304" s="33"/>
      <c r="F304" s="33"/>
      <c r="G304" s="55"/>
      <c r="H304" s="33"/>
      <c r="I304" s="33"/>
      <c r="J304" s="55"/>
      <c r="K304" s="56"/>
      <c r="L304" s="56"/>
      <c r="M304" s="56"/>
      <c r="N304" s="56"/>
      <c r="O304" s="56"/>
      <c r="P304" s="56"/>
      <c r="Q304" s="56"/>
      <c r="R304" s="56"/>
      <c r="S304" s="56"/>
      <c r="T304" s="33"/>
    </row>
    <row r="305" spans="1:20" ht="15.75" customHeight="1" x14ac:dyDescent="0.3">
      <c r="A305" s="33"/>
      <c r="B305" s="33"/>
      <c r="C305" s="33"/>
      <c r="D305" s="54"/>
      <c r="E305" s="33"/>
      <c r="F305" s="33"/>
      <c r="G305" s="55"/>
      <c r="H305" s="33"/>
      <c r="I305" s="33"/>
      <c r="J305" s="55"/>
      <c r="K305" s="56"/>
      <c r="L305" s="56"/>
      <c r="M305" s="56"/>
      <c r="N305" s="56"/>
      <c r="O305" s="56"/>
      <c r="P305" s="56"/>
      <c r="Q305" s="56"/>
      <c r="R305" s="56"/>
      <c r="S305" s="56"/>
      <c r="T305" s="33"/>
    </row>
    <row r="306" spans="1:20" ht="15.75" customHeight="1" x14ac:dyDescent="0.3">
      <c r="A306" s="33"/>
      <c r="B306" s="33"/>
      <c r="C306" s="33"/>
      <c r="D306" s="54"/>
      <c r="E306" s="33"/>
      <c r="F306" s="33"/>
      <c r="G306" s="55"/>
      <c r="H306" s="33"/>
      <c r="I306" s="33"/>
      <c r="J306" s="55"/>
      <c r="K306" s="56"/>
      <c r="L306" s="56"/>
      <c r="M306" s="56"/>
      <c r="N306" s="56"/>
      <c r="O306" s="56"/>
      <c r="P306" s="56"/>
      <c r="Q306" s="56"/>
      <c r="R306" s="56"/>
      <c r="S306" s="56"/>
      <c r="T306" s="33"/>
    </row>
    <row r="307" spans="1:20" ht="15.75" customHeight="1" x14ac:dyDescent="0.3">
      <c r="A307" s="33"/>
      <c r="B307" s="33"/>
      <c r="C307" s="33"/>
      <c r="D307" s="54"/>
      <c r="E307" s="33"/>
      <c r="F307" s="33"/>
      <c r="G307" s="55"/>
      <c r="H307" s="33"/>
      <c r="I307" s="33"/>
      <c r="J307" s="55"/>
      <c r="K307" s="56"/>
      <c r="L307" s="56"/>
      <c r="M307" s="56"/>
      <c r="N307" s="56"/>
      <c r="O307" s="56"/>
      <c r="P307" s="56"/>
      <c r="Q307" s="56"/>
      <c r="R307" s="56"/>
      <c r="S307" s="56"/>
      <c r="T307" s="33"/>
    </row>
    <row r="308" spans="1:20" ht="15.75" customHeight="1" x14ac:dyDescent="0.3">
      <c r="A308" s="33"/>
      <c r="B308" s="33"/>
      <c r="C308" s="33"/>
      <c r="D308" s="54"/>
      <c r="E308" s="33"/>
      <c r="F308" s="33"/>
      <c r="G308" s="55"/>
      <c r="H308" s="33"/>
      <c r="I308" s="33"/>
      <c r="J308" s="55"/>
      <c r="K308" s="56"/>
      <c r="L308" s="56"/>
      <c r="M308" s="56"/>
      <c r="N308" s="56"/>
      <c r="O308" s="56"/>
      <c r="P308" s="56"/>
      <c r="Q308" s="56"/>
      <c r="R308" s="56"/>
      <c r="S308" s="56"/>
      <c r="T308" s="33"/>
    </row>
    <row r="309" spans="1:20" ht="15.75" customHeight="1" x14ac:dyDescent="0.3">
      <c r="A309" s="33"/>
      <c r="B309" s="33"/>
      <c r="C309" s="33"/>
      <c r="D309" s="54"/>
      <c r="E309" s="33"/>
      <c r="F309" s="33"/>
      <c r="G309" s="55"/>
      <c r="H309" s="33"/>
      <c r="I309" s="33"/>
      <c r="J309" s="55"/>
      <c r="K309" s="56"/>
      <c r="L309" s="56"/>
      <c r="M309" s="56"/>
      <c r="N309" s="56"/>
      <c r="O309" s="56"/>
      <c r="P309" s="56"/>
      <c r="Q309" s="56"/>
      <c r="R309" s="56"/>
      <c r="S309" s="56"/>
      <c r="T309" s="33"/>
    </row>
    <row r="310" spans="1:20" ht="15.75" customHeight="1" x14ac:dyDescent="0.3">
      <c r="A310" s="33"/>
      <c r="B310" s="33"/>
      <c r="C310" s="33"/>
      <c r="D310" s="54"/>
      <c r="E310" s="33"/>
      <c r="F310" s="33"/>
      <c r="G310" s="55"/>
      <c r="H310" s="33"/>
      <c r="I310" s="33"/>
      <c r="J310" s="55"/>
      <c r="K310" s="56"/>
      <c r="L310" s="56"/>
      <c r="M310" s="56"/>
      <c r="N310" s="56"/>
      <c r="O310" s="56"/>
      <c r="P310" s="56"/>
      <c r="Q310" s="56"/>
      <c r="R310" s="56"/>
      <c r="S310" s="56"/>
      <c r="T310" s="33"/>
    </row>
    <row r="311" spans="1:20" ht="15.75" customHeight="1" x14ac:dyDescent="0.3">
      <c r="A311" s="33"/>
      <c r="B311" s="33"/>
      <c r="C311" s="33"/>
      <c r="D311" s="54"/>
      <c r="E311" s="33"/>
      <c r="F311" s="33"/>
      <c r="G311" s="55"/>
      <c r="H311" s="33"/>
      <c r="I311" s="33"/>
      <c r="J311" s="55"/>
      <c r="K311" s="56"/>
      <c r="L311" s="56"/>
      <c r="M311" s="56"/>
      <c r="N311" s="56"/>
      <c r="O311" s="56"/>
      <c r="P311" s="56"/>
      <c r="Q311" s="56"/>
      <c r="R311" s="56"/>
      <c r="S311" s="56"/>
      <c r="T311" s="33"/>
    </row>
    <row r="312" spans="1:20" ht="15.75" customHeight="1" x14ac:dyDescent="0.3">
      <c r="A312" s="33"/>
      <c r="B312" s="33"/>
      <c r="C312" s="33"/>
      <c r="D312" s="54"/>
      <c r="E312" s="33"/>
      <c r="F312" s="33"/>
      <c r="G312" s="55"/>
      <c r="H312" s="33"/>
      <c r="I312" s="33"/>
      <c r="J312" s="55"/>
      <c r="K312" s="56"/>
      <c r="L312" s="56"/>
      <c r="M312" s="56"/>
      <c r="N312" s="56"/>
      <c r="O312" s="56"/>
      <c r="P312" s="56"/>
      <c r="Q312" s="56"/>
      <c r="R312" s="56"/>
      <c r="S312" s="56"/>
      <c r="T312" s="33"/>
    </row>
    <row r="313" spans="1:20" ht="15.75" customHeight="1" x14ac:dyDescent="0.3">
      <c r="A313" s="33"/>
      <c r="B313" s="33"/>
      <c r="C313" s="33"/>
      <c r="D313" s="54"/>
      <c r="E313" s="33"/>
      <c r="F313" s="33"/>
      <c r="G313" s="55"/>
      <c r="H313" s="33"/>
      <c r="I313" s="33"/>
      <c r="J313" s="55"/>
      <c r="K313" s="56"/>
      <c r="L313" s="56"/>
      <c r="M313" s="56"/>
      <c r="N313" s="56"/>
      <c r="O313" s="56"/>
      <c r="P313" s="56"/>
      <c r="Q313" s="56"/>
      <c r="R313" s="56"/>
      <c r="S313" s="56"/>
      <c r="T313" s="33"/>
    </row>
    <row r="314" spans="1:20" ht="15.75" customHeight="1" x14ac:dyDescent="0.3">
      <c r="A314" s="33"/>
      <c r="B314" s="33"/>
      <c r="C314" s="33"/>
      <c r="D314" s="54"/>
      <c r="E314" s="33"/>
      <c r="F314" s="33"/>
      <c r="G314" s="55"/>
      <c r="H314" s="33"/>
      <c r="I314" s="33"/>
      <c r="J314" s="55"/>
      <c r="K314" s="56"/>
      <c r="L314" s="56"/>
      <c r="M314" s="56"/>
      <c r="N314" s="56"/>
      <c r="O314" s="56"/>
      <c r="P314" s="56"/>
      <c r="Q314" s="56"/>
      <c r="R314" s="56"/>
      <c r="S314" s="56"/>
      <c r="T314" s="33"/>
    </row>
    <row r="315" spans="1:20" ht="15.75" customHeight="1" x14ac:dyDescent="0.3">
      <c r="A315" s="33"/>
      <c r="B315" s="33"/>
      <c r="C315" s="33"/>
      <c r="D315" s="54"/>
      <c r="E315" s="33"/>
      <c r="F315" s="33"/>
      <c r="G315" s="55"/>
      <c r="H315" s="33"/>
      <c r="I315" s="33"/>
      <c r="J315" s="55"/>
      <c r="K315" s="56"/>
      <c r="L315" s="56"/>
      <c r="M315" s="56"/>
      <c r="N315" s="56"/>
      <c r="O315" s="56"/>
      <c r="P315" s="56"/>
      <c r="Q315" s="56"/>
      <c r="R315" s="56"/>
      <c r="S315" s="56"/>
      <c r="T315" s="33"/>
    </row>
    <row r="316" spans="1:20" ht="15.75" customHeight="1" x14ac:dyDescent="0.3">
      <c r="A316" s="33"/>
      <c r="B316" s="33"/>
      <c r="C316" s="33"/>
      <c r="D316" s="54"/>
      <c r="E316" s="33"/>
      <c r="F316" s="33"/>
      <c r="G316" s="55"/>
      <c r="H316" s="33"/>
      <c r="I316" s="33"/>
      <c r="J316" s="55"/>
      <c r="K316" s="56"/>
      <c r="L316" s="56"/>
      <c r="M316" s="56"/>
      <c r="N316" s="56"/>
      <c r="O316" s="56"/>
      <c r="P316" s="56"/>
      <c r="Q316" s="56"/>
      <c r="R316" s="56"/>
      <c r="S316" s="56"/>
      <c r="T316" s="33"/>
    </row>
    <row r="317" spans="1:20" ht="15.75" customHeight="1" x14ac:dyDescent="0.3">
      <c r="A317" s="33"/>
      <c r="B317" s="33"/>
      <c r="C317" s="33"/>
      <c r="D317" s="54"/>
      <c r="E317" s="33"/>
      <c r="F317" s="33"/>
      <c r="G317" s="55"/>
      <c r="H317" s="33"/>
      <c r="I317" s="33"/>
      <c r="J317" s="55"/>
      <c r="K317" s="56"/>
      <c r="L317" s="56"/>
      <c r="M317" s="56"/>
      <c r="N317" s="56"/>
      <c r="O317" s="56"/>
      <c r="P317" s="56"/>
      <c r="Q317" s="56"/>
      <c r="R317" s="56"/>
      <c r="S317" s="56"/>
      <c r="T317" s="33"/>
    </row>
    <row r="318" spans="1:20" ht="15.75" customHeight="1" x14ac:dyDescent="0.3">
      <c r="A318" s="33"/>
      <c r="B318" s="33"/>
      <c r="C318" s="33"/>
      <c r="D318" s="54"/>
      <c r="E318" s="33"/>
      <c r="F318" s="33"/>
      <c r="G318" s="55"/>
      <c r="H318" s="33"/>
      <c r="I318" s="33"/>
      <c r="J318" s="55"/>
      <c r="K318" s="56"/>
      <c r="L318" s="56"/>
      <c r="M318" s="56"/>
      <c r="N318" s="56"/>
      <c r="O318" s="56"/>
      <c r="P318" s="56"/>
      <c r="Q318" s="56"/>
      <c r="R318" s="56"/>
      <c r="S318" s="56"/>
      <c r="T318" s="33"/>
    </row>
    <row r="319" spans="1:20" ht="15.75" customHeight="1" x14ac:dyDescent="0.3">
      <c r="A319" s="33"/>
      <c r="B319" s="33"/>
      <c r="C319" s="33"/>
      <c r="D319" s="54"/>
      <c r="E319" s="33"/>
      <c r="F319" s="33"/>
      <c r="G319" s="55"/>
      <c r="H319" s="33"/>
      <c r="I319" s="33"/>
      <c r="J319" s="55"/>
      <c r="K319" s="56"/>
      <c r="L319" s="56"/>
      <c r="M319" s="56"/>
      <c r="N319" s="56"/>
      <c r="O319" s="56"/>
      <c r="P319" s="56"/>
      <c r="Q319" s="56"/>
      <c r="R319" s="56"/>
      <c r="S319" s="56"/>
      <c r="T319" s="33"/>
    </row>
    <row r="320" spans="1:20" ht="15.75" customHeight="1" x14ac:dyDescent="0.3">
      <c r="A320" s="33"/>
      <c r="B320" s="33"/>
      <c r="C320" s="33"/>
      <c r="D320" s="54"/>
      <c r="E320" s="33"/>
      <c r="F320" s="33"/>
      <c r="G320" s="55"/>
      <c r="H320" s="33"/>
      <c r="I320" s="33"/>
      <c r="J320" s="55"/>
      <c r="K320" s="56"/>
      <c r="L320" s="56"/>
      <c r="M320" s="56"/>
      <c r="N320" s="56"/>
      <c r="O320" s="56"/>
      <c r="P320" s="56"/>
      <c r="Q320" s="56"/>
      <c r="R320" s="56"/>
      <c r="S320" s="56"/>
      <c r="T320" s="33"/>
    </row>
    <row r="321" spans="1:20" ht="15.75" customHeight="1" x14ac:dyDescent="0.3">
      <c r="A321" s="33"/>
      <c r="B321" s="33"/>
      <c r="C321" s="33"/>
      <c r="D321" s="54"/>
      <c r="E321" s="33"/>
      <c r="F321" s="33"/>
      <c r="G321" s="55"/>
      <c r="H321" s="33"/>
      <c r="I321" s="33"/>
      <c r="J321" s="55"/>
      <c r="K321" s="56"/>
      <c r="L321" s="56"/>
      <c r="M321" s="56"/>
      <c r="N321" s="56"/>
      <c r="O321" s="56"/>
      <c r="P321" s="56"/>
      <c r="Q321" s="56"/>
      <c r="R321" s="56"/>
      <c r="S321" s="56"/>
      <c r="T321" s="33"/>
    </row>
    <row r="322" spans="1:20" ht="15.75" customHeight="1" x14ac:dyDescent="0.3">
      <c r="A322" s="33"/>
      <c r="B322" s="33"/>
      <c r="C322" s="33"/>
      <c r="D322" s="54"/>
      <c r="E322" s="33"/>
      <c r="F322" s="33"/>
      <c r="G322" s="55"/>
      <c r="H322" s="33"/>
      <c r="I322" s="33"/>
      <c r="J322" s="55"/>
      <c r="K322" s="56"/>
      <c r="L322" s="56"/>
      <c r="M322" s="56"/>
      <c r="N322" s="56"/>
      <c r="O322" s="56"/>
      <c r="P322" s="56"/>
      <c r="Q322" s="56"/>
      <c r="R322" s="56"/>
      <c r="S322" s="56"/>
      <c r="T322" s="33"/>
    </row>
    <row r="323" spans="1:20" ht="15.75" customHeight="1" x14ac:dyDescent="0.3">
      <c r="A323" s="33"/>
      <c r="B323" s="33"/>
      <c r="C323" s="33"/>
      <c r="D323" s="54"/>
      <c r="E323" s="33"/>
      <c r="F323" s="33"/>
      <c r="G323" s="55"/>
      <c r="H323" s="33"/>
      <c r="I323" s="33"/>
      <c r="J323" s="55"/>
      <c r="K323" s="56"/>
      <c r="L323" s="56"/>
      <c r="M323" s="56"/>
      <c r="N323" s="56"/>
      <c r="O323" s="56"/>
      <c r="P323" s="56"/>
      <c r="Q323" s="56"/>
      <c r="R323" s="56"/>
      <c r="S323" s="56"/>
      <c r="T323" s="33"/>
    </row>
    <row r="324" spans="1:20" ht="15.75" customHeight="1" x14ac:dyDescent="0.3">
      <c r="A324" s="33"/>
      <c r="B324" s="33"/>
      <c r="C324" s="33"/>
      <c r="D324" s="54"/>
      <c r="E324" s="33"/>
      <c r="F324" s="33"/>
      <c r="G324" s="55"/>
      <c r="H324" s="33"/>
      <c r="I324" s="33"/>
      <c r="J324" s="55"/>
      <c r="K324" s="56"/>
      <c r="L324" s="56"/>
      <c r="M324" s="56"/>
      <c r="N324" s="56"/>
      <c r="O324" s="56"/>
      <c r="P324" s="56"/>
      <c r="Q324" s="56"/>
      <c r="R324" s="56"/>
      <c r="S324" s="56"/>
      <c r="T324" s="33"/>
    </row>
    <row r="325" spans="1:20" ht="15.75" customHeight="1" x14ac:dyDescent="0.3">
      <c r="A325" s="33"/>
      <c r="B325" s="33"/>
      <c r="C325" s="33"/>
      <c r="D325" s="54"/>
      <c r="E325" s="33"/>
      <c r="F325" s="33"/>
      <c r="G325" s="55"/>
      <c r="H325" s="33"/>
      <c r="I325" s="33"/>
      <c r="J325" s="55"/>
      <c r="K325" s="56"/>
      <c r="L325" s="56"/>
      <c r="M325" s="56"/>
      <c r="N325" s="56"/>
      <c r="O325" s="56"/>
      <c r="P325" s="56"/>
      <c r="Q325" s="56"/>
      <c r="R325" s="56"/>
      <c r="S325" s="56"/>
      <c r="T325" s="33"/>
    </row>
    <row r="326" spans="1:20" ht="15.75" customHeight="1" x14ac:dyDescent="0.3">
      <c r="A326" s="33"/>
      <c r="B326" s="33"/>
      <c r="C326" s="33"/>
      <c r="D326" s="54"/>
      <c r="E326" s="33"/>
      <c r="F326" s="33"/>
      <c r="G326" s="55"/>
      <c r="H326" s="33"/>
      <c r="I326" s="33"/>
      <c r="J326" s="55"/>
      <c r="K326" s="56"/>
      <c r="L326" s="56"/>
      <c r="M326" s="56"/>
      <c r="N326" s="56"/>
      <c r="O326" s="56"/>
      <c r="P326" s="56"/>
      <c r="Q326" s="56"/>
      <c r="R326" s="56"/>
      <c r="S326" s="56"/>
      <c r="T326" s="33"/>
    </row>
    <row r="327" spans="1:20" ht="15.75" customHeight="1" x14ac:dyDescent="0.3">
      <c r="A327" s="33"/>
      <c r="B327" s="33"/>
      <c r="C327" s="33"/>
      <c r="D327" s="54"/>
      <c r="E327" s="33"/>
      <c r="F327" s="33"/>
      <c r="G327" s="55"/>
      <c r="H327" s="33"/>
      <c r="I327" s="33"/>
      <c r="J327" s="55"/>
      <c r="K327" s="56"/>
      <c r="L327" s="56"/>
      <c r="M327" s="56"/>
      <c r="N327" s="56"/>
      <c r="O327" s="56"/>
      <c r="P327" s="56"/>
      <c r="Q327" s="56"/>
      <c r="R327" s="56"/>
      <c r="S327" s="56"/>
      <c r="T327" s="33"/>
    </row>
    <row r="328" spans="1:20" ht="15.75" customHeight="1" x14ac:dyDescent="0.3">
      <c r="A328" s="33"/>
      <c r="B328" s="33"/>
      <c r="C328" s="33"/>
      <c r="D328" s="54"/>
      <c r="E328" s="33"/>
      <c r="F328" s="33"/>
      <c r="G328" s="55"/>
      <c r="H328" s="33"/>
      <c r="I328" s="33"/>
      <c r="J328" s="55"/>
      <c r="K328" s="56"/>
      <c r="L328" s="56"/>
      <c r="M328" s="56"/>
      <c r="N328" s="56"/>
      <c r="O328" s="56"/>
      <c r="P328" s="56"/>
      <c r="Q328" s="56"/>
      <c r="R328" s="56"/>
      <c r="S328" s="56"/>
      <c r="T328" s="33"/>
    </row>
    <row r="329" spans="1:20" ht="15.75" customHeight="1" x14ac:dyDescent="0.3">
      <c r="A329" s="33"/>
      <c r="B329" s="33"/>
      <c r="C329" s="33"/>
      <c r="D329" s="54"/>
      <c r="E329" s="33"/>
      <c r="F329" s="33"/>
      <c r="G329" s="55"/>
      <c r="H329" s="33"/>
      <c r="I329" s="33"/>
      <c r="J329" s="55"/>
      <c r="K329" s="56"/>
      <c r="L329" s="56"/>
      <c r="M329" s="56"/>
      <c r="N329" s="56"/>
      <c r="O329" s="56"/>
      <c r="P329" s="56"/>
      <c r="Q329" s="56"/>
      <c r="R329" s="56"/>
      <c r="S329" s="56"/>
      <c r="T329" s="33"/>
    </row>
    <row r="330" spans="1:20" ht="15.75" customHeight="1" x14ac:dyDescent="0.3">
      <c r="A330" s="33"/>
      <c r="B330" s="33"/>
      <c r="C330" s="33"/>
      <c r="D330" s="54"/>
      <c r="E330" s="33"/>
      <c r="F330" s="33"/>
      <c r="G330" s="55"/>
      <c r="H330" s="33"/>
      <c r="I330" s="33"/>
      <c r="J330" s="55"/>
      <c r="K330" s="56"/>
      <c r="L330" s="56"/>
      <c r="M330" s="56"/>
      <c r="N330" s="56"/>
      <c r="O330" s="56"/>
      <c r="P330" s="56"/>
      <c r="Q330" s="56"/>
      <c r="R330" s="56"/>
      <c r="S330" s="56"/>
      <c r="T330" s="33"/>
    </row>
    <row r="331" spans="1:20" ht="15.75" customHeight="1" x14ac:dyDescent="0.3">
      <c r="A331" s="33"/>
      <c r="B331" s="33"/>
      <c r="C331" s="33"/>
      <c r="D331" s="54"/>
      <c r="E331" s="33"/>
      <c r="F331" s="33"/>
      <c r="G331" s="55"/>
      <c r="H331" s="33"/>
      <c r="I331" s="33"/>
      <c r="J331" s="55"/>
      <c r="K331" s="56"/>
      <c r="L331" s="56"/>
      <c r="M331" s="56"/>
      <c r="N331" s="56"/>
      <c r="O331" s="56"/>
      <c r="P331" s="56"/>
      <c r="Q331" s="56"/>
      <c r="R331" s="56"/>
      <c r="S331" s="56"/>
      <c r="T331" s="33"/>
    </row>
    <row r="332" spans="1:20" ht="15.75" customHeight="1" x14ac:dyDescent="0.3">
      <c r="A332" s="33"/>
      <c r="B332" s="33"/>
      <c r="C332" s="33"/>
      <c r="D332" s="54"/>
      <c r="E332" s="33"/>
      <c r="F332" s="33"/>
      <c r="G332" s="55"/>
      <c r="H332" s="33"/>
      <c r="I332" s="33"/>
      <c r="J332" s="55"/>
      <c r="K332" s="56"/>
      <c r="L332" s="56"/>
      <c r="M332" s="56"/>
      <c r="N332" s="56"/>
      <c r="O332" s="56"/>
      <c r="P332" s="56"/>
      <c r="Q332" s="56"/>
      <c r="R332" s="56"/>
      <c r="S332" s="56"/>
      <c r="T332" s="33"/>
    </row>
    <row r="333" spans="1:20" ht="15.75" customHeight="1" x14ac:dyDescent="0.3">
      <c r="A333" s="33"/>
      <c r="B333" s="33"/>
      <c r="C333" s="33"/>
      <c r="D333" s="54"/>
      <c r="E333" s="33"/>
      <c r="F333" s="33"/>
      <c r="G333" s="55"/>
      <c r="H333" s="33"/>
      <c r="I333" s="33"/>
      <c r="J333" s="55"/>
      <c r="K333" s="56"/>
      <c r="L333" s="56"/>
      <c r="M333" s="56"/>
      <c r="N333" s="56"/>
      <c r="O333" s="56"/>
      <c r="P333" s="56"/>
      <c r="Q333" s="56"/>
      <c r="R333" s="56"/>
      <c r="S333" s="56"/>
      <c r="T333" s="33"/>
    </row>
    <row r="334" spans="1:20" ht="15.75" customHeight="1" x14ac:dyDescent="0.3">
      <c r="A334" s="33"/>
      <c r="B334" s="33"/>
      <c r="C334" s="33"/>
      <c r="D334" s="54"/>
      <c r="E334" s="33"/>
      <c r="F334" s="33"/>
      <c r="G334" s="55"/>
      <c r="H334" s="33"/>
      <c r="I334" s="33"/>
      <c r="J334" s="55"/>
      <c r="K334" s="56"/>
      <c r="L334" s="56"/>
      <c r="M334" s="56"/>
      <c r="N334" s="56"/>
      <c r="O334" s="56"/>
      <c r="P334" s="56"/>
      <c r="Q334" s="56"/>
      <c r="R334" s="56"/>
      <c r="S334" s="56"/>
      <c r="T334" s="33"/>
    </row>
    <row r="335" spans="1:20" ht="15.75" customHeight="1" x14ac:dyDescent="0.3">
      <c r="A335" s="33"/>
      <c r="B335" s="33"/>
      <c r="C335" s="33"/>
      <c r="D335" s="54"/>
      <c r="E335" s="33"/>
      <c r="F335" s="33"/>
      <c r="G335" s="55"/>
      <c r="H335" s="33"/>
      <c r="I335" s="33"/>
      <c r="J335" s="55"/>
      <c r="K335" s="56"/>
      <c r="L335" s="56"/>
      <c r="M335" s="56"/>
      <c r="N335" s="56"/>
      <c r="O335" s="56"/>
      <c r="P335" s="56"/>
      <c r="Q335" s="56"/>
      <c r="R335" s="56"/>
      <c r="S335" s="56"/>
      <c r="T335" s="33"/>
    </row>
    <row r="336" spans="1:20" ht="15.75" customHeight="1" x14ac:dyDescent="0.3">
      <c r="A336" s="33"/>
      <c r="B336" s="33"/>
      <c r="C336" s="33"/>
      <c r="D336" s="54"/>
      <c r="E336" s="33"/>
      <c r="F336" s="33"/>
      <c r="G336" s="55"/>
      <c r="H336" s="33"/>
      <c r="I336" s="33"/>
      <c r="J336" s="55"/>
      <c r="K336" s="56"/>
      <c r="L336" s="56"/>
      <c r="M336" s="56"/>
      <c r="N336" s="56"/>
      <c r="O336" s="56"/>
      <c r="P336" s="56"/>
      <c r="Q336" s="56"/>
      <c r="R336" s="56"/>
      <c r="S336" s="56"/>
      <c r="T336" s="33"/>
    </row>
    <row r="337" spans="1:20" ht="15.75" customHeight="1" x14ac:dyDescent="0.3">
      <c r="A337" s="33"/>
      <c r="B337" s="33"/>
      <c r="C337" s="33"/>
      <c r="D337" s="54"/>
      <c r="E337" s="33"/>
      <c r="F337" s="33"/>
      <c r="G337" s="55"/>
      <c r="H337" s="33"/>
      <c r="I337" s="33"/>
      <c r="J337" s="55"/>
      <c r="K337" s="56"/>
      <c r="L337" s="56"/>
      <c r="M337" s="56"/>
      <c r="N337" s="56"/>
      <c r="O337" s="56"/>
      <c r="P337" s="56"/>
      <c r="Q337" s="56"/>
      <c r="R337" s="56"/>
      <c r="S337" s="56"/>
      <c r="T337" s="33"/>
    </row>
    <row r="338" spans="1:20" ht="15.75" customHeight="1" x14ac:dyDescent="0.3">
      <c r="A338" s="33"/>
      <c r="B338" s="33"/>
      <c r="C338" s="33"/>
      <c r="D338" s="54"/>
      <c r="E338" s="33"/>
      <c r="F338" s="33"/>
      <c r="G338" s="55"/>
      <c r="H338" s="33"/>
      <c r="I338" s="33"/>
      <c r="J338" s="55"/>
      <c r="K338" s="56"/>
      <c r="L338" s="56"/>
      <c r="M338" s="56"/>
      <c r="N338" s="56"/>
      <c r="O338" s="56"/>
      <c r="P338" s="56"/>
      <c r="Q338" s="56"/>
      <c r="R338" s="56"/>
      <c r="S338" s="56"/>
      <c r="T338" s="33"/>
    </row>
    <row r="339" spans="1:20" ht="15.75" customHeight="1" x14ac:dyDescent="0.3">
      <c r="A339" s="33"/>
      <c r="B339" s="33"/>
      <c r="C339" s="33"/>
      <c r="D339" s="54"/>
      <c r="E339" s="33"/>
      <c r="F339" s="33"/>
      <c r="G339" s="55"/>
      <c r="H339" s="33"/>
      <c r="I339" s="33"/>
      <c r="J339" s="55"/>
      <c r="K339" s="56"/>
      <c r="L339" s="56"/>
      <c r="M339" s="56"/>
      <c r="N339" s="56"/>
      <c r="O339" s="56"/>
      <c r="P339" s="56"/>
      <c r="Q339" s="56"/>
      <c r="R339" s="56"/>
      <c r="S339" s="56"/>
      <c r="T339" s="33"/>
    </row>
    <row r="340" spans="1:20" ht="15.75" customHeight="1" x14ac:dyDescent="0.3">
      <c r="A340" s="33"/>
      <c r="B340" s="33"/>
      <c r="C340" s="33"/>
      <c r="D340" s="54"/>
      <c r="E340" s="33"/>
      <c r="F340" s="33"/>
      <c r="G340" s="55"/>
      <c r="H340" s="33"/>
      <c r="I340" s="33"/>
      <c r="J340" s="55"/>
      <c r="K340" s="56"/>
      <c r="L340" s="56"/>
      <c r="M340" s="56"/>
      <c r="N340" s="56"/>
      <c r="O340" s="56"/>
      <c r="P340" s="56"/>
      <c r="Q340" s="56"/>
      <c r="R340" s="56"/>
      <c r="S340" s="56"/>
      <c r="T340" s="33"/>
    </row>
    <row r="341" spans="1:20" ht="15.75" customHeight="1" x14ac:dyDescent="0.3">
      <c r="A341" s="33"/>
      <c r="B341" s="33"/>
      <c r="C341" s="33"/>
      <c r="D341" s="54"/>
      <c r="E341" s="33"/>
      <c r="F341" s="33"/>
      <c r="G341" s="55"/>
      <c r="H341" s="33"/>
      <c r="I341" s="33"/>
      <c r="J341" s="55"/>
      <c r="K341" s="56"/>
      <c r="L341" s="56"/>
      <c r="M341" s="56"/>
      <c r="N341" s="56"/>
      <c r="O341" s="56"/>
      <c r="P341" s="56"/>
      <c r="Q341" s="56"/>
      <c r="R341" s="56"/>
      <c r="S341" s="56"/>
      <c r="T341" s="33"/>
    </row>
    <row r="342" spans="1:20" ht="15.75" customHeight="1" x14ac:dyDescent="0.3">
      <c r="A342" s="33"/>
      <c r="B342" s="33"/>
      <c r="C342" s="33"/>
      <c r="D342" s="54"/>
      <c r="E342" s="33"/>
      <c r="F342" s="33"/>
      <c r="G342" s="55"/>
      <c r="H342" s="33"/>
      <c r="I342" s="33"/>
      <c r="J342" s="55"/>
      <c r="K342" s="56"/>
      <c r="L342" s="56"/>
      <c r="M342" s="56"/>
      <c r="N342" s="56"/>
      <c r="O342" s="56"/>
      <c r="P342" s="56"/>
      <c r="Q342" s="56"/>
      <c r="R342" s="56"/>
      <c r="S342" s="56"/>
      <c r="T342" s="33"/>
    </row>
    <row r="343" spans="1:20" ht="15.75" customHeight="1" x14ac:dyDescent="0.3">
      <c r="A343" s="33"/>
      <c r="B343" s="33"/>
      <c r="C343" s="33"/>
      <c r="D343" s="54"/>
      <c r="E343" s="33"/>
      <c r="F343" s="33"/>
      <c r="G343" s="55"/>
      <c r="H343" s="33"/>
      <c r="I343" s="33"/>
      <c r="J343" s="55"/>
      <c r="K343" s="56"/>
      <c r="L343" s="56"/>
      <c r="M343" s="56"/>
      <c r="N343" s="56"/>
      <c r="O343" s="56"/>
      <c r="P343" s="56"/>
      <c r="Q343" s="56"/>
      <c r="R343" s="56"/>
      <c r="S343" s="56"/>
      <c r="T343" s="33"/>
    </row>
    <row r="344" spans="1:20" ht="15.75" customHeight="1" x14ac:dyDescent="0.3">
      <c r="A344" s="33"/>
      <c r="B344" s="33"/>
      <c r="C344" s="33"/>
      <c r="D344" s="54"/>
      <c r="E344" s="33"/>
      <c r="F344" s="33"/>
      <c r="G344" s="55"/>
      <c r="H344" s="33"/>
      <c r="I344" s="33"/>
      <c r="J344" s="55"/>
      <c r="K344" s="56"/>
      <c r="L344" s="56"/>
      <c r="M344" s="56"/>
      <c r="N344" s="56"/>
      <c r="O344" s="56"/>
      <c r="P344" s="56"/>
      <c r="Q344" s="56"/>
      <c r="R344" s="56"/>
      <c r="S344" s="56"/>
      <c r="T344" s="33"/>
    </row>
    <row r="345" spans="1:20" ht="15.75" customHeight="1" x14ac:dyDescent="0.3">
      <c r="A345" s="33"/>
      <c r="B345" s="33"/>
      <c r="C345" s="33"/>
      <c r="D345" s="54"/>
      <c r="E345" s="33"/>
      <c r="F345" s="33"/>
      <c r="G345" s="55"/>
      <c r="H345" s="33"/>
      <c r="I345" s="33"/>
      <c r="J345" s="55"/>
      <c r="K345" s="56"/>
      <c r="L345" s="56"/>
      <c r="M345" s="56"/>
      <c r="N345" s="56"/>
      <c r="O345" s="56"/>
      <c r="P345" s="56"/>
      <c r="Q345" s="56"/>
      <c r="R345" s="56"/>
      <c r="S345" s="56"/>
      <c r="T345" s="33"/>
    </row>
    <row r="346" spans="1:20" ht="15.75" customHeight="1" x14ac:dyDescent="0.3">
      <c r="A346" s="33"/>
      <c r="B346" s="33"/>
      <c r="C346" s="33"/>
      <c r="D346" s="54"/>
      <c r="E346" s="33"/>
      <c r="F346" s="33"/>
      <c r="G346" s="55"/>
      <c r="H346" s="33"/>
      <c r="I346" s="33"/>
      <c r="J346" s="55"/>
      <c r="K346" s="56"/>
      <c r="L346" s="56"/>
      <c r="M346" s="56"/>
      <c r="N346" s="56"/>
      <c r="O346" s="56"/>
      <c r="P346" s="56"/>
      <c r="Q346" s="56"/>
      <c r="R346" s="56"/>
      <c r="S346" s="56"/>
      <c r="T346" s="33"/>
    </row>
    <row r="347" spans="1:20" ht="15.75" customHeight="1" x14ac:dyDescent="0.3">
      <c r="A347" s="33"/>
      <c r="B347" s="33"/>
      <c r="C347" s="33"/>
      <c r="D347" s="54"/>
      <c r="E347" s="33"/>
      <c r="F347" s="33"/>
      <c r="G347" s="55"/>
      <c r="H347" s="33"/>
      <c r="I347" s="33"/>
      <c r="J347" s="55"/>
      <c r="K347" s="56"/>
      <c r="L347" s="56"/>
      <c r="M347" s="56"/>
      <c r="N347" s="56"/>
      <c r="O347" s="56"/>
      <c r="P347" s="56"/>
      <c r="Q347" s="56"/>
      <c r="R347" s="56"/>
      <c r="S347" s="56"/>
      <c r="T347" s="33"/>
    </row>
    <row r="348" spans="1:20" ht="15.75" customHeight="1" x14ac:dyDescent="0.3">
      <c r="A348" s="33"/>
      <c r="B348" s="33"/>
      <c r="C348" s="33"/>
      <c r="D348" s="54"/>
      <c r="E348" s="33"/>
      <c r="F348" s="33"/>
      <c r="G348" s="55"/>
      <c r="H348" s="33"/>
      <c r="I348" s="33"/>
      <c r="J348" s="55"/>
      <c r="K348" s="56"/>
      <c r="L348" s="56"/>
      <c r="M348" s="56"/>
      <c r="N348" s="56"/>
      <c r="O348" s="56"/>
      <c r="P348" s="56"/>
      <c r="Q348" s="56"/>
      <c r="R348" s="56"/>
      <c r="S348" s="56"/>
      <c r="T348" s="33"/>
    </row>
    <row r="349" spans="1:20" ht="15.75" customHeight="1" x14ac:dyDescent="0.3">
      <c r="A349" s="33"/>
      <c r="B349" s="33"/>
      <c r="C349" s="33"/>
      <c r="D349" s="54"/>
      <c r="E349" s="33"/>
      <c r="F349" s="33"/>
      <c r="G349" s="55"/>
      <c r="H349" s="33"/>
      <c r="I349" s="33"/>
      <c r="J349" s="55"/>
      <c r="K349" s="56"/>
      <c r="L349" s="56"/>
      <c r="M349" s="56"/>
      <c r="N349" s="56"/>
      <c r="O349" s="56"/>
      <c r="P349" s="56"/>
      <c r="Q349" s="56"/>
      <c r="R349" s="56"/>
      <c r="S349" s="56"/>
      <c r="T349" s="33"/>
    </row>
    <row r="350" spans="1:20" ht="15.75" customHeight="1" x14ac:dyDescent="0.3">
      <c r="A350" s="33"/>
      <c r="B350" s="33"/>
      <c r="C350" s="33"/>
      <c r="D350" s="54"/>
      <c r="E350" s="33"/>
      <c r="F350" s="33"/>
      <c r="G350" s="55"/>
      <c r="H350" s="33"/>
      <c r="I350" s="33"/>
      <c r="J350" s="55"/>
      <c r="K350" s="56"/>
      <c r="L350" s="56"/>
      <c r="M350" s="56"/>
      <c r="N350" s="56"/>
      <c r="O350" s="56"/>
      <c r="P350" s="56"/>
      <c r="Q350" s="56"/>
      <c r="R350" s="56"/>
      <c r="S350" s="56"/>
      <c r="T350" s="33"/>
    </row>
    <row r="351" spans="1:20" ht="15.75" customHeight="1" x14ac:dyDescent="0.3">
      <c r="A351" s="33"/>
      <c r="B351" s="33"/>
      <c r="C351" s="33"/>
      <c r="D351" s="54"/>
      <c r="E351" s="33"/>
      <c r="F351" s="33"/>
      <c r="G351" s="55"/>
      <c r="H351" s="33"/>
      <c r="I351" s="33"/>
      <c r="J351" s="55"/>
      <c r="K351" s="56"/>
      <c r="L351" s="56"/>
      <c r="M351" s="56"/>
      <c r="N351" s="56"/>
      <c r="O351" s="56"/>
      <c r="P351" s="56"/>
      <c r="Q351" s="56"/>
      <c r="R351" s="56"/>
      <c r="S351" s="56"/>
      <c r="T351" s="33"/>
    </row>
    <row r="352" spans="1:20" ht="15.75" customHeight="1" x14ac:dyDescent="0.3">
      <c r="A352" s="33"/>
      <c r="B352" s="33"/>
      <c r="C352" s="33"/>
      <c r="D352" s="54"/>
      <c r="E352" s="33"/>
      <c r="F352" s="33"/>
      <c r="G352" s="55"/>
      <c r="H352" s="33"/>
      <c r="I352" s="33"/>
      <c r="J352" s="55"/>
      <c r="K352" s="56"/>
      <c r="L352" s="56"/>
      <c r="M352" s="56"/>
      <c r="N352" s="56"/>
      <c r="O352" s="56"/>
      <c r="P352" s="56"/>
      <c r="Q352" s="56"/>
      <c r="R352" s="56"/>
      <c r="S352" s="56"/>
      <c r="T352" s="33"/>
    </row>
    <row r="353" spans="1:20" ht="15.75" customHeight="1" x14ac:dyDescent="0.3">
      <c r="A353" s="33"/>
      <c r="B353" s="33"/>
      <c r="C353" s="33"/>
      <c r="D353" s="54"/>
      <c r="E353" s="33"/>
      <c r="F353" s="33"/>
      <c r="G353" s="55"/>
      <c r="H353" s="33"/>
      <c r="I353" s="33"/>
      <c r="J353" s="55"/>
      <c r="K353" s="56"/>
      <c r="L353" s="56"/>
      <c r="M353" s="56"/>
      <c r="N353" s="56"/>
      <c r="O353" s="56"/>
      <c r="P353" s="56"/>
      <c r="Q353" s="56"/>
      <c r="R353" s="56"/>
      <c r="S353" s="56"/>
      <c r="T353" s="33"/>
    </row>
    <row r="354" spans="1:20" ht="15.75" customHeight="1" x14ac:dyDescent="0.3">
      <c r="A354" s="33"/>
      <c r="B354" s="33"/>
      <c r="C354" s="33"/>
      <c r="D354" s="54"/>
      <c r="E354" s="33"/>
      <c r="F354" s="33"/>
      <c r="G354" s="55"/>
      <c r="H354" s="33"/>
      <c r="I354" s="33"/>
      <c r="J354" s="55"/>
      <c r="K354" s="56"/>
      <c r="L354" s="56"/>
      <c r="M354" s="56"/>
      <c r="N354" s="56"/>
      <c r="O354" s="56"/>
      <c r="P354" s="56"/>
      <c r="Q354" s="56"/>
      <c r="R354" s="56"/>
      <c r="S354" s="56"/>
      <c r="T354" s="33"/>
    </row>
    <row r="355" spans="1:20" ht="15.75" customHeight="1" x14ac:dyDescent="0.3">
      <c r="A355" s="33"/>
      <c r="B355" s="33"/>
      <c r="C355" s="33"/>
      <c r="D355" s="54"/>
      <c r="E355" s="33"/>
      <c r="F355" s="33"/>
      <c r="G355" s="55"/>
      <c r="H355" s="33"/>
      <c r="I355" s="33"/>
      <c r="J355" s="55"/>
      <c r="K355" s="56"/>
      <c r="L355" s="56"/>
      <c r="M355" s="56"/>
      <c r="N355" s="56"/>
      <c r="O355" s="56"/>
      <c r="P355" s="56"/>
      <c r="Q355" s="56"/>
      <c r="R355" s="56"/>
      <c r="S355" s="56"/>
      <c r="T355" s="33"/>
    </row>
    <row r="356" spans="1:20" ht="15.75" customHeight="1" x14ac:dyDescent="0.3">
      <c r="A356" s="33"/>
      <c r="B356" s="33"/>
      <c r="C356" s="33"/>
      <c r="D356" s="54"/>
      <c r="E356" s="33"/>
      <c r="F356" s="33"/>
      <c r="G356" s="55"/>
      <c r="H356" s="33"/>
      <c r="I356" s="33"/>
      <c r="J356" s="55"/>
      <c r="K356" s="56"/>
      <c r="L356" s="56"/>
      <c r="M356" s="56"/>
      <c r="N356" s="56"/>
      <c r="O356" s="56"/>
      <c r="P356" s="56"/>
      <c r="Q356" s="56"/>
      <c r="R356" s="56"/>
      <c r="S356" s="56"/>
      <c r="T356" s="33"/>
    </row>
    <row r="357" spans="1:20" ht="15.75" customHeight="1" x14ac:dyDescent="0.3">
      <c r="A357" s="33"/>
      <c r="B357" s="33"/>
      <c r="C357" s="33"/>
      <c r="D357" s="54"/>
      <c r="E357" s="33"/>
      <c r="F357" s="33"/>
      <c r="G357" s="55"/>
      <c r="H357" s="33"/>
      <c r="I357" s="33"/>
      <c r="J357" s="55"/>
      <c r="K357" s="56"/>
      <c r="L357" s="56"/>
      <c r="M357" s="56"/>
      <c r="N357" s="56"/>
      <c r="O357" s="56"/>
      <c r="P357" s="56"/>
      <c r="Q357" s="56"/>
      <c r="R357" s="56"/>
      <c r="S357" s="56"/>
      <c r="T357" s="33"/>
    </row>
    <row r="358" spans="1:20" ht="15.75" customHeight="1" x14ac:dyDescent="0.3">
      <c r="A358" s="33"/>
      <c r="B358" s="33"/>
      <c r="C358" s="33"/>
      <c r="D358" s="54"/>
      <c r="E358" s="33"/>
      <c r="F358" s="33"/>
      <c r="G358" s="55"/>
      <c r="H358" s="33"/>
      <c r="I358" s="33"/>
      <c r="J358" s="55"/>
      <c r="K358" s="56"/>
      <c r="L358" s="56"/>
      <c r="M358" s="56"/>
      <c r="N358" s="56"/>
      <c r="O358" s="56"/>
      <c r="P358" s="56"/>
      <c r="Q358" s="56"/>
      <c r="R358" s="56"/>
      <c r="S358" s="56"/>
      <c r="T358" s="33"/>
    </row>
    <row r="359" spans="1:20" ht="15.75" customHeight="1" x14ac:dyDescent="0.3">
      <c r="A359" s="33"/>
      <c r="B359" s="33"/>
      <c r="C359" s="33"/>
      <c r="D359" s="54"/>
      <c r="E359" s="33"/>
      <c r="F359" s="33"/>
      <c r="G359" s="55"/>
      <c r="H359" s="33"/>
      <c r="I359" s="33"/>
      <c r="J359" s="55"/>
      <c r="K359" s="56"/>
      <c r="L359" s="56"/>
      <c r="M359" s="56"/>
      <c r="N359" s="56"/>
      <c r="O359" s="56"/>
      <c r="P359" s="56"/>
      <c r="Q359" s="56"/>
      <c r="R359" s="56"/>
      <c r="S359" s="56"/>
      <c r="T359" s="33"/>
    </row>
    <row r="360" spans="1:20" ht="15.75" customHeight="1" x14ac:dyDescent="0.3">
      <c r="A360" s="33"/>
      <c r="B360" s="33"/>
      <c r="C360" s="33"/>
      <c r="D360" s="54"/>
      <c r="E360" s="33"/>
      <c r="F360" s="33"/>
      <c r="G360" s="55"/>
      <c r="H360" s="33"/>
      <c r="I360" s="33"/>
      <c r="J360" s="55"/>
      <c r="K360" s="56"/>
      <c r="L360" s="56"/>
      <c r="M360" s="56"/>
      <c r="N360" s="56"/>
      <c r="O360" s="56"/>
      <c r="P360" s="56"/>
      <c r="Q360" s="56"/>
      <c r="R360" s="56"/>
      <c r="S360" s="56"/>
      <c r="T360" s="33"/>
    </row>
    <row r="361" spans="1:20" ht="15.75" customHeight="1" x14ac:dyDescent="0.3">
      <c r="A361" s="33"/>
      <c r="B361" s="33"/>
      <c r="C361" s="33"/>
      <c r="D361" s="54"/>
      <c r="E361" s="33"/>
      <c r="F361" s="33"/>
      <c r="G361" s="55"/>
      <c r="H361" s="33"/>
      <c r="I361" s="33"/>
      <c r="J361" s="55"/>
      <c r="K361" s="56"/>
      <c r="L361" s="56"/>
      <c r="M361" s="56"/>
      <c r="N361" s="56"/>
      <c r="O361" s="56"/>
      <c r="P361" s="56"/>
      <c r="Q361" s="56"/>
      <c r="R361" s="56"/>
      <c r="S361" s="56"/>
      <c r="T361" s="33"/>
    </row>
    <row r="362" spans="1:20" ht="15.75" customHeight="1" x14ac:dyDescent="0.3">
      <c r="A362" s="33"/>
      <c r="B362" s="33"/>
      <c r="C362" s="33"/>
      <c r="D362" s="54"/>
      <c r="E362" s="33"/>
      <c r="F362" s="33"/>
      <c r="G362" s="55"/>
      <c r="H362" s="33"/>
      <c r="I362" s="33"/>
      <c r="J362" s="55"/>
      <c r="K362" s="56"/>
      <c r="L362" s="56"/>
      <c r="M362" s="56"/>
      <c r="N362" s="56"/>
      <c r="O362" s="56"/>
      <c r="P362" s="56"/>
      <c r="Q362" s="56"/>
      <c r="R362" s="56"/>
      <c r="S362" s="56"/>
      <c r="T362" s="33"/>
    </row>
    <row r="363" spans="1:20" ht="15.75" customHeight="1" x14ac:dyDescent="0.3">
      <c r="A363" s="33"/>
      <c r="B363" s="33"/>
      <c r="C363" s="33"/>
      <c r="D363" s="54"/>
      <c r="E363" s="33"/>
      <c r="F363" s="33"/>
      <c r="G363" s="55"/>
      <c r="H363" s="33"/>
      <c r="I363" s="33"/>
      <c r="J363" s="55"/>
      <c r="K363" s="56"/>
      <c r="L363" s="56"/>
      <c r="M363" s="56"/>
      <c r="N363" s="56"/>
      <c r="O363" s="56"/>
      <c r="P363" s="56"/>
      <c r="Q363" s="56"/>
      <c r="R363" s="56"/>
      <c r="S363" s="56"/>
      <c r="T363" s="33"/>
    </row>
    <row r="364" spans="1:20" ht="15.75" customHeight="1" x14ac:dyDescent="0.3">
      <c r="A364" s="33"/>
      <c r="B364" s="33"/>
      <c r="C364" s="33"/>
      <c r="D364" s="54"/>
      <c r="E364" s="33"/>
      <c r="F364" s="33"/>
      <c r="G364" s="55"/>
      <c r="H364" s="33"/>
      <c r="I364" s="33"/>
      <c r="J364" s="55"/>
      <c r="K364" s="56"/>
      <c r="L364" s="56"/>
      <c r="M364" s="56"/>
      <c r="N364" s="56"/>
      <c r="O364" s="56"/>
      <c r="P364" s="56"/>
      <c r="Q364" s="56"/>
      <c r="R364" s="56"/>
      <c r="S364" s="56"/>
      <c r="T364" s="33"/>
    </row>
    <row r="365" spans="1:20" ht="15.75" customHeight="1" x14ac:dyDescent="0.3">
      <c r="A365" s="33"/>
      <c r="B365" s="33"/>
      <c r="C365" s="33"/>
      <c r="D365" s="54"/>
      <c r="E365" s="33"/>
      <c r="F365" s="33"/>
      <c r="G365" s="55"/>
      <c r="H365" s="33"/>
      <c r="I365" s="33"/>
      <c r="J365" s="55"/>
      <c r="K365" s="56"/>
      <c r="L365" s="56"/>
      <c r="M365" s="56"/>
      <c r="N365" s="56"/>
      <c r="O365" s="56"/>
      <c r="P365" s="56"/>
      <c r="Q365" s="56"/>
      <c r="R365" s="56"/>
      <c r="S365" s="56"/>
      <c r="T365" s="33"/>
    </row>
    <row r="366" spans="1:20" ht="15.75" customHeight="1" x14ac:dyDescent="0.3">
      <c r="A366" s="33"/>
      <c r="B366" s="33"/>
      <c r="C366" s="33"/>
      <c r="D366" s="54"/>
      <c r="E366" s="33"/>
      <c r="F366" s="33"/>
      <c r="G366" s="55"/>
      <c r="H366" s="33"/>
      <c r="I366" s="33"/>
      <c r="J366" s="55"/>
      <c r="K366" s="56"/>
      <c r="L366" s="56"/>
      <c r="M366" s="56"/>
      <c r="N366" s="56"/>
      <c r="O366" s="56"/>
      <c r="P366" s="56"/>
      <c r="Q366" s="56"/>
      <c r="R366" s="56"/>
      <c r="S366" s="56"/>
      <c r="T366" s="33"/>
    </row>
    <row r="367" spans="1:20" ht="15.75" customHeight="1" x14ac:dyDescent="0.3">
      <c r="A367" s="33"/>
      <c r="B367" s="33"/>
      <c r="C367" s="33"/>
      <c r="D367" s="54"/>
      <c r="E367" s="33"/>
      <c r="F367" s="33"/>
      <c r="G367" s="55"/>
      <c r="H367" s="33"/>
      <c r="I367" s="33"/>
      <c r="J367" s="55"/>
      <c r="K367" s="56"/>
      <c r="L367" s="56"/>
      <c r="M367" s="56"/>
      <c r="N367" s="56"/>
      <c r="O367" s="56"/>
      <c r="P367" s="56"/>
      <c r="Q367" s="56"/>
      <c r="R367" s="56"/>
      <c r="S367" s="56"/>
      <c r="T367" s="33"/>
    </row>
    <row r="368" spans="1:20" ht="15.75" customHeight="1" x14ac:dyDescent="0.3">
      <c r="A368" s="33"/>
      <c r="B368" s="33"/>
      <c r="C368" s="33"/>
      <c r="D368" s="54"/>
      <c r="E368" s="33"/>
      <c r="F368" s="33"/>
      <c r="G368" s="55"/>
      <c r="H368" s="33"/>
      <c r="I368" s="33"/>
      <c r="J368" s="55"/>
      <c r="K368" s="56"/>
      <c r="L368" s="56"/>
      <c r="M368" s="56"/>
      <c r="N368" s="56"/>
      <c r="O368" s="56"/>
      <c r="P368" s="56"/>
      <c r="Q368" s="56"/>
      <c r="R368" s="56"/>
      <c r="S368" s="56"/>
      <c r="T368" s="33"/>
    </row>
    <row r="369" spans="1:20" ht="15.75" customHeight="1" x14ac:dyDescent="0.3">
      <c r="A369" s="33"/>
      <c r="B369" s="33"/>
      <c r="C369" s="33"/>
      <c r="D369" s="54"/>
      <c r="E369" s="33"/>
      <c r="F369" s="33"/>
      <c r="G369" s="55"/>
      <c r="H369" s="33"/>
      <c r="I369" s="33"/>
      <c r="J369" s="55"/>
      <c r="K369" s="56"/>
      <c r="L369" s="56"/>
      <c r="M369" s="56"/>
      <c r="N369" s="56"/>
      <c r="O369" s="56"/>
      <c r="P369" s="56"/>
      <c r="Q369" s="56"/>
      <c r="R369" s="56"/>
      <c r="S369" s="56"/>
      <c r="T369" s="33"/>
    </row>
    <row r="370" spans="1:20" ht="15.75" customHeight="1" x14ac:dyDescent="0.3">
      <c r="A370" s="33"/>
      <c r="B370" s="33"/>
      <c r="C370" s="33"/>
      <c r="D370" s="54"/>
      <c r="E370" s="33"/>
      <c r="F370" s="33"/>
      <c r="G370" s="55"/>
      <c r="H370" s="33"/>
      <c r="I370" s="33"/>
      <c r="J370" s="55"/>
      <c r="K370" s="56"/>
      <c r="L370" s="56"/>
      <c r="M370" s="56"/>
      <c r="N370" s="56"/>
      <c r="O370" s="56"/>
      <c r="P370" s="56"/>
      <c r="Q370" s="56"/>
      <c r="R370" s="56"/>
      <c r="S370" s="56"/>
      <c r="T370" s="33"/>
    </row>
    <row r="371" spans="1:20" ht="15.75" customHeight="1" x14ac:dyDescent="0.3">
      <c r="A371" s="33"/>
      <c r="B371" s="33"/>
      <c r="C371" s="33"/>
      <c r="D371" s="54"/>
      <c r="E371" s="33"/>
      <c r="F371" s="33"/>
      <c r="G371" s="55"/>
      <c r="H371" s="33"/>
      <c r="I371" s="33"/>
      <c r="J371" s="55"/>
      <c r="K371" s="56"/>
      <c r="L371" s="56"/>
      <c r="M371" s="56"/>
      <c r="N371" s="56"/>
      <c r="O371" s="56"/>
      <c r="P371" s="56"/>
      <c r="Q371" s="56"/>
      <c r="R371" s="56"/>
      <c r="S371" s="56"/>
      <c r="T371" s="33"/>
    </row>
    <row r="372" spans="1:20" ht="15.75" customHeight="1" x14ac:dyDescent="0.3">
      <c r="A372" s="33"/>
      <c r="B372" s="33"/>
      <c r="C372" s="33"/>
      <c r="D372" s="54"/>
      <c r="E372" s="33"/>
      <c r="F372" s="33"/>
      <c r="G372" s="55"/>
      <c r="H372" s="33"/>
      <c r="I372" s="33"/>
      <c r="J372" s="55"/>
      <c r="K372" s="56"/>
      <c r="L372" s="56"/>
      <c r="M372" s="56"/>
      <c r="N372" s="56"/>
      <c r="O372" s="56"/>
      <c r="P372" s="56"/>
      <c r="Q372" s="56"/>
      <c r="R372" s="56"/>
      <c r="S372" s="56"/>
      <c r="T372" s="33"/>
    </row>
    <row r="373" spans="1:20" ht="15.75" customHeight="1" x14ac:dyDescent="0.3">
      <c r="A373" s="33"/>
      <c r="B373" s="33"/>
      <c r="C373" s="33"/>
      <c r="D373" s="54"/>
      <c r="E373" s="33"/>
      <c r="F373" s="33"/>
      <c r="G373" s="55"/>
      <c r="H373" s="33"/>
      <c r="I373" s="33"/>
      <c r="J373" s="55"/>
      <c r="K373" s="56"/>
      <c r="L373" s="56"/>
      <c r="M373" s="56"/>
      <c r="N373" s="56"/>
      <c r="O373" s="56"/>
      <c r="P373" s="56"/>
      <c r="Q373" s="56"/>
      <c r="R373" s="56"/>
      <c r="S373" s="56"/>
      <c r="T373" s="33"/>
    </row>
    <row r="374" spans="1:20" ht="15.75" customHeight="1" x14ac:dyDescent="0.3">
      <c r="A374" s="33"/>
      <c r="B374" s="33"/>
      <c r="C374" s="33"/>
      <c r="D374" s="54"/>
      <c r="E374" s="33"/>
      <c r="F374" s="33"/>
      <c r="G374" s="55"/>
      <c r="H374" s="33"/>
      <c r="I374" s="33"/>
      <c r="J374" s="55"/>
      <c r="K374" s="56"/>
      <c r="L374" s="56"/>
      <c r="M374" s="56"/>
      <c r="N374" s="56"/>
      <c r="O374" s="56"/>
      <c r="P374" s="56"/>
      <c r="Q374" s="56"/>
      <c r="R374" s="56"/>
      <c r="S374" s="56"/>
      <c r="T374" s="33"/>
    </row>
    <row r="375" spans="1:20" ht="15.75" customHeight="1" x14ac:dyDescent="0.3">
      <c r="A375" s="33"/>
      <c r="B375" s="33"/>
      <c r="C375" s="33"/>
      <c r="D375" s="54"/>
      <c r="E375" s="33"/>
      <c r="F375" s="33"/>
      <c r="G375" s="55"/>
      <c r="H375" s="33"/>
      <c r="I375" s="33"/>
      <c r="J375" s="55"/>
      <c r="K375" s="56"/>
      <c r="L375" s="56"/>
      <c r="M375" s="56"/>
      <c r="N375" s="56"/>
      <c r="O375" s="56"/>
      <c r="P375" s="56"/>
      <c r="Q375" s="56"/>
      <c r="R375" s="56"/>
      <c r="S375" s="56"/>
      <c r="T375" s="33"/>
    </row>
    <row r="376" spans="1:20" ht="15.75" customHeight="1" x14ac:dyDescent="0.3">
      <c r="A376" s="33"/>
      <c r="B376" s="33"/>
      <c r="C376" s="33"/>
      <c r="D376" s="54"/>
      <c r="E376" s="33"/>
      <c r="F376" s="33"/>
      <c r="G376" s="55"/>
      <c r="H376" s="33"/>
      <c r="I376" s="33"/>
      <c r="J376" s="55"/>
      <c r="K376" s="56"/>
      <c r="L376" s="56"/>
      <c r="M376" s="56"/>
      <c r="N376" s="56"/>
      <c r="O376" s="56"/>
      <c r="P376" s="56"/>
      <c r="Q376" s="56"/>
      <c r="R376" s="56"/>
      <c r="S376" s="56"/>
      <c r="T376" s="33"/>
    </row>
    <row r="377" spans="1:20" ht="15.75" customHeight="1" x14ac:dyDescent="0.3">
      <c r="A377" s="33"/>
      <c r="B377" s="33"/>
      <c r="C377" s="33"/>
      <c r="D377" s="54"/>
      <c r="E377" s="33"/>
      <c r="F377" s="33"/>
      <c r="G377" s="55"/>
      <c r="H377" s="33"/>
      <c r="I377" s="33"/>
      <c r="J377" s="55"/>
      <c r="K377" s="56"/>
      <c r="L377" s="56"/>
      <c r="M377" s="56"/>
      <c r="N377" s="56"/>
      <c r="O377" s="56"/>
      <c r="P377" s="56"/>
      <c r="Q377" s="56"/>
      <c r="R377" s="56"/>
      <c r="S377" s="56"/>
      <c r="T377" s="33"/>
    </row>
    <row r="378" spans="1:20" ht="15.75" customHeight="1" x14ac:dyDescent="0.3">
      <c r="A378" s="33"/>
      <c r="B378" s="33"/>
      <c r="C378" s="33"/>
      <c r="D378" s="54"/>
      <c r="E378" s="33"/>
      <c r="F378" s="33"/>
      <c r="G378" s="55"/>
      <c r="H378" s="33"/>
      <c r="I378" s="33"/>
      <c r="J378" s="55"/>
      <c r="K378" s="56"/>
      <c r="L378" s="56"/>
      <c r="M378" s="56"/>
      <c r="N378" s="56"/>
      <c r="O378" s="56"/>
      <c r="P378" s="56"/>
      <c r="Q378" s="56"/>
      <c r="R378" s="56"/>
      <c r="S378" s="56"/>
      <c r="T378" s="33"/>
    </row>
    <row r="379" spans="1:20" ht="15.75" customHeight="1" x14ac:dyDescent="0.3">
      <c r="A379" s="33"/>
      <c r="B379" s="33"/>
      <c r="C379" s="33"/>
      <c r="D379" s="54"/>
      <c r="E379" s="33"/>
      <c r="F379" s="33"/>
      <c r="G379" s="55"/>
      <c r="H379" s="33"/>
      <c r="I379" s="33"/>
      <c r="J379" s="55"/>
      <c r="K379" s="56"/>
      <c r="L379" s="56"/>
      <c r="M379" s="56"/>
      <c r="N379" s="56"/>
      <c r="O379" s="56"/>
      <c r="P379" s="56"/>
      <c r="Q379" s="56"/>
      <c r="R379" s="56"/>
      <c r="S379" s="56"/>
      <c r="T379" s="33"/>
    </row>
    <row r="380" spans="1:20" ht="15.75" customHeight="1" x14ac:dyDescent="0.3">
      <c r="A380" s="33"/>
      <c r="B380" s="33"/>
      <c r="C380" s="33"/>
      <c r="D380" s="54"/>
      <c r="E380" s="33"/>
      <c r="F380" s="33"/>
      <c r="G380" s="55"/>
      <c r="H380" s="33"/>
      <c r="I380" s="33"/>
      <c r="J380" s="55"/>
      <c r="K380" s="56"/>
      <c r="L380" s="56"/>
      <c r="M380" s="56"/>
      <c r="N380" s="56"/>
      <c r="O380" s="56"/>
      <c r="P380" s="56"/>
      <c r="Q380" s="56"/>
      <c r="R380" s="56"/>
      <c r="S380" s="56"/>
      <c r="T380" s="33"/>
    </row>
    <row r="381" spans="1:20" ht="15.75" customHeight="1" x14ac:dyDescent="0.3">
      <c r="A381" s="33"/>
      <c r="B381" s="33"/>
      <c r="C381" s="33"/>
      <c r="D381" s="54"/>
      <c r="E381" s="33"/>
      <c r="F381" s="33"/>
      <c r="G381" s="55"/>
      <c r="H381" s="33"/>
      <c r="I381" s="33"/>
      <c r="J381" s="55"/>
      <c r="K381" s="56"/>
      <c r="L381" s="56"/>
      <c r="M381" s="56"/>
      <c r="N381" s="56"/>
      <c r="O381" s="56"/>
      <c r="P381" s="56"/>
      <c r="Q381" s="56"/>
      <c r="R381" s="56"/>
      <c r="S381" s="56"/>
      <c r="T381" s="33"/>
    </row>
    <row r="382" spans="1:20" ht="15.75" customHeight="1" x14ac:dyDescent="0.3">
      <c r="A382" s="33"/>
      <c r="B382" s="33"/>
      <c r="C382" s="33"/>
      <c r="D382" s="54"/>
      <c r="E382" s="33"/>
      <c r="F382" s="33"/>
      <c r="G382" s="55"/>
      <c r="H382" s="33"/>
      <c r="I382" s="33"/>
      <c r="J382" s="55"/>
      <c r="K382" s="56"/>
      <c r="L382" s="56"/>
      <c r="M382" s="56"/>
      <c r="N382" s="56"/>
      <c r="O382" s="56"/>
      <c r="P382" s="56"/>
      <c r="Q382" s="56"/>
      <c r="R382" s="56"/>
      <c r="S382" s="56"/>
      <c r="T382" s="33"/>
    </row>
    <row r="383" spans="1:20" ht="15.75" customHeight="1" x14ac:dyDescent="0.3">
      <c r="A383" s="33"/>
      <c r="B383" s="33"/>
      <c r="C383" s="33"/>
      <c r="D383" s="54"/>
      <c r="E383" s="33"/>
      <c r="F383" s="33"/>
      <c r="G383" s="55"/>
      <c r="H383" s="33"/>
      <c r="I383" s="33"/>
      <c r="J383" s="55"/>
      <c r="K383" s="56"/>
      <c r="L383" s="56"/>
      <c r="M383" s="56"/>
      <c r="N383" s="56"/>
      <c r="O383" s="56"/>
      <c r="P383" s="56"/>
      <c r="Q383" s="56"/>
      <c r="R383" s="56"/>
      <c r="S383" s="56"/>
      <c r="T383" s="33"/>
    </row>
    <row r="384" spans="1:20" ht="15.75" customHeight="1" x14ac:dyDescent="0.3">
      <c r="A384" s="33"/>
      <c r="B384" s="33"/>
      <c r="C384" s="33"/>
      <c r="D384" s="54"/>
      <c r="E384" s="33"/>
      <c r="F384" s="33"/>
      <c r="G384" s="55"/>
      <c r="H384" s="33"/>
      <c r="I384" s="33"/>
      <c r="J384" s="55"/>
      <c r="K384" s="56"/>
      <c r="L384" s="56"/>
      <c r="M384" s="56"/>
      <c r="N384" s="56"/>
      <c r="O384" s="56"/>
      <c r="P384" s="56"/>
      <c r="Q384" s="56"/>
      <c r="R384" s="56"/>
      <c r="S384" s="56"/>
      <c r="T384" s="33"/>
    </row>
    <row r="385" spans="1:20" ht="15.75" customHeight="1" x14ac:dyDescent="0.3">
      <c r="A385" s="33"/>
      <c r="B385" s="33"/>
      <c r="C385" s="33"/>
      <c r="D385" s="54"/>
      <c r="E385" s="33"/>
      <c r="F385" s="33"/>
      <c r="G385" s="55"/>
      <c r="H385" s="33"/>
      <c r="I385" s="33"/>
      <c r="J385" s="55"/>
      <c r="K385" s="56"/>
      <c r="L385" s="56"/>
      <c r="M385" s="56"/>
      <c r="N385" s="56"/>
      <c r="O385" s="56"/>
      <c r="P385" s="56"/>
      <c r="Q385" s="56"/>
      <c r="R385" s="56"/>
      <c r="S385" s="56"/>
      <c r="T385" s="33"/>
    </row>
    <row r="386" spans="1:20" ht="15.75" customHeight="1" x14ac:dyDescent="0.3">
      <c r="A386" s="33"/>
      <c r="B386" s="33"/>
      <c r="C386" s="33"/>
      <c r="D386" s="54"/>
      <c r="E386" s="33"/>
      <c r="F386" s="33"/>
      <c r="G386" s="55"/>
      <c r="H386" s="33"/>
      <c r="I386" s="33"/>
      <c r="J386" s="55"/>
      <c r="K386" s="56"/>
      <c r="L386" s="56"/>
      <c r="M386" s="56"/>
      <c r="N386" s="56"/>
      <c r="O386" s="56"/>
      <c r="P386" s="56"/>
      <c r="Q386" s="56"/>
      <c r="R386" s="56"/>
      <c r="S386" s="56"/>
      <c r="T386" s="33"/>
    </row>
    <row r="387" spans="1:20" ht="15.75" customHeight="1" x14ac:dyDescent="0.3">
      <c r="A387" s="33"/>
      <c r="B387" s="33"/>
      <c r="C387" s="33"/>
      <c r="D387" s="54"/>
      <c r="E387" s="33"/>
      <c r="F387" s="33"/>
      <c r="G387" s="55"/>
      <c r="H387" s="33"/>
      <c r="I387" s="33"/>
      <c r="J387" s="55"/>
      <c r="K387" s="56"/>
      <c r="L387" s="56"/>
      <c r="M387" s="56"/>
      <c r="N387" s="56"/>
      <c r="O387" s="56"/>
      <c r="P387" s="56"/>
      <c r="Q387" s="56"/>
      <c r="R387" s="56"/>
      <c r="S387" s="56"/>
      <c r="T387" s="33"/>
    </row>
    <row r="388" spans="1:20" ht="15.75" customHeight="1" x14ac:dyDescent="0.3">
      <c r="A388" s="33"/>
      <c r="B388" s="33"/>
      <c r="C388" s="33"/>
      <c r="D388" s="54"/>
      <c r="E388" s="33"/>
      <c r="F388" s="33"/>
      <c r="G388" s="55"/>
      <c r="H388" s="33"/>
      <c r="I388" s="33"/>
      <c r="J388" s="55"/>
      <c r="K388" s="56"/>
      <c r="L388" s="56"/>
      <c r="M388" s="56"/>
      <c r="N388" s="56"/>
      <c r="O388" s="56"/>
      <c r="P388" s="56"/>
      <c r="Q388" s="56"/>
      <c r="R388" s="56"/>
      <c r="S388" s="56"/>
      <c r="T388" s="33"/>
    </row>
    <row r="389" spans="1:20" ht="15.75" customHeight="1" x14ac:dyDescent="0.3">
      <c r="A389" s="33"/>
      <c r="B389" s="33"/>
      <c r="C389" s="33"/>
      <c r="D389" s="54"/>
      <c r="E389" s="33"/>
      <c r="F389" s="33"/>
      <c r="G389" s="55"/>
      <c r="H389" s="33"/>
      <c r="I389" s="33"/>
      <c r="J389" s="55"/>
      <c r="K389" s="56"/>
      <c r="L389" s="56"/>
      <c r="M389" s="56"/>
      <c r="N389" s="56"/>
      <c r="O389" s="56"/>
      <c r="P389" s="56"/>
      <c r="Q389" s="56"/>
      <c r="R389" s="56"/>
      <c r="S389" s="56"/>
      <c r="T389" s="33"/>
    </row>
    <row r="390" spans="1:20" ht="15.75" customHeight="1" x14ac:dyDescent="0.3">
      <c r="A390" s="33"/>
      <c r="B390" s="33"/>
      <c r="C390" s="33"/>
      <c r="D390" s="54"/>
      <c r="E390" s="33"/>
      <c r="F390" s="33"/>
      <c r="G390" s="55"/>
      <c r="H390" s="33"/>
      <c r="I390" s="33"/>
      <c r="J390" s="55"/>
      <c r="K390" s="56"/>
      <c r="L390" s="56"/>
      <c r="M390" s="56"/>
      <c r="N390" s="56"/>
      <c r="O390" s="56"/>
      <c r="P390" s="56"/>
      <c r="Q390" s="56"/>
      <c r="R390" s="56"/>
      <c r="S390" s="56"/>
      <c r="T390" s="33"/>
    </row>
    <row r="391" spans="1:20" ht="15.75" customHeight="1" x14ac:dyDescent="0.3">
      <c r="A391" s="33"/>
      <c r="B391" s="33"/>
      <c r="C391" s="33"/>
      <c r="D391" s="54"/>
      <c r="E391" s="33"/>
      <c r="F391" s="33"/>
      <c r="G391" s="55"/>
      <c r="H391" s="33"/>
      <c r="I391" s="33"/>
      <c r="J391" s="55"/>
      <c r="K391" s="56"/>
      <c r="L391" s="56"/>
      <c r="M391" s="56"/>
      <c r="N391" s="56"/>
      <c r="O391" s="56"/>
      <c r="P391" s="56"/>
      <c r="Q391" s="56"/>
      <c r="R391" s="56"/>
      <c r="S391" s="56"/>
      <c r="T391" s="33"/>
    </row>
    <row r="392" spans="1:20" ht="15.75" customHeight="1" x14ac:dyDescent="0.3">
      <c r="A392" s="33"/>
      <c r="B392" s="33"/>
      <c r="C392" s="33"/>
      <c r="D392" s="54"/>
      <c r="E392" s="33"/>
      <c r="F392" s="33"/>
      <c r="G392" s="55"/>
      <c r="H392" s="33"/>
      <c r="I392" s="33"/>
      <c r="J392" s="55"/>
      <c r="K392" s="56"/>
      <c r="L392" s="56"/>
      <c r="M392" s="56"/>
      <c r="N392" s="56"/>
      <c r="O392" s="56"/>
      <c r="P392" s="56"/>
      <c r="Q392" s="56"/>
      <c r="R392" s="56"/>
      <c r="S392" s="56"/>
      <c r="T392" s="33"/>
    </row>
    <row r="393" spans="1:20" ht="15.75" customHeight="1" x14ac:dyDescent="0.3">
      <c r="A393" s="33"/>
      <c r="B393" s="33"/>
      <c r="C393" s="33"/>
      <c r="D393" s="54"/>
      <c r="E393" s="33"/>
      <c r="F393" s="33"/>
      <c r="G393" s="55"/>
      <c r="H393" s="33"/>
      <c r="I393" s="33"/>
      <c r="J393" s="55"/>
      <c r="K393" s="56"/>
      <c r="L393" s="56"/>
      <c r="M393" s="56"/>
      <c r="N393" s="56"/>
      <c r="O393" s="56"/>
      <c r="P393" s="56"/>
      <c r="Q393" s="56"/>
      <c r="R393" s="56"/>
      <c r="S393" s="56"/>
      <c r="T393" s="33"/>
    </row>
    <row r="394" spans="1:20" ht="15.75" customHeight="1" x14ac:dyDescent="0.3">
      <c r="A394" s="33"/>
      <c r="B394" s="33"/>
      <c r="C394" s="33"/>
      <c r="D394" s="54"/>
      <c r="E394" s="33"/>
      <c r="F394" s="33"/>
      <c r="G394" s="55"/>
      <c r="H394" s="33"/>
      <c r="I394" s="33"/>
      <c r="J394" s="55"/>
      <c r="K394" s="56"/>
      <c r="L394" s="56"/>
      <c r="M394" s="56"/>
      <c r="N394" s="56"/>
      <c r="O394" s="56"/>
      <c r="P394" s="56"/>
      <c r="Q394" s="56"/>
      <c r="R394" s="56"/>
      <c r="S394" s="56"/>
      <c r="T394" s="33"/>
    </row>
    <row r="395" spans="1:20" ht="15.75" customHeight="1" x14ac:dyDescent="0.3">
      <c r="A395" s="33"/>
      <c r="B395" s="33"/>
      <c r="C395" s="33"/>
      <c r="D395" s="54"/>
      <c r="E395" s="33"/>
      <c r="F395" s="33"/>
      <c r="G395" s="55"/>
      <c r="H395" s="33"/>
      <c r="I395" s="33"/>
      <c r="J395" s="55"/>
      <c r="K395" s="56"/>
      <c r="L395" s="56"/>
      <c r="M395" s="56"/>
      <c r="N395" s="56"/>
      <c r="O395" s="56"/>
      <c r="P395" s="56"/>
      <c r="Q395" s="56"/>
      <c r="R395" s="56"/>
      <c r="S395" s="56"/>
      <c r="T395" s="33"/>
    </row>
    <row r="396" spans="1:20" ht="15.75" customHeight="1" x14ac:dyDescent="0.3">
      <c r="A396" s="33"/>
      <c r="B396" s="33"/>
      <c r="C396" s="33"/>
      <c r="D396" s="54"/>
      <c r="E396" s="33"/>
      <c r="F396" s="33"/>
      <c r="G396" s="55"/>
      <c r="H396" s="33"/>
      <c r="I396" s="33"/>
      <c r="J396" s="55"/>
      <c r="K396" s="56"/>
      <c r="L396" s="56"/>
      <c r="M396" s="56"/>
      <c r="N396" s="56"/>
      <c r="O396" s="56"/>
      <c r="P396" s="56"/>
      <c r="Q396" s="56"/>
      <c r="R396" s="56"/>
      <c r="S396" s="56"/>
      <c r="T396" s="33"/>
    </row>
    <row r="397" spans="1:20" ht="15.75" customHeight="1" x14ac:dyDescent="0.3">
      <c r="A397" s="33"/>
      <c r="B397" s="33"/>
      <c r="C397" s="33"/>
      <c r="D397" s="54"/>
      <c r="E397" s="33"/>
      <c r="F397" s="33"/>
      <c r="G397" s="55"/>
      <c r="H397" s="33"/>
      <c r="I397" s="33"/>
      <c r="J397" s="55"/>
      <c r="K397" s="56"/>
      <c r="L397" s="56"/>
      <c r="M397" s="56"/>
      <c r="N397" s="56"/>
      <c r="O397" s="56"/>
      <c r="P397" s="56"/>
      <c r="Q397" s="56"/>
      <c r="R397" s="56"/>
      <c r="S397" s="56"/>
      <c r="T397" s="33"/>
    </row>
    <row r="398" spans="1:20" ht="15.75" customHeight="1" x14ac:dyDescent="0.3">
      <c r="A398" s="33"/>
      <c r="B398" s="33"/>
      <c r="C398" s="33"/>
      <c r="D398" s="54"/>
      <c r="E398" s="33"/>
      <c r="F398" s="33"/>
      <c r="G398" s="55"/>
      <c r="H398" s="33"/>
      <c r="I398" s="33"/>
      <c r="J398" s="55"/>
      <c r="K398" s="56"/>
      <c r="L398" s="56"/>
      <c r="M398" s="56"/>
      <c r="N398" s="56"/>
      <c r="O398" s="56"/>
      <c r="P398" s="56"/>
      <c r="Q398" s="56"/>
      <c r="R398" s="56"/>
      <c r="S398" s="56"/>
      <c r="T398" s="33"/>
    </row>
    <row r="399" spans="1:20" ht="15.75" customHeight="1" x14ac:dyDescent="0.3">
      <c r="A399" s="33"/>
      <c r="B399" s="33"/>
      <c r="C399" s="33"/>
      <c r="D399" s="54"/>
      <c r="E399" s="33"/>
      <c r="F399" s="33"/>
      <c r="G399" s="55"/>
      <c r="H399" s="33"/>
      <c r="I399" s="33"/>
      <c r="J399" s="55"/>
      <c r="K399" s="56"/>
      <c r="L399" s="56"/>
      <c r="M399" s="56"/>
      <c r="N399" s="56"/>
      <c r="O399" s="56"/>
      <c r="P399" s="56"/>
      <c r="Q399" s="56"/>
      <c r="R399" s="56"/>
      <c r="S399" s="56"/>
      <c r="T399" s="33"/>
    </row>
    <row r="400" spans="1:20" ht="15.75" customHeight="1" x14ac:dyDescent="0.3">
      <c r="A400" s="33"/>
      <c r="B400" s="33"/>
      <c r="C400" s="33"/>
      <c r="D400" s="54"/>
      <c r="E400" s="33"/>
      <c r="F400" s="33"/>
      <c r="G400" s="55"/>
      <c r="H400" s="33"/>
      <c r="I400" s="33"/>
      <c r="J400" s="55"/>
      <c r="K400" s="56"/>
      <c r="L400" s="56"/>
      <c r="M400" s="56"/>
      <c r="N400" s="56"/>
      <c r="O400" s="56"/>
      <c r="P400" s="56"/>
      <c r="Q400" s="56"/>
      <c r="R400" s="56"/>
      <c r="S400" s="56"/>
      <c r="T400" s="33"/>
    </row>
    <row r="401" spans="1:20" ht="15.75" customHeight="1" x14ac:dyDescent="0.3">
      <c r="A401" s="33"/>
      <c r="B401" s="33"/>
      <c r="C401" s="33"/>
      <c r="D401" s="54"/>
      <c r="E401" s="33"/>
      <c r="F401" s="33"/>
      <c r="G401" s="55"/>
      <c r="H401" s="33"/>
      <c r="I401" s="33"/>
      <c r="J401" s="55"/>
      <c r="K401" s="56"/>
      <c r="L401" s="56"/>
      <c r="M401" s="56"/>
      <c r="N401" s="56"/>
      <c r="O401" s="56"/>
      <c r="P401" s="56"/>
      <c r="Q401" s="56"/>
      <c r="R401" s="56"/>
      <c r="S401" s="56"/>
      <c r="T401" s="33"/>
    </row>
    <row r="402" spans="1:20" ht="15.75" customHeight="1" x14ac:dyDescent="0.3">
      <c r="A402" s="33"/>
      <c r="B402" s="33"/>
      <c r="C402" s="33"/>
      <c r="D402" s="54"/>
      <c r="E402" s="33"/>
      <c r="F402" s="33"/>
      <c r="G402" s="55"/>
      <c r="H402" s="33"/>
      <c r="I402" s="33"/>
      <c r="J402" s="55"/>
      <c r="K402" s="56"/>
      <c r="L402" s="56"/>
      <c r="M402" s="56"/>
      <c r="N402" s="56"/>
      <c r="O402" s="56"/>
      <c r="P402" s="56"/>
      <c r="Q402" s="56"/>
      <c r="R402" s="56"/>
      <c r="S402" s="56"/>
      <c r="T402" s="33"/>
    </row>
    <row r="403" spans="1:20" ht="15.75" customHeight="1" x14ac:dyDescent="0.3">
      <c r="A403" s="33"/>
      <c r="B403" s="33"/>
      <c r="C403" s="33"/>
      <c r="D403" s="54"/>
      <c r="E403" s="33"/>
      <c r="F403" s="33"/>
      <c r="G403" s="55"/>
      <c r="H403" s="33"/>
      <c r="I403" s="33"/>
      <c r="J403" s="55"/>
      <c r="K403" s="56"/>
      <c r="L403" s="56"/>
      <c r="M403" s="56"/>
      <c r="N403" s="56"/>
      <c r="O403" s="56"/>
      <c r="P403" s="56"/>
      <c r="Q403" s="56"/>
      <c r="R403" s="56"/>
      <c r="S403" s="56"/>
      <c r="T403" s="33"/>
    </row>
    <row r="404" spans="1:20" ht="15.75" customHeight="1" x14ac:dyDescent="0.3">
      <c r="A404" s="33"/>
      <c r="B404" s="33"/>
      <c r="C404" s="33"/>
      <c r="D404" s="54"/>
      <c r="E404" s="33"/>
      <c r="F404" s="33"/>
      <c r="G404" s="55"/>
      <c r="H404" s="33"/>
      <c r="I404" s="33"/>
      <c r="J404" s="55"/>
      <c r="K404" s="56"/>
      <c r="L404" s="56"/>
      <c r="M404" s="56"/>
      <c r="N404" s="56"/>
      <c r="O404" s="56"/>
      <c r="P404" s="56"/>
      <c r="Q404" s="56"/>
      <c r="R404" s="56"/>
      <c r="S404" s="56"/>
      <c r="T404" s="33"/>
    </row>
    <row r="405" spans="1:20" ht="15.75" customHeight="1" x14ac:dyDescent="0.3">
      <c r="A405" s="33"/>
      <c r="B405" s="33"/>
      <c r="C405" s="33"/>
      <c r="D405" s="54"/>
      <c r="E405" s="33"/>
      <c r="F405" s="33"/>
      <c r="G405" s="55"/>
      <c r="H405" s="33"/>
      <c r="I405" s="33"/>
      <c r="J405" s="55"/>
      <c r="K405" s="56"/>
      <c r="L405" s="56"/>
      <c r="M405" s="56"/>
      <c r="N405" s="56"/>
      <c r="O405" s="56"/>
      <c r="P405" s="56"/>
      <c r="Q405" s="56"/>
      <c r="R405" s="56"/>
      <c r="S405" s="56"/>
      <c r="T405" s="33"/>
    </row>
    <row r="406" spans="1:20" ht="15.75" customHeight="1" x14ac:dyDescent="0.3">
      <c r="A406" s="33"/>
      <c r="B406" s="33"/>
      <c r="C406" s="33"/>
      <c r="D406" s="54"/>
      <c r="E406" s="33"/>
      <c r="F406" s="33"/>
      <c r="G406" s="55"/>
      <c r="H406" s="33"/>
      <c r="I406" s="33"/>
      <c r="J406" s="55"/>
      <c r="K406" s="56"/>
      <c r="L406" s="56"/>
      <c r="M406" s="56"/>
      <c r="N406" s="56"/>
      <c r="O406" s="56"/>
      <c r="P406" s="56"/>
      <c r="Q406" s="56"/>
      <c r="R406" s="56"/>
      <c r="S406" s="56"/>
      <c r="T406" s="33"/>
    </row>
    <row r="407" spans="1:20" ht="15.75" customHeight="1" x14ac:dyDescent="0.3">
      <c r="A407" s="33"/>
      <c r="B407" s="33"/>
      <c r="C407" s="33"/>
      <c r="D407" s="54"/>
      <c r="E407" s="33"/>
      <c r="F407" s="33"/>
      <c r="G407" s="55"/>
      <c r="H407" s="33"/>
      <c r="I407" s="33"/>
      <c r="J407" s="55"/>
      <c r="K407" s="56"/>
      <c r="L407" s="56"/>
      <c r="M407" s="56"/>
      <c r="N407" s="56"/>
      <c r="O407" s="56"/>
      <c r="P407" s="56"/>
      <c r="Q407" s="56"/>
      <c r="R407" s="56"/>
      <c r="S407" s="56"/>
      <c r="T407" s="33"/>
    </row>
    <row r="408" spans="1:20" ht="15.75" customHeight="1" x14ac:dyDescent="0.3">
      <c r="A408" s="33"/>
      <c r="B408" s="33"/>
      <c r="C408" s="33"/>
      <c r="D408" s="54"/>
      <c r="E408" s="33"/>
      <c r="F408" s="33"/>
      <c r="G408" s="55"/>
      <c r="H408" s="33"/>
      <c r="I408" s="33"/>
      <c r="J408" s="55"/>
      <c r="K408" s="56"/>
      <c r="L408" s="56"/>
      <c r="M408" s="56"/>
      <c r="N408" s="56"/>
      <c r="O408" s="56"/>
      <c r="P408" s="56"/>
      <c r="Q408" s="56"/>
      <c r="R408" s="56"/>
      <c r="S408" s="56"/>
      <c r="T408" s="33"/>
    </row>
    <row r="409" spans="1:20" ht="15.75" customHeight="1" x14ac:dyDescent="0.3">
      <c r="A409" s="33"/>
      <c r="B409" s="33"/>
      <c r="C409" s="33"/>
      <c r="D409" s="54"/>
      <c r="E409" s="33"/>
      <c r="F409" s="33"/>
      <c r="G409" s="55"/>
      <c r="H409" s="33"/>
      <c r="I409" s="33"/>
      <c r="J409" s="55"/>
      <c r="K409" s="56"/>
      <c r="L409" s="56"/>
      <c r="M409" s="56"/>
      <c r="N409" s="56"/>
      <c r="O409" s="56"/>
      <c r="P409" s="56"/>
      <c r="Q409" s="56"/>
      <c r="R409" s="56"/>
      <c r="S409" s="56"/>
      <c r="T409" s="33"/>
    </row>
    <row r="410" spans="1:20" ht="15.75" customHeight="1" x14ac:dyDescent="0.3">
      <c r="A410" s="33"/>
      <c r="B410" s="33"/>
      <c r="C410" s="33"/>
      <c r="D410" s="54"/>
      <c r="E410" s="33"/>
      <c r="F410" s="33"/>
      <c r="G410" s="55"/>
      <c r="H410" s="33"/>
      <c r="I410" s="33"/>
      <c r="J410" s="55"/>
      <c r="K410" s="56"/>
      <c r="L410" s="56"/>
      <c r="M410" s="56"/>
      <c r="N410" s="56"/>
      <c r="O410" s="56"/>
      <c r="P410" s="56"/>
      <c r="Q410" s="56"/>
      <c r="R410" s="56"/>
      <c r="S410" s="56"/>
      <c r="T410" s="33"/>
    </row>
    <row r="411" spans="1:20" ht="15.75" customHeight="1" x14ac:dyDescent="0.3">
      <c r="A411" s="33"/>
      <c r="B411" s="33"/>
      <c r="C411" s="33"/>
      <c r="D411" s="54"/>
      <c r="E411" s="33"/>
      <c r="F411" s="33"/>
      <c r="G411" s="55"/>
      <c r="H411" s="33"/>
      <c r="I411" s="33"/>
      <c r="J411" s="55"/>
      <c r="K411" s="56"/>
      <c r="L411" s="56"/>
      <c r="M411" s="56"/>
      <c r="N411" s="56"/>
      <c r="O411" s="56"/>
      <c r="P411" s="56"/>
      <c r="Q411" s="56"/>
      <c r="R411" s="56"/>
      <c r="S411" s="56"/>
      <c r="T411" s="33"/>
    </row>
    <row r="412" spans="1:20" ht="15.75" customHeight="1" x14ac:dyDescent="0.3">
      <c r="A412" s="33"/>
      <c r="B412" s="33"/>
      <c r="C412" s="33"/>
      <c r="D412" s="54"/>
      <c r="E412" s="33"/>
      <c r="F412" s="33"/>
      <c r="G412" s="55"/>
      <c r="H412" s="33"/>
      <c r="I412" s="33"/>
      <c r="J412" s="55"/>
      <c r="K412" s="56"/>
      <c r="L412" s="56"/>
      <c r="M412" s="56"/>
      <c r="N412" s="56"/>
      <c r="O412" s="56"/>
      <c r="P412" s="56"/>
      <c r="Q412" s="56"/>
      <c r="R412" s="56"/>
      <c r="S412" s="56"/>
      <c r="T412" s="33"/>
    </row>
    <row r="413" spans="1:20" ht="15.75" customHeight="1" x14ac:dyDescent="0.3">
      <c r="A413" s="33"/>
      <c r="B413" s="33"/>
      <c r="C413" s="33"/>
      <c r="D413" s="54"/>
      <c r="E413" s="33"/>
      <c r="F413" s="33"/>
      <c r="G413" s="55"/>
      <c r="H413" s="33"/>
      <c r="I413" s="33"/>
      <c r="J413" s="55"/>
      <c r="K413" s="56"/>
      <c r="L413" s="56"/>
      <c r="M413" s="56"/>
      <c r="N413" s="56"/>
      <c r="O413" s="56"/>
      <c r="P413" s="56"/>
      <c r="Q413" s="56"/>
      <c r="R413" s="56"/>
      <c r="S413" s="56"/>
      <c r="T413" s="33"/>
    </row>
    <row r="414" spans="1:20" ht="15.75" customHeight="1" x14ac:dyDescent="0.3">
      <c r="A414" s="33"/>
      <c r="B414" s="33"/>
      <c r="C414" s="33"/>
      <c r="D414" s="54"/>
      <c r="E414" s="33"/>
      <c r="F414" s="33"/>
      <c r="G414" s="55"/>
      <c r="H414" s="33"/>
      <c r="I414" s="33"/>
      <c r="J414" s="55"/>
      <c r="K414" s="56"/>
      <c r="L414" s="56"/>
      <c r="M414" s="56"/>
      <c r="N414" s="56"/>
      <c r="O414" s="56"/>
      <c r="P414" s="56"/>
      <c r="Q414" s="56"/>
      <c r="R414" s="56"/>
      <c r="S414" s="56"/>
      <c r="T414" s="33"/>
    </row>
    <row r="415" spans="1:20" ht="15.75" customHeight="1" x14ac:dyDescent="0.3">
      <c r="A415" s="33"/>
      <c r="B415" s="33"/>
      <c r="C415" s="33"/>
      <c r="D415" s="54"/>
      <c r="E415" s="33"/>
      <c r="F415" s="33"/>
      <c r="G415" s="55"/>
      <c r="H415" s="33"/>
      <c r="I415" s="33"/>
      <c r="J415" s="55"/>
      <c r="K415" s="56"/>
      <c r="L415" s="56"/>
      <c r="M415" s="56"/>
      <c r="N415" s="56"/>
      <c r="O415" s="56"/>
      <c r="P415" s="56"/>
      <c r="Q415" s="56"/>
      <c r="R415" s="56"/>
      <c r="S415" s="56"/>
      <c r="T415" s="33"/>
    </row>
    <row r="416" spans="1:20" ht="15.75" customHeight="1" x14ac:dyDescent="0.3">
      <c r="A416" s="33"/>
      <c r="B416" s="33"/>
      <c r="C416" s="33"/>
      <c r="D416" s="54"/>
      <c r="E416" s="33"/>
      <c r="F416" s="33"/>
      <c r="G416" s="55"/>
      <c r="H416" s="33"/>
      <c r="I416" s="33"/>
      <c r="J416" s="55"/>
      <c r="K416" s="56"/>
      <c r="L416" s="56"/>
      <c r="M416" s="56"/>
      <c r="N416" s="56"/>
      <c r="O416" s="56"/>
      <c r="P416" s="56"/>
      <c r="Q416" s="56"/>
      <c r="R416" s="56"/>
      <c r="S416" s="56"/>
      <c r="T416" s="33"/>
    </row>
    <row r="417" spans="1:20" ht="15.75" customHeight="1" x14ac:dyDescent="0.3">
      <c r="A417" s="33"/>
      <c r="B417" s="33"/>
      <c r="C417" s="33"/>
      <c r="D417" s="54"/>
      <c r="E417" s="33"/>
      <c r="F417" s="33"/>
      <c r="G417" s="55"/>
      <c r="H417" s="33"/>
      <c r="I417" s="33"/>
      <c r="J417" s="55"/>
      <c r="K417" s="56"/>
      <c r="L417" s="56"/>
      <c r="M417" s="56"/>
      <c r="N417" s="56"/>
      <c r="O417" s="56"/>
      <c r="P417" s="56"/>
      <c r="Q417" s="56"/>
      <c r="R417" s="56"/>
      <c r="S417" s="56"/>
      <c r="T417" s="33"/>
    </row>
    <row r="418" spans="1:20" ht="15.75" customHeight="1" x14ac:dyDescent="0.3">
      <c r="A418" s="33"/>
      <c r="B418" s="33"/>
      <c r="C418" s="33"/>
      <c r="D418" s="54"/>
      <c r="E418" s="33"/>
      <c r="F418" s="33"/>
      <c r="G418" s="55"/>
      <c r="H418" s="33"/>
      <c r="I418" s="33"/>
      <c r="J418" s="55"/>
      <c r="K418" s="56"/>
      <c r="L418" s="56"/>
      <c r="M418" s="56"/>
      <c r="N418" s="56"/>
      <c r="O418" s="56"/>
      <c r="P418" s="56"/>
      <c r="Q418" s="56"/>
      <c r="R418" s="56"/>
      <c r="S418" s="56"/>
      <c r="T418" s="33"/>
    </row>
    <row r="419" spans="1:20" ht="15.75" customHeight="1" x14ac:dyDescent="0.3">
      <c r="A419" s="33"/>
      <c r="B419" s="33"/>
      <c r="C419" s="33"/>
      <c r="D419" s="54"/>
      <c r="E419" s="33"/>
      <c r="F419" s="33"/>
      <c r="G419" s="55"/>
      <c r="H419" s="33"/>
      <c r="I419" s="33"/>
      <c r="J419" s="55"/>
      <c r="K419" s="56"/>
      <c r="L419" s="56"/>
      <c r="M419" s="56"/>
      <c r="N419" s="56"/>
      <c r="O419" s="56"/>
      <c r="P419" s="56"/>
      <c r="Q419" s="56"/>
      <c r="R419" s="56"/>
      <c r="S419" s="56"/>
      <c r="T419" s="33"/>
    </row>
    <row r="420" spans="1:20" ht="15.75" customHeight="1" x14ac:dyDescent="0.3">
      <c r="A420" s="33"/>
      <c r="B420" s="33"/>
      <c r="C420" s="33"/>
      <c r="D420" s="54"/>
      <c r="E420" s="33"/>
      <c r="F420" s="33"/>
      <c r="G420" s="55"/>
      <c r="H420" s="33"/>
      <c r="I420" s="33"/>
      <c r="J420" s="55"/>
      <c r="K420" s="56"/>
      <c r="L420" s="56"/>
      <c r="M420" s="56"/>
      <c r="N420" s="56"/>
      <c r="O420" s="56"/>
      <c r="P420" s="56"/>
      <c r="Q420" s="56"/>
      <c r="R420" s="56"/>
      <c r="S420" s="56"/>
      <c r="T420" s="33"/>
    </row>
    <row r="421" spans="1:20" ht="15.75" customHeight="1" x14ac:dyDescent="0.3">
      <c r="A421" s="33"/>
      <c r="B421" s="33"/>
      <c r="C421" s="33"/>
      <c r="D421" s="54"/>
      <c r="E421" s="33"/>
      <c r="F421" s="33"/>
      <c r="G421" s="55"/>
      <c r="H421" s="33"/>
      <c r="I421" s="33"/>
      <c r="J421" s="55"/>
      <c r="K421" s="56"/>
      <c r="L421" s="56"/>
      <c r="M421" s="56"/>
      <c r="N421" s="56"/>
      <c r="O421" s="56"/>
      <c r="P421" s="56"/>
      <c r="Q421" s="56"/>
      <c r="R421" s="56"/>
      <c r="S421" s="56"/>
      <c r="T421" s="33"/>
    </row>
    <row r="422" spans="1:20" ht="15.75" customHeight="1" x14ac:dyDescent="0.3">
      <c r="A422" s="33"/>
      <c r="B422" s="33"/>
      <c r="C422" s="33"/>
      <c r="D422" s="54"/>
      <c r="E422" s="33"/>
      <c r="F422" s="33"/>
      <c r="G422" s="55"/>
      <c r="H422" s="33"/>
      <c r="I422" s="33"/>
      <c r="J422" s="55"/>
      <c r="K422" s="56"/>
      <c r="L422" s="56"/>
      <c r="M422" s="56"/>
      <c r="N422" s="56"/>
      <c r="O422" s="56"/>
      <c r="P422" s="56"/>
      <c r="Q422" s="56"/>
      <c r="R422" s="56"/>
      <c r="S422" s="56"/>
      <c r="T422" s="33"/>
    </row>
    <row r="423" spans="1:20" ht="15.75" customHeight="1" x14ac:dyDescent="0.3">
      <c r="A423" s="33"/>
      <c r="B423" s="33"/>
      <c r="C423" s="33"/>
      <c r="D423" s="54"/>
      <c r="E423" s="33"/>
      <c r="F423" s="33"/>
      <c r="G423" s="55"/>
      <c r="H423" s="33"/>
      <c r="I423" s="33"/>
      <c r="J423" s="55"/>
      <c r="K423" s="56"/>
      <c r="L423" s="56"/>
      <c r="M423" s="56"/>
      <c r="N423" s="56"/>
      <c r="O423" s="56"/>
      <c r="P423" s="56"/>
      <c r="Q423" s="56"/>
      <c r="R423" s="56"/>
      <c r="S423" s="56"/>
      <c r="T423" s="33"/>
    </row>
    <row r="424" spans="1:20" ht="15.75" customHeight="1" x14ac:dyDescent="0.3">
      <c r="A424" s="33"/>
      <c r="B424" s="33"/>
      <c r="C424" s="33"/>
      <c r="D424" s="54"/>
      <c r="E424" s="33"/>
      <c r="F424" s="33"/>
      <c r="G424" s="55"/>
      <c r="H424" s="33"/>
      <c r="I424" s="33"/>
      <c r="J424" s="55"/>
      <c r="K424" s="56"/>
      <c r="L424" s="56"/>
      <c r="M424" s="56"/>
      <c r="N424" s="56"/>
      <c r="O424" s="56"/>
      <c r="P424" s="56"/>
      <c r="Q424" s="56"/>
      <c r="R424" s="56"/>
      <c r="S424" s="56"/>
      <c r="T424" s="33"/>
    </row>
    <row r="425" spans="1:20" ht="15.75" customHeight="1" x14ac:dyDescent="0.3">
      <c r="A425" s="33"/>
      <c r="B425" s="33"/>
      <c r="C425" s="33"/>
      <c r="D425" s="54"/>
      <c r="E425" s="33"/>
      <c r="F425" s="33"/>
      <c r="G425" s="55"/>
      <c r="H425" s="33"/>
      <c r="I425" s="33"/>
      <c r="J425" s="55"/>
      <c r="K425" s="56"/>
      <c r="L425" s="56"/>
      <c r="M425" s="56"/>
      <c r="N425" s="56"/>
      <c r="O425" s="56"/>
      <c r="P425" s="56"/>
      <c r="Q425" s="56"/>
      <c r="R425" s="56"/>
      <c r="S425" s="56"/>
      <c r="T425" s="33"/>
    </row>
    <row r="426" spans="1:20" ht="15.75" customHeight="1" x14ac:dyDescent="0.3">
      <c r="A426" s="33"/>
      <c r="B426" s="33"/>
      <c r="C426" s="33"/>
      <c r="D426" s="54"/>
      <c r="E426" s="33"/>
      <c r="F426" s="33"/>
      <c r="G426" s="55"/>
      <c r="H426" s="33"/>
      <c r="I426" s="33"/>
      <c r="J426" s="55"/>
      <c r="K426" s="56"/>
      <c r="L426" s="56"/>
      <c r="M426" s="56"/>
      <c r="N426" s="56"/>
      <c r="O426" s="56"/>
      <c r="P426" s="56"/>
      <c r="Q426" s="56"/>
      <c r="R426" s="56"/>
      <c r="S426" s="56"/>
      <c r="T426" s="33"/>
    </row>
    <row r="427" spans="1:20" ht="15.75" customHeight="1" x14ac:dyDescent="0.3">
      <c r="A427" s="33"/>
      <c r="B427" s="33"/>
      <c r="C427" s="33"/>
      <c r="D427" s="54"/>
      <c r="E427" s="33"/>
      <c r="F427" s="33"/>
      <c r="G427" s="55"/>
      <c r="H427" s="33"/>
      <c r="I427" s="33"/>
      <c r="J427" s="55"/>
      <c r="K427" s="56"/>
      <c r="L427" s="56"/>
      <c r="M427" s="56"/>
      <c r="N427" s="56"/>
      <c r="O427" s="56"/>
      <c r="P427" s="56"/>
      <c r="Q427" s="56"/>
      <c r="R427" s="56"/>
      <c r="S427" s="56"/>
      <c r="T427" s="33"/>
    </row>
    <row r="428" spans="1:20" ht="15.75" customHeight="1" x14ac:dyDescent="0.3">
      <c r="A428" s="33"/>
      <c r="B428" s="33"/>
      <c r="C428" s="33"/>
      <c r="D428" s="54"/>
      <c r="E428" s="33"/>
      <c r="F428" s="33"/>
      <c r="G428" s="55"/>
      <c r="H428" s="33"/>
      <c r="I428" s="33"/>
      <c r="J428" s="55"/>
      <c r="K428" s="56"/>
      <c r="L428" s="56"/>
      <c r="M428" s="56"/>
      <c r="N428" s="56"/>
      <c r="O428" s="56"/>
      <c r="P428" s="56"/>
      <c r="Q428" s="56"/>
      <c r="R428" s="56"/>
      <c r="S428" s="56"/>
      <c r="T428" s="33"/>
    </row>
    <row r="429" spans="1:20" ht="15.75" customHeight="1" x14ac:dyDescent="0.3">
      <c r="A429" s="33"/>
      <c r="B429" s="33"/>
      <c r="C429" s="33"/>
      <c r="D429" s="54"/>
      <c r="E429" s="33"/>
      <c r="F429" s="33"/>
      <c r="G429" s="55"/>
      <c r="H429" s="33"/>
      <c r="I429" s="33"/>
      <c r="J429" s="55"/>
      <c r="K429" s="56"/>
      <c r="L429" s="56"/>
      <c r="M429" s="56"/>
      <c r="N429" s="56"/>
      <c r="O429" s="56"/>
      <c r="P429" s="56"/>
      <c r="Q429" s="56"/>
      <c r="R429" s="56"/>
      <c r="S429" s="56"/>
      <c r="T429" s="33"/>
    </row>
    <row r="430" spans="1:20" ht="15.75" customHeight="1" x14ac:dyDescent="0.3">
      <c r="A430" s="33"/>
      <c r="B430" s="33"/>
      <c r="C430" s="33"/>
      <c r="D430" s="54"/>
      <c r="E430" s="33"/>
      <c r="F430" s="33"/>
      <c r="G430" s="55"/>
      <c r="H430" s="33"/>
      <c r="I430" s="33"/>
      <c r="J430" s="55"/>
      <c r="K430" s="56"/>
      <c r="L430" s="56"/>
      <c r="M430" s="56"/>
      <c r="N430" s="56"/>
      <c r="O430" s="56"/>
      <c r="P430" s="56"/>
      <c r="Q430" s="56"/>
      <c r="R430" s="56"/>
      <c r="S430" s="56"/>
      <c r="T430" s="33"/>
    </row>
    <row r="431" spans="1:20" ht="15.75" customHeight="1" x14ac:dyDescent="0.3">
      <c r="A431" s="33"/>
      <c r="B431" s="33"/>
      <c r="C431" s="33"/>
      <c r="D431" s="54"/>
      <c r="E431" s="33"/>
      <c r="F431" s="33"/>
      <c r="G431" s="55"/>
      <c r="H431" s="33"/>
      <c r="I431" s="33"/>
      <c r="J431" s="55"/>
      <c r="K431" s="56"/>
      <c r="L431" s="56"/>
      <c r="M431" s="56"/>
      <c r="N431" s="56"/>
      <c r="O431" s="56"/>
      <c r="P431" s="56"/>
      <c r="Q431" s="56"/>
      <c r="R431" s="56"/>
      <c r="S431" s="56"/>
      <c r="T431" s="33"/>
    </row>
    <row r="432" spans="1:20" ht="15.75" customHeight="1" x14ac:dyDescent="0.3">
      <c r="A432" s="33"/>
      <c r="B432" s="33"/>
      <c r="C432" s="33"/>
      <c r="D432" s="54"/>
      <c r="E432" s="33"/>
      <c r="F432" s="33"/>
      <c r="G432" s="55"/>
      <c r="H432" s="33"/>
      <c r="I432" s="33"/>
      <c r="J432" s="55"/>
      <c r="K432" s="56"/>
      <c r="L432" s="56"/>
      <c r="M432" s="56"/>
      <c r="N432" s="56"/>
      <c r="O432" s="56"/>
      <c r="P432" s="56"/>
      <c r="Q432" s="56"/>
      <c r="R432" s="56"/>
      <c r="S432" s="56"/>
      <c r="T432" s="33"/>
    </row>
    <row r="433" spans="1:20" ht="15.75" customHeight="1" x14ac:dyDescent="0.3">
      <c r="A433" s="33"/>
      <c r="B433" s="33"/>
      <c r="C433" s="33"/>
      <c r="D433" s="54"/>
      <c r="E433" s="33"/>
      <c r="F433" s="33"/>
      <c r="G433" s="55"/>
      <c r="H433" s="33"/>
      <c r="I433" s="33"/>
      <c r="J433" s="55"/>
      <c r="K433" s="56"/>
      <c r="L433" s="56"/>
      <c r="M433" s="56"/>
      <c r="N433" s="56"/>
      <c r="O433" s="56"/>
      <c r="P433" s="56"/>
      <c r="Q433" s="56"/>
      <c r="R433" s="56"/>
      <c r="S433" s="56"/>
      <c r="T433" s="33"/>
    </row>
    <row r="434" spans="1:20" ht="15.75" customHeight="1" x14ac:dyDescent="0.3">
      <c r="A434" s="33"/>
      <c r="B434" s="33"/>
      <c r="C434" s="33"/>
      <c r="D434" s="54"/>
      <c r="E434" s="33"/>
      <c r="F434" s="33"/>
      <c r="G434" s="55"/>
      <c r="H434" s="33"/>
      <c r="I434" s="33"/>
      <c r="J434" s="55"/>
      <c r="K434" s="56"/>
      <c r="L434" s="56"/>
      <c r="M434" s="56"/>
      <c r="N434" s="56"/>
      <c r="O434" s="56"/>
      <c r="P434" s="56"/>
      <c r="Q434" s="56"/>
      <c r="R434" s="56"/>
      <c r="S434" s="56"/>
      <c r="T434" s="33"/>
    </row>
    <row r="435" spans="1:20" ht="15.75" customHeight="1" x14ac:dyDescent="0.3">
      <c r="A435" s="33"/>
      <c r="B435" s="33"/>
      <c r="C435" s="33"/>
      <c r="D435" s="54"/>
      <c r="E435" s="33"/>
      <c r="F435" s="33"/>
      <c r="G435" s="55"/>
      <c r="H435" s="33"/>
      <c r="I435" s="33"/>
      <c r="J435" s="55"/>
      <c r="K435" s="56"/>
      <c r="L435" s="56"/>
      <c r="M435" s="56"/>
      <c r="N435" s="56"/>
      <c r="O435" s="56"/>
      <c r="P435" s="56"/>
      <c r="Q435" s="56"/>
      <c r="R435" s="56"/>
      <c r="S435" s="56"/>
      <c r="T435" s="33"/>
    </row>
    <row r="436" spans="1:20" ht="15.75" customHeight="1" x14ac:dyDescent="0.3">
      <c r="A436" s="33"/>
      <c r="B436" s="33"/>
      <c r="C436" s="33"/>
      <c r="D436" s="54"/>
      <c r="E436" s="33"/>
      <c r="F436" s="33"/>
      <c r="G436" s="55"/>
      <c r="H436" s="33"/>
      <c r="I436" s="33"/>
      <c r="J436" s="55"/>
      <c r="K436" s="56"/>
      <c r="L436" s="56"/>
      <c r="M436" s="56"/>
      <c r="N436" s="56"/>
      <c r="O436" s="56"/>
      <c r="P436" s="56"/>
      <c r="Q436" s="56"/>
      <c r="R436" s="56"/>
      <c r="S436" s="56"/>
      <c r="T436" s="33"/>
    </row>
    <row r="437" spans="1:20" ht="15.75" customHeight="1" x14ac:dyDescent="0.3">
      <c r="A437" s="33"/>
      <c r="B437" s="33"/>
      <c r="C437" s="33"/>
      <c r="D437" s="54"/>
      <c r="E437" s="33"/>
      <c r="F437" s="33"/>
      <c r="G437" s="55"/>
      <c r="H437" s="33"/>
      <c r="I437" s="33"/>
      <c r="J437" s="55"/>
      <c r="K437" s="56"/>
      <c r="L437" s="56"/>
      <c r="M437" s="56"/>
      <c r="N437" s="56"/>
      <c r="O437" s="56"/>
      <c r="P437" s="56"/>
      <c r="Q437" s="56"/>
      <c r="R437" s="56"/>
      <c r="S437" s="56"/>
      <c r="T437" s="33"/>
    </row>
    <row r="438" spans="1:20" ht="15.75" customHeight="1" x14ac:dyDescent="0.3">
      <c r="A438" s="33"/>
      <c r="B438" s="33"/>
      <c r="C438" s="33"/>
      <c r="D438" s="54"/>
      <c r="E438" s="33"/>
      <c r="F438" s="33"/>
      <c r="G438" s="55"/>
      <c r="H438" s="33"/>
      <c r="I438" s="33"/>
      <c r="J438" s="55"/>
      <c r="K438" s="56"/>
      <c r="L438" s="56"/>
      <c r="M438" s="56"/>
      <c r="N438" s="56"/>
      <c r="O438" s="56"/>
      <c r="P438" s="56"/>
      <c r="Q438" s="56"/>
      <c r="R438" s="56"/>
      <c r="S438" s="56"/>
      <c r="T438" s="33"/>
    </row>
    <row r="439" spans="1:20" ht="15.75" customHeight="1" x14ac:dyDescent="0.3">
      <c r="A439" s="33"/>
      <c r="B439" s="33"/>
      <c r="C439" s="33"/>
      <c r="D439" s="54"/>
      <c r="E439" s="33"/>
      <c r="F439" s="33"/>
      <c r="G439" s="55"/>
      <c r="H439" s="33"/>
      <c r="I439" s="33"/>
      <c r="J439" s="55"/>
      <c r="K439" s="56"/>
      <c r="L439" s="56"/>
      <c r="M439" s="56"/>
      <c r="N439" s="56"/>
      <c r="O439" s="56"/>
      <c r="P439" s="56"/>
      <c r="Q439" s="56"/>
      <c r="R439" s="56"/>
      <c r="S439" s="56"/>
      <c r="T439" s="33"/>
    </row>
    <row r="440" spans="1:20" ht="15.75" customHeight="1" x14ac:dyDescent="0.3">
      <c r="A440" s="33"/>
      <c r="B440" s="33"/>
      <c r="C440" s="33"/>
      <c r="D440" s="54"/>
      <c r="E440" s="33"/>
      <c r="F440" s="33"/>
      <c r="G440" s="55"/>
      <c r="H440" s="33"/>
      <c r="I440" s="33"/>
      <c r="J440" s="55"/>
      <c r="K440" s="56"/>
      <c r="L440" s="56"/>
      <c r="M440" s="56"/>
      <c r="N440" s="56"/>
      <c r="O440" s="56"/>
      <c r="P440" s="56"/>
      <c r="Q440" s="56"/>
      <c r="R440" s="56"/>
      <c r="S440" s="56"/>
      <c r="T440" s="33"/>
    </row>
    <row r="441" spans="1:20" ht="15.75" customHeight="1" x14ac:dyDescent="0.3">
      <c r="A441" s="33"/>
      <c r="B441" s="33"/>
      <c r="C441" s="33"/>
      <c r="D441" s="54"/>
      <c r="E441" s="33"/>
      <c r="F441" s="33"/>
      <c r="G441" s="55"/>
      <c r="H441" s="33"/>
      <c r="I441" s="33"/>
      <c r="J441" s="55"/>
      <c r="K441" s="56"/>
      <c r="L441" s="56"/>
      <c r="M441" s="56"/>
      <c r="N441" s="56"/>
      <c r="O441" s="56"/>
      <c r="P441" s="56"/>
      <c r="Q441" s="56"/>
      <c r="R441" s="56"/>
      <c r="S441" s="56"/>
      <c r="T441" s="33"/>
    </row>
    <row r="442" spans="1:20" ht="15.75" customHeight="1" x14ac:dyDescent="0.3">
      <c r="A442" s="33"/>
      <c r="B442" s="33"/>
      <c r="C442" s="33"/>
      <c r="D442" s="54"/>
      <c r="E442" s="33"/>
      <c r="F442" s="33"/>
      <c r="G442" s="55"/>
      <c r="H442" s="33"/>
      <c r="I442" s="33"/>
      <c r="J442" s="55"/>
      <c r="K442" s="56"/>
      <c r="L442" s="56"/>
      <c r="M442" s="56"/>
      <c r="N442" s="56"/>
      <c r="O442" s="56"/>
      <c r="P442" s="56"/>
      <c r="Q442" s="56"/>
      <c r="R442" s="56"/>
      <c r="S442" s="56"/>
      <c r="T442" s="33"/>
    </row>
    <row r="443" spans="1:20" ht="15.75" customHeight="1" x14ac:dyDescent="0.3">
      <c r="A443" s="33"/>
      <c r="B443" s="33"/>
      <c r="C443" s="33"/>
      <c r="D443" s="54"/>
      <c r="E443" s="33"/>
      <c r="F443" s="33"/>
      <c r="G443" s="55"/>
      <c r="H443" s="33"/>
      <c r="I443" s="33"/>
      <c r="J443" s="55"/>
      <c r="K443" s="56"/>
      <c r="L443" s="56"/>
      <c r="M443" s="56"/>
      <c r="N443" s="56"/>
      <c r="O443" s="56"/>
      <c r="P443" s="56"/>
      <c r="Q443" s="56"/>
      <c r="R443" s="56"/>
      <c r="S443" s="56"/>
      <c r="T443" s="33"/>
    </row>
    <row r="444" spans="1:20" ht="15.75" customHeight="1" x14ac:dyDescent="0.3">
      <c r="A444" s="33"/>
      <c r="B444" s="33"/>
      <c r="C444" s="33"/>
      <c r="D444" s="54"/>
      <c r="E444" s="33"/>
      <c r="F444" s="33"/>
      <c r="G444" s="55"/>
      <c r="H444" s="33"/>
      <c r="I444" s="33"/>
      <c r="J444" s="55"/>
      <c r="K444" s="56"/>
      <c r="L444" s="56"/>
      <c r="M444" s="56"/>
      <c r="N444" s="56"/>
      <c r="O444" s="56"/>
      <c r="P444" s="56"/>
      <c r="Q444" s="56"/>
      <c r="R444" s="56"/>
      <c r="S444" s="56"/>
      <c r="T444" s="33"/>
    </row>
    <row r="445" spans="1:20" ht="15.75" customHeight="1" x14ac:dyDescent="0.3">
      <c r="A445" s="33"/>
      <c r="B445" s="33"/>
      <c r="C445" s="33"/>
      <c r="D445" s="54"/>
      <c r="E445" s="33"/>
      <c r="F445" s="33"/>
      <c r="G445" s="55"/>
      <c r="H445" s="33"/>
      <c r="I445" s="33"/>
      <c r="J445" s="55"/>
      <c r="K445" s="56"/>
      <c r="L445" s="56"/>
      <c r="M445" s="56"/>
      <c r="N445" s="56"/>
      <c r="O445" s="56"/>
      <c r="P445" s="56"/>
      <c r="Q445" s="56"/>
      <c r="R445" s="56"/>
      <c r="S445" s="56"/>
      <c r="T445" s="33"/>
    </row>
    <row r="446" spans="1:20" ht="15.75" customHeight="1" x14ac:dyDescent="0.3">
      <c r="A446" s="33"/>
      <c r="B446" s="33"/>
      <c r="C446" s="33"/>
      <c r="D446" s="54"/>
      <c r="E446" s="33"/>
      <c r="F446" s="33"/>
      <c r="G446" s="55"/>
      <c r="H446" s="33"/>
      <c r="I446" s="33"/>
      <c r="J446" s="55"/>
      <c r="K446" s="56"/>
      <c r="L446" s="56"/>
      <c r="M446" s="56"/>
      <c r="N446" s="56"/>
      <c r="O446" s="56"/>
      <c r="P446" s="56"/>
      <c r="Q446" s="56"/>
      <c r="R446" s="56"/>
      <c r="S446" s="56"/>
      <c r="T446" s="33"/>
    </row>
    <row r="447" spans="1:20" ht="15.75" customHeight="1" x14ac:dyDescent="0.3">
      <c r="A447" s="33"/>
      <c r="B447" s="33"/>
      <c r="C447" s="33"/>
      <c r="D447" s="54"/>
      <c r="E447" s="33"/>
      <c r="F447" s="33"/>
      <c r="G447" s="55"/>
      <c r="H447" s="33"/>
      <c r="I447" s="33"/>
      <c r="J447" s="55"/>
      <c r="K447" s="56"/>
      <c r="L447" s="56"/>
      <c r="M447" s="56"/>
      <c r="N447" s="56"/>
      <c r="O447" s="56"/>
      <c r="P447" s="56"/>
      <c r="Q447" s="56"/>
      <c r="R447" s="56"/>
      <c r="S447" s="56"/>
      <c r="T447" s="33"/>
    </row>
    <row r="448" spans="1:20" ht="15.75" customHeight="1" x14ac:dyDescent="0.3">
      <c r="A448" s="33"/>
      <c r="B448" s="33"/>
      <c r="C448" s="33"/>
      <c r="D448" s="54"/>
      <c r="E448" s="33"/>
      <c r="F448" s="33"/>
      <c r="G448" s="55"/>
      <c r="H448" s="33"/>
      <c r="I448" s="33"/>
      <c r="J448" s="55"/>
      <c r="K448" s="56"/>
      <c r="L448" s="56"/>
      <c r="M448" s="56"/>
      <c r="N448" s="56"/>
      <c r="O448" s="56"/>
      <c r="P448" s="56"/>
      <c r="Q448" s="56"/>
      <c r="R448" s="56"/>
      <c r="S448" s="56"/>
      <c r="T448" s="33"/>
    </row>
    <row r="449" spans="1:20" ht="15.75" customHeight="1" x14ac:dyDescent="0.3">
      <c r="A449" s="33"/>
      <c r="B449" s="33"/>
      <c r="C449" s="33"/>
      <c r="D449" s="54"/>
      <c r="E449" s="33"/>
      <c r="F449" s="33"/>
      <c r="G449" s="55"/>
      <c r="H449" s="33"/>
      <c r="I449" s="33"/>
      <c r="J449" s="55"/>
      <c r="K449" s="56"/>
      <c r="L449" s="56"/>
      <c r="M449" s="56"/>
      <c r="N449" s="56"/>
      <c r="O449" s="56"/>
      <c r="P449" s="56"/>
      <c r="Q449" s="56"/>
      <c r="R449" s="56"/>
      <c r="S449" s="56"/>
      <c r="T449" s="33"/>
    </row>
    <row r="450" spans="1:20" ht="15.75" customHeight="1" x14ac:dyDescent="0.3">
      <c r="A450" s="33"/>
      <c r="B450" s="33"/>
      <c r="C450" s="33"/>
      <c r="D450" s="54"/>
      <c r="E450" s="33"/>
      <c r="F450" s="33"/>
      <c r="G450" s="55"/>
      <c r="H450" s="33"/>
      <c r="I450" s="33"/>
      <c r="J450" s="55"/>
      <c r="K450" s="56"/>
      <c r="L450" s="56"/>
      <c r="M450" s="56"/>
      <c r="N450" s="56"/>
      <c r="O450" s="56"/>
      <c r="P450" s="56"/>
      <c r="Q450" s="56"/>
      <c r="R450" s="56"/>
      <c r="S450" s="56"/>
      <c r="T450" s="33"/>
    </row>
    <row r="451" spans="1:20" ht="15.75" customHeight="1" x14ac:dyDescent="0.3">
      <c r="A451" s="33"/>
      <c r="B451" s="33"/>
      <c r="C451" s="33"/>
      <c r="D451" s="54"/>
      <c r="E451" s="33"/>
      <c r="F451" s="33"/>
      <c r="G451" s="55"/>
      <c r="H451" s="33"/>
      <c r="I451" s="33"/>
      <c r="J451" s="55"/>
      <c r="K451" s="56"/>
      <c r="L451" s="56"/>
      <c r="M451" s="56"/>
      <c r="N451" s="56"/>
      <c r="O451" s="56"/>
      <c r="P451" s="56"/>
      <c r="Q451" s="56"/>
      <c r="R451" s="56"/>
      <c r="S451" s="56"/>
      <c r="T451" s="33"/>
    </row>
    <row r="452" spans="1:20" ht="15.75" customHeight="1" x14ac:dyDescent="0.3">
      <c r="A452" s="33"/>
      <c r="B452" s="33"/>
      <c r="C452" s="33"/>
      <c r="D452" s="54"/>
      <c r="E452" s="33"/>
      <c r="F452" s="33"/>
      <c r="G452" s="55"/>
      <c r="H452" s="33"/>
      <c r="I452" s="33"/>
      <c r="J452" s="55"/>
      <c r="K452" s="56"/>
      <c r="L452" s="56"/>
      <c r="M452" s="56"/>
      <c r="N452" s="56"/>
      <c r="O452" s="56"/>
      <c r="P452" s="56"/>
      <c r="Q452" s="56"/>
      <c r="R452" s="56"/>
      <c r="S452" s="56"/>
      <c r="T452" s="33"/>
    </row>
    <row r="453" spans="1:20" ht="15.75" customHeight="1" x14ac:dyDescent="0.3">
      <c r="A453" s="33"/>
      <c r="B453" s="33"/>
      <c r="C453" s="33"/>
      <c r="D453" s="54"/>
      <c r="E453" s="33"/>
      <c r="F453" s="33"/>
      <c r="G453" s="55"/>
      <c r="H453" s="33"/>
      <c r="I453" s="33"/>
      <c r="J453" s="55"/>
      <c r="K453" s="56"/>
      <c r="L453" s="56"/>
      <c r="M453" s="56"/>
      <c r="N453" s="56"/>
      <c r="O453" s="56"/>
      <c r="P453" s="56"/>
      <c r="Q453" s="56"/>
      <c r="R453" s="56"/>
      <c r="S453" s="56"/>
      <c r="T453" s="33"/>
    </row>
    <row r="454" spans="1:20" ht="15.75" customHeight="1" x14ac:dyDescent="0.3">
      <c r="A454" s="33"/>
      <c r="B454" s="33"/>
      <c r="C454" s="33"/>
      <c r="D454" s="54"/>
      <c r="E454" s="33"/>
      <c r="F454" s="33"/>
      <c r="G454" s="55"/>
      <c r="H454" s="33"/>
      <c r="I454" s="33"/>
      <c r="J454" s="55"/>
      <c r="K454" s="56"/>
      <c r="L454" s="56"/>
      <c r="M454" s="56"/>
      <c r="N454" s="56"/>
      <c r="O454" s="56"/>
      <c r="P454" s="56"/>
      <c r="Q454" s="56"/>
      <c r="R454" s="56"/>
      <c r="S454" s="56"/>
      <c r="T454" s="33"/>
    </row>
    <row r="455" spans="1:20" ht="15.75" customHeight="1" x14ac:dyDescent="0.3">
      <c r="A455" s="33"/>
      <c r="B455" s="33"/>
      <c r="C455" s="33"/>
      <c r="D455" s="54"/>
      <c r="E455" s="33"/>
      <c r="F455" s="33"/>
      <c r="G455" s="55"/>
      <c r="H455" s="33"/>
      <c r="I455" s="33"/>
      <c r="J455" s="55"/>
      <c r="K455" s="56"/>
      <c r="L455" s="56"/>
      <c r="M455" s="56"/>
      <c r="N455" s="56"/>
      <c r="O455" s="56"/>
      <c r="P455" s="56"/>
      <c r="Q455" s="56"/>
      <c r="R455" s="56"/>
      <c r="S455" s="56"/>
      <c r="T455" s="33"/>
    </row>
    <row r="456" spans="1:20" ht="15.75" customHeight="1" x14ac:dyDescent="0.3">
      <c r="A456" s="33"/>
      <c r="B456" s="33"/>
      <c r="C456" s="33"/>
      <c r="D456" s="54"/>
      <c r="E456" s="33"/>
      <c r="F456" s="33"/>
      <c r="G456" s="55"/>
      <c r="H456" s="33"/>
      <c r="I456" s="33"/>
      <c r="J456" s="55"/>
      <c r="K456" s="56"/>
      <c r="L456" s="56"/>
      <c r="M456" s="56"/>
      <c r="N456" s="56"/>
      <c r="O456" s="56"/>
      <c r="P456" s="56"/>
      <c r="Q456" s="56"/>
      <c r="R456" s="56"/>
      <c r="S456" s="56"/>
      <c r="T456" s="33"/>
    </row>
    <row r="457" spans="1:20" ht="15.75" customHeight="1" x14ac:dyDescent="0.3">
      <c r="A457" s="33"/>
      <c r="B457" s="33"/>
      <c r="C457" s="33"/>
      <c r="D457" s="54"/>
      <c r="E457" s="33"/>
      <c r="F457" s="33"/>
      <c r="G457" s="55"/>
      <c r="H457" s="33"/>
      <c r="I457" s="33"/>
      <c r="J457" s="55"/>
      <c r="K457" s="56"/>
      <c r="L457" s="56"/>
      <c r="M457" s="56"/>
      <c r="N457" s="56"/>
      <c r="O457" s="56"/>
      <c r="P457" s="56"/>
      <c r="Q457" s="56"/>
      <c r="R457" s="56"/>
      <c r="S457" s="56"/>
      <c r="T457" s="33"/>
    </row>
    <row r="458" spans="1:20" ht="15.75" customHeight="1" x14ac:dyDescent="0.3">
      <c r="A458" s="33"/>
      <c r="B458" s="33"/>
      <c r="C458" s="33"/>
      <c r="D458" s="54"/>
      <c r="E458" s="33"/>
      <c r="F458" s="33"/>
      <c r="G458" s="55"/>
      <c r="H458" s="33"/>
      <c r="I458" s="33"/>
      <c r="J458" s="55"/>
      <c r="K458" s="56"/>
      <c r="L458" s="56"/>
      <c r="M458" s="56"/>
      <c r="N458" s="56"/>
      <c r="O458" s="56"/>
      <c r="P458" s="56"/>
      <c r="Q458" s="56"/>
      <c r="R458" s="56"/>
      <c r="S458" s="56"/>
      <c r="T458" s="33"/>
    </row>
    <row r="459" spans="1:20" ht="15.75" customHeight="1" x14ac:dyDescent="0.3">
      <c r="A459" s="33"/>
      <c r="B459" s="33"/>
      <c r="C459" s="33"/>
      <c r="D459" s="54"/>
      <c r="E459" s="33"/>
      <c r="F459" s="33"/>
      <c r="G459" s="55"/>
      <c r="H459" s="33"/>
      <c r="I459" s="33"/>
      <c r="J459" s="55"/>
      <c r="K459" s="56"/>
      <c r="L459" s="56"/>
      <c r="M459" s="56"/>
      <c r="N459" s="56"/>
      <c r="O459" s="56"/>
      <c r="P459" s="56"/>
      <c r="Q459" s="56"/>
      <c r="R459" s="56"/>
      <c r="S459" s="56"/>
      <c r="T459" s="33"/>
    </row>
    <row r="460" spans="1:20" ht="15.75" customHeight="1" x14ac:dyDescent="0.3">
      <c r="A460" s="33"/>
      <c r="B460" s="33"/>
      <c r="C460" s="33"/>
      <c r="D460" s="54"/>
      <c r="E460" s="33"/>
      <c r="F460" s="33"/>
      <c r="G460" s="55"/>
      <c r="H460" s="33"/>
      <c r="I460" s="33"/>
      <c r="J460" s="55"/>
      <c r="K460" s="56"/>
      <c r="L460" s="56"/>
      <c r="M460" s="56"/>
      <c r="N460" s="56"/>
      <c r="O460" s="56"/>
      <c r="P460" s="56"/>
      <c r="Q460" s="56"/>
      <c r="R460" s="56"/>
      <c r="S460" s="56"/>
      <c r="T460" s="33"/>
    </row>
    <row r="461" spans="1:20" ht="15.75" customHeight="1" x14ac:dyDescent="0.3">
      <c r="A461" s="33"/>
      <c r="B461" s="33"/>
      <c r="C461" s="33"/>
      <c r="D461" s="54"/>
      <c r="E461" s="33"/>
      <c r="F461" s="33"/>
      <c r="G461" s="55"/>
      <c r="H461" s="33"/>
      <c r="I461" s="33"/>
      <c r="J461" s="55"/>
      <c r="K461" s="56"/>
      <c r="L461" s="56"/>
      <c r="M461" s="56"/>
      <c r="N461" s="56"/>
      <c r="O461" s="56"/>
      <c r="P461" s="56"/>
      <c r="Q461" s="56"/>
      <c r="R461" s="56"/>
      <c r="S461" s="56"/>
      <c r="T461" s="33"/>
    </row>
    <row r="462" spans="1:20" ht="15.75" customHeight="1" x14ac:dyDescent="0.3">
      <c r="A462" s="33"/>
      <c r="B462" s="33"/>
      <c r="C462" s="33"/>
      <c r="D462" s="54"/>
      <c r="E462" s="33"/>
      <c r="F462" s="33"/>
      <c r="G462" s="55"/>
      <c r="H462" s="33"/>
      <c r="I462" s="33"/>
      <c r="J462" s="55"/>
      <c r="K462" s="56"/>
      <c r="L462" s="56"/>
      <c r="M462" s="56"/>
      <c r="N462" s="56"/>
      <c r="O462" s="56"/>
      <c r="P462" s="56"/>
      <c r="Q462" s="56"/>
      <c r="R462" s="56"/>
      <c r="S462" s="56"/>
      <c r="T462" s="33"/>
    </row>
    <row r="463" spans="1:20" ht="15.75" customHeight="1" x14ac:dyDescent="0.3">
      <c r="A463" s="33"/>
      <c r="B463" s="33"/>
      <c r="C463" s="33"/>
      <c r="D463" s="54"/>
      <c r="E463" s="33"/>
      <c r="F463" s="33"/>
      <c r="G463" s="55"/>
      <c r="H463" s="33"/>
      <c r="I463" s="33"/>
      <c r="J463" s="55"/>
      <c r="K463" s="56"/>
      <c r="L463" s="56"/>
      <c r="M463" s="56"/>
      <c r="N463" s="56"/>
      <c r="O463" s="56"/>
      <c r="P463" s="56"/>
      <c r="Q463" s="56"/>
      <c r="R463" s="56"/>
      <c r="S463" s="56"/>
      <c r="T463" s="33"/>
    </row>
    <row r="464" spans="1:20" ht="15.75" customHeight="1" x14ac:dyDescent="0.3">
      <c r="A464" s="33"/>
      <c r="B464" s="33"/>
      <c r="C464" s="33"/>
      <c r="D464" s="54"/>
      <c r="E464" s="33"/>
      <c r="F464" s="33"/>
      <c r="G464" s="55"/>
      <c r="H464" s="33"/>
      <c r="I464" s="33"/>
      <c r="J464" s="55"/>
      <c r="K464" s="56"/>
      <c r="L464" s="56"/>
      <c r="M464" s="56"/>
      <c r="N464" s="56"/>
      <c r="O464" s="56"/>
      <c r="P464" s="56"/>
      <c r="Q464" s="56"/>
      <c r="R464" s="56"/>
      <c r="S464" s="56"/>
      <c r="T464" s="33"/>
    </row>
    <row r="465" spans="1:20" ht="15.75" customHeight="1" x14ac:dyDescent="0.3">
      <c r="A465" s="33"/>
      <c r="B465" s="33"/>
      <c r="C465" s="33"/>
      <c r="D465" s="54"/>
      <c r="E465" s="33"/>
      <c r="F465" s="33"/>
      <c r="G465" s="55"/>
      <c r="H465" s="33"/>
      <c r="I465" s="33"/>
      <c r="J465" s="55"/>
      <c r="K465" s="56"/>
      <c r="L465" s="56"/>
      <c r="M465" s="56"/>
      <c r="N465" s="56"/>
      <c r="O465" s="56"/>
      <c r="P465" s="56"/>
      <c r="Q465" s="56"/>
      <c r="R465" s="56"/>
      <c r="S465" s="56"/>
      <c r="T465" s="33"/>
    </row>
    <row r="466" spans="1:20" ht="15.75" customHeight="1" x14ac:dyDescent="0.3">
      <c r="A466" s="33"/>
      <c r="B466" s="33"/>
      <c r="C466" s="33"/>
      <c r="D466" s="54"/>
      <c r="E466" s="33"/>
      <c r="F466" s="33"/>
      <c r="G466" s="55"/>
      <c r="H466" s="33"/>
      <c r="I466" s="33"/>
      <c r="J466" s="55"/>
      <c r="K466" s="56"/>
      <c r="L466" s="56"/>
      <c r="M466" s="56"/>
      <c r="N466" s="56"/>
      <c r="O466" s="56"/>
      <c r="P466" s="56"/>
      <c r="Q466" s="56"/>
      <c r="R466" s="56"/>
      <c r="S466" s="56"/>
      <c r="T466" s="33"/>
    </row>
    <row r="467" spans="1:20" ht="15.75" customHeight="1" x14ac:dyDescent="0.3">
      <c r="A467" s="33"/>
      <c r="B467" s="33"/>
      <c r="C467" s="33"/>
      <c r="D467" s="54"/>
      <c r="E467" s="33"/>
      <c r="F467" s="33"/>
      <c r="G467" s="55"/>
      <c r="H467" s="33"/>
      <c r="I467" s="33"/>
      <c r="J467" s="55"/>
      <c r="K467" s="56"/>
      <c r="L467" s="56"/>
      <c r="M467" s="56"/>
      <c r="N467" s="56"/>
      <c r="O467" s="56"/>
      <c r="P467" s="56"/>
      <c r="Q467" s="56"/>
      <c r="R467" s="56"/>
      <c r="S467" s="56"/>
      <c r="T467" s="33"/>
    </row>
    <row r="468" spans="1:20" ht="15.75" customHeight="1" x14ac:dyDescent="0.3">
      <c r="A468" s="33"/>
      <c r="B468" s="33"/>
      <c r="C468" s="33"/>
      <c r="D468" s="54"/>
      <c r="E468" s="33"/>
      <c r="F468" s="33"/>
      <c r="G468" s="55"/>
      <c r="H468" s="33"/>
      <c r="I468" s="33"/>
      <c r="J468" s="55"/>
      <c r="K468" s="56"/>
      <c r="L468" s="56"/>
      <c r="M468" s="56"/>
      <c r="N468" s="56"/>
      <c r="O468" s="56"/>
      <c r="P468" s="56"/>
      <c r="Q468" s="56"/>
      <c r="R468" s="56"/>
      <c r="S468" s="56"/>
      <c r="T468" s="33"/>
    </row>
    <row r="469" spans="1:20" ht="15.75" customHeight="1" x14ac:dyDescent="0.3">
      <c r="A469" s="33"/>
      <c r="B469" s="33"/>
      <c r="C469" s="33"/>
      <c r="D469" s="54"/>
      <c r="E469" s="33"/>
      <c r="F469" s="33"/>
      <c r="G469" s="55"/>
      <c r="H469" s="33"/>
      <c r="I469" s="33"/>
      <c r="J469" s="55"/>
      <c r="K469" s="56"/>
      <c r="L469" s="56"/>
      <c r="M469" s="56"/>
      <c r="N469" s="56"/>
      <c r="O469" s="56"/>
      <c r="P469" s="56"/>
      <c r="Q469" s="56"/>
      <c r="R469" s="56"/>
      <c r="S469" s="56"/>
      <c r="T469" s="33"/>
    </row>
    <row r="470" spans="1:20" ht="15.75" customHeight="1" x14ac:dyDescent="0.3">
      <c r="A470" s="33"/>
      <c r="B470" s="33"/>
      <c r="C470" s="33"/>
      <c r="D470" s="54"/>
      <c r="E470" s="33"/>
      <c r="F470" s="33"/>
      <c r="G470" s="55"/>
      <c r="H470" s="33"/>
      <c r="I470" s="33"/>
      <c r="J470" s="55"/>
      <c r="K470" s="56"/>
      <c r="L470" s="56"/>
      <c r="M470" s="56"/>
      <c r="N470" s="56"/>
      <c r="O470" s="56"/>
      <c r="P470" s="56"/>
      <c r="Q470" s="56"/>
      <c r="R470" s="56"/>
      <c r="S470" s="56"/>
      <c r="T470" s="33"/>
    </row>
    <row r="471" spans="1:20" ht="15.75" customHeight="1" x14ac:dyDescent="0.3">
      <c r="A471" s="33"/>
      <c r="B471" s="33"/>
      <c r="C471" s="33"/>
      <c r="D471" s="54"/>
      <c r="E471" s="33"/>
      <c r="F471" s="33"/>
      <c r="G471" s="55"/>
      <c r="H471" s="33"/>
      <c r="I471" s="33"/>
      <c r="J471" s="55"/>
      <c r="K471" s="56"/>
      <c r="L471" s="56"/>
      <c r="M471" s="56"/>
      <c r="N471" s="56"/>
      <c r="O471" s="56"/>
      <c r="P471" s="56"/>
      <c r="Q471" s="56"/>
      <c r="R471" s="56"/>
      <c r="S471" s="56"/>
      <c r="T471" s="33"/>
    </row>
    <row r="472" spans="1:20" ht="15.75" customHeight="1" x14ac:dyDescent="0.3">
      <c r="A472" s="33"/>
      <c r="B472" s="33"/>
      <c r="C472" s="33"/>
      <c r="D472" s="54"/>
      <c r="E472" s="33"/>
      <c r="F472" s="33"/>
      <c r="G472" s="55"/>
      <c r="H472" s="33"/>
      <c r="I472" s="33"/>
      <c r="J472" s="55"/>
      <c r="K472" s="56"/>
      <c r="L472" s="56"/>
      <c r="M472" s="56"/>
      <c r="N472" s="56"/>
      <c r="O472" s="56"/>
      <c r="P472" s="56"/>
      <c r="Q472" s="56"/>
      <c r="R472" s="56"/>
      <c r="S472" s="56"/>
      <c r="T472" s="33"/>
    </row>
    <row r="473" spans="1:20" ht="15.75" customHeight="1" x14ac:dyDescent="0.3">
      <c r="A473" s="33"/>
      <c r="B473" s="33"/>
      <c r="C473" s="33"/>
      <c r="D473" s="54"/>
      <c r="E473" s="33"/>
      <c r="F473" s="33"/>
      <c r="G473" s="55"/>
      <c r="H473" s="33"/>
      <c r="I473" s="33"/>
      <c r="J473" s="55"/>
      <c r="K473" s="56"/>
      <c r="L473" s="56"/>
      <c r="M473" s="56"/>
      <c r="N473" s="56"/>
      <c r="O473" s="56"/>
      <c r="P473" s="56"/>
      <c r="Q473" s="56"/>
      <c r="R473" s="56"/>
      <c r="S473" s="56"/>
      <c r="T473" s="33"/>
    </row>
    <row r="474" spans="1:20" ht="15.75" customHeight="1" x14ac:dyDescent="0.3">
      <c r="A474" s="33"/>
      <c r="B474" s="33"/>
      <c r="C474" s="33"/>
      <c r="D474" s="54"/>
      <c r="E474" s="33"/>
      <c r="F474" s="33"/>
      <c r="G474" s="55"/>
      <c r="H474" s="33"/>
      <c r="I474" s="33"/>
      <c r="J474" s="55"/>
      <c r="K474" s="56"/>
      <c r="L474" s="56"/>
      <c r="M474" s="56"/>
      <c r="N474" s="56"/>
      <c r="O474" s="56"/>
      <c r="P474" s="56"/>
      <c r="Q474" s="56"/>
      <c r="R474" s="56"/>
      <c r="S474" s="56"/>
      <c r="T474" s="33"/>
    </row>
    <row r="475" spans="1:20" ht="15.75" customHeight="1" x14ac:dyDescent="0.3">
      <c r="A475" s="33"/>
      <c r="B475" s="33"/>
      <c r="C475" s="33"/>
      <c r="D475" s="54"/>
      <c r="E475" s="33"/>
      <c r="F475" s="33"/>
      <c r="G475" s="55"/>
      <c r="H475" s="33"/>
      <c r="I475" s="33"/>
      <c r="J475" s="55"/>
      <c r="K475" s="56"/>
      <c r="L475" s="56"/>
      <c r="M475" s="56"/>
      <c r="N475" s="56"/>
      <c r="O475" s="56"/>
      <c r="P475" s="56"/>
      <c r="Q475" s="56"/>
      <c r="R475" s="56"/>
      <c r="S475" s="56"/>
      <c r="T475" s="33"/>
    </row>
    <row r="476" spans="1:20" ht="15.75" customHeight="1" x14ac:dyDescent="0.3">
      <c r="A476" s="33"/>
      <c r="B476" s="33"/>
      <c r="C476" s="33"/>
      <c r="D476" s="54"/>
      <c r="E476" s="33"/>
      <c r="F476" s="33"/>
      <c r="G476" s="55"/>
      <c r="H476" s="33"/>
      <c r="I476" s="33"/>
      <c r="J476" s="55"/>
      <c r="K476" s="56"/>
      <c r="L476" s="56"/>
      <c r="M476" s="56"/>
      <c r="N476" s="56"/>
      <c r="O476" s="56"/>
      <c r="P476" s="56"/>
      <c r="Q476" s="56"/>
      <c r="R476" s="56"/>
      <c r="S476" s="56"/>
      <c r="T476" s="33"/>
    </row>
    <row r="477" spans="1:20" ht="15.75" customHeight="1" x14ac:dyDescent="0.3">
      <c r="A477" s="33"/>
      <c r="B477" s="33"/>
      <c r="C477" s="33"/>
      <c r="D477" s="54"/>
      <c r="E477" s="33"/>
      <c r="F477" s="33"/>
      <c r="G477" s="55"/>
      <c r="H477" s="33"/>
      <c r="I477" s="33"/>
      <c r="J477" s="55"/>
      <c r="K477" s="56"/>
      <c r="L477" s="56"/>
      <c r="M477" s="56"/>
      <c r="N477" s="56"/>
      <c r="O477" s="56"/>
      <c r="P477" s="56"/>
      <c r="Q477" s="56"/>
      <c r="R477" s="56"/>
      <c r="S477" s="56"/>
      <c r="T477" s="33"/>
    </row>
    <row r="478" spans="1:20" ht="15.75" customHeight="1" x14ac:dyDescent="0.3">
      <c r="A478" s="33"/>
      <c r="B478" s="33"/>
      <c r="C478" s="33"/>
      <c r="D478" s="54"/>
      <c r="E478" s="33"/>
      <c r="F478" s="33"/>
      <c r="G478" s="55"/>
      <c r="H478" s="33"/>
      <c r="I478" s="33"/>
      <c r="J478" s="55"/>
      <c r="K478" s="56"/>
      <c r="L478" s="56"/>
      <c r="M478" s="56"/>
      <c r="N478" s="56"/>
      <c r="O478" s="56"/>
      <c r="P478" s="56"/>
      <c r="Q478" s="56"/>
      <c r="R478" s="56"/>
      <c r="S478" s="56"/>
      <c r="T478" s="33"/>
    </row>
    <row r="479" spans="1:20" ht="15.75" customHeight="1" x14ac:dyDescent="0.3">
      <c r="A479" s="33"/>
      <c r="B479" s="33"/>
      <c r="C479" s="33"/>
      <c r="D479" s="54"/>
      <c r="E479" s="33"/>
      <c r="F479" s="33"/>
      <c r="G479" s="55"/>
      <c r="H479" s="33"/>
      <c r="I479" s="33"/>
      <c r="J479" s="55"/>
      <c r="K479" s="56"/>
      <c r="L479" s="56"/>
      <c r="M479" s="56"/>
      <c r="N479" s="56"/>
      <c r="O479" s="56"/>
      <c r="P479" s="56"/>
      <c r="Q479" s="56"/>
      <c r="R479" s="56"/>
      <c r="S479" s="56"/>
      <c r="T479" s="33"/>
    </row>
    <row r="480" spans="1:20" ht="15.75" customHeight="1" x14ac:dyDescent="0.3">
      <c r="A480" s="33"/>
      <c r="B480" s="33"/>
      <c r="C480" s="33"/>
      <c r="D480" s="54"/>
      <c r="E480" s="33"/>
      <c r="F480" s="33"/>
      <c r="G480" s="55"/>
      <c r="H480" s="33"/>
      <c r="I480" s="33"/>
      <c r="J480" s="55"/>
      <c r="K480" s="56"/>
      <c r="L480" s="56"/>
      <c r="M480" s="56"/>
      <c r="N480" s="56"/>
      <c r="O480" s="56"/>
      <c r="P480" s="56"/>
      <c r="Q480" s="56"/>
      <c r="R480" s="56"/>
      <c r="S480" s="56"/>
      <c r="T480" s="33"/>
    </row>
    <row r="481" spans="1:20" ht="15.75" customHeight="1" x14ac:dyDescent="0.3">
      <c r="A481" s="33"/>
      <c r="B481" s="33"/>
      <c r="C481" s="33"/>
      <c r="D481" s="54"/>
      <c r="E481" s="33"/>
      <c r="F481" s="33"/>
      <c r="G481" s="55"/>
      <c r="H481" s="33"/>
      <c r="I481" s="33"/>
      <c r="J481" s="55"/>
      <c r="K481" s="56"/>
      <c r="L481" s="56"/>
      <c r="M481" s="56"/>
      <c r="N481" s="56"/>
      <c r="O481" s="56"/>
      <c r="P481" s="56"/>
      <c r="Q481" s="56"/>
      <c r="R481" s="56"/>
      <c r="S481" s="56"/>
      <c r="T481" s="33"/>
    </row>
    <row r="482" spans="1:20" ht="15.75" customHeight="1" x14ac:dyDescent="0.3">
      <c r="A482" s="33"/>
      <c r="B482" s="33"/>
      <c r="C482" s="33"/>
      <c r="D482" s="54"/>
      <c r="E482" s="33"/>
      <c r="F482" s="33"/>
      <c r="G482" s="55"/>
      <c r="H482" s="33"/>
      <c r="I482" s="33"/>
      <c r="J482" s="55"/>
      <c r="K482" s="56"/>
      <c r="L482" s="56"/>
      <c r="M482" s="56"/>
      <c r="N482" s="56"/>
      <c r="O482" s="56"/>
      <c r="P482" s="56"/>
      <c r="Q482" s="56"/>
      <c r="R482" s="56"/>
      <c r="S482" s="56"/>
      <c r="T482" s="33"/>
    </row>
    <row r="483" spans="1:20" ht="15.75" customHeight="1" x14ac:dyDescent="0.3">
      <c r="A483" s="33"/>
      <c r="B483" s="33"/>
      <c r="C483" s="33"/>
      <c r="D483" s="54"/>
      <c r="E483" s="33"/>
      <c r="F483" s="33"/>
      <c r="G483" s="55"/>
      <c r="H483" s="33"/>
      <c r="I483" s="33"/>
      <c r="J483" s="55"/>
      <c r="K483" s="56"/>
      <c r="L483" s="56"/>
      <c r="M483" s="56"/>
      <c r="N483" s="56"/>
      <c r="O483" s="56"/>
      <c r="P483" s="56"/>
      <c r="Q483" s="56"/>
      <c r="R483" s="56"/>
      <c r="S483" s="56"/>
      <c r="T483" s="33"/>
    </row>
    <row r="484" spans="1:20" ht="15.75" customHeight="1" x14ac:dyDescent="0.3">
      <c r="A484" s="33"/>
      <c r="B484" s="33"/>
      <c r="C484" s="33"/>
      <c r="D484" s="54"/>
      <c r="E484" s="33"/>
      <c r="F484" s="33"/>
      <c r="G484" s="55"/>
      <c r="H484" s="33"/>
      <c r="I484" s="33"/>
      <c r="J484" s="55"/>
      <c r="K484" s="56"/>
      <c r="L484" s="56"/>
      <c r="M484" s="56"/>
      <c r="N484" s="56"/>
      <c r="O484" s="56"/>
      <c r="P484" s="56"/>
      <c r="Q484" s="56"/>
      <c r="R484" s="56"/>
      <c r="S484" s="56"/>
      <c r="T484" s="33"/>
    </row>
    <row r="485" spans="1:20" ht="15.75" customHeight="1" x14ac:dyDescent="0.3">
      <c r="A485" s="33"/>
      <c r="B485" s="33"/>
      <c r="C485" s="33"/>
      <c r="D485" s="54"/>
      <c r="E485" s="33"/>
      <c r="F485" s="33"/>
      <c r="G485" s="55"/>
      <c r="H485" s="33"/>
      <c r="I485" s="33"/>
      <c r="J485" s="55"/>
      <c r="K485" s="56"/>
      <c r="L485" s="56"/>
      <c r="M485" s="56"/>
      <c r="N485" s="56"/>
      <c r="O485" s="56"/>
      <c r="P485" s="56"/>
      <c r="Q485" s="56"/>
      <c r="R485" s="56"/>
      <c r="S485" s="56"/>
      <c r="T485" s="33"/>
    </row>
    <row r="486" spans="1:20" ht="15.75" customHeight="1" x14ac:dyDescent="0.3">
      <c r="A486" s="33"/>
      <c r="B486" s="33"/>
      <c r="C486" s="33"/>
      <c r="D486" s="54"/>
      <c r="E486" s="33"/>
      <c r="F486" s="33"/>
      <c r="G486" s="55"/>
      <c r="H486" s="33"/>
      <c r="I486" s="33"/>
      <c r="J486" s="55"/>
      <c r="K486" s="56"/>
      <c r="L486" s="56"/>
      <c r="M486" s="56"/>
      <c r="N486" s="56"/>
      <c r="O486" s="56"/>
      <c r="P486" s="56"/>
      <c r="Q486" s="56"/>
      <c r="R486" s="56"/>
      <c r="S486" s="56"/>
      <c r="T486" s="33"/>
    </row>
    <row r="487" spans="1:20" ht="15.75" customHeight="1" x14ac:dyDescent="0.3">
      <c r="A487" s="33"/>
      <c r="B487" s="33"/>
      <c r="C487" s="33"/>
      <c r="D487" s="54"/>
      <c r="E487" s="33"/>
      <c r="F487" s="33"/>
      <c r="G487" s="55"/>
      <c r="H487" s="33"/>
      <c r="I487" s="33"/>
      <c r="J487" s="55"/>
      <c r="K487" s="56"/>
      <c r="L487" s="56"/>
      <c r="M487" s="56"/>
      <c r="N487" s="56"/>
      <c r="O487" s="56"/>
      <c r="P487" s="56"/>
      <c r="Q487" s="56"/>
      <c r="R487" s="56"/>
      <c r="S487" s="56"/>
      <c r="T487" s="33"/>
    </row>
    <row r="488" spans="1:20" ht="15.75" customHeight="1" x14ac:dyDescent="0.3">
      <c r="A488" s="33"/>
      <c r="B488" s="33"/>
      <c r="C488" s="33"/>
      <c r="D488" s="54"/>
      <c r="E488" s="33"/>
      <c r="F488" s="33"/>
      <c r="G488" s="55"/>
      <c r="H488" s="33"/>
      <c r="I488" s="33"/>
      <c r="J488" s="55"/>
      <c r="K488" s="56"/>
      <c r="L488" s="56"/>
      <c r="M488" s="56"/>
      <c r="N488" s="56"/>
      <c r="O488" s="56"/>
      <c r="P488" s="56"/>
      <c r="Q488" s="56"/>
      <c r="R488" s="56"/>
      <c r="S488" s="56"/>
      <c r="T488" s="33"/>
    </row>
    <row r="489" spans="1:20" ht="15.75" customHeight="1" x14ac:dyDescent="0.3">
      <c r="A489" s="33"/>
      <c r="B489" s="33"/>
      <c r="C489" s="33"/>
      <c r="D489" s="54"/>
      <c r="E489" s="33"/>
      <c r="F489" s="33"/>
      <c r="G489" s="55"/>
      <c r="H489" s="33"/>
      <c r="I489" s="33"/>
      <c r="J489" s="55"/>
      <c r="K489" s="56"/>
      <c r="L489" s="56"/>
      <c r="M489" s="56"/>
      <c r="N489" s="56"/>
      <c r="O489" s="56"/>
      <c r="P489" s="56"/>
      <c r="Q489" s="56"/>
      <c r="R489" s="56"/>
      <c r="S489" s="56"/>
      <c r="T489" s="33"/>
    </row>
    <row r="490" spans="1:20" ht="15.75" customHeight="1" x14ac:dyDescent="0.3">
      <c r="A490" s="33"/>
      <c r="B490" s="33"/>
      <c r="C490" s="33"/>
      <c r="D490" s="54"/>
      <c r="E490" s="33"/>
      <c r="F490" s="33"/>
      <c r="G490" s="55"/>
      <c r="H490" s="33"/>
      <c r="I490" s="33"/>
      <c r="J490" s="55"/>
      <c r="K490" s="56"/>
      <c r="L490" s="56"/>
      <c r="M490" s="56"/>
      <c r="N490" s="56"/>
      <c r="O490" s="56"/>
      <c r="P490" s="56"/>
      <c r="Q490" s="56"/>
      <c r="R490" s="56"/>
      <c r="S490" s="56"/>
      <c r="T490" s="33"/>
    </row>
    <row r="491" spans="1:20" ht="15.75" customHeight="1" x14ac:dyDescent="0.3">
      <c r="A491" s="33"/>
      <c r="B491" s="33"/>
      <c r="C491" s="33"/>
      <c r="D491" s="54"/>
      <c r="E491" s="33"/>
      <c r="F491" s="33"/>
      <c r="G491" s="55"/>
      <c r="H491" s="33"/>
      <c r="I491" s="33"/>
      <c r="J491" s="55"/>
      <c r="K491" s="56"/>
      <c r="L491" s="56"/>
      <c r="M491" s="56"/>
      <c r="N491" s="56"/>
      <c r="O491" s="56"/>
      <c r="P491" s="56"/>
      <c r="Q491" s="56"/>
      <c r="R491" s="56"/>
      <c r="S491" s="56"/>
      <c r="T491" s="33"/>
    </row>
    <row r="492" spans="1:20" ht="15.75" customHeight="1" x14ac:dyDescent="0.3">
      <c r="A492" s="33"/>
      <c r="B492" s="33"/>
      <c r="C492" s="33"/>
      <c r="D492" s="54"/>
      <c r="E492" s="33"/>
      <c r="F492" s="33"/>
      <c r="G492" s="55"/>
      <c r="H492" s="33"/>
      <c r="I492" s="33"/>
      <c r="J492" s="55"/>
      <c r="K492" s="56"/>
      <c r="L492" s="56"/>
      <c r="M492" s="56"/>
      <c r="N492" s="56"/>
      <c r="O492" s="56"/>
      <c r="P492" s="56"/>
      <c r="Q492" s="56"/>
      <c r="R492" s="56"/>
      <c r="S492" s="56"/>
      <c r="T492" s="33"/>
    </row>
    <row r="493" spans="1:20" ht="15.75" customHeight="1" x14ac:dyDescent="0.3">
      <c r="A493" s="33"/>
      <c r="B493" s="33"/>
      <c r="C493" s="33"/>
      <c r="D493" s="54"/>
      <c r="E493" s="33"/>
      <c r="F493" s="33"/>
      <c r="G493" s="55"/>
      <c r="H493" s="33"/>
      <c r="I493" s="33"/>
      <c r="J493" s="55"/>
      <c r="K493" s="56"/>
      <c r="L493" s="56"/>
      <c r="M493" s="56"/>
      <c r="N493" s="56"/>
      <c r="O493" s="56"/>
      <c r="P493" s="56"/>
      <c r="Q493" s="56"/>
      <c r="R493" s="56"/>
      <c r="S493" s="56"/>
      <c r="T493" s="33"/>
    </row>
    <row r="494" spans="1:20" ht="15.75" customHeight="1" x14ac:dyDescent="0.3">
      <c r="A494" s="33"/>
      <c r="B494" s="33"/>
      <c r="C494" s="33"/>
      <c r="D494" s="54"/>
      <c r="E494" s="33"/>
      <c r="F494" s="33"/>
      <c r="G494" s="55"/>
      <c r="H494" s="33"/>
      <c r="I494" s="33"/>
      <c r="J494" s="55"/>
      <c r="K494" s="56"/>
      <c r="L494" s="56"/>
      <c r="M494" s="56"/>
      <c r="N494" s="56"/>
      <c r="O494" s="56"/>
      <c r="P494" s="56"/>
      <c r="Q494" s="56"/>
      <c r="R494" s="56"/>
      <c r="S494" s="56"/>
      <c r="T494" s="33"/>
    </row>
    <row r="495" spans="1:20" ht="15.75" customHeight="1" x14ac:dyDescent="0.3">
      <c r="A495" s="33"/>
      <c r="B495" s="33"/>
      <c r="C495" s="33"/>
      <c r="D495" s="54"/>
      <c r="E495" s="33"/>
      <c r="F495" s="33"/>
      <c r="G495" s="55"/>
      <c r="H495" s="33"/>
      <c r="I495" s="33"/>
      <c r="J495" s="55"/>
      <c r="K495" s="56"/>
      <c r="L495" s="56"/>
      <c r="M495" s="56"/>
      <c r="N495" s="56"/>
      <c r="O495" s="56"/>
      <c r="P495" s="56"/>
      <c r="Q495" s="56"/>
      <c r="R495" s="56"/>
      <c r="S495" s="56"/>
      <c r="T495" s="33"/>
    </row>
    <row r="496" spans="1:20" ht="15.75" customHeight="1" x14ac:dyDescent="0.3">
      <c r="A496" s="33"/>
      <c r="B496" s="33"/>
      <c r="C496" s="33"/>
      <c r="D496" s="54"/>
      <c r="E496" s="33"/>
      <c r="F496" s="33"/>
      <c r="G496" s="55"/>
      <c r="H496" s="33"/>
      <c r="I496" s="33"/>
      <c r="J496" s="55"/>
      <c r="K496" s="56"/>
      <c r="L496" s="56"/>
      <c r="M496" s="56"/>
      <c r="N496" s="56"/>
      <c r="O496" s="56"/>
      <c r="P496" s="56"/>
      <c r="Q496" s="56"/>
      <c r="R496" s="56"/>
      <c r="S496" s="56"/>
      <c r="T496" s="33"/>
    </row>
    <row r="497" spans="1:20" ht="15.75" customHeight="1" x14ac:dyDescent="0.3">
      <c r="A497" s="33"/>
      <c r="B497" s="33"/>
      <c r="C497" s="33"/>
      <c r="D497" s="54"/>
      <c r="E497" s="33"/>
      <c r="F497" s="33"/>
      <c r="G497" s="55"/>
      <c r="H497" s="33"/>
      <c r="I497" s="33"/>
      <c r="J497" s="55"/>
      <c r="K497" s="56"/>
      <c r="L497" s="56"/>
      <c r="M497" s="56"/>
      <c r="N497" s="56"/>
      <c r="O497" s="56"/>
      <c r="P497" s="56"/>
      <c r="Q497" s="56"/>
      <c r="R497" s="56"/>
      <c r="S497" s="56"/>
      <c r="T497" s="33"/>
    </row>
    <row r="498" spans="1:20" ht="15.75" customHeight="1" x14ac:dyDescent="0.3">
      <c r="A498" s="33"/>
      <c r="B498" s="33"/>
      <c r="C498" s="33"/>
      <c r="D498" s="54"/>
      <c r="E498" s="33"/>
      <c r="F498" s="33"/>
      <c r="G498" s="55"/>
      <c r="H498" s="33"/>
      <c r="I498" s="33"/>
      <c r="J498" s="55"/>
      <c r="K498" s="56"/>
      <c r="L498" s="56"/>
      <c r="M498" s="56"/>
      <c r="N498" s="56"/>
      <c r="O498" s="56"/>
      <c r="P498" s="56"/>
      <c r="Q498" s="56"/>
      <c r="R498" s="56"/>
      <c r="S498" s="56"/>
      <c r="T498" s="33"/>
    </row>
    <row r="499" spans="1:20" ht="15.75" customHeight="1" x14ac:dyDescent="0.3">
      <c r="A499" s="33"/>
      <c r="B499" s="33"/>
      <c r="C499" s="33"/>
      <c r="D499" s="54"/>
      <c r="E499" s="33"/>
      <c r="F499" s="33"/>
      <c r="G499" s="55"/>
      <c r="H499" s="33"/>
      <c r="I499" s="33"/>
      <c r="J499" s="55"/>
      <c r="K499" s="56"/>
      <c r="L499" s="56"/>
      <c r="M499" s="56"/>
      <c r="N499" s="56"/>
      <c r="O499" s="56"/>
      <c r="P499" s="56"/>
      <c r="Q499" s="56"/>
      <c r="R499" s="56"/>
      <c r="S499" s="56"/>
      <c r="T499" s="33"/>
    </row>
    <row r="500" spans="1:20" ht="15.75" customHeight="1" x14ac:dyDescent="0.3">
      <c r="A500" s="33"/>
      <c r="B500" s="33"/>
      <c r="C500" s="33"/>
      <c r="D500" s="54"/>
      <c r="E500" s="33"/>
      <c r="F500" s="33"/>
      <c r="G500" s="55"/>
      <c r="H500" s="33"/>
      <c r="I500" s="33"/>
      <c r="J500" s="55"/>
      <c r="K500" s="56"/>
      <c r="L500" s="56"/>
      <c r="M500" s="56"/>
      <c r="N500" s="56"/>
      <c r="O500" s="56"/>
      <c r="P500" s="56"/>
      <c r="Q500" s="56"/>
      <c r="R500" s="56"/>
      <c r="S500" s="56"/>
      <c r="T500" s="33"/>
    </row>
    <row r="501" spans="1:20" ht="15.75" customHeight="1" x14ac:dyDescent="0.3">
      <c r="A501" s="33"/>
      <c r="B501" s="33"/>
      <c r="C501" s="33"/>
      <c r="D501" s="54"/>
      <c r="E501" s="33"/>
      <c r="F501" s="33"/>
      <c r="G501" s="55"/>
      <c r="H501" s="33"/>
      <c r="I501" s="33"/>
      <c r="J501" s="55"/>
      <c r="K501" s="56"/>
      <c r="L501" s="56"/>
      <c r="M501" s="56"/>
      <c r="N501" s="56"/>
      <c r="O501" s="56"/>
      <c r="P501" s="56"/>
      <c r="Q501" s="56"/>
      <c r="R501" s="56"/>
      <c r="S501" s="56"/>
      <c r="T501" s="33"/>
    </row>
    <row r="502" spans="1:20" ht="15.75" customHeight="1" x14ac:dyDescent="0.3">
      <c r="A502" s="33"/>
      <c r="B502" s="33"/>
      <c r="C502" s="33"/>
      <c r="D502" s="54"/>
      <c r="E502" s="33"/>
      <c r="F502" s="33"/>
      <c r="G502" s="55"/>
      <c r="H502" s="33"/>
      <c r="I502" s="33"/>
      <c r="J502" s="55"/>
      <c r="K502" s="56"/>
      <c r="L502" s="56"/>
      <c r="M502" s="56"/>
      <c r="N502" s="56"/>
      <c r="O502" s="56"/>
      <c r="P502" s="56"/>
      <c r="Q502" s="56"/>
      <c r="R502" s="56"/>
      <c r="S502" s="56"/>
      <c r="T502" s="33"/>
    </row>
    <row r="503" spans="1:20" ht="15.75" customHeight="1" x14ac:dyDescent="0.3">
      <c r="A503" s="33"/>
      <c r="B503" s="33"/>
      <c r="C503" s="33"/>
      <c r="D503" s="54"/>
      <c r="E503" s="33"/>
      <c r="F503" s="33"/>
      <c r="G503" s="55"/>
      <c r="H503" s="33"/>
      <c r="I503" s="33"/>
      <c r="J503" s="55"/>
      <c r="K503" s="56"/>
      <c r="L503" s="56"/>
      <c r="M503" s="56"/>
      <c r="N503" s="56"/>
      <c r="O503" s="56"/>
      <c r="P503" s="56"/>
      <c r="Q503" s="56"/>
      <c r="R503" s="56"/>
      <c r="S503" s="56"/>
      <c r="T503" s="33"/>
    </row>
    <row r="504" spans="1:20" ht="15.75" customHeight="1" x14ac:dyDescent="0.3">
      <c r="A504" s="33"/>
      <c r="B504" s="33"/>
      <c r="C504" s="33"/>
      <c r="D504" s="54"/>
      <c r="E504" s="33"/>
      <c r="F504" s="33"/>
      <c r="G504" s="55"/>
      <c r="H504" s="33"/>
      <c r="I504" s="33"/>
      <c r="J504" s="55"/>
      <c r="K504" s="56"/>
      <c r="L504" s="56"/>
      <c r="M504" s="56"/>
      <c r="N504" s="56"/>
      <c r="O504" s="56"/>
      <c r="P504" s="56"/>
      <c r="Q504" s="56"/>
      <c r="R504" s="56"/>
      <c r="S504" s="56"/>
      <c r="T504" s="33"/>
    </row>
    <row r="505" spans="1:20" ht="15.75" customHeight="1" x14ac:dyDescent="0.3">
      <c r="A505" s="33"/>
      <c r="B505" s="33"/>
      <c r="C505" s="33"/>
      <c r="D505" s="54"/>
      <c r="E505" s="33"/>
      <c r="F505" s="33"/>
      <c r="G505" s="55"/>
      <c r="H505" s="33"/>
      <c r="I505" s="33"/>
      <c r="J505" s="55"/>
      <c r="K505" s="56"/>
      <c r="L505" s="56"/>
      <c r="M505" s="56"/>
      <c r="N505" s="56"/>
      <c r="O505" s="56"/>
      <c r="P505" s="56"/>
      <c r="Q505" s="56"/>
      <c r="R505" s="56"/>
      <c r="S505" s="56"/>
      <c r="T505" s="33"/>
    </row>
    <row r="506" spans="1:20" ht="15.75" customHeight="1" x14ac:dyDescent="0.3">
      <c r="A506" s="33"/>
      <c r="B506" s="33"/>
      <c r="C506" s="33"/>
      <c r="D506" s="54"/>
      <c r="E506" s="33"/>
      <c r="F506" s="33"/>
      <c r="G506" s="55"/>
      <c r="H506" s="33"/>
      <c r="I506" s="33"/>
      <c r="J506" s="55"/>
      <c r="K506" s="56"/>
      <c r="L506" s="56"/>
      <c r="M506" s="56"/>
      <c r="N506" s="56"/>
      <c r="O506" s="56"/>
      <c r="P506" s="56"/>
      <c r="Q506" s="56"/>
      <c r="R506" s="56"/>
      <c r="S506" s="56"/>
      <c r="T506" s="33"/>
    </row>
    <row r="507" spans="1:20" ht="15.75" customHeight="1" x14ac:dyDescent="0.3">
      <c r="A507" s="33"/>
      <c r="B507" s="33"/>
      <c r="C507" s="33"/>
      <c r="D507" s="54"/>
      <c r="E507" s="33"/>
      <c r="F507" s="33"/>
      <c r="G507" s="55"/>
      <c r="H507" s="33"/>
      <c r="I507" s="33"/>
      <c r="J507" s="55"/>
      <c r="K507" s="56"/>
      <c r="L507" s="56"/>
      <c r="M507" s="56"/>
      <c r="N507" s="56"/>
      <c r="O507" s="56"/>
      <c r="P507" s="56"/>
      <c r="Q507" s="56"/>
      <c r="R507" s="56"/>
      <c r="S507" s="56"/>
      <c r="T507" s="33"/>
    </row>
    <row r="508" spans="1:20" ht="15.75" customHeight="1" x14ac:dyDescent="0.3">
      <c r="A508" s="33"/>
      <c r="B508" s="33"/>
      <c r="C508" s="33"/>
      <c r="D508" s="54"/>
      <c r="E508" s="33"/>
      <c r="F508" s="33"/>
      <c r="G508" s="55"/>
      <c r="H508" s="33"/>
      <c r="I508" s="33"/>
      <c r="J508" s="55"/>
      <c r="K508" s="56"/>
      <c r="L508" s="56"/>
      <c r="M508" s="56"/>
      <c r="N508" s="56"/>
      <c r="O508" s="56"/>
      <c r="P508" s="56"/>
      <c r="Q508" s="56"/>
      <c r="R508" s="56"/>
      <c r="S508" s="56"/>
      <c r="T508" s="33"/>
    </row>
    <row r="509" spans="1:20" ht="15.75" customHeight="1" x14ac:dyDescent="0.3">
      <c r="A509" s="33"/>
      <c r="B509" s="33"/>
      <c r="C509" s="33"/>
      <c r="D509" s="54"/>
      <c r="E509" s="33"/>
      <c r="F509" s="33"/>
      <c r="G509" s="55"/>
      <c r="H509" s="33"/>
      <c r="I509" s="33"/>
      <c r="J509" s="55"/>
      <c r="K509" s="56"/>
      <c r="L509" s="56"/>
      <c r="M509" s="56"/>
      <c r="N509" s="56"/>
      <c r="O509" s="56"/>
      <c r="P509" s="56"/>
      <c r="Q509" s="56"/>
      <c r="R509" s="56"/>
      <c r="S509" s="56"/>
      <c r="T509" s="33"/>
    </row>
    <row r="510" spans="1:20" ht="15.75" customHeight="1" x14ac:dyDescent="0.3">
      <c r="A510" s="33"/>
      <c r="B510" s="33"/>
      <c r="C510" s="33"/>
      <c r="D510" s="54"/>
      <c r="E510" s="33"/>
      <c r="F510" s="33"/>
      <c r="G510" s="55"/>
      <c r="H510" s="33"/>
      <c r="I510" s="33"/>
      <c r="J510" s="55"/>
      <c r="K510" s="56"/>
      <c r="L510" s="56"/>
      <c r="M510" s="56"/>
      <c r="N510" s="56"/>
      <c r="O510" s="56"/>
      <c r="P510" s="56"/>
      <c r="Q510" s="56"/>
      <c r="R510" s="56"/>
      <c r="S510" s="56"/>
      <c r="T510" s="33"/>
    </row>
    <row r="511" spans="1:20" ht="15.75" customHeight="1" x14ac:dyDescent="0.3">
      <c r="A511" s="33"/>
      <c r="B511" s="33"/>
      <c r="C511" s="33"/>
      <c r="D511" s="54"/>
      <c r="E511" s="33"/>
      <c r="F511" s="33"/>
      <c r="G511" s="55"/>
      <c r="H511" s="33"/>
      <c r="I511" s="33"/>
      <c r="J511" s="55"/>
      <c r="K511" s="56"/>
      <c r="L511" s="56"/>
      <c r="M511" s="56"/>
      <c r="N511" s="56"/>
      <c r="O511" s="56"/>
      <c r="P511" s="56"/>
      <c r="Q511" s="56"/>
      <c r="R511" s="56"/>
      <c r="S511" s="56"/>
      <c r="T511" s="33"/>
    </row>
    <row r="512" spans="1:20" ht="15.75" customHeight="1" x14ac:dyDescent="0.3">
      <c r="A512" s="33"/>
      <c r="B512" s="33"/>
      <c r="C512" s="33"/>
      <c r="D512" s="54"/>
      <c r="E512" s="33"/>
      <c r="F512" s="33"/>
      <c r="G512" s="55"/>
      <c r="H512" s="33"/>
      <c r="I512" s="33"/>
      <c r="J512" s="55"/>
      <c r="K512" s="56"/>
      <c r="L512" s="56"/>
      <c r="M512" s="56"/>
      <c r="N512" s="56"/>
      <c r="O512" s="56"/>
      <c r="P512" s="56"/>
      <c r="Q512" s="56"/>
      <c r="R512" s="56"/>
      <c r="S512" s="56"/>
      <c r="T512" s="33"/>
    </row>
    <row r="513" spans="1:20" ht="15.75" customHeight="1" x14ac:dyDescent="0.3">
      <c r="A513" s="33"/>
      <c r="B513" s="33"/>
      <c r="C513" s="33"/>
      <c r="D513" s="54"/>
      <c r="E513" s="33"/>
      <c r="F513" s="33"/>
      <c r="G513" s="55"/>
      <c r="H513" s="33"/>
      <c r="I513" s="33"/>
      <c r="J513" s="55"/>
      <c r="K513" s="56"/>
      <c r="L513" s="56"/>
      <c r="M513" s="56"/>
      <c r="N513" s="56"/>
      <c r="O513" s="56"/>
      <c r="P513" s="56"/>
      <c r="Q513" s="56"/>
      <c r="R513" s="56"/>
      <c r="S513" s="56"/>
      <c r="T513" s="33"/>
    </row>
    <row r="514" spans="1:20" ht="15.75" customHeight="1" x14ac:dyDescent="0.3">
      <c r="A514" s="33"/>
      <c r="B514" s="33"/>
      <c r="C514" s="33"/>
      <c r="D514" s="54"/>
      <c r="E514" s="33"/>
      <c r="F514" s="33"/>
      <c r="G514" s="55"/>
      <c r="H514" s="33"/>
      <c r="I514" s="33"/>
      <c r="J514" s="55"/>
      <c r="K514" s="56"/>
      <c r="L514" s="56"/>
      <c r="M514" s="56"/>
      <c r="N514" s="56"/>
      <c r="O514" s="56"/>
      <c r="P514" s="56"/>
      <c r="Q514" s="56"/>
      <c r="R514" s="56"/>
      <c r="S514" s="56"/>
      <c r="T514" s="33"/>
    </row>
    <row r="515" spans="1:20" ht="15.75" customHeight="1" x14ac:dyDescent="0.3">
      <c r="A515" s="33"/>
      <c r="B515" s="33"/>
      <c r="C515" s="33"/>
      <c r="D515" s="54"/>
      <c r="E515" s="33"/>
      <c r="F515" s="33"/>
      <c r="G515" s="55"/>
      <c r="H515" s="33"/>
      <c r="I515" s="33"/>
      <c r="J515" s="55"/>
      <c r="K515" s="56"/>
      <c r="L515" s="56"/>
      <c r="M515" s="56"/>
      <c r="N515" s="56"/>
      <c r="O515" s="56"/>
      <c r="P515" s="56"/>
      <c r="Q515" s="56"/>
      <c r="R515" s="56"/>
      <c r="S515" s="56"/>
      <c r="T515" s="33"/>
    </row>
    <row r="516" spans="1:20" ht="15.75" customHeight="1" x14ac:dyDescent="0.3">
      <c r="A516" s="33"/>
      <c r="B516" s="33"/>
      <c r="C516" s="33"/>
      <c r="D516" s="54"/>
      <c r="E516" s="33"/>
      <c r="F516" s="33"/>
      <c r="G516" s="55"/>
      <c r="H516" s="33"/>
      <c r="I516" s="33"/>
      <c r="J516" s="55"/>
      <c r="K516" s="56"/>
      <c r="L516" s="56"/>
      <c r="M516" s="56"/>
      <c r="N516" s="56"/>
      <c r="O516" s="56"/>
      <c r="P516" s="56"/>
      <c r="Q516" s="56"/>
      <c r="R516" s="56"/>
      <c r="S516" s="56"/>
      <c r="T516" s="33"/>
    </row>
    <row r="517" spans="1:20" ht="15.75" customHeight="1" x14ac:dyDescent="0.3">
      <c r="A517" s="33"/>
      <c r="B517" s="33"/>
      <c r="C517" s="33"/>
      <c r="D517" s="54"/>
      <c r="E517" s="33"/>
      <c r="F517" s="33"/>
      <c r="G517" s="55"/>
      <c r="H517" s="33"/>
      <c r="I517" s="33"/>
      <c r="J517" s="55"/>
      <c r="K517" s="56"/>
      <c r="L517" s="56"/>
      <c r="M517" s="56"/>
      <c r="N517" s="56"/>
      <c r="O517" s="56"/>
      <c r="P517" s="56"/>
      <c r="Q517" s="56"/>
      <c r="R517" s="56"/>
      <c r="S517" s="56"/>
      <c r="T517" s="33"/>
    </row>
    <row r="518" spans="1:20" ht="15.75" customHeight="1" x14ac:dyDescent="0.3">
      <c r="A518" s="33"/>
      <c r="B518" s="33"/>
      <c r="C518" s="33"/>
      <c r="D518" s="54"/>
      <c r="E518" s="33"/>
      <c r="F518" s="33"/>
      <c r="G518" s="55"/>
      <c r="H518" s="33"/>
      <c r="I518" s="33"/>
      <c r="J518" s="55"/>
      <c r="K518" s="56"/>
      <c r="L518" s="56"/>
      <c r="M518" s="56"/>
      <c r="N518" s="56"/>
      <c r="O518" s="56"/>
      <c r="P518" s="56"/>
      <c r="Q518" s="56"/>
      <c r="R518" s="56"/>
      <c r="S518" s="56"/>
      <c r="T518" s="33"/>
    </row>
    <row r="519" spans="1:20" ht="15.75" customHeight="1" x14ac:dyDescent="0.3">
      <c r="A519" s="33"/>
      <c r="B519" s="33"/>
      <c r="C519" s="33"/>
      <c r="D519" s="54"/>
      <c r="E519" s="33"/>
      <c r="F519" s="33"/>
      <c r="G519" s="55"/>
      <c r="H519" s="33"/>
      <c r="I519" s="33"/>
      <c r="J519" s="55"/>
      <c r="K519" s="56"/>
      <c r="L519" s="56"/>
      <c r="M519" s="56"/>
      <c r="N519" s="56"/>
      <c r="O519" s="56"/>
      <c r="P519" s="56"/>
      <c r="Q519" s="56"/>
      <c r="R519" s="56"/>
      <c r="S519" s="56"/>
      <c r="T519" s="33"/>
    </row>
    <row r="520" spans="1:20" ht="15.75" customHeight="1" x14ac:dyDescent="0.3">
      <c r="A520" s="33"/>
      <c r="B520" s="33"/>
      <c r="C520" s="33"/>
      <c r="D520" s="54"/>
      <c r="E520" s="33"/>
      <c r="F520" s="33"/>
      <c r="G520" s="55"/>
      <c r="H520" s="33"/>
      <c r="I520" s="33"/>
      <c r="J520" s="55"/>
      <c r="K520" s="56"/>
      <c r="L520" s="56"/>
      <c r="M520" s="56"/>
      <c r="N520" s="56"/>
      <c r="O520" s="56"/>
      <c r="P520" s="56"/>
      <c r="Q520" s="56"/>
      <c r="R520" s="56"/>
      <c r="S520" s="56"/>
      <c r="T520" s="33"/>
    </row>
    <row r="521" spans="1:20" ht="15.75" customHeight="1" x14ac:dyDescent="0.3">
      <c r="A521" s="33"/>
      <c r="B521" s="33"/>
      <c r="C521" s="33"/>
      <c r="D521" s="54"/>
      <c r="E521" s="33"/>
      <c r="F521" s="33"/>
      <c r="G521" s="55"/>
      <c r="H521" s="33"/>
      <c r="I521" s="33"/>
      <c r="J521" s="55"/>
      <c r="K521" s="56"/>
      <c r="L521" s="56"/>
      <c r="M521" s="56"/>
      <c r="N521" s="56"/>
      <c r="O521" s="56"/>
      <c r="P521" s="56"/>
      <c r="Q521" s="56"/>
      <c r="R521" s="56"/>
      <c r="S521" s="56"/>
      <c r="T521" s="33"/>
    </row>
    <row r="522" spans="1:20" ht="15.75" customHeight="1" x14ac:dyDescent="0.3">
      <c r="A522" s="33"/>
      <c r="B522" s="33"/>
      <c r="C522" s="33"/>
      <c r="D522" s="54"/>
      <c r="E522" s="33"/>
      <c r="F522" s="33"/>
      <c r="G522" s="55"/>
      <c r="H522" s="33"/>
      <c r="I522" s="33"/>
      <c r="J522" s="55"/>
      <c r="K522" s="56"/>
      <c r="L522" s="56"/>
      <c r="M522" s="56"/>
      <c r="N522" s="56"/>
      <c r="O522" s="56"/>
      <c r="P522" s="56"/>
      <c r="Q522" s="56"/>
      <c r="R522" s="56"/>
      <c r="S522" s="56"/>
      <c r="T522" s="33"/>
    </row>
    <row r="523" spans="1:20" ht="15.75" customHeight="1" x14ac:dyDescent="0.3">
      <c r="A523" s="33"/>
      <c r="B523" s="33"/>
      <c r="C523" s="33"/>
      <c r="D523" s="54"/>
      <c r="E523" s="33"/>
      <c r="F523" s="33"/>
      <c r="G523" s="55"/>
      <c r="H523" s="33"/>
      <c r="I523" s="33"/>
      <c r="J523" s="55"/>
      <c r="K523" s="56"/>
      <c r="L523" s="56"/>
      <c r="M523" s="56"/>
      <c r="N523" s="56"/>
      <c r="O523" s="56"/>
      <c r="P523" s="56"/>
      <c r="Q523" s="56"/>
      <c r="R523" s="56"/>
      <c r="S523" s="56"/>
      <c r="T523" s="33"/>
    </row>
    <row r="524" spans="1:20" ht="15.75" customHeight="1" x14ac:dyDescent="0.3">
      <c r="A524" s="33"/>
      <c r="B524" s="33"/>
      <c r="C524" s="33"/>
      <c r="D524" s="54"/>
      <c r="E524" s="33"/>
      <c r="F524" s="33"/>
      <c r="G524" s="55"/>
      <c r="H524" s="33"/>
      <c r="I524" s="33"/>
      <c r="J524" s="55"/>
      <c r="K524" s="56"/>
      <c r="L524" s="56"/>
      <c r="M524" s="56"/>
      <c r="N524" s="56"/>
      <c r="O524" s="56"/>
      <c r="P524" s="56"/>
      <c r="Q524" s="56"/>
      <c r="R524" s="56"/>
      <c r="S524" s="56"/>
      <c r="T524" s="33"/>
    </row>
    <row r="525" spans="1:20" ht="15.75" customHeight="1" x14ac:dyDescent="0.3">
      <c r="A525" s="33"/>
      <c r="B525" s="33"/>
      <c r="C525" s="33"/>
      <c r="D525" s="54"/>
      <c r="E525" s="33"/>
      <c r="F525" s="33"/>
      <c r="G525" s="55"/>
      <c r="H525" s="33"/>
      <c r="I525" s="33"/>
      <c r="J525" s="55"/>
      <c r="K525" s="56"/>
      <c r="L525" s="56"/>
      <c r="M525" s="56"/>
      <c r="N525" s="56"/>
      <c r="O525" s="56"/>
      <c r="P525" s="56"/>
      <c r="Q525" s="56"/>
      <c r="R525" s="56"/>
      <c r="S525" s="56"/>
      <c r="T525" s="33"/>
    </row>
    <row r="526" spans="1:20" ht="15.75" customHeight="1" x14ac:dyDescent="0.3">
      <c r="A526" s="33"/>
      <c r="B526" s="33"/>
      <c r="C526" s="33"/>
      <c r="D526" s="54"/>
      <c r="E526" s="33"/>
      <c r="F526" s="33"/>
      <c r="G526" s="55"/>
      <c r="H526" s="33"/>
      <c r="I526" s="33"/>
      <c r="J526" s="55"/>
      <c r="K526" s="56"/>
      <c r="L526" s="56"/>
      <c r="M526" s="56"/>
      <c r="N526" s="56"/>
      <c r="O526" s="56"/>
      <c r="P526" s="56"/>
      <c r="Q526" s="56"/>
      <c r="R526" s="56"/>
      <c r="S526" s="56"/>
      <c r="T526" s="33"/>
    </row>
    <row r="527" spans="1:20" ht="15.75" customHeight="1" x14ac:dyDescent="0.3">
      <c r="A527" s="33"/>
      <c r="B527" s="33"/>
      <c r="C527" s="33"/>
      <c r="D527" s="54"/>
      <c r="E527" s="33"/>
      <c r="F527" s="33"/>
      <c r="G527" s="55"/>
      <c r="H527" s="33"/>
      <c r="I527" s="33"/>
      <c r="J527" s="55"/>
      <c r="K527" s="56"/>
      <c r="L527" s="56"/>
      <c r="M527" s="56"/>
      <c r="N527" s="56"/>
      <c r="O527" s="56"/>
      <c r="P527" s="56"/>
      <c r="Q527" s="56"/>
      <c r="R527" s="56"/>
      <c r="S527" s="56"/>
      <c r="T527" s="33"/>
    </row>
    <row r="528" spans="1:20" ht="15.75" customHeight="1" x14ac:dyDescent="0.3">
      <c r="A528" s="33"/>
      <c r="B528" s="33"/>
      <c r="C528" s="33"/>
      <c r="D528" s="54"/>
      <c r="E528" s="33"/>
      <c r="F528" s="33"/>
      <c r="G528" s="55"/>
      <c r="H528" s="33"/>
      <c r="I528" s="33"/>
      <c r="J528" s="55"/>
      <c r="K528" s="56"/>
      <c r="L528" s="56"/>
      <c r="M528" s="56"/>
      <c r="N528" s="56"/>
      <c r="O528" s="56"/>
      <c r="P528" s="56"/>
      <c r="Q528" s="56"/>
      <c r="R528" s="56"/>
      <c r="S528" s="56"/>
      <c r="T528" s="33"/>
    </row>
    <row r="529" spans="1:20" ht="15.75" customHeight="1" x14ac:dyDescent="0.3">
      <c r="A529" s="33"/>
      <c r="B529" s="33"/>
      <c r="C529" s="33"/>
      <c r="D529" s="54"/>
      <c r="E529" s="33"/>
      <c r="F529" s="33"/>
      <c r="G529" s="55"/>
      <c r="H529" s="33"/>
      <c r="I529" s="33"/>
      <c r="J529" s="55"/>
      <c r="K529" s="56"/>
      <c r="L529" s="56"/>
      <c r="M529" s="56"/>
      <c r="N529" s="56"/>
      <c r="O529" s="56"/>
      <c r="P529" s="56"/>
      <c r="Q529" s="56"/>
      <c r="R529" s="56"/>
      <c r="S529" s="56"/>
      <c r="T529" s="33"/>
    </row>
    <row r="530" spans="1:20" ht="15.75" customHeight="1" x14ac:dyDescent="0.3">
      <c r="A530" s="33"/>
      <c r="B530" s="33"/>
      <c r="C530" s="33"/>
      <c r="D530" s="54"/>
      <c r="E530" s="33"/>
      <c r="F530" s="33"/>
      <c r="G530" s="55"/>
      <c r="H530" s="33"/>
      <c r="I530" s="33"/>
      <c r="J530" s="55"/>
      <c r="K530" s="56"/>
      <c r="L530" s="56"/>
      <c r="M530" s="56"/>
      <c r="N530" s="56"/>
      <c r="O530" s="56"/>
      <c r="P530" s="56"/>
      <c r="Q530" s="56"/>
      <c r="R530" s="56"/>
      <c r="S530" s="56"/>
      <c r="T530" s="33"/>
    </row>
    <row r="531" spans="1:20" ht="15.75" customHeight="1" x14ac:dyDescent="0.3">
      <c r="A531" s="33"/>
      <c r="B531" s="33"/>
      <c r="C531" s="33"/>
      <c r="D531" s="54"/>
      <c r="E531" s="33"/>
      <c r="F531" s="33"/>
      <c r="G531" s="55"/>
      <c r="H531" s="33"/>
      <c r="I531" s="33"/>
      <c r="J531" s="55"/>
      <c r="K531" s="56"/>
      <c r="L531" s="56"/>
      <c r="M531" s="56"/>
      <c r="N531" s="56"/>
      <c r="O531" s="56"/>
      <c r="P531" s="56"/>
      <c r="Q531" s="56"/>
      <c r="R531" s="56"/>
      <c r="S531" s="56"/>
      <c r="T531" s="33"/>
    </row>
    <row r="532" spans="1:20" ht="15.75" customHeight="1" x14ac:dyDescent="0.3">
      <c r="A532" s="33"/>
      <c r="B532" s="33"/>
      <c r="C532" s="33"/>
      <c r="D532" s="54"/>
      <c r="E532" s="33"/>
      <c r="F532" s="33"/>
      <c r="G532" s="55"/>
      <c r="H532" s="33"/>
      <c r="I532" s="33"/>
      <c r="J532" s="55"/>
      <c r="K532" s="56"/>
      <c r="L532" s="56"/>
      <c r="M532" s="56"/>
      <c r="N532" s="56"/>
      <c r="O532" s="56"/>
      <c r="P532" s="56"/>
      <c r="Q532" s="56"/>
      <c r="R532" s="56"/>
      <c r="S532" s="56"/>
      <c r="T532" s="33"/>
    </row>
    <row r="533" spans="1:20" ht="15.75" customHeight="1" x14ac:dyDescent="0.3">
      <c r="A533" s="33"/>
      <c r="B533" s="33"/>
      <c r="C533" s="33"/>
      <c r="D533" s="54"/>
      <c r="E533" s="33"/>
      <c r="F533" s="33"/>
      <c r="G533" s="55"/>
      <c r="H533" s="33"/>
      <c r="I533" s="33"/>
      <c r="J533" s="55"/>
      <c r="K533" s="56"/>
      <c r="L533" s="56"/>
      <c r="M533" s="56"/>
      <c r="N533" s="56"/>
      <c r="O533" s="56"/>
      <c r="P533" s="56"/>
      <c r="Q533" s="56"/>
      <c r="R533" s="56"/>
      <c r="S533" s="56"/>
      <c r="T533" s="33"/>
    </row>
    <row r="534" spans="1:20" ht="15.75" customHeight="1" x14ac:dyDescent="0.3">
      <c r="A534" s="33"/>
      <c r="B534" s="33"/>
      <c r="C534" s="33"/>
      <c r="D534" s="54"/>
      <c r="E534" s="33"/>
      <c r="F534" s="33"/>
      <c r="G534" s="55"/>
      <c r="H534" s="33"/>
      <c r="I534" s="33"/>
      <c r="J534" s="55"/>
      <c r="K534" s="56"/>
      <c r="L534" s="56"/>
      <c r="M534" s="56"/>
      <c r="N534" s="56"/>
      <c r="O534" s="56"/>
      <c r="P534" s="56"/>
      <c r="Q534" s="56"/>
      <c r="R534" s="56"/>
      <c r="S534" s="56"/>
      <c r="T534" s="33"/>
    </row>
    <row r="535" spans="1:20" ht="15.75" customHeight="1" x14ac:dyDescent="0.3">
      <c r="A535" s="33"/>
      <c r="B535" s="33"/>
      <c r="C535" s="33"/>
      <c r="D535" s="54"/>
      <c r="E535" s="33"/>
      <c r="F535" s="33"/>
      <c r="G535" s="55"/>
      <c r="H535" s="33"/>
      <c r="I535" s="33"/>
      <c r="J535" s="55"/>
      <c r="K535" s="56"/>
      <c r="L535" s="56"/>
      <c r="M535" s="56"/>
      <c r="N535" s="56"/>
      <c r="O535" s="56"/>
      <c r="P535" s="56"/>
      <c r="Q535" s="56"/>
      <c r="R535" s="56"/>
      <c r="S535" s="56"/>
      <c r="T535" s="33"/>
    </row>
    <row r="536" spans="1:20" ht="15.75" customHeight="1" x14ac:dyDescent="0.3">
      <c r="A536" s="33"/>
      <c r="B536" s="33"/>
      <c r="C536" s="33"/>
      <c r="D536" s="54"/>
      <c r="E536" s="33"/>
      <c r="F536" s="33"/>
      <c r="G536" s="55"/>
      <c r="H536" s="33"/>
      <c r="I536" s="33"/>
      <c r="J536" s="55"/>
      <c r="K536" s="56"/>
      <c r="L536" s="56"/>
      <c r="M536" s="56"/>
      <c r="N536" s="56"/>
      <c r="O536" s="56"/>
      <c r="P536" s="56"/>
      <c r="Q536" s="56"/>
      <c r="R536" s="56"/>
      <c r="S536" s="56"/>
      <c r="T536" s="33"/>
    </row>
    <row r="537" spans="1:20" ht="15.75" customHeight="1" x14ac:dyDescent="0.3">
      <c r="A537" s="33"/>
      <c r="B537" s="33"/>
      <c r="C537" s="33"/>
      <c r="D537" s="54"/>
      <c r="E537" s="33"/>
      <c r="F537" s="33"/>
      <c r="G537" s="55"/>
      <c r="H537" s="33"/>
      <c r="I537" s="33"/>
      <c r="J537" s="55"/>
      <c r="K537" s="56"/>
      <c r="L537" s="56"/>
      <c r="M537" s="56"/>
      <c r="N537" s="56"/>
      <c r="O537" s="56"/>
      <c r="P537" s="56"/>
      <c r="Q537" s="56"/>
      <c r="R537" s="56"/>
      <c r="S537" s="56"/>
      <c r="T537" s="33"/>
    </row>
    <row r="538" spans="1:20" ht="15.75" customHeight="1" x14ac:dyDescent="0.3">
      <c r="A538" s="33"/>
      <c r="B538" s="33"/>
      <c r="C538" s="33"/>
      <c r="D538" s="54"/>
      <c r="E538" s="33"/>
      <c r="F538" s="33"/>
      <c r="G538" s="55"/>
      <c r="H538" s="33"/>
      <c r="I538" s="33"/>
      <c r="J538" s="55"/>
      <c r="K538" s="56"/>
      <c r="L538" s="56"/>
      <c r="M538" s="56"/>
      <c r="N538" s="56"/>
      <c r="O538" s="56"/>
      <c r="P538" s="56"/>
      <c r="Q538" s="56"/>
      <c r="R538" s="56"/>
      <c r="S538" s="56"/>
      <c r="T538" s="33"/>
    </row>
    <row r="539" spans="1:20" ht="15.75" customHeight="1" x14ac:dyDescent="0.3">
      <c r="A539" s="33"/>
      <c r="B539" s="33"/>
      <c r="C539" s="33"/>
      <c r="D539" s="54"/>
      <c r="E539" s="33"/>
      <c r="F539" s="33"/>
      <c r="G539" s="55"/>
      <c r="H539" s="33"/>
      <c r="I539" s="33"/>
      <c r="J539" s="55"/>
      <c r="K539" s="56"/>
      <c r="L539" s="56"/>
      <c r="M539" s="56"/>
      <c r="N539" s="56"/>
      <c r="O539" s="56"/>
      <c r="P539" s="56"/>
      <c r="Q539" s="56"/>
      <c r="R539" s="56"/>
      <c r="S539" s="56"/>
      <c r="T539" s="33"/>
    </row>
    <row r="540" spans="1:20" ht="15.75" customHeight="1" x14ac:dyDescent="0.3">
      <c r="A540" s="33"/>
      <c r="B540" s="33"/>
      <c r="C540" s="33"/>
      <c r="D540" s="54"/>
      <c r="E540" s="33"/>
      <c r="F540" s="33"/>
      <c r="G540" s="55"/>
      <c r="H540" s="33"/>
      <c r="I540" s="33"/>
      <c r="J540" s="55"/>
      <c r="K540" s="56"/>
      <c r="L540" s="56"/>
      <c r="M540" s="56"/>
      <c r="N540" s="56"/>
      <c r="O540" s="56"/>
      <c r="P540" s="56"/>
      <c r="Q540" s="56"/>
      <c r="R540" s="56"/>
      <c r="S540" s="56"/>
      <c r="T540" s="33"/>
    </row>
    <row r="541" spans="1:20" ht="15.75" customHeight="1" x14ac:dyDescent="0.3">
      <c r="A541" s="33"/>
      <c r="B541" s="33"/>
      <c r="C541" s="33"/>
      <c r="D541" s="54"/>
      <c r="E541" s="33"/>
      <c r="F541" s="33"/>
      <c r="G541" s="55"/>
      <c r="H541" s="33"/>
      <c r="I541" s="33"/>
      <c r="J541" s="55"/>
      <c r="K541" s="56"/>
      <c r="L541" s="56"/>
      <c r="M541" s="56"/>
      <c r="N541" s="56"/>
      <c r="O541" s="56"/>
      <c r="P541" s="56"/>
      <c r="Q541" s="56"/>
      <c r="R541" s="56"/>
      <c r="S541" s="56"/>
      <c r="T541" s="33"/>
    </row>
    <row r="542" spans="1:20" ht="15.75" customHeight="1" x14ac:dyDescent="0.3">
      <c r="A542" s="33"/>
      <c r="B542" s="33"/>
      <c r="C542" s="33"/>
      <c r="D542" s="54"/>
      <c r="E542" s="33"/>
      <c r="F542" s="33"/>
      <c r="G542" s="55"/>
      <c r="H542" s="33"/>
      <c r="I542" s="33"/>
      <c r="J542" s="55"/>
      <c r="K542" s="56"/>
      <c r="L542" s="56"/>
      <c r="M542" s="56"/>
      <c r="N542" s="56"/>
      <c r="O542" s="56"/>
      <c r="P542" s="56"/>
      <c r="Q542" s="56"/>
      <c r="R542" s="56"/>
      <c r="S542" s="56"/>
      <c r="T542" s="33"/>
    </row>
    <row r="543" spans="1:20" ht="15.75" customHeight="1" x14ac:dyDescent="0.3">
      <c r="A543" s="33"/>
      <c r="B543" s="33"/>
      <c r="C543" s="33"/>
      <c r="D543" s="54"/>
      <c r="E543" s="33"/>
      <c r="F543" s="33"/>
      <c r="G543" s="55"/>
      <c r="H543" s="33"/>
      <c r="I543" s="33"/>
      <c r="J543" s="55"/>
      <c r="K543" s="56"/>
      <c r="L543" s="56"/>
      <c r="M543" s="56"/>
      <c r="N543" s="56"/>
      <c r="O543" s="56"/>
      <c r="P543" s="56"/>
      <c r="Q543" s="56"/>
      <c r="R543" s="56"/>
      <c r="S543" s="56"/>
      <c r="T543" s="33"/>
    </row>
    <row r="544" spans="1:20" ht="15.75" customHeight="1" x14ac:dyDescent="0.3">
      <c r="A544" s="33"/>
      <c r="B544" s="33"/>
      <c r="C544" s="33"/>
      <c r="D544" s="54"/>
      <c r="E544" s="33"/>
      <c r="F544" s="33"/>
      <c r="G544" s="55"/>
      <c r="H544" s="33"/>
      <c r="I544" s="33"/>
      <c r="J544" s="55"/>
      <c r="K544" s="56"/>
      <c r="L544" s="56"/>
      <c r="M544" s="56"/>
      <c r="N544" s="56"/>
      <c r="O544" s="56"/>
      <c r="P544" s="56"/>
      <c r="Q544" s="56"/>
      <c r="R544" s="56"/>
      <c r="S544" s="56"/>
      <c r="T544" s="33"/>
    </row>
    <row r="545" spans="1:20" ht="15.75" customHeight="1" x14ac:dyDescent="0.3">
      <c r="A545" s="33"/>
      <c r="B545" s="33"/>
      <c r="C545" s="33"/>
      <c r="D545" s="54"/>
      <c r="E545" s="33"/>
      <c r="F545" s="33"/>
      <c r="G545" s="55"/>
      <c r="H545" s="33"/>
      <c r="I545" s="33"/>
      <c r="J545" s="55"/>
      <c r="K545" s="56"/>
      <c r="L545" s="56"/>
      <c r="M545" s="56"/>
      <c r="N545" s="56"/>
      <c r="O545" s="56"/>
      <c r="P545" s="56"/>
      <c r="Q545" s="56"/>
      <c r="R545" s="56"/>
      <c r="S545" s="56"/>
      <c r="T545" s="33"/>
    </row>
    <row r="546" spans="1:20" ht="15.75" customHeight="1" x14ac:dyDescent="0.3">
      <c r="A546" s="33"/>
      <c r="B546" s="33"/>
      <c r="C546" s="33"/>
      <c r="D546" s="54"/>
      <c r="E546" s="33"/>
      <c r="F546" s="33"/>
      <c r="G546" s="55"/>
      <c r="H546" s="33"/>
      <c r="I546" s="33"/>
      <c r="J546" s="55"/>
      <c r="K546" s="56"/>
      <c r="L546" s="56"/>
      <c r="M546" s="56"/>
      <c r="N546" s="56"/>
      <c r="O546" s="56"/>
      <c r="P546" s="56"/>
      <c r="Q546" s="56"/>
      <c r="R546" s="56"/>
      <c r="S546" s="56"/>
      <c r="T546" s="33"/>
    </row>
    <row r="547" spans="1:20" ht="15.75" customHeight="1" x14ac:dyDescent="0.3">
      <c r="A547" s="33"/>
      <c r="B547" s="33"/>
      <c r="C547" s="33"/>
      <c r="D547" s="54"/>
      <c r="E547" s="33"/>
      <c r="F547" s="33"/>
      <c r="G547" s="55"/>
      <c r="H547" s="33"/>
      <c r="I547" s="33"/>
      <c r="J547" s="55"/>
      <c r="K547" s="56"/>
      <c r="L547" s="56"/>
      <c r="M547" s="56"/>
      <c r="N547" s="56"/>
      <c r="O547" s="56"/>
      <c r="P547" s="56"/>
      <c r="Q547" s="56"/>
      <c r="R547" s="56"/>
      <c r="S547" s="56"/>
      <c r="T547" s="33"/>
    </row>
    <row r="548" spans="1:20" ht="15.75" customHeight="1" x14ac:dyDescent="0.3">
      <c r="A548" s="33"/>
      <c r="B548" s="33"/>
      <c r="C548" s="33"/>
      <c r="D548" s="54"/>
      <c r="E548" s="33"/>
      <c r="F548" s="33"/>
      <c r="G548" s="55"/>
      <c r="H548" s="33"/>
      <c r="I548" s="33"/>
      <c r="J548" s="55"/>
      <c r="K548" s="56"/>
      <c r="L548" s="56"/>
      <c r="M548" s="56"/>
      <c r="N548" s="56"/>
      <c r="O548" s="56"/>
      <c r="P548" s="56"/>
      <c r="Q548" s="56"/>
      <c r="R548" s="56"/>
      <c r="S548" s="56"/>
      <c r="T548" s="33"/>
    </row>
    <row r="549" spans="1:20" ht="15.75" customHeight="1" x14ac:dyDescent="0.3">
      <c r="A549" s="33"/>
      <c r="B549" s="33"/>
      <c r="C549" s="33"/>
      <c r="D549" s="54"/>
      <c r="E549" s="33"/>
      <c r="F549" s="33"/>
      <c r="G549" s="55"/>
      <c r="H549" s="33"/>
      <c r="I549" s="33"/>
      <c r="J549" s="55"/>
      <c r="K549" s="56"/>
      <c r="L549" s="56"/>
      <c r="M549" s="56"/>
      <c r="N549" s="56"/>
      <c r="O549" s="56"/>
      <c r="P549" s="56"/>
      <c r="Q549" s="56"/>
      <c r="R549" s="56"/>
      <c r="S549" s="56"/>
      <c r="T549" s="33"/>
    </row>
    <row r="550" spans="1:20" ht="15.75" customHeight="1" x14ac:dyDescent="0.3">
      <c r="A550" s="33"/>
      <c r="B550" s="33"/>
      <c r="C550" s="33"/>
      <c r="D550" s="54"/>
      <c r="E550" s="33"/>
      <c r="F550" s="33"/>
      <c r="G550" s="55"/>
      <c r="H550" s="33"/>
      <c r="I550" s="33"/>
      <c r="J550" s="55"/>
      <c r="K550" s="56"/>
      <c r="L550" s="56"/>
      <c r="M550" s="56"/>
      <c r="N550" s="56"/>
      <c r="O550" s="56"/>
      <c r="P550" s="56"/>
      <c r="Q550" s="56"/>
      <c r="R550" s="56"/>
      <c r="S550" s="56"/>
      <c r="T550" s="33"/>
    </row>
    <row r="551" spans="1:20" ht="15.75" customHeight="1" x14ac:dyDescent="0.3">
      <c r="A551" s="33"/>
      <c r="B551" s="33"/>
      <c r="C551" s="33"/>
      <c r="D551" s="54"/>
      <c r="E551" s="33"/>
      <c r="F551" s="33"/>
      <c r="G551" s="55"/>
      <c r="H551" s="33"/>
      <c r="I551" s="33"/>
      <c r="J551" s="55"/>
      <c r="K551" s="56"/>
      <c r="L551" s="56"/>
      <c r="M551" s="56"/>
      <c r="N551" s="56"/>
      <c r="O551" s="56"/>
      <c r="P551" s="56"/>
      <c r="Q551" s="56"/>
      <c r="R551" s="56"/>
      <c r="S551" s="56"/>
      <c r="T551" s="33"/>
    </row>
    <row r="552" spans="1:20" ht="15.75" customHeight="1" x14ac:dyDescent="0.3">
      <c r="A552" s="33"/>
      <c r="B552" s="33"/>
      <c r="C552" s="33"/>
      <c r="D552" s="54"/>
      <c r="E552" s="33"/>
      <c r="F552" s="33"/>
      <c r="G552" s="55"/>
      <c r="H552" s="33"/>
      <c r="I552" s="33"/>
      <c r="J552" s="55"/>
      <c r="K552" s="56"/>
      <c r="L552" s="56"/>
      <c r="M552" s="56"/>
      <c r="N552" s="56"/>
      <c r="O552" s="56"/>
      <c r="P552" s="56"/>
      <c r="Q552" s="56"/>
      <c r="R552" s="56"/>
      <c r="S552" s="56"/>
      <c r="T552" s="33"/>
    </row>
    <row r="553" spans="1:20" ht="15.75" customHeight="1" x14ac:dyDescent="0.3">
      <c r="A553" s="33"/>
      <c r="B553" s="33"/>
      <c r="C553" s="33"/>
      <c r="D553" s="54"/>
      <c r="E553" s="33"/>
      <c r="F553" s="33"/>
      <c r="G553" s="55"/>
      <c r="H553" s="33"/>
      <c r="I553" s="33"/>
      <c r="J553" s="55"/>
      <c r="K553" s="56"/>
      <c r="L553" s="56"/>
      <c r="M553" s="56"/>
      <c r="N553" s="56"/>
      <c r="O553" s="56"/>
      <c r="P553" s="56"/>
      <c r="Q553" s="56"/>
      <c r="R553" s="56"/>
      <c r="S553" s="56"/>
      <c r="T553" s="33"/>
    </row>
    <row r="554" spans="1:20" ht="15.75" customHeight="1" x14ac:dyDescent="0.3">
      <c r="A554" s="33"/>
      <c r="B554" s="33"/>
      <c r="C554" s="33"/>
      <c r="D554" s="54"/>
      <c r="E554" s="33"/>
      <c r="F554" s="33"/>
      <c r="G554" s="55"/>
      <c r="H554" s="33"/>
      <c r="I554" s="33"/>
      <c r="J554" s="55"/>
      <c r="K554" s="56"/>
      <c r="L554" s="56"/>
      <c r="M554" s="56"/>
      <c r="N554" s="56"/>
      <c r="O554" s="56"/>
      <c r="P554" s="56"/>
      <c r="Q554" s="56"/>
      <c r="R554" s="56"/>
      <c r="S554" s="56"/>
      <c r="T554" s="33"/>
    </row>
    <row r="555" spans="1:20" ht="15.75" customHeight="1" x14ac:dyDescent="0.3">
      <c r="A555" s="33"/>
      <c r="B555" s="33"/>
      <c r="C555" s="33"/>
      <c r="D555" s="54"/>
      <c r="E555" s="33"/>
      <c r="F555" s="33"/>
      <c r="G555" s="55"/>
      <c r="H555" s="33"/>
      <c r="I555" s="33"/>
      <c r="J555" s="55"/>
      <c r="K555" s="56"/>
      <c r="L555" s="56"/>
      <c r="M555" s="56"/>
      <c r="N555" s="56"/>
      <c r="O555" s="56"/>
      <c r="P555" s="56"/>
      <c r="Q555" s="56"/>
      <c r="R555" s="56"/>
      <c r="S555" s="56"/>
      <c r="T555" s="33"/>
    </row>
    <row r="556" spans="1:20" ht="15.75" customHeight="1" x14ac:dyDescent="0.3">
      <c r="A556" s="33"/>
      <c r="B556" s="33"/>
      <c r="C556" s="33"/>
      <c r="D556" s="54"/>
      <c r="E556" s="33"/>
      <c r="F556" s="33"/>
      <c r="G556" s="55"/>
      <c r="H556" s="33"/>
      <c r="I556" s="33"/>
      <c r="J556" s="55"/>
      <c r="K556" s="56"/>
      <c r="L556" s="56"/>
      <c r="M556" s="56"/>
      <c r="N556" s="56"/>
      <c r="O556" s="56"/>
      <c r="P556" s="56"/>
      <c r="Q556" s="56"/>
      <c r="R556" s="56"/>
      <c r="S556" s="56"/>
      <c r="T556" s="33"/>
    </row>
    <row r="557" spans="1:20" ht="15.75" customHeight="1" x14ac:dyDescent="0.3">
      <c r="A557" s="33"/>
      <c r="B557" s="33"/>
      <c r="C557" s="33"/>
      <c r="D557" s="54"/>
      <c r="E557" s="33"/>
      <c r="F557" s="33"/>
      <c r="G557" s="55"/>
      <c r="H557" s="33"/>
      <c r="I557" s="33"/>
      <c r="J557" s="55"/>
      <c r="K557" s="56"/>
      <c r="L557" s="56"/>
      <c r="M557" s="56"/>
      <c r="N557" s="56"/>
      <c r="O557" s="56"/>
      <c r="P557" s="56"/>
      <c r="Q557" s="56"/>
      <c r="R557" s="56"/>
      <c r="S557" s="56"/>
      <c r="T557" s="33"/>
    </row>
    <row r="558" spans="1:20" ht="15.75" customHeight="1" x14ac:dyDescent="0.3">
      <c r="A558" s="33"/>
      <c r="B558" s="33"/>
      <c r="C558" s="33"/>
      <c r="D558" s="54"/>
      <c r="E558" s="33"/>
      <c r="F558" s="33"/>
      <c r="G558" s="55"/>
      <c r="H558" s="33"/>
      <c r="I558" s="33"/>
      <c r="J558" s="55"/>
      <c r="K558" s="56"/>
      <c r="L558" s="56"/>
      <c r="M558" s="56"/>
      <c r="N558" s="56"/>
      <c r="O558" s="56"/>
      <c r="P558" s="56"/>
      <c r="Q558" s="56"/>
      <c r="R558" s="56"/>
      <c r="S558" s="56"/>
      <c r="T558" s="33"/>
    </row>
    <row r="559" spans="1:20" ht="15.75" customHeight="1" x14ac:dyDescent="0.3">
      <c r="A559" s="33"/>
      <c r="B559" s="33"/>
      <c r="C559" s="33"/>
      <c r="D559" s="54"/>
      <c r="E559" s="33"/>
      <c r="F559" s="33"/>
      <c r="G559" s="55"/>
      <c r="H559" s="33"/>
      <c r="I559" s="33"/>
      <c r="J559" s="55"/>
      <c r="K559" s="56"/>
      <c r="L559" s="56"/>
      <c r="M559" s="56"/>
      <c r="N559" s="56"/>
      <c r="O559" s="56"/>
      <c r="P559" s="56"/>
      <c r="Q559" s="56"/>
      <c r="R559" s="56"/>
      <c r="S559" s="56"/>
      <c r="T559" s="33"/>
    </row>
    <row r="560" spans="1:20" ht="15.75" customHeight="1" x14ac:dyDescent="0.3">
      <c r="A560" s="33"/>
      <c r="B560" s="33"/>
      <c r="C560" s="33"/>
      <c r="D560" s="54"/>
      <c r="E560" s="33"/>
      <c r="F560" s="33"/>
      <c r="G560" s="55"/>
      <c r="H560" s="33"/>
      <c r="I560" s="33"/>
      <c r="J560" s="55"/>
      <c r="K560" s="56"/>
      <c r="L560" s="56"/>
      <c r="M560" s="56"/>
      <c r="N560" s="56"/>
      <c r="O560" s="56"/>
      <c r="P560" s="56"/>
      <c r="Q560" s="56"/>
      <c r="R560" s="56"/>
      <c r="S560" s="56"/>
      <c r="T560" s="33"/>
    </row>
    <row r="561" spans="1:20" ht="15.75" customHeight="1" x14ac:dyDescent="0.3">
      <c r="A561" s="33"/>
      <c r="B561" s="33"/>
      <c r="C561" s="33"/>
      <c r="D561" s="54"/>
      <c r="E561" s="33"/>
      <c r="F561" s="33"/>
      <c r="G561" s="55"/>
      <c r="H561" s="33"/>
      <c r="I561" s="33"/>
      <c r="J561" s="55"/>
      <c r="K561" s="56"/>
      <c r="L561" s="56"/>
      <c r="M561" s="56"/>
      <c r="N561" s="56"/>
      <c r="O561" s="56"/>
      <c r="P561" s="56"/>
      <c r="Q561" s="56"/>
      <c r="R561" s="56"/>
      <c r="S561" s="56"/>
      <c r="T561" s="33"/>
    </row>
    <row r="562" spans="1:20" ht="15.75" customHeight="1" x14ac:dyDescent="0.3">
      <c r="A562" s="33"/>
      <c r="B562" s="33"/>
      <c r="C562" s="33"/>
      <c r="D562" s="54"/>
      <c r="E562" s="33"/>
      <c r="F562" s="33"/>
      <c r="G562" s="55"/>
      <c r="H562" s="33"/>
      <c r="I562" s="33"/>
      <c r="J562" s="55"/>
      <c r="K562" s="56"/>
      <c r="L562" s="56"/>
      <c r="M562" s="56"/>
      <c r="N562" s="56"/>
      <c r="O562" s="56"/>
      <c r="P562" s="56"/>
      <c r="Q562" s="56"/>
      <c r="R562" s="56"/>
      <c r="S562" s="56"/>
      <c r="T562" s="33"/>
    </row>
    <row r="563" spans="1:20" ht="15.75" customHeight="1" x14ac:dyDescent="0.3">
      <c r="A563" s="33"/>
      <c r="B563" s="33"/>
      <c r="C563" s="33"/>
      <c r="D563" s="54"/>
      <c r="E563" s="33"/>
      <c r="F563" s="33"/>
      <c r="G563" s="55"/>
      <c r="H563" s="33"/>
      <c r="I563" s="33"/>
      <c r="J563" s="55"/>
      <c r="K563" s="56"/>
      <c r="L563" s="56"/>
      <c r="M563" s="56"/>
      <c r="N563" s="56"/>
      <c r="O563" s="56"/>
      <c r="P563" s="56"/>
      <c r="Q563" s="56"/>
      <c r="R563" s="56"/>
      <c r="S563" s="56"/>
      <c r="T563" s="33"/>
    </row>
    <row r="564" spans="1:20" ht="15.75" customHeight="1" x14ac:dyDescent="0.3">
      <c r="A564" s="33"/>
      <c r="B564" s="33"/>
      <c r="C564" s="33"/>
      <c r="D564" s="54"/>
      <c r="E564" s="33"/>
      <c r="F564" s="33"/>
      <c r="G564" s="55"/>
      <c r="H564" s="33"/>
      <c r="I564" s="33"/>
      <c r="J564" s="55"/>
      <c r="K564" s="56"/>
      <c r="L564" s="56"/>
      <c r="M564" s="56"/>
      <c r="N564" s="56"/>
      <c r="O564" s="56"/>
      <c r="P564" s="56"/>
      <c r="Q564" s="56"/>
      <c r="R564" s="56"/>
      <c r="S564" s="56"/>
      <c r="T564" s="33"/>
    </row>
    <row r="565" spans="1:20" ht="15.75" customHeight="1" x14ac:dyDescent="0.3">
      <c r="A565" s="33"/>
      <c r="B565" s="33"/>
      <c r="C565" s="33"/>
      <c r="D565" s="54"/>
      <c r="E565" s="33"/>
      <c r="F565" s="33"/>
      <c r="G565" s="55"/>
      <c r="H565" s="33"/>
      <c r="I565" s="33"/>
      <c r="J565" s="55"/>
      <c r="K565" s="56"/>
      <c r="L565" s="56"/>
      <c r="M565" s="56"/>
      <c r="N565" s="56"/>
      <c r="O565" s="56"/>
      <c r="P565" s="56"/>
      <c r="Q565" s="56"/>
      <c r="R565" s="56"/>
      <c r="S565" s="56"/>
      <c r="T565" s="33"/>
    </row>
    <row r="566" spans="1:20" ht="15.75" customHeight="1" x14ac:dyDescent="0.3">
      <c r="A566" s="33"/>
      <c r="B566" s="33"/>
      <c r="C566" s="33"/>
      <c r="D566" s="54"/>
      <c r="E566" s="33"/>
      <c r="F566" s="33"/>
      <c r="G566" s="55"/>
      <c r="H566" s="33"/>
      <c r="I566" s="33"/>
      <c r="J566" s="55"/>
      <c r="K566" s="56"/>
      <c r="L566" s="56"/>
      <c r="M566" s="56"/>
      <c r="N566" s="56"/>
      <c r="O566" s="56"/>
      <c r="P566" s="56"/>
      <c r="Q566" s="56"/>
      <c r="R566" s="56"/>
      <c r="S566" s="56"/>
      <c r="T566" s="33"/>
    </row>
    <row r="567" spans="1:20" ht="15.75" customHeight="1" x14ac:dyDescent="0.3">
      <c r="A567" s="33"/>
      <c r="B567" s="33"/>
      <c r="C567" s="33"/>
      <c r="D567" s="54"/>
      <c r="E567" s="33"/>
      <c r="F567" s="33"/>
      <c r="G567" s="55"/>
      <c r="H567" s="33"/>
      <c r="I567" s="33"/>
      <c r="J567" s="55"/>
      <c r="K567" s="56"/>
      <c r="L567" s="56"/>
      <c r="M567" s="56"/>
      <c r="N567" s="56"/>
      <c r="O567" s="56"/>
      <c r="P567" s="56"/>
      <c r="Q567" s="56"/>
      <c r="R567" s="56"/>
      <c r="S567" s="56"/>
      <c r="T567" s="33"/>
    </row>
    <row r="568" spans="1:20" ht="15.75" customHeight="1" x14ac:dyDescent="0.3">
      <c r="A568" s="33"/>
      <c r="B568" s="33"/>
      <c r="C568" s="33"/>
      <c r="D568" s="54"/>
      <c r="E568" s="33"/>
      <c r="F568" s="33"/>
      <c r="G568" s="55"/>
      <c r="H568" s="33"/>
      <c r="I568" s="33"/>
      <c r="J568" s="55"/>
      <c r="K568" s="56"/>
      <c r="L568" s="56"/>
      <c r="M568" s="56"/>
      <c r="N568" s="56"/>
      <c r="O568" s="56"/>
      <c r="P568" s="56"/>
      <c r="Q568" s="56"/>
      <c r="R568" s="56"/>
      <c r="S568" s="56"/>
      <c r="T568" s="33"/>
    </row>
    <row r="569" spans="1:20" ht="15.75" customHeight="1" x14ac:dyDescent="0.3">
      <c r="A569" s="33"/>
      <c r="B569" s="33"/>
      <c r="C569" s="33"/>
      <c r="D569" s="54"/>
      <c r="E569" s="33"/>
      <c r="F569" s="33"/>
      <c r="G569" s="55"/>
      <c r="H569" s="33"/>
      <c r="I569" s="33"/>
      <c r="J569" s="55"/>
      <c r="K569" s="56"/>
      <c r="L569" s="56"/>
      <c r="M569" s="56"/>
      <c r="N569" s="56"/>
      <c r="O569" s="56"/>
      <c r="P569" s="56"/>
      <c r="Q569" s="56"/>
      <c r="R569" s="56"/>
      <c r="S569" s="56"/>
      <c r="T569" s="33"/>
    </row>
    <row r="570" spans="1:20" ht="15.75" customHeight="1" x14ac:dyDescent="0.3">
      <c r="A570" s="33"/>
      <c r="B570" s="33"/>
      <c r="C570" s="33"/>
      <c r="D570" s="54"/>
      <c r="E570" s="33"/>
      <c r="F570" s="33"/>
      <c r="G570" s="55"/>
      <c r="H570" s="33"/>
      <c r="I570" s="33"/>
      <c r="J570" s="55"/>
      <c r="K570" s="56"/>
      <c r="L570" s="56"/>
      <c r="M570" s="56"/>
      <c r="N570" s="56"/>
      <c r="O570" s="56"/>
      <c r="P570" s="56"/>
      <c r="Q570" s="56"/>
      <c r="R570" s="56"/>
      <c r="S570" s="56"/>
      <c r="T570" s="33"/>
    </row>
    <row r="571" spans="1:20" ht="15.75" customHeight="1" x14ac:dyDescent="0.3">
      <c r="A571" s="33"/>
      <c r="B571" s="33"/>
      <c r="C571" s="33"/>
      <c r="D571" s="54"/>
      <c r="E571" s="33"/>
      <c r="F571" s="33"/>
      <c r="G571" s="55"/>
      <c r="H571" s="33"/>
      <c r="I571" s="33"/>
      <c r="J571" s="55"/>
      <c r="K571" s="56"/>
      <c r="L571" s="56"/>
      <c r="M571" s="56"/>
      <c r="N571" s="56"/>
      <c r="O571" s="56"/>
      <c r="P571" s="56"/>
      <c r="Q571" s="56"/>
      <c r="R571" s="56"/>
      <c r="S571" s="56"/>
      <c r="T571" s="33"/>
    </row>
    <row r="572" spans="1:20" ht="15.75" customHeight="1" x14ac:dyDescent="0.3">
      <c r="A572" s="33"/>
      <c r="B572" s="33"/>
      <c r="C572" s="33"/>
      <c r="D572" s="54"/>
      <c r="E572" s="33"/>
      <c r="F572" s="33"/>
      <c r="G572" s="55"/>
      <c r="H572" s="33"/>
      <c r="I572" s="33"/>
      <c r="J572" s="55"/>
      <c r="K572" s="56"/>
      <c r="L572" s="56"/>
      <c r="M572" s="56"/>
      <c r="N572" s="56"/>
      <c r="O572" s="56"/>
      <c r="P572" s="56"/>
      <c r="Q572" s="56"/>
      <c r="R572" s="56"/>
      <c r="S572" s="56"/>
      <c r="T572" s="33"/>
    </row>
    <row r="573" spans="1:20" ht="15.75" customHeight="1" x14ac:dyDescent="0.3">
      <c r="A573" s="33"/>
      <c r="B573" s="33"/>
      <c r="C573" s="33"/>
      <c r="D573" s="54"/>
      <c r="E573" s="33"/>
      <c r="F573" s="33"/>
      <c r="G573" s="55"/>
      <c r="H573" s="33"/>
      <c r="I573" s="33"/>
      <c r="J573" s="55"/>
      <c r="K573" s="56"/>
      <c r="L573" s="56"/>
      <c r="M573" s="56"/>
      <c r="N573" s="56"/>
      <c r="O573" s="56"/>
      <c r="P573" s="56"/>
      <c r="Q573" s="56"/>
      <c r="R573" s="56"/>
      <c r="S573" s="56"/>
      <c r="T573" s="33"/>
    </row>
    <row r="574" spans="1:20" ht="15.75" customHeight="1" x14ac:dyDescent="0.3">
      <c r="A574" s="33"/>
      <c r="B574" s="33"/>
      <c r="C574" s="33"/>
      <c r="D574" s="54"/>
      <c r="E574" s="33"/>
      <c r="F574" s="33"/>
      <c r="G574" s="55"/>
      <c r="H574" s="33"/>
      <c r="I574" s="33"/>
      <c r="J574" s="55"/>
      <c r="K574" s="56"/>
      <c r="L574" s="56"/>
      <c r="M574" s="56"/>
      <c r="N574" s="56"/>
      <c r="O574" s="56"/>
      <c r="P574" s="56"/>
      <c r="Q574" s="56"/>
      <c r="R574" s="56"/>
      <c r="S574" s="56"/>
      <c r="T574" s="33"/>
    </row>
    <row r="575" spans="1:20" ht="15.75" customHeight="1" x14ac:dyDescent="0.3">
      <c r="A575" s="33"/>
      <c r="B575" s="33"/>
      <c r="C575" s="33"/>
      <c r="D575" s="54"/>
      <c r="E575" s="33"/>
      <c r="F575" s="33"/>
      <c r="G575" s="55"/>
      <c r="H575" s="33"/>
      <c r="I575" s="33"/>
      <c r="J575" s="55"/>
      <c r="K575" s="56"/>
      <c r="L575" s="56"/>
      <c r="M575" s="56"/>
      <c r="N575" s="56"/>
      <c r="O575" s="56"/>
      <c r="P575" s="56"/>
      <c r="Q575" s="56"/>
      <c r="R575" s="56"/>
      <c r="S575" s="56"/>
      <c r="T575" s="33"/>
    </row>
    <row r="576" spans="1:20" ht="15.75" customHeight="1" x14ac:dyDescent="0.3">
      <c r="A576" s="33"/>
      <c r="B576" s="33"/>
      <c r="C576" s="33"/>
      <c r="D576" s="54"/>
      <c r="E576" s="33"/>
      <c r="F576" s="33"/>
      <c r="G576" s="55"/>
      <c r="H576" s="33"/>
      <c r="I576" s="33"/>
      <c r="J576" s="55"/>
      <c r="K576" s="56"/>
      <c r="L576" s="56"/>
      <c r="M576" s="56"/>
      <c r="N576" s="56"/>
      <c r="O576" s="56"/>
      <c r="P576" s="56"/>
      <c r="Q576" s="56"/>
      <c r="R576" s="56"/>
      <c r="S576" s="56"/>
      <c r="T576" s="33"/>
    </row>
    <row r="577" spans="1:20" ht="15.75" customHeight="1" x14ac:dyDescent="0.3">
      <c r="A577" s="33"/>
      <c r="B577" s="33"/>
      <c r="C577" s="33"/>
      <c r="D577" s="54"/>
      <c r="E577" s="33"/>
      <c r="F577" s="33"/>
      <c r="G577" s="55"/>
      <c r="H577" s="33"/>
      <c r="I577" s="33"/>
      <c r="J577" s="55"/>
      <c r="K577" s="56"/>
      <c r="L577" s="56"/>
      <c r="M577" s="56"/>
      <c r="N577" s="56"/>
      <c r="O577" s="56"/>
      <c r="P577" s="56"/>
      <c r="Q577" s="56"/>
      <c r="R577" s="56"/>
      <c r="S577" s="56"/>
      <c r="T577" s="33"/>
    </row>
    <row r="578" spans="1:20" ht="15.75" customHeight="1" x14ac:dyDescent="0.3">
      <c r="A578" s="33"/>
      <c r="B578" s="33"/>
      <c r="C578" s="33"/>
      <c r="D578" s="54"/>
      <c r="E578" s="33"/>
      <c r="F578" s="33"/>
      <c r="G578" s="55"/>
      <c r="H578" s="33"/>
      <c r="I578" s="33"/>
      <c r="J578" s="55"/>
      <c r="K578" s="56"/>
      <c r="L578" s="56"/>
      <c r="M578" s="56"/>
      <c r="N578" s="56"/>
      <c r="O578" s="56"/>
      <c r="P578" s="56"/>
      <c r="Q578" s="56"/>
      <c r="R578" s="56"/>
      <c r="S578" s="56"/>
      <c r="T578" s="33"/>
    </row>
    <row r="579" spans="1:20" ht="15.75" customHeight="1" x14ac:dyDescent="0.3">
      <c r="A579" s="33"/>
      <c r="B579" s="33"/>
      <c r="C579" s="33"/>
      <c r="D579" s="54"/>
      <c r="E579" s="33"/>
      <c r="F579" s="33"/>
      <c r="G579" s="55"/>
      <c r="H579" s="33"/>
      <c r="I579" s="33"/>
      <c r="J579" s="55"/>
      <c r="K579" s="56"/>
      <c r="L579" s="56"/>
      <c r="M579" s="56"/>
      <c r="N579" s="56"/>
      <c r="O579" s="56"/>
      <c r="P579" s="56"/>
      <c r="Q579" s="56"/>
      <c r="R579" s="56"/>
      <c r="S579" s="56"/>
      <c r="T579" s="33"/>
    </row>
    <row r="580" spans="1:20" ht="15.75" customHeight="1" x14ac:dyDescent="0.3">
      <c r="A580" s="33"/>
      <c r="B580" s="33"/>
      <c r="C580" s="33"/>
      <c r="D580" s="54"/>
      <c r="E580" s="33"/>
      <c r="F580" s="33"/>
      <c r="G580" s="55"/>
      <c r="H580" s="33"/>
      <c r="I580" s="33"/>
      <c r="J580" s="55"/>
      <c r="K580" s="56"/>
      <c r="L580" s="56"/>
      <c r="M580" s="56"/>
      <c r="N580" s="56"/>
      <c r="O580" s="56"/>
      <c r="P580" s="56"/>
      <c r="Q580" s="56"/>
      <c r="R580" s="56"/>
      <c r="S580" s="56"/>
      <c r="T580" s="33"/>
    </row>
    <row r="581" spans="1:20" ht="15.75" customHeight="1" x14ac:dyDescent="0.3">
      <c r="A581" s="33"/>
      <c r="B581" s="33"/>
      <c r="C581" s="33"/>
      <c r="D581" s="54"/>
      <c r="E581" s="33"/>
      <c r="F581" s="33"/>
      <c r="G581" s="55"/>
      <c r="H581" s="33"/>
      <c r="I581" s="33"/>
      <c r="J581" s="55"/>
      <c r="K581" s="56"/>
      <c r="L581" s="56"/>
      <c r="M581" s="56"/>
      <c r="N581" s="56"/>
      <c r="O581" s="56"/>
      <c r="P581" s="56"/>
      <c r="Q581" s="56"/>
      <c r="R581" s="56"/>
      <c r="S581" s="56"/>
      <c r="T581" s="33"/>
    </row>
    <row r="582" spans="1:20" ht="15.75" customHeight="1" x14ac:dyDescent="0.3">
      <c r="A582" s="33"/>
      <c r="B582" s="33"/>
      <c r="C582" s="33"/>
      <c r="D582" s="54"/>
      <c r="E582" s="33"/>
      <c r="F582" s="33"/>
      <c r="G582" s="55"/>
      <c r="H582" s="33"/>
      <c r="I582" s="33"/>
      <c r="J582" s="55"/>
      <c r="K582" s="56"/>
      <c r="L582" s="56"/>
      <c r="M582" s="56"/>
      <c r="N582" s="56"/>
      <c r="O582" s="56"/>
      <c r="P582" s="56"/>
      <c r="Q582" s="56"/>
      <c r="R582" s="56"/>
      <c r="S582" s="56"/>
      <c r="T582" s="33"/>
    </row>
    <row r="583" spans="1:20" ht="15.75" customHeight="1" x14ac:dyDescent="0.3">
      <c r="A583" s="33"/>
      <c r="B583" s="33"/>
      <c r="C583" s="33"/>
      <c r="D583" s="54"/>
      <c r="E583" s="33"/>
      <c r="F583" s="33"/>
      <c r="G583" s="55"/>
      <c r="H583" s="33"/>
      <c r="I583" s="33"/>
      <c r="J583" s="55"/>
      <c r="K583" s="56"/>
      <c r="L583" s="56"/>
      <c r="M583" s="56"/>
      <c r="N583" s="56"/>
      <c r="O583" s="56"/>
      <c r="P583" s="56"/>
      <c r="Q583" s="56"/>
      <c r="R583" s="56"/>
      <c r="S583" s="56"/>
      <c r="T583" s="33"/>
    </row>
    <row r="584" spans="1:20" ht="15.75" customHeight="1" x14ac:dyDescent="0.3">
      <c r="A584" s="33"/>
      <c r="B584" s="33"/>
      <c r="C584" s="33"/>
      <c r="D584" s="54"/>
      <c r="E584" s="33"/>
      <c r="F584" s="33"/>
      <c r="G584" s="55"/>
      <c r="H584" s="33"/>
      <c r="I584" s="33"/>
      <c r="J584" s="55"/>
      <c r="K584" s="56"/>
      <c r="L584" s="56"/>
      <c r="M584" s="56"/>
      <c r="N584" s="56"/>
      <c r="O584" s="56"/>
      <c r="P584" s="56"/>
      <c r="Q584" s="56"/>
      <c r="R584" s="56"/>
      <c r="S584" s="56"/>
      <c r="T584" s="33"/>
    </row>
    <row r="585" spans="1:20" ht="15.75" customHeight="1" x14ac:dyDescent="0.3">
      <c r="A585" s="33"/>
      <c r="B585" s="33"/>
      <c r="C585" s="33"/>
      <c r="D585" s="54"/>
      <c r="E585" s="33"/>
      <c r="F585" s="33"/>
      <c r="G585" s="55"/>
      <c r="H585" s="33"/>
      <c r="I585" s="33"/>
      <c r="J585" s="55"/>
      <c r="K585" s="56"/>
      <c r="L585" s="56"/>
      <c r="M585" s="56"/>
      <c r="N585" s="56"/>
      <c r="O585" s="56"/>
      <c r="P585" s="56"/>
      <c r="Q585" s="56"/>
      <c r="R585" s="56"/>
      <c r="S585" s="56"/>
      <c r="T585" s="33"/>
    </row>
    <row r="586" spans="1:20" ht="15.75" customHeight="1" x14ac:dyDescent="0.3">
      <c r="A586" s="33"/>
      <c r="B586" s="33"/>
      <c r="C586" s="33"/>
      <c r="D586" s="54"/>
      <c r="E586" s="33"/>
      <c r="F586" s="33"/>
      <c r="G586" s="55"/>
      <c r="H586" s="33"/>
      <c r="I586" s="33"/>
      <c r="J586" s="55"/>
      <c r="K586" s="56"/>
      <c r="L586" s="56"/>
      <c r="M586" s="56"/>
      <c r="N586" s="56"/>
      <c r="O586" s="56"/>
      <c r="P586" s="56"/>
      <c r="Q586" s="56"/>
      <c r="R586" s="56"/>
      <c r="S586" s="56"/>
      <c r="T586" s="33"/>
    </row>
    <row r="587" spans="1:20" ht="15.75" customHeight="1" x14ac:dyDescent="0.3">
      <c r="A587" s="33"/>
      <c r="B587" s="33"/>
      <c r="C587" s="33"/>
      <c r="D587" s="54"/>
      <c r="E587" s="33"/>
      <c r="F587" s="33"/>
      <c r="G587" s="55"/>
      <c r="H587" s="33"/>
      <c r="I587" s="33"/>
      <c r="J587" s="55"/>
      <c r="K587" s="56"/>
      <c r="L587" s="56"/>
      <c r="M587" s="56"/>
      <c r="N587" s="56"/>
      <c r="O587" s="56"/>
      <c r="P587" s="56"/>
      <c r="Q587" s="56"/>
      <c r="R587" s="56"/>
      <c r="S587" s="56"/>
      <c r="T587" s="33"/>
    </row>
    <row r="588" spans="1:20" ht="15.75" customHeight="1" x14ac:dyDescent="0.3">
      <c r="A588" s="33"/>
      <c r="B588" s="33"/>
      <c r="C588" s="33"/>
      <c r="D588" s="54"/>
      <c r="E588" s="33"/>
      <c r="F588" s="33"/>
      <c r="G588" s="55"/>
      <c r="H588" s="33"/>
      <c r="I588" s="33"/>
      <c r="J588" s="55"/>
      <c r="K588" s="56"/>
      <c r="L588" s="56"/>
      <c r="M588" s="56"/>
      <c r="N588" s="56"/>
      <c r="O588" s="56"/>
      <c r="P588" s="56"/>
      <c r="Q588" s="56"/>
      <c r="R588" s="56"/>
      <c r="S588" s="56"/>
      <c r="T588" s="33"/>
    </row>
    <row r="589" spans="1:20" ht="15.75" customHeight="1" x14ac:dyDescent="0.3">
      <c r="A589" s="33"/>
      <c r="B589" s="33"/>
      <c r="C589" s="33"/>
      <c r="D589" s="54"/>
      <c r="E589" s="33"/>
      <c r="F589" s="33"/>
      <c r="G589" s="55"/>
      <c r="H589" s="33"/>
      <c r="I589" s="33"/>
      <c r="J589" s="55"/>
      <c r="K589" s="56"/>
      <c r="L589" s="56"/>
      <c r="M589" s="56"/>
      <c r="N589" s="56"/>
      <c r="O589" s="56"/>
      <c r="P589" s="56"/>
      <c r="Q589" s="56"/>
      <c r="R589" s="56"/>
      <c r="S589" s="56"/>
      <c r="T589" s="33"/>
    </row>
    <row r="590" spans="1:20" ht="15.75" customHeight="1" x14ac:dyDescent="0.3">
      <c r="A590" s="33"/>
      <c r="B590" s="33"/>
      <c r="C590" s="33"/>
      <c r="D590" s="54"/>
      <c r="E590" s="33"/>
      <c r="F590" s="33"/>
      <c r="G590" s="55"/>
      <c r="H590" s="33"/>
      <c r="I590" s="33"/>
      <c r="J590" s="55"/>
      <c r="K590" s="56"/>
      <c r="L590" s="56"/>
      <c r="M590" s="56"/>
      <c r="N590" s="56"/>
      <c r="O590" s="56"/>
      <c r="P590" s="56"/>
      <c r="Q590" s="56"/>
      <c r="R590" s="56"/>
      <c r="S590" s="56"/>
      <c r="T590" s="33"/>
    </row>
    <row r="591" spans="1:20" ht="15.75" customHeight="1" x14ac:dyDescent="0.3">
      <c r="A591" s="33"/>
      <c r="B591" s="33"/>
      <c r="C591" s="33"/>
      <c r="D591" s="54"/>
      <c r="E591" s="33"/>
      <c r="F591" s="33"/>
      <c r="G591" s="55"/>
      <c r="H591" s="33"/>
      <c r="I591" s="33"/>
      <c r="J591" s="55"/>
      <c r="K591" s="56"/>
      <c r="L591" s="56"/>
      <c r="M591" s="56"/>
      <c r="N591" s="56"/>
      <c r="O591" s="56"/>
      <c r="P591" s="56"/>
      <c r="Q591" s="56"/>
      <c r="R591" s="56"/>
      <c r="S591" s="56"/>
      <c r="T591" s="33"/>
    </row>
    <row r="592" spans="1:20" ht="15.75" customHeight="1" x14ac:dyDescent="0.3">
      <c r="A592" s="33"/>
      <c r="B592" s="33"/>
      <c r="C592" s="33"/>
      <c r="D592" s="54"/>
      <c r="E592" s="33"/>
      <c r="F592" s="33"/>
      <c r="G592" s="55"/>
      <c r="H592" s="33"/>
      <c r="I592" s="33"/>
      <c r="J592" s="55"/>
      <c r="K592" s="56"/>
      <c r="L592" s="56"/>
      <c r="M592" s="56"/>
      <c r="N592" s="56"/>
      <c r="O592" s="56"/>
      <c r="P592" s="56"/>
      <c r="Q592" s="56"/>
      <c r="R592" s="56"/>
      <c r="S592" s="56"/>
      <c r="T592" s="33"/>
    </row>
    <row r="593" spans="1:20" ht="15.75" customHeight="1" x14ac:dyDescent="0.3">
      <c r="A593" s="33"/>
      <c r="B593" s="33"/>
      <c r="C593" s="33"/>
      <c r="D593" s="54"/>
      <c r="E593" s="33"/>
      <c r="F593" s="33"/>
      <c r="G593" s="55"/>
      <c r="H593" s="33"/>
      <c r="I593" s="33"/>
      <c r="J593" s="55"/>
      <c r="K593" s="56"/>
      <c r="L593" s="56"/>
      <c r="M593" s="56"/>
      <c r="N593" s="56"/>
      <c r="O593" s="56"/>
      <c r="P593" s="56"/>
      <c r="Q593" s="56"/>
      <c r="R593" s="56"/>
      <c r="S593" s="56"/>
      <c r="T593" s="33"/>
    </row>
    <row r="594" spans="1:20" ht="15.75" customHeight="1" x14ac:dyDescent="0.3">
      <c r="A594" s="33"/>
      <c r="B594" s="33"/>
      <c r="C594" s="33"/>
      <c r="D594" s="54"/>
      <c r="E594" s="33"/>
      <c r="F594" s="33"/>
      <c r="G594" s="55"/>
      <c r="H594" s="33"/>
      <c r="I594" s="33"/>
      <c r="J594" s="55"/>
      <c r="K594" s="56"/>
      <c r="L594" s="56"/>
      <c r="M594" s="56"/>
      <c r="N594" s="56"/>
      <c r="O594" s="56"/>
      <c r="P594" s="56"/>
      <c r="Q594" s="56"/>
      <c r="R594" s="56"/>
      <c r="S594" s="56"/>
      <c r="T594" s="33"/>
    </row>
    <row r="595" spans="1:20" ht="15.75" customHeight="1" x14ac:dyDescent="0.3">
      <c r="A595" s="33"/>
      <c r="B595" s="33"/>
      <c r="C595" s="33"/>
      <c r="D595" s="54"/>
      <c r="E595" s="33"/>
      <c r="F595" s="33"/>
      <c r="G595" s="55"/>
      <c r="H595" s="33"/>
      <c r="I595" s="33"/>
      <c r="J595" s="55"/>
      <c r="K595" s="56"/>
      <c r="L595" s="56"/>
      <c r="M595" s="56"/>
      <c r="N595" s="56"/>
      <c r="O595" s="56"/>
      <c r="P595" s="56"/>
      <c r="Q595" s="56"/>
      <c r="R595" s="56"/>
      <c r="S595" s="56"/>
      <c r="T595" s="33"/>
    </row>
    <row r="596" spans="1:20" ht="15.75" customHeight="1" x14ac:dyDescent="0.3">
      <c r="A596" s="33"/>
      <c r="B596" s="33"/>
      <c r="C596" s="33"/>
      <c r="D596" s="54"/>
      <c r="E596" s="33"/>
      <c r="F596" s="33"/>
      <c r="G596" s="55"/>
      <c r="H596" s="33"/>
      <c r="I596" s="33"/>
      <c r="J596" s="55"/>
      <c r="K596" s="56"/>
      <c r="L596" s="56"/>
      <c r="M596" s="56"/>
      <c r="N596" s="56"/>
      <c r="O596" s="56"/>
      <c r="P596" s="56"/>
      <c r="Q596" s="56"/>
      <c r="R596" s="56"/>
      <c r="S596" s="56"/>
      <c r="T596" s="33"/>
    </row>
    <row r="597" spans="1:20" ht="15.75" customHeight="1" x14ac:dyDescent="0.3">
      <c r="A597" s="33"/>
      <c r="B597" s="33"/>
      <c r="C597" s="33"/>
      <c r="D597" s="54"/>
      <c r="E597" s="33"/>
      <c r="F597" s="33"/>
      <c r="G597" s="55"/>
      <c r="H597" s="33"/>
      <c r="I597" s="33"/>
      <c r="J597" s="55"/>
      <c r="K597" s="56"/>
      <c r="L597" s="56"/>
      <c r="M597" s="56"/>
      <c r="N597" s="56"/>
      <c r="O597" s="56"/>
      <c r="P597" s="56"/>
      <c r="Q597" s="56"/>
      <c r="R597" s="56"/>
      <c r="S597" s="56"/>
      <c r="T597" s="33"/>
    </row>
    <row r="598" spans="1:20" ht="15.75" customHeight="1" x14ac:dyDescent="0.3">
      <c r="A598" s="33"/>
      <c r="B598" s="33"/>
      <c r="C598" s="33"/>
      <c r="D598" s="54"/>
      <c r="E598" s="33"/>
      <c r="F598" s="33"/>
      <c r="G598" s="55"/>
      <c r="H598" s="33"/>
      <c r="I598" s="33"/>
      <c r="J598" s="55"/>
      <c r="K598" s="56"/>
      <c r="L598" s="56"/>
      <c r="M598" s="56"/>
      <c r="N598" s="56"/>
      <c r="O598" s="56"/>
      <c r="P598" s="56"/>
      <c r="Q598" s="56"/>
      <c r="R598" s="56"/>
      <c r="S598" s="56"/>
      <c r="T598" s="33"/>
    </row>
    <row r="599" spans="1:20" ht="15.75" customHeight="1" x14ac:dyDescent="0.3">
      <c r="A599" s="33"/>
      <c r="B599" s="33"/>
      <c r="C599" s="33"/>
      <c r="D599" s="54"/>
      <c r="E599" s="33"/>
      <c r="F599" s="33"/>
      <c r="G599" s="55"/>
      <c r="H599" s="33"/>
      <c r="I599" s="33"/>
      <c r="J599" s="55"/>
      <c r="K599" s="56"/>
      <c r="L599" s="56"/>
      <c r="M599" s="56"/>
      <c r="N599" s="56"/>
      <c r="O599" s="56"/>
      <c r="P599" s="56"/>
      <c r="Q599" s="56"/>
      <c r="R599" s="56"/>
      <c r="S599" s="56"/>
      <c r="T599" s="33"/>
    </row>
    <row r="600" spans="1:20" ht="15.75" customHeight="1" x14ac:dyDescent="0.3">
      <c r="A600" s="33"/>
      <c r="B600" s="33"/>
      <c r="C600" s="33"/>
      <c r="D600" s="54"/>
      <c r="E600" s="33"/>
      <c r="F600" s="33"/>
      <c r="G600" s="55"/>
      <c r="H600" s="33"/>
      <c r="I600" s="33"/>
      <c r="J600" s="55"/>
      <c r="K600" s="56"/>
      <c r="L600" s="56"/>
      <c r="M600" s="56"/>
      <c r="N600" s="56"/>
      <c r="O600" s="56"/>
      <c r="P600" s="56"/>
      <c r="Q600" s="56"/>
      <c r="R600" s="56"/>
      <c r="S600" s="56"/>
      <c r="T600" s="33"/>
    </row>
    <row r="601" spans="1:20" ht="15.75" customHeight="1" x14ac:dyDescent="0.3">
      <c r="A601" s="33"/>
      <c r="B601" s="33"/>
      <c r="C601" s="33"/>
      <c r="D601" s="54"/>
      <c r="E601" s="33"/>
      <c r="F601" s="33"/>
      <c r="G601" s="55"/>
      <c r="H601" s="33"/>
      <c r="I601" s="33"/>
      <c r="J601" s="55"/>
      <c r="K601" s="56"/>
      <c r="L601" s="56"/>
      <c r="M601" s="56"/>
      <c r="N601" s="56"/>
      <c r="O601" s="56"/>
      <c r="P601" s="56"/>
      <c r="Q601" s="56"/>
      <c r="R601" s="56"/>
      <c r="S601" s="56"/>
      <c r="T601" s="33"/>
    </row>
    <row r="602" spans="1:20" ht="15.75" customHeight="1" x14ac:dyDescent="0.3">
      <c r="A602" s="33"/>
      <c r="B602" s="33"/>
      <c r="C602" s="33"/>
      <c r="D602" s="54"/>
      <c r="E602" s="33"/>
      <c r="F602" s="33"/>
      <c r="G602" s="55"/>
      <c r="H602" s="33"/>
      <c r="I602" s="33"/>
      <c r="J602" s="55"/>
      <c r="K602" s="56"/>
      <c r="L602" s="56"/>
      <c r="M602" s="56"/>
      <c r="N602" s="56"/>
      <c r="O602" s="56"/>
      <c r="P602" s="56"/>
      <c r="Q602" s="56"/>
      <c r="R602" s="56"/>
      <c r="S602" s="56"/>
      <c r="T602" s="33"/>
    </row>
    <row r="603" spans="1:20" ht="15.75" customHeight="1" x14ac:dyDescent="0.3">
      <c r="A603" s="33"/>
      <c r="B603" s="33"/>
      <c r="C603" s="33"/>
      <c r="D603" s="54"/>
      <c r="E603" s="33"/>
      <c r="F603" s="33"/>
      <c r="G603" s="55"/>
      <c r="H603" s="33"/>
      <c r="I603" s="33"/>
      <c r="J603" s="55"/>
      <c r="K603" s="56"/>
      <c r="L603" s="56"/>
      <c r="M603" s="56"/>
      <c r="N603" s="56"/>
      <c r="O603" s="56"/>
      <c r="P603" s="56"/>
      <c r="Q603" s="56"/>
      <c r="R603" s="56"/>
      <c r="S603" s="56"/>
      <c r="T603" s="33"/>
    </row>
    <row r="604" spans="1:20" ht="15.75" customHeight="1" x14ac:dyDescent="0.3">
      <c r="A604" s="33"/>
      <c r="B604" s="33"/>
      <c r="C604" s="33"/>
      <c r="D604" s="54"/>
      <c r="E604" s="33"/>
      <c r="F604" s="33"/>
      <c r="G604" s="55"/>
      <c r="H604" s="33"/>
      <c r="I604" s="33"/>
      <c r="J604" s="55"/>
      <c r="K604" s="56"/>
      <c r="L604" s="56"/>
      <c r="M604" s="56"/>
      <c r="N604" s="56"/>
      <c r="O604" s="56"/>
      <c r="P604" s="56"/>
      <c r="Q604" s="56"/>
      <c r="R604" s="56"/>
      <c r="S604" s="56"/>
      <c r="T604" s="33"/>
    </row>
    <row r="605" spans="1:20" ht="15.75" customHeight="1" x14ac:dyDescent="0.3">
      <c r="A605" s="33"/>
      <c r="B605" s="33"/>
      <c r="C605" s="33"/>
      <c r="D605" s="54"/>
      <c r="E605" s="33"/>
      <c r="F605" s="33"/>
      <c r="G605" s="55"/>
      <c r="H605" s="33"/>
      <c r="I605" s="33"/>
      <c r="J605" s="55"/>
      <c r="K605" s="56"/>
      <c r="L605" s="56"/>
      <c r="M605" s="56"/>
      <c r="N605" s="56"/>
      <c r="O605" s="56"/>
      <c r="P605" s="56"/>
      <c r="Q605" s="56"/>
      <c r="R605" s="56"/>
      <c r="S605" s="56"/>
      <c r="T605" s="33"/>
    </row>
    <row r="606" spans="1:20" ht="15.75" customHeight="1" x14ac:dyDescent="0.3">
      <c r="A606" s="33"/>
      <c r="B606" s="33"/>
      <c r="C606" s="33"/>
      <c r="D606" s="54"/>
      <c r="E606" s="33"/>
      <c r="F606" s="33"/>
      <c r="G606" s="55"/>
      <c r="H606" s="33"/>
      <c r="I606" s="33"/>
      <c r="J606" s="55"/>
      <c r="K606" s="56"/>
      <c r="L606" s="56"/>
      <c r="M606" s="56"/>
      <c r="N606" s="56"/>
      <c r="O606" s="56"/>
      <c r="P606" s="56"/>
      <c r="Q606" s="56"/>
      <c r="R606" s="56"/>
      <c r="S606" s="56"/>
      <c r="T606" s="33"/>
    </row>
    <row r="607" spans="1:20" ht="15.75" customHeight="1" x14ac:dyDescent="0.3">
      <c r="A607" s="33"/>
      <c r="B607" s="33"/>
      <c r="C607" s="33"/>
      <c r="D607" s="54"/>
      <c r="E607" s="33"/>
      <c r="F607" s="33"/>
      <c r="G607" s="55"/>
      <c r="H607" s="33"/>
      <c r="I607" s="33"/>
      <c r="J607" s="55"/>
      <c r="K607" s="56"/>
      <c r="L607" s="56"/>
      <c r="M607" s="56"/>
      <c r="N607" s="56"/>
      <c r="O607" s="56"/>
      <c r="P607" s="56"/>
      <c r="Q607" s="56"/>
      <c r="R607" s="56"/>
      <c r="S607" s="56"/>
      <c r="T607" s="33"/>
    </row>
    <row r="608" spans="1:20" ht="15.75" customHeight="1" x14ac:dyDescent="0.3">
      <c r="A608" s="33"/>
      <c r="B608" s="33"/>
      <c r="C608" s="33"/>
      <c r="D608" s="54"/>
      <c r="E608" s="33"/>
      <c r="F608" s="33"/>
      <c r="G608" s="55"/>
      <c r="H608" s="33"/>
      <c r="I608" s="33"/>
      <c r="J608" s="55"/>
      <c r="K608" s="56"/>
      <c r="L608" s="56"/>
      <c r="M608" s="56"/>
      <c r="N608" s="56"/>
      <c r="O608" s="56"/>
      <c r="P608" s="56"/>
      <c r="Q608" s="56"/>
      <c r="R608" s="56"/>
      <c r="S608" s="56"/>
      <c r="T608" s="33"/>
    </row>
    <row r="609" spans="1:20" ht="15.75" customHeight="1" x14ac:dyDescent="0.3">
      <c r="A609" s="33"/>
      <c r="B609" s="33"/>
      <c r="C609" s="33"/>
      <c r="D609" s="54"/>
      <c r="E609" s="33"/>
      <c r="F609" s="33"/>
      <c r="G609" s="55"/>
      <c r="H609" s="33"/>
      <c r="I609" s="33"/>
      <c r="J609" s="55"/>
      <c r="K609" s="56"/>
      <c r="L609" s="56"/>
      <c r="M609" s="56"/>
      <c r="N609" s="56"/>
      <c r="O609" s="56"/>
      <c r="P609" s="56"/>
      <c r="Q609" s="56"/>
      <c r="R609" s="56"/>
      <c r="S609" s="56"/>
      <c r="T609" s="33"/>
    </row>
    <row r="610" spans="1:20" ht="15.75" customHeight="1" x14ac:dyDescent="0.3">
      <c r="A610" s="33"/>
      <c r="B610" s="33"/>
      <c r="C610" s="33"/>
      <c r="D610" s="54"/>
      <c r="E610" s="33"/>
      <c r="F610" s="33"/>
      <c r="G610" s="55"/>
      <c r="H610" s="33"/>
      <c r="I610" s="33"/>
      <c r="J610" s="55"/>
      <c r="K610" s="56"/>
      <c r="L610" s="56"/>
      <c r="M610" s="56"/>
      <c r="N610" s="56"/>
      <c r="O610" s="56"/>
      <c r="P610" s="56"/>
      <c r="Q610" s="56"/>
      <c r="R610" s="56"/>
      <c r="S610" s="56"/>
      <c r="T610" s="33"/>
    </row>
    <row r="611" spans="1:20" ht="15.75" customHeight="1" x14ac:dyDescent="0.3">
      <c r="A611" s="33"/>
      <c r="B611" s="33"/>
      <c r="C611" s="33"/>
      <c r="D611" s="54"/>
      <c r="E611" s="33"/>
      <c r="F611" s="33"/>
      <c r="G611" s="55"/>
      <c r="H611" s="33"/>
      <c r="I611" s="33"/>
      <c r="J611" s="55"/>
      <c r="K611" s="56"/>
      <c r="L611" s="56"/>
      <c r="M611" s="56"/>
      <c r="N611" s="56"/>
      <c r="O611" s="56"/>
      <c r="P611" s="56"/>
      <c r="Q611" s="56"/>
      <c r="R611" s="56"/>
      <c r="S611" s="56"/>
      <c r="T611" s="33"/>
    </row>
    <row r="612" spans="1:20" ht="15.75" customHeight="1" x14ac:dyDescent="0.3">
      <c r="A612" s="33"/>
      <c r="B612" s="33"/>
      <c r="C612" s="33"/>
      <c r="D612" s="54"/>
      <c r="E612" s="33"/>
      <c r="F612" s="33"/>
      <c r="G612" s="55"/>
      <c r="H612" s="33"/>
      <c r="I612" s="33"/>
      <c r="J612" s="55"/>
      <c r="K612" s="56"/>
      <c r="L612" s="56"/>
      <c r="M612" s="56"/>
      <c r="N612" s="56"/>
      <c r="O612" s="56"/>
      <c r="P612" s="56"/>
      <c r="Q612" s="56"/>
      <c r="R612" s="56"/>
      <c r="S612" s="56"/>
      <c r="T612" s="33"/>
    </row>
    <row r="613" spans="1:20" ht="15.75" customHeight="1" x14ac:dyDescent="0.3">
      <c r="A613" s="33"/>
      <c r="B613" s="33"/>
      <c r="C613" s="33"/>
      <c r="D613" s="54"/>
      <c r="E613" s="33"/>
      <c r="F613" s="33"/>
      <c r="G613" s="55"/>
      <c r="H613" s="33"/>
      <c r="I613" s="33"/>
      <c r="J613" s="55"/>
      <c r="K613" s="56"/>
      <c r="L613" s="56"/>
      <c r="M613" s="56"/>
      <c r="N613" s="56"/>
      <c r="O613" s="56"/>
      <c r="P613" s="56"/>
      <c r="Q613" s="56"/>
      <c r="R613" s="56"/>
      <c r="S613" s="56"/>
      <c r="T613" s="33"/>
    </row>
    <row r="614" spans="1:20" ht="15.75" customHeight="1" x14ac:dyDescent="0.3">
      <c r="A614" s="33"/>
      <c r="B614" s="33"/>
      <c r="C614" s="33"/>
      <c r="D614" s="54"/>
      <c r="E614" s="33"/>
      <c r="F614" s="33"/>
      <c r="G614" s="55"/>
      <c r="H614" s="33"/>
      <c r="I614" s="33"/>
      <c r="J614" s="55"/>
      <c r="K614" s="56"/>
      <c r="L614" s="56"/>
      <c r="M614" s="56"/>
      <c r="N614" s="56"/>
      <c r="O614" s="56"/>
      <c r="P614" s="56"/>
      <c r="Q614" s="56"/>
      <c r="R614" s="56"/>
      <c r="S614" s="56"/>
      <c r="T614" s="33"/>
    </row>
    <row r="615" spans="1:20" ht="15.75" customHeight="1" x14ac:dyDescent="0.3">
      <c r="A615" s="33"/>
      <c r="B615" s="33"/>
      <c r="C615" s="33"/>
      <c r="D615" s="54"/>
      <c r="E615" s="33"/>
      <c r="F615" s="33"/>
      <c r="G615" s="55"/>
      <c r="H615" s="33"/>
      <c r="I615" s="33"/>
      <c r="J615" s="55"/>
      <c r="K615" s="56"/>
      <c r="L615" s="56"/>
      <c r="M615" s="56"/>
      <c r="N615" s="56"/>
      <c r="O615" s="56"/>
      <c r="P615" s="56"/>
      <c r="Q615" s="56"/>
      <c r="R615" s="56"/>
      <c r="S615" s="56"/>
      <c r="T615" s="33"/>
    </row>
    <row r="616" spans="1:20" ht="15.75" customHeight="1" x14ac:dyDescent="0.3">
      <c r="A616" s="33"/>
      <c r="B616" s="33"/>
      <c r="C616" s="33"/>
      <c r="D616" s="54"/>
      <c r="E616" s="33"/>
      <c r="F616" s="33"/>
      <c r="G616" s="55"/>
      <c r="H616" s="33"/>
      <c r="I616" s="33"/>
      <c r="J616" s="55"/>
      <c r="K616" s="56"/>
      <c r="L616" s="56"/>
      <c r="M616" s="56"/>
      <c r="N616" s="56"/>
      <c r="O616" s="56"/>
      <c r="P616" s="56"/>
      <c r="Q616" s="56"/>
      <c r="R616" s="56"/>
      <c r="S616" s="56"/>
      <c r="T616" s="33"/>
    </row>
    <row r="617" spans="1:20" ht="15.75" customHeight="1" x14ac:dyDescent="0.3">
      <c r="A617" s="33"/>
      <c r="B617" s="33"/>
      <c r="C617" s="33"/>
      <c r="D617" s="54"/>
      <c r="E617" s="33"/>
      <c r="F617" s="33"/>
      <c r="G617" s="55"/>
      <c r="H617" s="33"/>
      <c r="I617" s="33"/>
      <c r="J617" s="55"/>
      <c r="K617" s="56"/>
      <c r="L617" s="56"/>
      <c r="M617" s="56"/>
      <c r="N617" s="56"/>
      <c r="O617" s="56"/>
      <c r="P617" s="56"/>
      <c r="Q617" s="56"/>
      <c r="R617" s="56"/>
      <c r="S617" s="56"/>
      <c r="T617" s="33"/>
    </row>
    <row r="618" spans="1:20" ht="15.75" customHeight="1" x14ac:dyDescent="0.3">
      <c r="A618" s="33"/>
      <c r="B618" s="33"/>
      <c r="C618" s="33"/>
      <c r="D618" s="54"/>
      <c r="E618" s="33"/>
      <c r="F618" s="33"/>
      <c r="G618" s="55"/>
      <c r="H618" s="33"/>
      <c r="I618" s="33"/>
      <c r="J618" s="55"/>
      <c r="K618" s="56"/>
      <c r="L618" s="56"/>
      <c r="M618" s="56"/>
      <c r="N618" s="56"/>
      <c r="O618" s="56"/>
      <c r="P618" s="56"/>
      <c r="Q618" s="56"/>
      <c r="R618" s="56"/>
      <c r="S618" s="56"/>
      <c r="T618" s="33"/>
    </row>
    <row r="619" spans="1:20" ht="15.75" customHeight="1" x14ac:dyDescent="0.3">
      <c r="A619" s="33"/>
      <c r="B619" s="33"/>
      <c r="C619" s="33"/>
      <c r="D619" s="54"/>
      <c r="E619" s="33"/>
      <c r="F619" s="33"/>
      <c r="G619" s="55"/>
      <c r="H619" s="33"/>
      <c r="I619" s="33"/>
      <c r="J619" s="55"/>
      <c r="K619" s="56"/>
      <c r="L619" s="56"/>
      <c r="M619" s="56"/>
      <c r="N619" s="56"/>
      <c r="O619" s="56"/>
      <c r="P619" s="56"/>
      <c r="Q619" s="56"/>
      <c r="R619" s="56"/>
      <c r="S619" s="56"/>
      <c r="T619" s="33"/>
    </row>
    <row r="620" spans="1:20" ht="15.75" customHeight="1" x14ac:dyDescent="0.3">
      <c r="A620" s="33"/>
      <c r="B620" s="33"/>
      <c r="C620" s="33"/>
      <c r="D620" s="54"/>
      <c r="E620" s="33"/>
      <c r="F620" s="33"/>
      <c r="G620" s="55"/>
      <c r="H620" s="33"/>
      <c r="I620" s="33"/>
      <c r="J620" s="55"/>
      <c r="K620" s="56"/>
      <c r="L620" s="56"/>
      <c r="M620" s="56"/>
      <c r="N620" s="56"/>
      <c r="O620" s="56"/>
      <c r="P620" s="56"/>
      <c r="Q620" s="56"/>
      <c r="R620" s="56"/>
      <c r="S620" s="56"/>
      <c r="T620" s="33"/>
    </row>
    <row r="621" spans="1:20" ht="15.75" customHeight="1" x14ac:dyDescent="0.3">
      <c r="A621" s="33"/>
      <c r="B621" s="33"/>
      <c r="C621" s="33"/>
      <c r="D621" s="54"/>
      <c r="E621" s="33"/>
      <c r="F621" s="33"/>
      <c r="G621" s="55"/>
      <c r="H621" s="33"/>
      <c r="I621" s="33"/>
      <c r="J621" s="55"/>
      <c r="K621" s="56"/>
      <c r="L621" s="56"/>
      <c r="M621" s="56"/>
      <c r="N621" s="56"/>
      <c r="O621" s="56"/>
      <c r="P621" s="56"/>
      <c r="Q621" s="56"/>
      <c r="R621" s="56"/>
      <c r="S621" s="56"/>
      <c r="T621" s="33"/>
    </row>
    <row r="622" spans="1:20" ht="15.75" customHeight="1" x14ac:dyDescent="0.3">
      <c r="A622" s="33"/>
      <c r="B622" s="33"/>
      <c r="C622" s="33"/>
      <c r="D622" s="54"/>
      <c r="E622" s="33"/>
      <c r="F622" s="33"/>
      <c r="G622" s="55"/>
      <c r="H622" s="33"/>
      <c r="I622" s="33"/>
      <c r="J622" s="55"/>
      <c r="K622" s="56"/>
      <c r="L622" s="56"/>
      <c r="M622" s="56"/>
      <c r="N622" s="56"/>
      <c r="O622" s="56"/>
      <c r="P622" s="56"/>
      <c r="Q622" s="56"/>
      <c r="R622" s="56"/>
      <c r="S622" s="56"/>
      <c r="T622" s="33"/>
    </row>
    <row r="623" spans="1:20" ht="15.75" customHeight="1" x14ac:dyDescent="0.3">
      <c r="A623" s="33"/>
      <c r="B623" s="33"/>
      <c r="C623" s="33"/>
      <c r="D623" s="54"/>
      <c r="E623" s="33"/>
      <c r="F623" s="33"/>
      <c r="G623" s="55"/>
      <c r="H623" s="33"/>
      <c r="I623" s="33"/>
      <c r="J623" s="55"/>
      <c r="K623" s="56"/>
      <c r="L623" s="56"/>
      <c r="M623" s="56"/>
      <c r="N623" s="56"/>
      <c r="O623" s="56"/>
      <c r="P623" s="56"/>
      <c r="Q623" s="56"/>
      <c r="R623" s="56"/>
      <c r="S623" s="56"/>
      <c r="T623" s="33"/>
    </row>
    <row r="624" spans="1:20" ht="15.75" customHeight="1" x14ac:dyDescent="0.3">
      <c r="A624" s="33"/>
      <c r="B624" s="33"/>
      <c r="C624" s="33"/>
      <c r="D624" s="54"/>
      <c r="E624" s="33"/>
      <c r="F624" s="33"/>
      <c r="G624" s="55"/>
      <c r="H624" s="33"/>
      <c r="I624" s="33"/>
      <c r="J624" s="55"/>
      <c r="K624" s="56"/>
      <c r="L624" s="56"/>
      <c r="M624" s="56"/>
      <c r="N624" s="56"/>
      <c r="O624" s="56"/>
      <c r="P624" s="56"/>
      <c r="Q624" s="56"/>
      <c r="R624" s="56"/>
      <c r="S624" s="56"/>
      <c r="T624" s="33"/>
    </row>
    <row r="625" spans="1:20" ht="15.75" customHeight="1" x14ac:dyDescent="0.3">
      <c r="A625" s="33"/>
      <c r="B625" s="33"/>
      <c r="C625" s="33"/>
      <c r="D625" s="54"/>
      <c r="E625" s="33"/>
      <c r="F625" s="33"/>
      <c r="G625" s="55"/>
      <c r="H625" s="33"/>
      <c r="I625" s="33"/>
      <c r="J625" s="55"/>
      <c r="K625" s="56"/>
      <c r="L625" s="56"/>
      <c r="M625" s="56"/>
      <c r="N625" s="56"/>
      <c r="O625" s="56"/>
      <c r="P625" s="56"/>
      <c r="Q625" s="56"/>
      <c r="R625" s="56"/>
      <c r="S625" s="56"/>
      <c r="T625" s="33"/>
    </row>
    <row r="626" spans="1:20" ht="15.75" customHeight="1" x14ac:dyDescent="0.3">
      <c r="A626" s="33"/>
      <c r="B626" s="33"/>
      <c r="C626" s="33"/>
      <c r="D626" s="54"/>
      <c r="E626" s="33"/>
      <c r="F626" s="33"/>
      <c r="G626" s="55"/>
      <c r="H626" s="33"/>
      <c r="I626" s="33"/>
      <c r="J626" s="55"/>
      <c r="K626" s="56"/>
      <c r="L626" s="56"/>
      <c r="M626" s="56"/>
      <c r="N626" s="56"/>
      <c r="O626" s="56"/>
      <c r="P626" s="56"/>
      <c r="Q626" s="56"/>
      <c r="R626" s="56"/>
      <c r="S626" s="56"/>
      <c r="T626" s="33"/>
    </row>
    <row r="627" spans="1:20" ht="15.75" customHeight="1" x14ac:dyDescent="0.3">
      <c r="A627" s="33"/>
      <c r="B627" s="33"/>
      <c r="C627" s="33"/>
      <c r="D627" s="54"/>
      <c r="E627" s="33"/>
      <c r="F627" s="33"/>
      <c r="G627" s="55"/>
      <c r="H627" s="33"/>
      <c r="I627" s="33"/>
      <c r="J627" s="55"/>
      <c r="K627" s="56"/>
      <c r="L627" s="56"/>
      <c r="M627" s="56"/>
      <c r="N627" s="56"/>
      <c r="O627" s="56"/>
      <c r="P627" s="56"/>
      <c r="Q627" s="56"/>
      <c r="R627" s="56"/>
      <c r="S627" s="56"/>
      <c r="T627" s="33"/>
    </row>
    <row r="628" spans="1:20" ht="15.75" customHeight="1" x14ac:dyDescent="0.3">
      <c r="A628" s="33"/>
      <c r="B628" s="33"/>
      <c r="C628" s="33"/>
      <c r="D628" s="54"/>
      <c r="E628" s="33"/>
      <c r="F628" s="33"/>
      <c r="G628" s="55"/>
      <c r="H628" s="33"/>
      <c r="I628" s="33"/>
      <c r="J628" s="55"/>
      <c r="K628" s="56"/>
      <c r="L628" s="56"/>
      <c r="M628" s="56"/>
      <c r="N628" s="56"/>
      <c r="O628" s="56"/>
      <c r="P628" s="56"/>
      <c r="Q628" s="56"/>
      <c r="R628" s="56"/>
      <c r="S628" s="56"/>
      <c r="T628" s="33"/>
    </row>
    <row r="629" spans="1:20" ht="15.75" customHeight="1" x14ac:dyDescent="0.3">
      <c r="A629" s="33"/>
      <c r="B629" s="33"/>
      <c r="C629" s="33"/>
      <c r="D629" s="54"/>
      <c r="E629" s="33"/>
      <c r="F629" s="33"/>
      <c r="G629" s="55"/>
      <c r="H629" s="33"/>
      <c r="I629" s="33"/>
      <c r="J629" s="55"/>
      <c r="K629" s="56"/>
      <c r="L629" s="56"/>
      <c r="M629" s="56"/>
      <c r="N629" s="56"/>
      <c r="O629" s="56"/>
      <c r="P629" s="56"/>
      <c r="Q629" s="56"/>
      <c r="R629" s="56"/>
      <c r="S629" s="56"/>
      <c r="T629" s="33"/>
    </row>
    <row r="630" spans="1:20" ht="15.75" customHeight="1" x14ac:dyDescent="0.3">
      <c r="A630" s="33"/>
      <c r="B630" s="33"/>
      <c r="C630" s="33"/>
      <c r="D630" s="54"/>
      <c r="E630" s="33"/>
      <c r="F630" s="33"/>
      <c r="G630" s="55"/>
      <c r="H630" s="33"/>
      <c r="I630" s="33"/>
      <c r="J630" s="55"/>
      <c r="K630" s="56"/>
      <c r="L630" s="56"/>
      <c r="M630" s="56"/>
      <c r="N630" s="56"/>
      <c r="O630" s="56"/>
      <c r="P630" s="56"/>
      <c r="Q630" s="56"/>
      <c r="R630" s="56"/>
      <c r="S630" s="56"/>
      <c r="T630" s="33"/>
    </row>
    <row r="631" spans="1:20" ht="15.75" customHeight="1" x14ac:dyDescent="0.3">
      <c r="A631" s="33"/>
      <c r="B631" s="33"/>
      <c r="C631" s="33"/>
      <c r="D631" s="54"/>
      <c r="E631" s="33"/>
      <c r="F631" s="33"/>
      <c r="G631" s="55"/>
      <c r="H631" s="33"/>
      <c r="I631" s="33"/>
      <c r="J631" s="55"/>
      <c r="K631" s="56"/>
      <c r="L631" s="56"/>
      <c r="M631" s="56"/>
      <c r="N631" s="56"/>
      <c r="O631" s="56"/>
      <c r="P631" s="56"/>
      <c r="Q631" s="56"/>
      <c r="R631" s="56"/>
      <c r="S631" s="56"/>
      <c r="T631" s="33"/>
    </row>
    <row r="632" spans="1:20" ht="15.75" customHeight="1" x14ac:dyDescent="0.3">
      <c r="A632" s="33"/>
      <c r="B632" s="33"/>
      <c r="C632" s="33"/>
      <c r="D632" s="54"/>
      <c r="E632" s="33"/>
      <c r="F632" s="33"/>
      <c r="G632" s="55"/>
      <c r="H632" s="33"/>
      <c r="I632" s="33"/>
      <c r="J632" s="55"/>
      <c r="K632" s="56"/>
      <c r="L632" s="56"/>
      <c r="M632" s="56"/>
      <c r="N632" s="56"/>
      <c r="O632" s="56"/>
      <c r="P632" s="56"/>
      <c r="Q632" s="56"/>
      <c r="R632" s="56"/>
      <c r="S632" s="56"/>
      <c r="T632" s="33"/>
    </row>
    <row r="633" spans="1:20" ht="15.75" customHeight="1" x14ac:dyDescent="0.3">
      <c r="A633" s="33"/>
      <c r="B633" s="33"/>
      <c r="C633" s="33"/>
      <c r="D633" s="54"/>
      <c r="E633" s="33"/>
      <c r="F633" s="33"/>
      <c r="G633" s="55"/>
      <c r="H633" s="33"/>
      <c r="I633" s="33"/>
      <c r="J633" s="55"/>
      <c r="K633" s="56"/>
      <c r="L633" s="56"/>
      <c r="M633" s="56"/>
      <c r="N633" s="56"/>
      <c r="O633" s="56"/>
      <c r="P633" s="56"/>
      <c r="Q633" s="56"/>
      <c r="R633" s="56"/>
      <c r="S633" s="56"/>
      <c r="T633" s="33"/>
    </row>
    <row r="634" spans="1:20" ht="15.75" customHeight="1" x14ac:dyDescent="0.3">
      <c r="A634" s="33"/>
      <c r="B634" s="33"/>
      <c r="C634" s="33"/>
      <c r="D634" s="54"/>
      <c r="E634" s="33"/>
      <c r="F634" s="33"/>
      <c r="G634" s="55"/>
      <c r="H634" s="33"/>
      <c r="I634" s="33"/>
      <c r="J634" s="55"/>
      <c r="K634" s="56"/>
      <c r="L634" s="56"/>
      <c r="M634" s="56"/>
      <c r="N634" s="56"/>
      <c r="O634" s="56"/>
      <c r="P634" s="56"/>
      <c r="Q634" s="56"/>
      <c r="R634" s="56"/>
      <c r="S634" s="56"/>
      <c r="T634" s="33"/>
    </row>
    <row r="635" spans="1:20" ht="15.75" customHeight="1" x14ac:dyDescent="0.3">
      <c r="A635" s="33"/>
      <c r="B635" s="33"/>
      <c r="C635" s="33"/>
      <c r="D635" s="54"/>
      <c r="E635" s="33"/>
      <c r="F635" s="33"/>
      <c r="G635" s="55"/>
      <c r="H635" s="33"/>
      <c r="I635" s="33"/>
      <c r="J635" s="55"/>
      <c r="K635" s="56"/>
      <c r="L635" s="56"/>
      <c r="M635" s="56"/>
      <c r="N635" s="56"/>
      <c r="O635" s="56"/>
      <c r="P635" s="56"/>
      <c r="Q635" s="56"/>
      <c r="R635" s="56"/>
      <c r="S635" s="56"/>
      <c r="T635" s="33"/>
    </row>
    <row r="636" spans="1:20" ht="15.75" customHeight="1" x14ac:dyDescent="0.3">
      <c r="A636" s="33"/>
      <c r="B636" s="33"/>
      <c r="C636" s="33"/>
      <c r="D636" s="54"/>
      <c r="E636" s="33"/>
      <c r="F636" s="33"/>
      <c r="G636" s="55"/>
      <c r="H636" s="33"/>
      <c r="I636" s="33"/>
      <c r="J636" s="55"/>
      <c r="K636" s="56"/>
      <c r="L636" s="56"/>
      <c r="M636" s="56"/>
      <c r="N636" s="56"/>
      <c r="O636" s="56"/>
      <c r="P636" s="56"/>
      <c r="Q636" s="56"/>
      <c r="R636" s="56"/>
      <c r="S636" s="56"/>
      <c r="T636" s="33"/>
    </row>
    <row r="637" spans="1:20" ht="15.75" customHeight="1" x14ac:dyDescent="0.3">
      <c r="A637" s="33"/>
      <c r="B637" s="33"/>
      <c r="C637" s="33"/>
      <c r="D637" s="54"/>
      <c r="E637" s="33"/>
      <c r="F637" s="33"/>
      <c r="G637" s="55"/>
      <c r="H637" s="33"/>
      <c r="I637" s="33"/>
      <c r="J637" s="55"/>
      <c r="K637" s="56"/>
      <c r="L637" s="56"/>
      <c r="M637" s="56"/>
      <c r="N637" s="56"/>
      <c r="O637" s="56"/>
      <c r="P637" s="56"/>
      <c r="Q637" s="56"/>
      <c r="R637" s="56"/>
      <c r="S637" s="56"/>
      <c r="T637" s="33"/>
    </row>
    <row r="638" spans="1:20" ht="15.75" customHeight="1" x14ac:dyDescent="0.3">
      <c r="A638" s="33"/>
      <c r="B638" s="33"/>
      <c r="C638" s="33"/>
      <c r="D638" s="54"/>
      <c r="E638" s="33"/>
      <c r="F638" s="33"/>
      <c r="G638" s="55"/>
      <c r="H638" s="33"/>
      <c r="I638" s="33"/>
      <c r="J638" s="55"/>
      <c r="K638" s="56"/>
      <c r="L638" s="56"/>
      <c r="M638" s="56"/>
      <c r="N638" s="56"/>
      <c r="O638" s="56"/>
      <c r="P638" s="56"/>
      <c r="Q638" s="56"/>
      <c r="R638" s="56"/>
      <c r="S638" s="56"/>
      <c r="T638" s="33"/>
    </row>
    <row r="639" spans="1:20" ht="15.75" customHeight="1" x14ac:dyDescent="0.3">
      <c r="A639" s="33"/>
      <c r="B639" s="33"/>
      <c r="C639" s="33"/>
      <c r="D639" s="54"/>
      <c r="E639" s="33"/>
      <c r="F639" s="33"/>
      <c r="G639" s="55"/>
      <c r="H639" s="33"/>
      <c r="I639" s="33"/>
      <c r="J639" s="55"/>
      <c r="K639" s="56"/>
      <c r="L639" s="56"/>
      <c r="M639" s="56"/>
      <c r="N639" s="56"/>
      <c r="O639" s="56"/>
      <c r="P639" s="56"/>
      <c r="Q639" s="56"/>
      <c r="R639" s="56"/>
      <c r="S639" s="56"/>
      <c r="T639" s="33"/>
    </row>
    <row r="640" spans="1:20" ht="15.75" customHeight="1" x14ac:dyDescent="0.3">
      <c r="A640" s="33"/>
      <c r="B640" s="33"/>
      <c r="C640" s="33"/>
      <c r="D640" s="54"/>
      <c r="E640" s="33"/>
      <c r="F640" s="33"/>
      <c r="G640" s="55"/>
      <c r="H640" s="33"/>
      <c r="I640" s="33"/>
      <c r="J640" s="55"/>
      <c r="K640" s="56"/>
      <c r="L640" s="56"/>
      <c r="M640" s="56"/>
      <c r="N640" s="56"/>
      <c r="O640" s="56"/>
      <c r="P640" s="56"/>
      <c r="Q640" s="56"/>
      <c r="R640" s="56"/>
      <c r="S640" s="56"/>
      <c r="T640" s="33"/>
    </row>
    <row r="641" spans="1:20" ht="15.75" customHeight="1" x14ac:dyDescent="0.3">
      <c r="A641" s="33"/>
      <c r="B641" s="33"/>
      <c r="C641" s="33"/>
      <c r="D641" s="54"/>
      <c r="E641" s="33"/>
      <c r="F641" s="33"/>
      <c r="G641" s="55"/>
      <c r="H641" s="33"/>
      <c r="I641" s="33"/>
      <c r="J641" s="55"/>
      <c r="K641" s="56"/>
      <c r="L641" s="56"/>
      <c r="M641" s="56"/>
      <c r="N641" s="56"/>
      <c r="O641" s="56"/>
      <c r="P641" s="56"/>
      <c r="Q641" s="56"/>
      <c r="R641" s="56"/>
      <c r="S641" s="56"/>
      <c r="T641" s="33"/>
    </row>
    <row r="642" spans="1:20" ht="15.75" customHeight="1" x14ac:dyDescent="0.3">
      <c r="A642" s="33"/>
      <c r="B642" s="33"/>
      <c r="C642" s="33"/>
      <c r="D642" s="54"/>
      <c r="E642" s="33"/>
      <c r="F642" s="33"/>
      <c r="G642" s="55"/>
      <c r="H642" s="33"/>
      <c r="I642" s="33"/>
      <c r="J642" s="55"/>
      <c r="K642" s="56"/>
      <c r="L642" s="56"/>
      <c r="M642" s="56"/>
      <c r="N642" s="56"/>
      <c r="O642" s="56"/>
      <c r="P642" s="56"/>
      <c r="Q642" s="56"/>
      <c r="R642" s="56"/>
      <c r="S642" s="56"/>
      <c r="T642" s="33"/>
    </row>
    <row r="643" spans="1:20" ht="15.75" customHeight="1" x14ac:dyDescent="0.3">
      <c r="A643" s="33"/>
      <c r="B643" s="33"/>
      <c r="C643" s="33"/>
      <c r="D643" s="54"/>
      <c r="E643" s="33"/>
      <c r="F643" s="33"/>
      <c r="G643" s="55"/>
      <c r="H643" s="33"/>
      <c r="I643" s="33"/>
      <c r="J643" s="55"/>
      <c r="K643" s="56"/>
      <c r="L643" s="56"/>
      <c r="M643" s="56"/>
      <c r="N643" s="56"/>
      <c r="O643" s="56"/>
      <c r="P643" s="56"/>
      <c r="Q643" s="56"/>
      <c r="R643" s="56"/>
      <c r="S643" s="56"/>
      <c r="T643" s="33"/>
    </row>
    <row r="644" spans="1:20" ht="15.75" customHeight="1" x14ac:dyDescent="0.3">
      <c r="A644" s="33"/>
      <c r="B644" s="33"/>
      <c r="C644" s="33"/>
      <c r="D644" s="54"/>
      <c r="E644" s="33"/>
      <c r="F644" s="33"/>
      <c r="G644" s="55"/>
      <c r="H644" s="33"/>
      <c r="I644" s="33"/>
      <c r="J644" s="55"/>
      <c r="K644" s="56"/>
      <c r="L644" s="56"/>
      <c r="M644" s="56"/>
      <c r="N644" s="56"/>
      <c r="O644" s="56"/>
      <c r="P644" s="56"/>
      <c r="Q644" s="56"/>
      <c r="R644" s="56"/>
      <c r="S644" s="56"/>
      <c r="T644" s="33"/>
    </row>
    <row r="645" spans="1:20" ht="15.75" customHeight="1" x14ac:dyDescent="0.3">
      <c r="A645" s="33"/>
      <c r="B645" s="33"/>
      <c r="C645" s="33"/>
      <c r="D645" s="54"/>
      <c r="E645" s="33"/>
      <c r="F645" s="33"/>
      <c r="G645" s="55"/>
      <c r="H645" s="33"/>
      <c r="I645" s="33"/>
      <c r="J645" s="55"/>
      <c r="K645" s="56"/>
      <c r="L645" s="56"/>
      <c r="M645" s="56"/>
      <c r="N645" s="56"/>
      <c r="O645" s="56"/>
      <c r="P645" s="56"/>
      <c r="Q645" s="56"/>
      <c r="R645" s="56"/>
      <c r="S645" s="56"/>
      <c r="T645" s="33"/>
    </row>
    <row r="646" spans="1:20" ht="15.75" customHeight="1" x14ac:dyDescent="0.3">
      <c r="A646" s="33"/>
      <c r="B646" s="33"/>
      <c r="C646" s="33"/>
      <c r="D646" s="54"/>
      <c r="E646" s="33"/>
      <c r="F646" s="33"/>
      <c r="G646" s="55"/>
      <c r="H646" s="33"/>
      <c r="I646" s="33"/>
      <c r="J646" s="55"/>
      <c r="K646" s="56"/>
      <c r="L646" s="56"/>
      <c r="M646" s="56"/>
      <c r="N646" s="56"/>
      <c r="O646" s="56"/>
      <c r="P646" s="56"/>
      <c r="Q646" s="56"/>
      <c r="R646" s="56"/>
      <c r="S646" s="56"/>
      <c r="T646" s="33"/>
    </row>
    <row r="647" spans="1:20" ht="15.75" customHeight="1" x14ac:dyDescent="0.3">
      <c r="A647" s="33"/>
      <c r="B647" s="33"/>
      <c r="C647" s="33"/>
      <c r="D647" s="54"/>
      <c r="E647" s="33"/>
      <c r="F647" s="33"/>
      <c r="G647" s="55"/>
      <c r="H647" s="33"/>
      <c r="I647" s="33"/>
      <c r="J647" s="55"/>
      <c r="K647" s="56"/>
      <c r="L647" s="56"/>
      <c r="M647" s="56"/>
      <c r="N647" s="56"/>
      <c r="O647" s="56"/>
      <c r="P647" s="56"/>
      <c r="Q647" s="56"/>
      <c r="R647" s="56"/>
      <c r="S647" s="56"/>
      <c r="T647" s="33"/>
    </row>
    <row r="648" spans="1:20" ht="15.75" customHeight="1" x14ac:dyDescent="0.3">
      <c r="A648" s="33"/>
      <c r="B648" s="33"/>
      <c r="C648" s="33"/>
      <c r="D648" s="54"/>
      <c r="E648" s="33"/>
      <c r="F648" s="33"/>
      <c r="G648" s="55"/>
      <c r="H648" s="33"/>
      <c r="I648" s="33"/>
      <c r="J648" s="55"/>
      <c r="K648" s="56"/>
      <c r="L648" s="56"/>
      <c r="M648" s="56"/>
      <c r="N648" s="56"/>
      <c r="O648" s="56"/>
      <c r="P648" s="56"/>
      <c r="Q648" s="56"/>
      <c r="R648" s="56"/>
      <c r="S648" s="56"/>
      <c r="T648" s="33"/>
    </row>
    <row r="649" spans="1:20" ht="15.75" customHeight="1" x14ac:dyDescent="0.3">
      <c r="A649" s="33"/>
      <c r="B649" s="33"/>
      <c r="C649" s="33"/>
      <c r="D649" s="54"/>
      <c r="E649" s="33"/>
      <c r="F649" s="33"/>
      <c r="G649" s="55"/>
      <c r="H649" s="33"/>
      <c r="I649" s="33"/>
      <c r="J649" s="55"/>
      <c r="K649" s="56"/>
      <c r="L649" s="56"/>
      <c r="M649" s="56"/>
      <c r="N649" s="56"/>
      <c r="O649" s="56"/>
      <c r="P649" s="56"/>
      <c r="Q649" s="56"/>
      <c r="R649" s="56"/>
      <c r="S649" s="56"/>
      <c r="T649" s="33"/>
    </row>
    <row r="650" spans="1:20" ht="15.75" customHeight="1" x14ac:dyDescent="0.3">
      <c r="A650" s="33"/>
      <c r="B650" s="33"/>
      <c r="C650" s="33"/>
      <c r="D650" s="54"/>
      <c r="E650" s="33"/>
      <c r="F650" s="33"/>
      <c r="G650" s="55"/>
      <c r="H650" s="33"/>
      <c r="I650" s="33"/>
      <c r="J650" s="55"/>
      <c r="K650" s="56"/>
      <c r="L650" s="56"/>
      <c r="M650" s="56"/>
      <c r="N650" s="56"/>
      <c r="O650" s="56"/>
      <c r="P650" s="56"/>
      <c r="Q650" s="56"/>
      <c r="R650" s="56"/>
      <c r="S650" s="56"/>
      <c r="T650" s="33"/>
    </row>
    <row r="651" spans="1:20" ht="15.75" customHeight="1" x14ac:dyDescent="0.3">
      <c r="A651" s="33"/>
      <c r="B651" s="33"/>
      <c r="C651" s="33"/>
      <c r="D651" s="54"/>
      <c r="E651" s="33"/>
      <c r="F651" s="33"/>
      <c r="G651" s="55"/>
      <c r="H651" s="33"/>
      <c r="I651" s="33"/>
      <c r="J651" s="55"/>
      <c r="K651" s="56"/>
      <c r="L651" s="56"/>
      <c r="M651" s="56"/>
      <c r="N651" s="56"/>
      <c r="O651" s="56"/>
      <c r="P651" s="56"/>
      <c r="Q651" s="56"/>
      <c r="R651" s="56"/>
      <c r="S651" s="56"/>
      <c r="T651" s="33"/>
    </row>
    <row r="652" spans="1:20" ht="15.75" customHeight="1" x14ac:dyDescent="0.3">
      <c r="A652" s="33"/>
      <c r="B652" s="33"/>
      <c r="C652" s="33"/>
      <c r="D652" s="54"/>
      <c r="E652" s="33"/>
      <c r="F652" s="33"/>
      <c r="G652" s="55"/>
      <c r="H652" s="33"/>
      <c r="I652" s="33"/>
      <c r="J652" s="55"/>
      <c r="K652" s="56"/>
      <c r="L652" s="56"/>
      <c r="M652" s="56"/>
      <c r="N652" s="56"/>
      <c r="O652" s="56"/>
      <c r="P652" s="56"/>
      <c r="Q652" s="56"/>
      <c r="R652" s="56"/>
      <c r="S652" s="56"/>
      <c r="T652" s="33"/>
    </row>
    <row r="653" spans="1:20" ht="15.75" customHeight="1" x14ac:dyDescent="0.3">
      <c r="A653" s="33"/>
      <c r="B653" s="33"/>
      <c r="C653" s="33"/>
      <c r="D653" s="54"/>
      <c r="E653" s="33"/>
      <c r="F653" s="33"/>
      <c r="G653" s="55"/>
      <c r="H653" s="33"/>
      <c r="I653" s="33"/>
      <c r="J653" s="55"/>
      <c r="K653" s="56"/>
      <c r="L653" s="56"/>
      <c r="M653" s="56"/>
      <c r="N653" s="56"/>
      <c r="O653" s="56"/>
      <c r="P653" s="56"/>
      <c r="Q653" s="56"/>
      <c r="R653" s="56"/>
      <c r="S653" s="56"/>
      <c r="T653" s="33"/>
    </row>
    <row r="654" spans="1:20" ht="15.75" customHeight="1" x14ac:dyDescent="0.3">
      <c r="A654" s="33"/>
      <c r="B654" s="33"/>
      <c r="C654" s="33"/>
      <c r="D654" s="54"/>
      <c r="E654" s="33"/>
      <c r="F654" s="33"/>
      <c r="G654" s="55"/>
      <c r="H654" s="33"/>
      <c r="I654" s="33"/>
      <c r="J654" s="55"/>
      <c r="K654" s="56"/>
      <c r="L654" s="56"/>
      <c r="M654" s="56"/>
      <c r="N654" s="56"/>
      <c r="O654" s="56"/>
      <c r="P654" s="56"/>
      <c r="Q654" s="56"/>
      <c r="R654" s="56"/>
      <c r="S654" s="56"/>
      <c r="T654" s="33"/>
    </row>
    <row r="655" spans="1:20" ht="15.75" customHeight="1" x14ac:dyDescent="0.3">
      <c r="A655" s="33"/>
      <c r="B655" s="33"/>
      <c r="C655" s="33"/>
      <c r="D655" s="54"/>
      <c r="E655" s="33"/>
      <c r="F655" s="33"/>
      <c r="G655" s="55"/>
      <c r="H655" s="33"/>
      <c r="I655" s="33"/>
      <c r="J655" s="55"/>
      <c r="K655" s="56"/>
      <c r="L655" s="56"/>
      <c r="M655" s="56"/>
      <c r="N655" s="56"/>
      <c r="O655" s="56"/>
      <c r="P655" s="56"/>
      <c r="Q655" s="56"/>
      <c r="R655" s="56"/>
      <c r="S655" s="56"/>
      <c r="T655" s="33"/>
    </row>
    <row r="656" spans="1:20" ht="15.75" customHeight="1" x14ac:dyDescent="0.3">
      <c r="A656" s="33"/>
      <c r="B656" s="33"/>
      <c r="C656" s="33"/>
      <c r="D656" s="54"/>
      <c r="E656" s="33"/>
      <c r="F656" s="33"/>
      <c r="G656" s="55"/>
      <c r="H656" s="33"/>
      <c r="I656" s="33"/>
      <c r="J656" s="55"/>
      <c r="K656" s="56"/>
      <c r="L656" s="56"/>
      <c r="M656" s="56"/>
      <c r="N656" s="56"/>
      <c r="O656" s="56"/>
      <c r="P656" s="56"/>
      <c r="Q656" s="56"/>
      <c r="R656" s="56"/>
      <c r="S656" s="56"/>
      <c r="T656" s="33"/>
    </row>
    <row r="657" spans="1:20" ht="15.75" customHeight="1" x14ac:dyDescent="0.3">
      <c r="A657" s="33"/>
      <c r="B657" s="33"/>
      <c r="C657" s="33"/>
      <c r="D657" s="54"/>
      <c r="E657" s="33"/>
      <c r="F657" s="33"/>
      <c r="G657" s="55"/>
      <c r="H657" s="33"/>
      <c r="I657" s="33"/>
      <c r="J657" s="55"/>
      <c r="K657" s="56"/>
      <c r="L657" s="56"/>
      <c r="M657" s="56"/>
      <c r="N657" s="56"/>
      <c r="O657" s="56"/>
      <c r="P657" s="56"/>
      <c r="Q657" s="56"/>
      <c r="R657" s="56"/>
      <c r="S657" s="56"/>
      <c r="T657" s="33"/>
    </row>
    <row r="658" spans="1:20" ht="15.75" customHeight="1" x14ac:dyDescent="0.3">
      <c r="A658" s="33"/>
      <c r="B658" s="33"/>
      <c r="C658" s="33"/>
      <c r="D658" s="54"/>
      <c r="E658" s="33"/>
      <c r="F658" s="33"/>
      <c r="G658" s="55"/>
      <c r="H658" s="33"/>
      <c r="I658" s="33"/>
      <c r="J658" s="55"/>
      <c r="K658" s="56"/>
      <c r="L658" s="56"/>
      <c r="M658" s="56"/>
      <c r="N658" s="56"/>
      <c r="O658" s="56"/>
      <c r="P658" s="56"/>
      <c r="Q658" s="56"/>
      <c r="R658" s="56"/>
      <c r="S658" s="56"/>
      <c r="T658" s="33"/>
    </row>
    <row r="659" spans="1:20" ht="15.75" customHeight="1" x14ac:dyDescent="0.3">
      <c r="A659" s="33"/>
      <c r="B659" s="33"/>
      <c r="C659" s="33"/>
      <c r="D659" s="54"/>
      <c r="E659" s="33"/>
      <c r="F659" s="33"/>
      <c r="G659" s="55"/>
      <c r="H659" s="33"/>
      <c r="I659" s="33"/>
      <c r="J659" s="55"/>
      <c r="K659" s="56"/>
      <c r="L659" s="56"/>
      <c r="M659" s="56"/>
      <c r="N659" s="56"/>
      <c r="O659" s="56"/>
      <c r="P659" s="56"/>
      <c r="Q659" s="56"/>
      <c r="R659" s="56"/>
      <c r="S659" s="56"/>
      <c r="T659" s="33"/>
    </row>
    <row r="660" spans="1:20" ht="15.75" customHeight="1" x14ac:dyDescent="0.3">
      <c r="A660" s="33"/>
      <c r="B660" s="33"/>
      <c r="C660" s="33"/>
      <c r="D660" s="54"/>
      <c r="E660" s="33"/>
      <c r="F660" s="33"/>
      <c r="G660" s="55"/>
      <c r="H660" s="33"/>
      <c r="I660" s="33"/>
      <c r="J660" s="55"/>
      <c r="K660" s="56"/>
      <c r="L660" s="56"/>
      <c r="M660" s="56"/>
      <c r="N660" s="56"/>
      <c r="O660" s="56"/>
      <c r="P660" s="56"/>
      <c r="Q660" s="56"/>
      <c r="R660" s="56"/>
      <c r="S660" s="56"/>
      <c r="T660" s="33"/>
    </row>
    <row r="661" spans="1:20" ht="15.75" customHeight="1" x14ac:dyDescent="0.3">
      <c r="A661" s="33"/>
      <c r="B661" s="33"/>
      <c r="C661" s="33"/>
      <c r="D661" s="54"/>
      <c r="E661" s="33"/>
      <c r="F661" s="33"/>
      <c r="G661" s="55"/>
      <c r="H661" s="33"/>
      <c r="I661" s="33"/>
      <c r="J661" s="55"/>
      <c r="K661" s="56"/>
      <c r="L661" s="56"/>
      <c r="M661" s="56"/>
      <c r="N661" s="56"/>
      <c r="O661" s="56"/>
      <c r="P661" s="56"/>
      <c r="Q661" s="56"/>
      <c r="R661" s="56"/>
      <c r="S661" s="56"/>
      <c r="T661" s="33"/>
    </row>
    <row r="662" spans="1:20" ht="15.75" customHeight="1" x14ac:dyDescent="0.3">
      <c r="A662" s="33"/>
      <c r="B662" s="33"/>
      <c r="C662" s="33"/>
      <c r="D662" s="54"/>
      <c r="E662" s="33"/>
      <c r="F662" s="33"/>
      <c r="G662" s="55"/>
      <c r="H662" s="33"/>
      <c r="I662" s="33"/>
      <c r="J662" s="55"/>
      <c r="K662" s="56"/>
      <c r="L662" s="56"/>
      <c r="M662" s="56"/>
      <c r="N662" s="56"/>
      <c r="O662" s="56"/>
      <c r="P662" s="56"/>
      <c r="Q662" s="56"/>
      <c r="R662" s="56"/>
      <c r="S662" s="56"/>
      <c r="T662" s="33"/>
    </row>
    <row r="663" spans="1:20" ht="15.75" customHeight="1" x14ac:dyDescent="0.3">
      <c r="A663" s="33"/>
      <c r="B663" s="33"/>
      <c r="C663" s="33"/>
      <c r="D663" s="54"/>
      <c r="E663" s="33"/>
      <c r="F663" s="33"/>
      <c r="G663" s="55"/>
      <c r="H663" s="33"/>
      <c r="I663" s="33"/>
      <c r="J663" s="55"/>
      <c r="K663" s="56"/>
      <c r="L663" s="56"/>
      <c r="M663" s="56"/>
      <c r="N663" s="56"/>
      <c r="O663" s="56"/>
      <c r="P663" s="56"/>
      <c r="Q663" s="56"/>
      <c r="R663" s="56"/>
      <c r="S663" s="56"/>
      <c r="T663" s="33"/>
    </row>
    <row r="664" spans="1:20" ht="15.75" customHeight="1" x14ac:dyDescent="0.3">
      <c r="A664" s="33"/>
      <c r="B664" s="33"/>
      <c r="C664" s="33"/>
      <c r="D664" s="54"/>
      <c r="E664" s="33"/>
      <c r="F664" s="33"/>
      <c r="G664" s="55"/>
      <c r="H664" s="33"/>
      <c r="I664" s="33"/>
      <c r="J664" s="55"/>
      <c r="K664" s="56"/>
      <c r="L664" s="56"/>
      <c r="M664" s="56"/>
      <c r="N664" s="56"/>
      <c r="O664" s="56"/>
      <c r="P664" s="56"/>
      <c r="Q664" s="56"/>
      <c r="R664" s="56"/>
      <c r="S664" s="56"/>
      <c r="T664" s="33"/>
    </row>
    <row r="665" spans="1:20" ht="15.75" customHeight="1" x14ac:dyDescent="0.3">
      <c r="A665" s="33"/>
      <c r="B665" s="33"/>
      <c r="C665" s="33"/>
      <c r="D665" s="54"/>
      <c r="E665" s="33"/>
      <c r="F665" s="33"/>
      <c r="G665" s="55"/>
      <c r="H665" s="33"/>
      <c r="I665" s="33"/>
      <c r="J665" s="55"/>
      <c r="K665" s="56"/>
      <c r="L665" s="56"/>
      <c r="M665" s="56"/>
      <c r="N665" s="56"/>
      <c r="O665" s="56"/>
      <c r="P665" s="56"/>
      <c r="Q665" s="56"/>
      <c r="R665" s="56"/>
      <c r="S665" s="56"/>
      <c r="T665" s="33"/>
    </row>
    <row r="666" spans="1:20" ht="15.75" customHeight="1" x14ac:dyDescent="0.3">
      <c r="A666" s="33"/>
      <c r="B666" s="33"/>
      <c r="C666" s="33"/>
      <c r="D666" s="54"/>
      <c r="E666" s="33"/>
      <c r="F666" s="33"/>
      <c r="G666" s="55"/>
      <c r="H666" s="33"/>
      <c r="I666" s="33"/>
      <c r="J666" s="55"/>
      <c r="K666" s="56"/>
      <c r="L666" s="56"/>
      <c r="M666" s="56"/>
      <c r="N666" s="56"/>
      <c r="O666" s="56"/>
      <c r="P666" s="56"/>
      <c r="Q666" s="56"/>
      <c r="R666" s="56"/>
      <c r="S666" s="56"/>
      <c r="T666" s="33"/>
    </row>
    <row r="667" spans="1:20" ht="15.75" customHeight="1" x14ac:dyDescent="0.3">
      <c r="A667" s="33"/>
      <c r="B667" s="33"/>
      <c r="C667" s="33"/>
      <c r="D667" s="54"/>
      <c r="E667" s="33"/>
      <c r="F667" s="33"/>
      <c r="G667" s="55"/>
      <c r="H667" s="33"/>
      <c r="I667" s="33"/>
      <c r="J667" s="55"/>
      <c r="K667" s="56"/>
      <c r="L667" s="56"/>
      <c r="M667" s="56"/>
      <c r="N667" s="56"/>
      <c r="O667" s="56"/>
      <c r="P667" s="56"/>
      <c r="Q667" s="56"/>
      <c r="R667" s="56"/>
      <c r="S667" s="56"/>
      <c r="T667" s="33"/>
    </row>
    <row r="668" spans="1:20" ht="15.75" customHeight="1" x14ac:dyDescent="0.3">
      <c r="A668" s="33"/>
      <c r="B668" s="33"/>
      <c r="C668" s="33"/>
      <c r="D668" s="54"/>
      <c r="E668" s="33"/>
      <c r="F668" s="33"/>
      <c r="G668" s="55"/>
      <c r="H668" s="33"/>
      <c r="I668" s="33"/>
      <c r="J668" s="55"/>
      <c r="K668" s="56"/>
      <c r="L668" s="56"/>
      <c r="M668" s="56"/>
      <c r="N668" s="56"/>
      <c r="O668" s="56"/>
      <c r="P668" s="56"/>
      <c r="Q668" s="56"/>
      <c r="R668" s="56"/>
      <c r="S668" s="56"/>
      <c r="T668" s="33"/>
    </row>
    <row r="669" spans="1:20" ht="15.75" customHeight="1" x14ac:dyDescent="0.3">
      <c r="A669" s="33"/>
      <c r="B669" s="33"/>
      <c r="C669" s="33"/>
      <c r="D669" s="54"/>
      <c r="E669" s="33"/>
      <c r="F669" s="33"/>
      <c r="G669" s="55"/>
      <c r="H669" s="33"/>
      <c r="I669" s="33"/>
      <c r="J669" s="55"/>
      <c r="K669" s="56"/>
      <c r="L669" s="56"/>
      <c r="M669" s="56"/>
      <c r="N669" s="56"/>
      <c r="O669" s="56"/>
      <c r="P669" s="56"/>
      <c r="Q669" s="56"/>
      <c r="R669" s="56"/>
      <c r="S669" s="56"/>
      <c r="T669" s="33"/>
    </row>
    <row r="670" spans="1:20" ht="15.75" customHeight="1" x14ac:dyDescent="0.3">
      <c r="A670" s="33"/>
      <c r="B670" s="33"/>
      <c r="C670" s="33"/>
      <c r="D670" s="54"/>
      <c r="E670" s="33"/>
      <c r="F670" s="33"/>
      <c r="G670" s="55"/>
      <c r="H670" s="33"/>
      <c r="I670" s="33"/>
      <c r="J670" s="55"/>
      <c r="K670" s="56"/>
      <c r="L670" s="56"/>
      <c r="M670" s="56"/>
      <c r="N670" s="56"/>
      <c r="O670" s="56"/>
      <c r="P670" s="56"/>
      <c r="Q670" s="56"/>
      <c r="R670" s="56"/>
      <c r="S670" s="56"/>
      <c r="T670" s="33"/>
    </row>
    <row r="671" spans="1:20" ht="15.75" customHeight="1" x14ac:dyDescent="0.3">
      <c r="A671" s="33"/>
      <c r="B671" s="33"/>
      <c r="C671" s="33"/>
      <c r="D671" s="54"/>
      <c r="E671" s="33"/>
      <c r="F671" s="33"/>
      <c r="G671" s="55"/>
      <c r="H671" s="33"/>
      <c r="I671" s="33"/>
      <c r="J671" s="55"/>
      <c r="K671" s="56"/>
      <c r="L671" s="56"/>
      <c r="M671" s="56"/>
      <c r="N671" s="56"/>
      <c r="O671" s="56"/>
      <c r="P671" s="56"/>
      <c r="Q671" s="56"/>
      <c r="R671" s="56"/>
      <c r="S671" s="56"/>
      <c r="T671" s="33"/>
    </row>
    <row r="672" spans="1:20" ht="15.75" customHeight="1" x14ac:dyDescent="0.3">
      <c r="A672" s="33"/>
      <c r="B672" s="33"/>
      <c r="C672" s="33"/>
      <c r="D672" s="54"/>
      <c r="E672" s="33"/>
      <c r="F672" s="33"/>
      <c r="G672" s="55"/>
      <c r="H672" s="33"/>
      <c r="I672" s="33"/>
      <c r="J672" s="55"/>
      <c r="K672" s="56"/>
      <c r="L672" s="56"/>
      <c r="M672" s="56"/>
      <c r="N672" s="56"/>
      <c r="O672" s="56"/>
      <c r="P672" s="56"/>
      <c r="Q672" s="56"/>
      <c r="R672" s="56"/>
      <c r="S672" s="56"/>
      <c r="T672" s="33"/>
    </row>
    <row r="673" spans="1:20" ht="15.75" customHeight="1" x14ac:dyDescent="0.3">
      <c r="A673" s="33"/>
      <c r="B673" s="33"/>
      <c r="C673" s="33"/>
      <c r="D673" s="54"/>
      <c r="E673" s="33"/>
      <c r="F673" s="33"/>
      <c r="G673" s="55"/>
      <c r="H673" s="33"/>
      <c r="I673" s="33"/>
      <c r="J673" s="55"/>
      <c r="K673" s="56"/>
      <c r="L673" s="56"/>
      <c r="M673" s="56"/>
      <c r="N673" s="56"/>
      <c r="O673" s="56"/>
      <c r="P673" s="56"/>
      <c r="Q673" s="56"/>
      <c r="R673" s="56"/>
      <c r="S673" s="56"/>
      <c r="T673" s="33"/>
    </row>
    <row r="674" spans="1:20" ht="15.75" customHeight="1" x14ac:dyDescent="0.3">
      <c r="A674" s="33"/>
      <c r="B674" s="33"/>
      <c r="C674" s="33"/>
      <c r="D674" s="54"/>
      <c r="E674" s="33"/>
      <c r="F674" s="33"/>
      <c r="G674" s="55"/>
      <c r="H674" s="33"/>
      <c r="I674" s="33"/>
      <c r="J674" s="55"/>
      <c r="K674" s="56"/>
      <c r="L674" s="56"/>
      <c r="M674" s="56"/>
      <c r="N674" s="56"/>
      <c r="O674" s="56"/>
      <c r="P674" s="56"/>
      <c r="Q674" s="56"/>
      <c r="R674" s="56"/>
      <c r="S674" s="56"/>
      <c r="T674" s="33"/>
    </row>
    <row r="675" spans="1:20" ht="15.75" customHeight="1" x14ac:dyDescent="0.3">
      <c r="A675" s="33"/>
      <c r="B675" s="33"/>
      <c r="C675" s="33"/>
      <c r="D675" s="54"/>
      <c r="E675" s="33"/>
      <c r="F675" s="33"/>
      <c r="G675" s="55"/>
      <c r="H675" s="33"/>
      <c r="I675" s="33"/>
      <c r="J675" s="55"/>
      <c r="K675" s="56"/>
      <c r="L675" s="56"/>
      <c r="M675" s="56"/>
      <c r="N675" s="56"/>
      <c r="O675" s="56"/>
      <c r="P675" s="56"/>
      <c r="Q675" s="56"/>
      <c r="R675" s="56"/>
      <c r="S675" s="56"/>
      <c r="T675" s="33"/>
    </row>
    <row r="676" spans="1:20" ht="15.75" customHeight="1" x14ac:dyDescent="0.3">
      <c r="A676" s="33"/>
      <c r="B676" s="33"/>
      <c r="C676" s="33"/>
      <c r="D676" s="54"/>
      <c r="E676" s="33"/>
      <c r="F676" s="33"/>
      <c r="G676" s="55"/>
      <c r="H676" s="33"/>
      <c r="I676" s="33"/>
      <c r="J676" s="55"/>
      <c r="K676" s="56"/>
      <c r="L676" s="56"/>
      <c r="M676" s="56"/>
      <c r="N676" s="56"/>
      <c r="O676" s="56"/>
      <c r="P676" s="56"/>
      <c r="Q676" s="56"/>
      <c r="R676" s="56"/>
      <c r="S676" s="56"/>
      <c r="T676" s="33"/>
    </row>
    <row r="677" spans="1:20" ht="15.75" customHeight="1" x14ac:dyDescent="0.3">
      <c r="A677" s="33"/>
      <c r="B677" s="33"/>
      <c r="C677" s="33"/>
      <c r="D677" s="54"/>
      <c r="E677" s="33"/>
      <c r="F677" s="33"/>
      <c r="G677" s="55"/>
      <c r="H677" s="33"/>
      <c r="I677" s="33"/>
      <c r="J677" s="55"/>
      <c r="K677" s="56"/>
      <c r="L677" s="56"/>
      <c r="M677" s="56"/>
      <c r="N677" s="56"/>
      <c r="O677" s="56"/>
      <c r="P677" s="56"/>
      <c r="Q677" s="56"/>
      <c r="R677" s="56"/>
      <c r="S677" s="56"/>
      <c r="T677" s="33"/>
    </row>
    <row r="678" spans="1:20" ht="15.75" customHeight="1" x14ac:dyDescent="0.3">
      <c r="A678" s="33"/>
      <c r="B678" s="33"/>
      <c r="C678" s="33"/>
      <c r="D678" s="54"/>
      <c r="E678" s="33"/>
      <c r="F678" s="33"/>
      <c r="G678" s="55"/>
      <c r="H678" s="33"/>
      <c r="I678" s="33"/>
      <c r="J678" s="55"/>
      <c r="K678" s="56"/>
      <c r="L678" s="56"/>
      <c r="M678" s="56"/>
      <c r="N678" s="56"/>
      <c r="O678" s="56"/>
      <c r="P678" s="56"/>
      <c r="Q678" s="56"/>
      <c r="R678" s="56"/>
      <c r="S678" s="56"/>
      <c r="T678" s="33"/>
    </row>
    <row r="679" spans="1:20" ht="15.75" customHeight="1" x14ac:dyDescent="0.3">
      <c r="A679" s="33"/>
      <c r="B679" s="33"/>
      <c r="C679" s="33"/>
      <c r="D679" s="54"/>
      <c r="E679" s="33"/>
      <c r="F679" s="33"/>
      <c r="G679" s="55"/>
      <c r="H679" s="33"/>
      <c r="I679" s="33"/>
      <c r="J679" s="55"/>
      <c r="K679" s="56"/>
      <c r="L679" s="56"/>
      <c r="M679" s="56"/>
      <c r="N679" s="56"/>
      <c r="O679" s="56"/>
      <c r="P679" s="56"/>
      <c r="Q679" s="56"/>
      <c r="R679" s="56"/>
      <c r="S679" s="56"/>
      <c r="T679" s="33"/>
    </row>
    <row r="680" spans="1:20" ht="15.75" customHeight="1" x14ac:dyDescent="0.3">
      <c r="A680" s="33"/>
      <c r="B680" s="33"/>
      <c r="C680" s="33"/>
      <c r="D680" s="54"/>
      <c r="E680" s="33"/>
      <c r="F680" s="33"/>
      <c r="G680" s="55"/>
      <c r="H680" s="33"/>
      <c r="I680" s="33"/>
      <c r="J680" s="55"/>
      <c r="K680" s="56"/>
      <c r="L680" s="56"/>
      <c r="M680" s="56"/>
      <c r="N680" s="56"/>
      <c r="O680" s="56"/>
      <c r="P680" s="56"/>
      <c r="Q680" s="56"/>
      <c r="R680" s="56"/>
      <c r="S680" s="56"/>
      <c r="T680" s="33"/>
    </row>
    <row r="681" spans="1:20" ht="15.75" customHeight="1" x14ac:dyDescent="0.3">
      <c r="A681" s="33"/>
      <c r="B681" s="33"/>
      <c r="C681" s="33"/>
      <c r="D681" s="54"/>
      <c r="E681" s="33"/>
      <c r="F681" s="33"/>
      <c r="G681" s="55"/>
      <c r="H681" s="33"/>
      <c r="I681" s="33"/>
      <c r="J681" s="55"/>
      <c r="K681" s="56"/>
      <c r="L681" s="56"/>
      <c r="M681" s="56"/>
      <c r="N681" s="56"/>
      <c r="O681" s="56"/>
      <c r="P681" s="56"/>
      <c r="Q681" s="56"/>
      <c r="R681" s="56"/>
      <c r="S681" s="56"/>
      <c r="T681" s="33"/>
    </row>
    <row r="682" spans="1:20" ht="15.75" customHeight="1" x14ac:dyDescent="0.3">
      <c r="A682" s="33"/>
      <c r="B682" s="33"/>
      <c r="C682" s="33"/>
      <c r="D682" s="54"/>
      <c r="E682" s="33"/>
      <c r="F682" s="33"/>
      <c r="G682" s="55"/>
      <c r="H682" s="33"/>
      <c r="I682" s="33"/>
      <c r="J682" s="55"/>
      <c r="K682" s="56"/>
      <c r="L682" s="56"/>
      <c r="M682" s="56"/>
      <c r="N682" s="56"/>
      <c r="O682" s="56"/>
      <c r="P682" s="56"/>
      <c r="Q682" s="56"/>
      <c r="R682" s="56"/>
      <c r="S682" s="56"/>
      <c r="T682" s="33"/>
    </row>
    <row r="683" spans="1:20" ht="15.75" customHeight="1" x14ac:dyDescent="0.3">
      <c r="A683" s="33"/>
      <c r="B683" s="33"/>
      <c r="C683" s="33"/>
      <c r="D683" s="54"/>
      <c r="E683" s="33"/>
      <c r="F683" s="33"/>
      <c r="G683" s="55"/>
      <c r="H683" s="33"/>
      <c r="I683" s="33"/>
      <c r="J683" s="55"/>
      <c r="K683" s="56"/>
      <c r="L683" s="56"/>
      <c r="M683" s="56"/>
      <c r="N683" s="56"/>
      <c r="O683" s="56"/>
      <c r="P683" s="56"/>
      <c r="Q683" s="56"/>
      <c r="R683" s="56"/>
      <c r="S683" s="56"/>
      <c r="T683" s="33"/>
    </row>
    <row r="684" spans="1:20" ht="15.75" customHeight="1" x14ac:dyDescent="0.3">
      <c r="A684" s="33"/>
      <c r="B684" s="33"/>
      <c r="C684" s="33"/>
      <c r="D684" s="54"/>
      <c r="E684" s="33"/>
      <c r="F684" s="33"/>
      <c r="G684" s="55"/>
      <c r="H684" s="33"/>
      <c r="I684" s="33"/>
      <c r="J684" s="55"/>
      <c r="K684" s="56"/>
      <c r="L684" s="56"/>
      <c r="M684" s="56"/>
      <c r="N684" s="56"/>
      <c r="O684" s="56"/>
      <c r="P684" s="56"/>
      <c r="Q684" s="56"/>
      <c r="R684" s="56"/>
      <c r="S684" s="56"/>
      <c r="T684" s="33"/>
    </row>
    <row r="685" spans="1:20" ht="15.75" customHeight="1" x14ac:dyDescent="0.3">
      <c r="A685" s="33"/>
      <c r="B685" s="33"/>
      <c r="C685" s="33"/>
      <c r="D685" s="54"/>
      <c r="E685" s="33"/>
      <c r="F685" s="33"/>
      <c r="G685" s="55"/>
      <c r="H685" s="33"/>
      <c r="I685" s="33"/>
      <c r="J685" s="55"/>
      <c r="K685" s="56"/>
      <c r="L685" s="56"/>
      <c r="M685" s="56"/>
      <c r="N685" s="56"/>
      <c r="O685" s="56"/>
      <c r="P685" s="56"/>
      <c r="Q685" s="56"/>
      <c r="R685" s="56"/>
      <c r="S685" s="56"/>
      <c r="T685" s="33"/>
    </row>
    <row r="686" spans="1:20" ht="15.75" customHeight="1" x14ac:dyDescent="0.3">
      <c r="A686" s="33"/>
      <c r="B686" s="33"/>
      <c r="C686" s="33"/>
      <c r="D686" s="54"/>
      <c r="E686" s="33"/>
      <c r="F686" s="33"/>
      <c r="G686" s="55"/>
      <c r="H686" s="33"/>
      <c r="I686" s="33"/>
      <c r="J686" s="55"/>
      <c r="K686" s="56"/>
      <c r="L686" s="56"/>
      <c r="M686" s="56"/>
      <c r="N686" s="56"/>
      <c r="O686" s="56"/>
      <c r="P686" s="56"/>
      <c r="Q686" s="56"/>
      <c r="R686" s="56"/>
      <c r="S686" s="56"/>
      <c r="T686" s="33"/>
    </row>
    <row r="687" spans="1:20" ht="15.75" customHeight="1" x14ac:dyDescent="0.3">
      <c r="A687" s="33"/>
      <c r="B687" s="33"/>
      <c r="C687" s="33"/>
      <c r="D687" s="54"/>
      <c r="E687" s="33"/>
      <c r="F687" s="33"/>
      <c r="G687" s="55"/>
      <c r="H687" s="33"/>
      <c r="I687" s="33"/>
      <c r="J687" s="55"/>
      <c r="K687" s="56"/>
      <c r="L687" s="56"/>
      <c r="M687" s="56"/>
      <c r="N687" s="56"/>
      <c r="O687" s="56"/>
      <c r="P687" s="56"/>
      <c r="Q687" s="56"/>
      <c r="R687" s="56"/>
      <c r="S687" s="56"/>
      <c r="T687" s="33"/>
    </row>
    <row r="688" spans="1:20" ht="15.75" customHeight="1" x14ac:dyDescent="0.3">
      <c r="A688" s="33"/>
      <c r="B688" s="33"/>
      <c r="C688" s="33"/>
      <c r="D688" s="54"/>
      <c r="E688" s="33"/>
      <c r="F688" s="33"/>
      <c r="G688" s="55"/>
      <c r="H688" s="33"/>
      <c r="I688" s="33"/>
      <c r="J688" s="55"/>
      <c r="K688" s="56"/>
      <c r="L688" s="56"/>
      <c r="M688" s="56"/>
      <c r="N688" s="56"/>
      <c r="O688" s="56"/>
      <c r="P688" s="56"/>
      <c r="Q688" s="56"/>
      <c r="R688" s="56"/>
      <c r="S688" s="56"/>
      <c r="T688" s="33"/>
    </row>
    <row r="689" spans="1:20" ht="15.75" customHeight="1" x14ac:dyDescent="0.3">
      <c r="A689" s="33"/>
      <c r="B689" s="33"/>
      <c r="C689" s="33"/>
      <c r="D689" s="54"/>
      <c r="E689" s="33"/>
      <c r="F689" s="33"/>
      <c r="G689" s="55"/>
      <c r="H689" s="33"/>
      <c r="I689" s="33"/>
      <c r="J689" s="55"/>
      <c r="K689" s="56"/>
      <c r="L689" s="56"/>
      <c r="M689" s="56"/>
      <c r="N689" s="56"/>
      <c r="O689" s="56"/>
      <c r="P689" s="56"/>
      <c r="Q689" s="56"/>
      <c r="R689" s="56"/>
      <c r="S689" s="56"/>
      <c r="T689" s="33"/>
    </row>
    <row r="690" spans="1:20" ht="15.75" customHeight="1" x14ac:dyDescent="0.3">
      <c r="A690" s="33"/>
      <c r="B690" s="33"/>
      <c r="C690" s="33"/>
      <c r="D690" s="54"/>
      <c r="E690" s="33"/>
      <c r="F690" s="33"/>
      <c r="G690" s="55"/>
      <c r="H690" s="33"/>
      <c r="I690" s="33"/>
      <c r="J690" s="55"/>
      <c r="K690" s="56"/>
      <c r="L690" s="56"/>
      <c r="M690" s="56"/>
      <c r="N690" s="56"/>
      <c r="O690" s="56"/>
      <c r="P690" s="56"/>
      <c r="Q690" s="56"/>
      <c r="R690" s="56"/>
      <c r="S690" s="56"/>
      <c r="T690" s="33"/>
    </row>
    <row r="691" spans="1:20" ht="15.75" customHeight="1" x14ac:dyDescent="0.3">
      <c r="A691" s="33"/>
      <c r="B691" s="33"/>
      <c r="C691" s="33"/>
      <c r="D691" s="54"/>
      <c r="E691" s="33"/>
      <c r="F691" s="33"/>
      <c r="G691" s="55"/>
      <c r="H691" s="33"/>
      <c r="I691" s="33"/>
      <c r="J691" s="55"/>
      <c r="K691" s="56"/>
      <c r="L691" s="56"/>
      <c r="M691" s="56"/>
      <c r="N691" s="56"/>
      <c r="O691" s="56"/>
      <c r="P691" s="56"/>
      <c r="Q691" s="56"/>
      <c r="R691" s="56"/>
      <c r="S691" s="56"/>
      <c r="T691" s="33"/>
    </row>
    <row r="692" spans="1:20" ht="15.75" customHeight="1" x14ac:dyDescent="0.3">
      <c r="A692" s="33"/>
      <c r="B692" s="33"/>
      <c r="C692" s="33"/>
      <c r="D692" s="54"/>
      <c r="E692" s="33"/>
      <c r="F692" s="33"/>
      <c r="G692" s="55"/>
      <c r="H692" s="33"/>
      <c r="I692" s="33"/>
      <c r="J692" s="55"/>
      <c r="K692" s="56"/>
      <c r="L692" s="56"/>
      <c r="M692" s="56"/>
      <c r="N692" s="56"/>
      <c r="O692" s="56"/>
      <c r="P692" s="56"/>
      <c r="Q692" s="56"/>
      <c r="R692" s="56"/>
      <c r="S692" s="56"/>
      <c r="T692" s="33"/>
    </row>
    <row r="693" spans="1:20" ht="15.75" customHeight="1" x14ac:dyDescent="0.3">
      <c r="A693" s="33"/>
      <c r="B693" s="33"/>
      <c r="C693" s="33"/>
      <c r="D693" s="54"/>
      <c r="E693" s="33"/>
      <c r="F693" s="33"/>
      <c r="G693" s="55"/>
      <c r="H693" s="33"/>
      <c r="I693" s="33"/>
      <c r="J693" s="55"/>
      <c r="K693" s="56"/>
      <c r="L693" s="56"/>
      <c r="M693" s="56"/>
      <c r="N693" s="56"/>
      <c r="O693" s="56"/>
      <c r="P693" s="56"/>
      <c r="Q693" s="56"/>
      <c r="R693" s="56"/>
      <c r="S693" s="56"/>
      <c r="T693" s="33"/>
    </row>
    <row r="694" spans="1:20" ht="15.75" customHeight="1" x14ac:dyDescent="0.3">
      <c r="A694" s="33"/>
      <c r="B694" s="33"/>
      <c r="C694" s="33"/>
      <c r="D694" s="54"/>
      <c r="E694" s="33"/>
      <c r="F694" s="33"/>
      <c r="G694" s="55"/>
      <c r="H694" s="33"/>
      <c r="I694" s="33"/>
      <c r="J694" s="55"/>
      <c r="K694" s="56"/>
      <c r="L694" s="56"/>
      <c r="M694" s="56"/>
      <c r="N694" s="56"/>
      <c r="O694" s="56"/>
      <c r="P694" s="56"/>
      <c r="Q694" s="56"/>
      <c r="R694" s="56"/>
      <c r="S694" s="56"/>
      <c r="T694" s="33"/>
    </row>
    <row r="695" spans="1:20" ht="15.75" customHeight="1" x14ac:dyDescent="0.3">
      <c r="A695" s="33"/>
      <c r="B695" s="33"/>
      <c r="C695" s="33"/>
      <c r="D695" s="54"/>
      <c r="E695" s="33"/>
      <c r="F695" s="33"/>
      <c r="G695" s="55"/>
      <c r="H695" s="33"/>
      <c r="I695" s="33"/>
      <c r="J695" s="55"/>
      <c r="K695" s="56"/>
      <c r="L695" s="56"/>
      <c r="M695" s="56"/>
      <c r="N695" s="56"/>
      <c r="O695" s="56"/>
      <c r="P695" s="56"/>
      <c r="Q695" s="56"/>
      <c r="R695" s="56"/>
      <c r="S695" s="56"/>
      <c r="T695" s="33"/>
    </row>
    <row r="696" spans="1:20" ht="15.75" customHeight="1" x14ac:dyDescent="0.3">
      <c r="A696" s="33"/>
      <c r="B696" s="33"/>
      <c r="C696" s="33"/>
      <c r="D696" s="54"/>
      <c r="E696" s="33"/>
      <c r="F696" s="33"/>
      <c r="G696" s="55"/>
      <c r="H696" s="33"/>
      <c r="I696" s="33"/>
      <c r="J696" s="55"/>
      <c r="K696" s="56"/>
      <c r="L696" s="56"/>
      <c r="M696" s="56"/>
      <c r="N696" s="56"/>
      <c r="O696" s="56"/>
      <c r="P696" s="56"/>
      <c r="Q696" s="56"/>
      <c r="R696" s="56"/>
      <c r="S696" s="56"/>
      <c r="T696" s="33"/>
    </row>
    <row r="697" spans="1:20" ht="15.75" customHeight="1" x14ac:dyDescent="0.3">
      <c r="A697" s="33"/>
      <c r="B697" s="33"/>
      <c r="C697" s="33"/>
      <c r="D697" s="54"/>
      <c r="E697" s="33"/>
      <c r="F697" s="33"/>
      <c r="G697" s="55"/>
      <c r="H697" s="33"/>
      <c r="I697" s="33"/>
      <c r="J697" s="55"/>
      <c r="K697" s="56"/>
      <c r="L697" s="56"/>
      <c r="M697" s="56"/>
      <c r="N697" s="56"/>
      <c r="O697" s="56"/>
      <c r="P697" s="56"/>
      <c r="Q697" s="56"/>
      <c r="R697" s="56"/>
      <c r="S697" s="56"/>
      <c r="T697" s="33"/>
    </row>
    <row r="698" spans="1:20" ht="15.75" customHeight="1" x14ac:dyDescent="0.3">
      <c r="A698" s="33"/>
      <c r="B698" s="33"/>
      <c r="C698" s="33"/>
      <c r="D698" s="54"/>
      <c r="E698" s="33"/>
      <c r="F698" s="33"/>
      <c r="G698" s="55"/>
      <c r="H698" s="33"/>
      <c r="I698" s="33"/>
      <c r="J698" s="55"/>
      <c r="K698" s="56"/>
      <c r="L698" s="56"/>
      <c r="M698" s="56"/>
      <c r="N698" s="56"/>
      <c r="O698" s="56"/>
      <c r="P698" s="56"/>
      <c r="Q698" s="56"/>
      <c r="R698" s="56"/>
      <c r="S698" s="56"/>
      <c r="T698" s="33"/>
    </row>
    <row r="699" spans="1:20" ht="15.75" customHeight="1" x14ac:dyDescent="0.3">
      <c r="A699" s="33"/>
      <c r="B699" s="33"/>
      <c r="C699" s="33"/>
      <c r="D699" s="54"/>
      <c r="E699" s="33"/>
      <c r="F699" s="33"/>
      <c r="G699" s="55"/>
      <c r="H699" s="33"/>
      <c r="I699" s="33"/>
      <c r="J699" s="55"/>
      <c r="K699" s="56"/>
      <c r="L699" s="56"/>
      <c r="M699" s="56"/>
      <c r="N699" s="56"/>
      <c r="O699" s="56"/>
      <c r="P699" s="56"/>
      <c r="Q699" s="56"/>
      <c r="R699" s="56"/>
      <c r="S699" s="56"/>
      <c r="T699" s="33"/>
    </row>
    <row r="700" spans="1:20" ht="15.75" customHeight="1" x14ac:dyDescent="0.3">
      <c r="A700" s="33"/>
      <c r="B700" s="33"/>
      <c r="C700" s="33"/>
      <c r="D700" s="54"/>
      <c r="E700" s="33"/>
      <c r="F700" s="33"/>
      <c r="G700" s="55"/>
      <c r="H700" s="33"/>
      <c r="I700" s="33"/>
      <c r="J700" s="55"/>
      <c r="K700" s="56"/>
      <c r="L700" s="56"/>
      <c r="M700" s="56"/>
      <c r="N700" s="56"/>
      <c r="O700" s="56"/>
      <c r="P700" s="56"/>
      <c r="Q700" s="56"/>
      <c r="R700" s="56"/>
      <c r="S700" s="56"/>
      <c r="T700" s="33"/>
    </row>
    <row r="701" spans="1:20" ht="15.75" customHeight="1" x14ac:dyDescent="0.3">
      <c r="A701" s="33"/>
      <c r="B701" s="33"/>
      <c r="C701" s="33"/>
      <c r="D701" s="54"/>
      <c r="E701" s="33"/>
      <c r="F701" s="33"/>
      <c r="G701" s="55"/>
      <c r="H701" s="33"/>
      <c r="I701" s="33"/>
      <c r="J701" s="55"/>
      <c r="K701" s="56"/>
      <c r="L701" s="56"/>
      <c r="M701" s="56"/>
      <c r="N701" s="56"/>
      <c r="O701" s="56"/>
      <c r="P701" s="56"/>
      <c r="Q701" s="56"/>
      <c r="R701" s="56"/>
      <c r="S701" s="56"/>
      <c r="T701" s="33"/>
    </row>
    <row r="702" spans="1:20" ht="15.75" customHeight="1" x14ac:dyDescent="0.3">
      <c r="A702" s="33"/>
      <c r="B702" s="33"/>
      <c r="C702" s="33"/>
      <c r="D702" s="54"/>
      <c r="E702" s="33"/>
      <c r="F702" s="33"/>
      <c r="G702" s="55"/>
      <c r="H702" s="33"/>
      <c r="I702" s="33"/>
      <c r="J702" s="55"/>
      <c r="K702" s="56"/>
      <c r="L702" s="56"/>
      <c r="M702" s="56"/>
      <c r="N702" s="56"/>
      <c r="O702" s="56"/>
      <c r="P702" s="56"/>
      <c r="Q702" s="56"/>
      <c r="R702" s="56"/>
      <c r="S702" s="56"/>
      <c r="T702" s="33"/>
    </row>
    <row r="703" spans="1:20" ht="15.75" customHeight="1" x14ac:dyDescent="0.3">
      <c r="A703" s="33"/>
      <c r="B703" s="33"/>
      <c r="C703" s="33"/>
      <c r="D703" s="54"/>
      <c r="E703" s="33"/>
      <c r="F703" s="33"/>
      <c r="G703" s="55"/>
      <c r="H703" s="33"/>
      <c r="I703" s="33"/>
      <c r="J703" s="55"/>
      <c r="K703" s="56"/>
      <c r="L703" s="56"/>
      <c r="M703" s="56"/>
      <c r="N703" s="56"/>
      <c r="O703" s="56"/>
      <c r="P703" s="56"/>
      <c r="Q703" s="56"/>
      <c r="R703" s="56"/>
      <c r="S703" s="56"/>
      <c r="T703" s="33"/>
    </row>
    <row r="704" spans="1:20" ht="15.75" customHeight="1" x14ac:dyDescent="0.3">
      <c r="A704" s="33"/>
      <c r="B704" s="33"/>
      <c r="C704" s="33"/>
      <c r="D704" s="54"/>
      <c r="E704" s="33"/>
      <c r="F704" s="33"/>
      <c r="G704" s="55"/>
      <c r="H704" s="33"/>
      <c r="I704" s="33"/>
      <c r="J704" s="55"/>
      <c r="K704" s="56"/>
      <c r="L704" s="56"/>
      <c r="M704" s="56"/>
      <c r="N704" s="56"/>
      <c r="O704" s="56"/>
      <c r="P704" s="56"/>
      <c r="Q704" s="56"/>
      <c r="R704" s="56"/>
      <c r="S704" s="56"/>
      <c r="T704" s="33"/>
    </row>
    <row r="705" spans="1:20" ht="15.75" customHeight="1" x14ac:dyDescent="0.3">
      <c r="A705" s="33"/>
      <c r="B705" s="33"/>
      <c r="C705" s="33"/>
      <c r="D705" s="54"/>
      <c r="E705" s="33"/>
      <c r="F705" s="33"/>
      <c r="G705" s="55"/>
      <c r="H705" s="33"/>
      <c r="I705" s="33"/>
      <c r="J705" s="55"/>
      <c r="K705" s="56"/>
      <c r="L705" s="56"/>
      <c r="M705" s="56"/>
      <c r="N705" s="56"/>
      <c r="O705" s="56"/>
      <c r="P705" s="56"/>
      <c r="Q705" s="56"/>
      <c r="R705" s="56"/>
      <c r="S705" s="56"/>
      <c r="T705" s="33"/>
    </row>
    <row r="706" spans="1:20" ht="15.75" customHeight="1" x14ac:dyDescent="0.3">
      <c r="A706" s="33"/>
      <c r="B706" s="33"/>
      <c r="C706" s="33"/>
      <c r="D706" s="54"/>
      <c r="E706" s="33"/>
      <c r="F706" s="33"/>
      <c r="G706" s="55"/>
      <c r="H706" s="33"/>
      <c r="I706" s="33"/>
      <c r="J706" s="55"/>
      <c r="K706" s="56"/>
      <c r="L706" s="56"/>
      <c r="M706" s="56"/>
      <c r="N706" s="56"/>
      <c r="O706" s="56"/>
      <c r="P706" s="56"/>
      <c r="Q706" s="56"/>
      <c r="R706" s="56"/>
      <c r="S706" s="56"/>
      <c r="T706" s="33"/>
    </row>
    <row r="707" spans="1:20" ht="15.75" customHeight="1" x14ac:dyDescent="0.3">
      <c r="A707" s="33"/>
      <c r="B707" s="33"/>
      <c r="C707" s="33"/>
      <c r="D707" s="54"/>
      <c r="E707" s="33"/>
      <c r="F707" s="33"/>
      <c r="G707" s="55"/>
      <c r="H707" s="33"/>
      <c r="I707" s="33"/>
      <c r="J707" s="55"/>
      <c r="K707" s="56"/>
      <c r="L707" s="56"/>
      <c r="M707" s="56"/>
      <c r="N707" s="56"/>
      <c r="O707" s="56"/>
      <c r="P707" s="56"/>
      <c r="Q707" s="56"/>
      <c r="R707" s="56"/>
      <c r="S707" s="56"/>
      <c r="T707" s="33"/>
    </row>
    <row r="708" spans="1:20" ht="15.75" customHeight="1" x14ac:dyDescent="0.3">
      <c r="A708" s="33"/>
      <c r="B708" s="33"/>
      <c r="C708" s="33"/>
      <c r="D708" s="54"/>
      <c r="E708" s="33"/>
      <c r="F708" s="33"/>
      <c r="G708" s="55"/>
      <c r="H708" s="33"/>
      <c r="I708" s="33"/>
      <c r="J708" s="55"/>
      <c r="K708" s="56"/>
      <c r="L708" s="56"/>
      <c r="M708" s="56"/>
      <c r="N708" s="56"/>
      <c r="O708" s="56"/>
      <c r="P708" s="56"/>
      <c r="Q708" s="56"/>
      <c r="R708" s="56"/>
      <c r="S708" s="56"/>
      <c r="T708" s="33"/>
    </row>
    <row r="709" spans="1:20" ht="15.75" customHeight="1" x14ac:dyDescent="0.3">
      <c r="A709" s="33"/>
      <c r="B709" s="33"/>
      <c r="C709" s="33"/>
      <c r="D709" s="54"/>
      <c r="E709" s="33"/>
      <c r="F709" s="33"/>
      <c r="G709" s="55"/>
      <c r="H709" s="33"/>
      <c r="I709" s="33"/>
      <c r="J709" s="55"/>
      <c r="K709" s="56"/>
      <c r="L709" s="56"/>
      <c r="M709" s="56"/>
      <c r="N709" s="56"/>
      <c r="O709" s="56"/>
      <c r="P709" s="56"/>
      <c r="Q709" s="56"/>
      <c r="R709" s="56"/>
      <c r="S709" s="56"/>
      <c r="T709" s="33"/>
    </row>
    <row r="710" spans="1:20" ht="15.75" customHeight="1" x14ac:dyDescent="0.3">
      <c r="A710" s="33"/>
      <c r="B710" s="33"/>
      <c r="C710" s="33"/>
      <c r="D710" s="54"/>
      <c r="E710" s="33"/>
      <c r="F710" s="33"/>
      <c r="G710" s="55"/>
      <c r="H710" s="33"/>
      <c r="I710" s="33"/>
      <c r="J710" s="55"/>
      <c r="K710" s="56"/>
      <c r="L710" s="56"/>
      <c r="M710" s="56"/>
      <c r="N710" s="56"/>
      <c r="O710" s="56"/>
      <c r="P710" s="56"/>
      <c r="Q710" s="56"/>
      <c r="R710" s="56"/>
      <c r="S710" s="56"/>
      <c r="T710" s="33"/>
    </row>
    <row r="711" spans="1:20" ht="15.75" customHeight="1" x14ac:dyDescent="0.3">
      <c r="A711" s="33"/>
      <c r="B711" s="33"/>
      <c r="C711" s="33"/>
      <c r="D711" s="54"/>
      <c r="E711" s="33"/>
      <c r="F711" s="33"/>
      <c r="G711" s="55"/>
      <c r="H711" s="33"/>
      <c r="I711" s="33"/>
      <c r="J711" s="55"/>
      <c r="K711" s="56"/>
      <c r="L711" s="56"/>
      <c r="M711" s="56"/>
      <c r="N711" s="56"/>
      <c r="O711" s="56"/>
      <c r="P711" s="56"/>
      <c r="Q711" s="56"/>
      <c r="R711" s="56"/>
      <c r="S711" s="56"/>
      <c r="T711" s="33"/>
    </row>
    <row r="712" spans="1:20" ht="15.75" customHeight="1" x14ac:dyDescent="0.3">
      <c r="A712" s="33"/>
      <c r="B712" s="33"/>
      <c r="C712" s="33"/>
      <c r="D712" s="54"/>
      <c r="E712" s="33"/>
      <c r="F712" s="33"/>
      <c r="G712" s="55"/>
      <c r="H712" s="33"/>
      <c r="I712" s="33"/>
      <c r="J712" s="55"/>
      <c r="K712" s="56"/>
      <c r="L712" s="56"/>
      <c r="M712" s="56"/>
      <c r="N712" s="56"/>
      <c r="O712" s="56"/>
      <c r="P712" s="56"/>
      <c r="Q712" s="56"/>
      <c r="R712" s="56"/>
      <c r="S712" s="56"/>
      <c r="T712" s="33"/>
    </row>
    <row r="713" spans="1:20" ht="15.75" customHeight="1" x14ac:dyDescent="0.3">
      <c r="A713" s="33"/>
      <c r="B713" s="33"/>
      <c r="C713" s="33"/>
      <c r="D713" s="54"/>
      <c r="E713" s="33"/>
      <c r="F713" s="33"/>
      <c r="G713" s="55"/>
      <c r="H713" s="33"/>
      <c r="I713" s="33"/>
      <c r="J713" s="55"/>
      <c r="K713" s="56"/>
      <c r="L713" s="56"/>
      <c r="M713" s="56"/>
      <c r="N713" s="56"/>
      <c r="O713" s="56"/>
      <c r="P713" s="56"/>
      <c r="Q713" s="56"/>
      <c r="R713" s="56"/>
      <c r="S713" s="56"/>
      <c r="T713" s="33"/>
    </row>
    <row r="714" spans="1:20" ht="15.75" customHeight="1" x14ac:dyDescent="0.3">
      <c r="A714" s="33"/>
      <c r="B714" s="33"/>
      <c r="C714" s="33"/>
      <c r="D714" s="54"/>
      <c r="E714" s="33"/>
      <c r="F714" s="33"/>
      <c r="G714" s="55"/>
      <c r="H714" s="33"/>
      <c r="I714" s="33"/>
      <c r="J714" s="55"/>
      <c r="K714" s="56"/>
      <c r="L714" s="56"/>
      <c r="M714" s="56"/>
      <c r="N714" s="56"/>
      <c r="O714" s="56"/>
      <c r="P714" s="56"/>
      <c r="Q714" s="56"/>
      <c r="R714" s="56"/>
      <c r="S714" s="56"/>
      <c r="T714" s="33"/>
    </row>
    <row r="715" spans="1:20" ht="15.75" customHeight="1" x14ac:dyDescent="0.3">
      <c r="A715" s="33"/>
      <c r="B715" s="33"/>
      <c r="C715" s="33"/>
      <c r="D715" s="54"/>
      <c r="E715" s="33"/>
      <c r="F715" s="33"/>
      <c r="G715" s="55"/>
      <c r="H715" s="33"/>
      <c r="I715" s="33"/>
      <c r="J715" s="55"/>
      <c r="K715" s="56"/>
      <c r="L715" s="56"/>
      <c r="M715" s="56"/>
      <c r="N715" s="56"/>
      <c r="O715" s="56"/>
      <c r="P715" s="56"/>
      <c r="Q715" s="56"/>
      <c r="R715" s="56"/>
      <c r="S715" s="56"/>
      <c r="T715" s="33"/>
    </row>
    <row r="716" spans="1:20" ht="15.75" customHeight="1" x14ac:dyDescent="0.3">
      <c r="A716" s="33"/>
      <c r="B716" s="33"/>
      <c r="C716" s="33"/>
      <c r="D716" s="54"/>
      <c r="E716" s="33"/>
      <c r="F716" s="33"/>
      <c r="G716" s="55"/>
      <c r="H716" s="33"/>
      <c r="I716" s="33"/>
      <c r="J716" s="55"/>
      <c r="K716" s="56"/>
      <c r="L716" s="56"/>
      <c r="M716" s="56"/>
      <c r="N716" s="56"/>
      <c r="O716" s="56"/>
      <c r="P716" s="56"/>
      <c r="Q716" s="56"/>
      <c r="R716" s="56"/>
      <c r="S716" s="56"/>
      <c r="T716" s="33"/>
    </row>
    <row r="717" spans="1:20" ht="15.75" customHeight="1" x14ac:dyDescent="0.3">
      <c r="A717" s="33"/>
      <c r="B717" s="33"/>
      <c r="C717" s="33"/>
      <c r="D717" s="54"/>
      <c r="E717" s="33"/>
      <c r="F717" s="33"/>
      <c r="G717" s="55"/>
      <c r="H717" s="33"/>
      <c r="I717" s="33"/>
      <c r="J717" s="55"/>
      <c r="K717" s="56"/>
      <c r="L717" s="56"/>
      <c r="M717" s="56"/>
      <c r="N717" s="56"/>
      <c r="O717" s="56"/>
      <c r="P717" s="56"/>
      <c r="Q717" s="56"/>
      <c r="R717" s="56"/>
      <c r="S717" s="56"/>
      <c r="T717" s="33"/>
    </row>
    <row r="718" spans="1:20" ht="15.75" customHeight="1" x14ac:dyDescent="0.3">
      <c r="A718" s="33"/>
      <c r="B718" s="33"/>
      <c r="C718" s="33"/>
      <c r="D718" s="54"/>
      <c r="E718" s="33"/>
      <c r="F718" s="33"/>
      <c r="G718" s="55"/>
      <c r="H718" s="33"/>
      <c r="I718" s="33"/>
      <c r="J718" s="55"/>
      <c r="K718" s="56"/>
      <c r="L718" s="56"/>
      <c r="M718" s="56"/>
      <c r="N718" s="56"/>
      <c r="O718" s="56"/>
      <c r="P718" s="56"/>
      <c r="Q718" s="56"/>
      <c r="R718" s="56"/>
      <c r="S718" s="56"/>
      <c r="T718" s="33"/>
    </row>
    <row r="719" spans="1:20" ht="15.75" customHeight="1" x14ac:dyDescent="0.3">
      <c r="A719" s="33"/>
      <c r="B719" s="33"/>
      <c r="C719" s="33"/>
      <c r="D719" s="54"/>
      <c r="E719" s="33"/>
      <c r="F719" s="33"/>
      <c r="G719" s="55"/>
      <c r="H719" s="33"/>
      <c r="I719" s="33"/>
      <c r="J719" s="55"/>
      <c r="K719" s="56"/>
      <c r="L719" s="56"/>
      <c r="M719" s="56"/>
      <c r="N719" s="56"/>
      <c r="O719" s="56"/>
      <c r="P719" s="56"/>
      <c r="Q719" s="56"/>
      <c r="R719" s="56"/>
      <c r="S719" s="56"/>
      <c r="T719" s="33"/>
    </row>
    <row r="720" spans="1:20" ht="15.75" customHeight="1" x14ac:dyDescent="0.3">
      <c r="A720" s="33"/>
      <c r="B720" s="33"/>
      <c r="C720" s="33"/>
      <c r="D720" s="54"/>
      <c r="E720" s="33"/>
      <c r="F720" s="33"/>
      <c r="G720" s="55"/>
      <c r="H720" s="33"/>
      <c r="I720" s="33"/>
      <c r="J720" s="55"/>
      <c r="K720" s="56"/>
      <c r="L720" s="56"/>
      <c r="M720" s="56"/>
      <c r="N720" s="56"/>
      <c r="O720" s="56"/>
      <c r="P720" s="56"/>
      <c r="Q720" s="56"/>
      <c r="R720" s="56"/>
      <c r="S720" s="56"/>
      <c r="T720" s="33"/>
    </row>
    <row r="721" spans="1:20" ht="15.75" customHeight="1" x14ac:dyDescent="0.3">
      <c r="A721" s="33"/>
      <c r="B721" s="33"/>
      <c r="C721" s="33"/>
      <c r="D721" s="54"/>
      <c r="E721" s="33"/>
      <c r="F721" s="33"/>
      <c r="G721" s="55"/>
      <c r="H721" s="33"/>
      <c r="I721" s="33"/>
      <c r="J721" s="55"/>
      <c r="K721" s="56"/>
      <c r="L721" s="56"/>
      <c r="M721" s="56"/>
      <c r="N721" s="56"/>
      <c r="O721" s="56"/>
      <c r="P721" s="56"/>
      <c r="Q721" s="56"/>
      <c r="R721" s="56"/>
      <c r="S721" s="56"/>
      <c r="T721" s="33"/>
    </row>
    <row r="722" spans="1:20" ht="15.75" customHeight="1" x14ac:dyDescent="0.3">
      <c r="A722" s="33"/>
      <c r="B722" s="33"/>
      <c r="C722" s="33"/>
      <c r="D722" s="54"/>
      <c r="E722" s="33"/>
      <c r="F722" s="33"/>
      <c r="G722" s="55"/>
      <c r="H722" s="33"/>
      <c r="I722" s="33"/>
      <c r="J722" s="55"/>
      <c r="K722" s="56"/>
      <c r="L722" s="56"/>
      <c r="M722" s="56"/>
      <c r="N722" s="56"/>
      <c r="O722" s="56"/>
      <c r="P722" s="56"/>
      <c r="Q722" s="56"/>
      <c r="R722" s="56"/>
      <c r="S722" s="56"/>
      <c r="T722" s="33"/>
    </row>
    <row r="723" spans="1:20" ht="15.75" customHeight="1" x14ac:dyDescent="0.3">
      <c r="A723" s="33"/>
      <c r="B723" s="33"/>
      <c r="C723" s="33"/>
      <c r="D723" s="54"/>
      <c r="E723" s="33"/>
      <c r="F723" s="33"/>
      <c r="G723" s="55"/>
      <c r="H723" s="33"/>
      <c r="I723" s="33"/>
      <c r="J723" s="55"/>
      <c r="K723" s="56"/>
      <c r="L723" s="56"/>
      <c r="M723" s="56"/>
      <c r="N723" s="56"/>
      <c r="O723" s="56"/>
      <c r="P723" s="56"/>
      <c r="Q723" s="56"/>
      <c r="R723" s="56"/>
      <c r="S723" s="56"/>
      <c r="T723" s="33"/>
    </row>
    <row r="724" spans="1:20" ht="15.75" customHeight="1" x14ac:dyDescent="0.3">
      <c r="A724" s="33"/>
      <c r="B724" s="33"/>
      <c r="C724" s="33"/>
      <c r="D724" s="54"/>
      <c r="E724" s="33"/>
      <c r="F724" s="33"/>
      <c r="G724" s="55"/>
      <c r="H724" s="33"/>
      <c r="I724" s="33"/>
      <c r="J724" s="55"/>
      <c r="K724" s="56"/>
      <c r="L724" s="56"/>
      <c r="M724" s="56"/>
      <c r="N724" s="56"/>
      <c r="O724" s="56"/>
      <c r="P724" s="56"/>
      <c r="Q724" s="56"/>
      <c r="R724" s="56"/>
      <c r="S724" s="56"/>
      <c r="T724" s="33"/>
    </row>
    <row r="725" spans="1:20" ht="15.75" customHeight="1" x14ac:dyDescent="0.3">
      <c r="A725" s="33"/>
      <c r="B725" s="33"/>
      <c r="C725" s="33"/>
      <c r="D725" s="54"/>
      <c r="E725" s="33"/>
      <c r="F725" s="33"/>
      <c r="G725" s="55"/>
      <c r="H725" s="33"/>
      <c r="I725" s="33"/>
      <c r="J725" s="55"/>
      <c r="K725" s="56"/>
      <c r="L725" s="56"/>
      <c r="M725" s="56"/>
      <c r="N725" s="56"/>
      <c r="O725" s="56"/>
      <c r="P725" s="56"/>
      <c r="Q725" s="56"/>
      <c r="R725" s="56"/>
      <c r="S725" s="56"/>
      <c r="T725" s="33"/>
    </row>
    <row r="726" spans="1:20" ht="15.75" customHeight="1" x14ac:dyDescent="0.3">
      <c r="A726" s="33"/>
      <c r="B726" s="33"/>
      <c r="C726" s="33"/>
      <c r="D726" s="54"/>
      <c r="E726" s="33"/>
      <c r="F726" s="33"/>
      <c r="G726" s="55"/>
      <c r="H726" s="33"/>
      <c r="I726" s="33"/>
      <c r="J726" s="55"/>
      <c r="K726" s="56"/>
      <c r="L726" s="56"/>
      <c r="M726" s="56"/>
      <c r="N726" s="56"/>
      <c r="O726" s="56"/>
      <c r="P726" s="56"/>
      <c r="Q726" s="56"/>
      <c r="R726" s="56"/>
      <c r="S726" s="56"/>
      <c r="T726" s="33"/>
    </row>
    <row r="727" spans="1:20" ht="15.75" customHeight="1" x14ac:dyDescent="0.3">
      <c r="A727" s="33"/>
      <c r="B727" s="33"/>
      <c r="C727" s="33"/>
      <c r="D727" s="54"/>
      <c r="E727" s="33"/>
      <c r="F727" s="33"/>
      <c r="G727" s="55"/>
      <c r="H727" s="33"/>
      <c r="I727" s="33"/>
      <c r="J727" s="55"/>
      <c r="K727" s="56"/>
      <c r="L727" s="56"/>
      <c r="M727" s="56"/>
      <c r="N727" s="56"/>
      <c r="O727" s="56"/>
      <c r="P727" s="56"/>
      <c r="Q727" s="56"/>
      <c r="R727" s="56"/>
      <c r="S727" s="56"/>
      <c r="T727" s="33"/>
    </row>
    <row r="728" spans="1:20" ht="15.75" customHeight="1" x14ac:dyDescent="0.3">
      <c r="A728" s="33"/>
      <c r="B728" s="33"/>
      <c r="C728" s="33"/>
      <c r="D728" s="54"/>
      <c r="E728" s="33"/>
      <c r="F728" s="33"/>
      <c r="G728" s="55"/>
      <c r="H728" s="33"/>
      <c r="I728" s="33"/>
      <c r="J728" s="55"/>
      <c r="K728" s="56"/>
      <c r="L728" s="56"/>
      <c r="M728" s="56"/>
      <c r="N728" s="56"/>
      <c r="O728" s="56"/>
      <c r="P728" s="56"/>
      <c r="Q728" s="56"/>
      <c r="R728" s="56"/>
      <c r="S728" s="56"/>
      <c r="T728" s="33"/>
    </row>
    <row r="729" spans="1:20" ht="15.75" customHeight="1" x14ac:dyDescent="0.3">
      <c r="A729" s="33"/>
      <c r="B729" s="33"/>
      <c r="C729" s="33"/>
      <c r="D729" s="54"/>
      <c r="E729" s="33"/>
      <c r="F729" s="33"/>
      <c r="G729" s="55"/>
      <c r="H729" s="33"/>
      <c r="I729" s="33"/>
      <c r="J729" s="55"/>
      <c r="K729" s="56"/>
      <c r="L729" s="56"/>
      <c r="M729" s="56"/>
      <c r="N729" s="56"/>
      <c r="O729" s="56"/>
      <c r="P729" s="56"/>
      <c r="Q729" s="56"/>
      <c r="R729" s="56"/>
      <c r="S729" s="56"/>
      <c r="T729" s="33"/>
    </row>
    <row r="730" spans="1:20" ht="15.75" customHeight="1" x14ac:dyDescent="0.3">
      <c r="A730" s="33"/>
      <c r="B730" s="33"/>
      <c r="C730" s="33"/>
      <c r="D730" s="54"/>
      <c r="E730" s="33"/>
      <c r="F730" s="33"/>
      <c r="G730" s="55"/>
      <c r="H730" s="33"/>
      <c r="I730" s="33"/>
      <c r="J730" s="55"/>
      <c r="K730" s="56"/>
      <c r="L730" s="56"/>
      <c r="M730" s="56"/>
      <c r="N730" s="56"/>
      <c r="O730" s="56"/>
      <c r="P730" s="56"/>
      <c r="Q730" s="56"/>
      <c r="R730" s="56"/>
      <c r="S730" s="56"/>
      <c r="T730" s="33"/>
    </row>
    <row r="731" spans="1:20" ht="15.75" customHeight="1" x14ac:dyDescent="0.3">
      <c r="A731" s="33"/>
      <c r="B731" s="33"/>
      <c r="C731" s="33"/>
      <c r="D731" s="54"/>
      <c r="E731" s="33"/>
      <c r="F731" s="33"/>
      <c r="G731" s="55"/>
      <c r="H731" s="33"/>
      <c r="I731" s="33"/>
      <c r="J731" s="55"/>
      <c r="K731" s="56"/>
      <c r="L731" s="56"/>
      <c r="M731" s="56"/>
      <c r="N731" s="56"/>
      <c r="O731" s="56"/>
      <c r="P731" s="56"/>
      <c r="Q731" s="56"/>
      <c r="R731" s="56"/>
      <c r="S731" s="56"/>
      <c r="T731" s="33"/>
    </row>
    <row r="732" spans="1:20" ht="15.75" customHeight="1" x14ac:dyDescent="0.3">
      <c r="A732" s="33"/>
      <c r="B732" s="33"/>
      <c r="C732" s="33"/>
      <c r="D732" s="54"/>
      <c r="E732" s="33"/>
      <c r="F732" s="33"/>
      <c r="G732" s="55"/>
      <c r="H732" s="33"/>
      <c r="I732" s="33"/>
      <c r="J732" s="55"/>
      <c r="K732" s="56"/>
      <c r="L732" s="56"/>
      <c r="M732" s="56"/>
      <c r="N732" s="56"/>
      <c r="O732" s="56"/>
      <c r="P732" s="56"/>
      <c r="Q732" s="56"/>
      <c r="R732" s="56"/>
      <c r="S732" s="56"/>
      <c r="T732" s="33"/>
    </row>
    <row r="733" spans="1:20" ht="15.75" customHeight="1" x14ac:dyDescent="0.3">
      <c r="A733" s="33"/>
      <c r="B733" s="33"/>
      <c r="C733" s="33"/>
      <c r="D733" s="54"/>
      <c r="E733" s="33"/>
      <c r="F733" s="33"/>
      <c r="G733" s="55"/>
      <c r="H733" s="33"/>
      <c r="I733" s="33"/>
      <c r="J733" s="55"/>
      <c r="K733" s="56"/>
      <c r="L733" s="56"/>
      <c r="M733" s="56"/>
      <c r="N733" s="56"/>
      <c r="O733" s="56"/>
      <c r="P733" s="56"/>
      <c r="Q733" s="56"/>
      <c r="R733" s="56"/>
      <c r="S733" s="56"/>
      <c r="T733" s="33"/>
    </row>
    <row r="734" spans="1:20" ht="15.75" customHeight="1" x14ac:dyDescent="0.3">
      <c r="A734" s="33"/>
      <c r="B734" s="33"/>
      <c r="C734" s="33"/>
      <c r="D734" s="54"/>
      <c r="E734" s="33"/>
      <c r="F734" s="33"/>
      <c r="G734" s="55"/>
      <c r="H734" s="33"/>
      <c r="I734" s="33"/>
      <c r="J734" s="55"/>
      <c r="K734" s="56"/>
      <c r="L734" s="56"/>
      <c r="M734" s="56"/>
      <c r="N734" s="56"/>
      <c r="O734" s="56"/>
      <c r="P734" s="56"/>
      <c r="Q734" s="56"/>
      <c r="R734" s="56"/>
      <c r="S734" s="56"/>
      <c r="T734" s="33"/>
    </row>
    <row r="735" spans="1:20" ht="15.75" customHeight="1" x14ac:dyDescent="0.3">
      <c r="A735" s="33"/>
      <c r="B735" s="33"/>
      <c r="C735" s="33"/>
      <c r="D735" s="54"/>
      <c r="E735" s="33"/>
      <c r="F735" s="33"/>
      <c r="G735" s="55"/>
      <c r="H735" s="33"/>
      <c r="I735" s="33"/>
      <c r="J735" s="55"/>
      <c r="K735" s="56"/>
      <c r="L735" s="56"/>
      <c r="M735" s="56"/>
      <c r="N735" s="56"/>
      <c r="O735" s="56"/>
      <c r="P735" s="56"/>
      <c r="Q735" s="56"/>
      <c r="R735" s="56"/>
      <c r="S735" s="56"/>
      <c r="T735" s="33"/>
    </row>
    <row r="736" spans="1:20" ht="15.75" customHeight="1" x14ac:dyDescent="0.3">
      <c r="A736" s="33"/>
      <c r="B736" s="33"/>
      <c r="C736" s="33"/>
      <c r="D736" s="54"/>
      <c r="E736" s="33"/>
      <c r="F736" s="33"/>
      <c r="G736" s="55"/>
      <c r="H736" s="33"/>
      <c r="I736" s="33"/>
      <c r="J736" s="55"/>
      <c r="K736" s="56"/>
      <c r="L736" s="56"/>
      <c r="M736" s="56"/>
      <c r="N736" s="56"/>
      <c r="O736" s="56"/>
      <c r="P736" s="56"/>
      <c r="Q736" s="56"/>
      <c r="R736" s="56"/>
      <c r="S736" s="56"/>
      <c r="T736" s="33"/>
    </row>
    <row r="737" spans="1:20" ht="15.75" customHeight="1" x14ac:dyDescent="0.3">
      <c r="A737" s="33"/>
      <c r="B737" s="33"/>
      <c r="C737" s="33"/>
      <c r="D737" s="54"/>
      <c r="E737" s="33"/>
      <c r="F737" s="33"/>
      <c r="G737" s="55"/>
      <c r="H737" s="33"/>
      <c r="I737" s="33"/>
      <c r="J737" s="55"/>
      <c r="K737" s="56"/>
      <c r="L737" s="56"/>
      <c r="M737" s="56"/>
      <c r="N737" s="56"/>
      <c r="O737" s="56"/>
      <c r="P737" s="56"/>
      <c r="Q737" s="56"/>
      <c r="R737" s="56"/>
      <c r="S737" s="56"/>
      <c r="T737" s="33"/>
    </row>
    <row r="738" spans="1:20" ht="15.75" customHeight="1" x14ac:dyDescent="0.3">
      <c r="A738" s="33"/>
      <c r="B738" s="33"/>
      <c r="C738" s="33"/>
      <c r="D738" s="54"/>
      <c r="E738" s="33"/>
      <c r="F738" s="33"/>
      <c r="G738" s="55"/>
      <c r="H738" s="33"/>
      <c r="I738" s="33"/>
      <c r="J738" s="55"/>
      <c r="K738" s="56"/>
      <c r="L738" s="56"/>
      <c r="M738" s="56"/>
      <c r="N738" s="56"/>
      <c r="O738" s="56"/>
      <c r="P738" s="56"/>
      <c r="Q738" s="56"/>
      <c r="R738" s="56"/>
      <c r="S738" s="56"/>
      <c r="T738" s="33"/>
    </row>
    <row r="739" spans="1:20" ht="15.75" customHeight="1" x14ac:dyDescent="0.3">
      <c r="A739" s="33"/>
      <c r="B739" s="33"/>
      <c r="C739" s="33"/>
      <c r="D739" s="54"/>
      <c r="E739" s="33"/>
      <c r="F739" s="33"/>
      <c r="G739" s="55"/>
      <c r="H739" s="33"/>
      <c r="I739" s="33"/>
      <c r="J739" s="55"/>
      <c r="K739" s="56"/>
      <c r="L739" s="56"/>
      <c r="M739" s="56"/>
      <c r="N739" s="56"/>
      <c r="O739" s="56"/>
      <c r="P739" s="56"/>
      <c r="Q739" s="56"/>
      <c r="R739" s="56"/>
      <c r="S739" s="56"/>
      <c r="T739" s="33"/>
    </row>
    <row r="740" spans="1:20" ht="15.75" customHeight="1" x14ac:dyDescent="0.3">
      <c r="A740" s="33"/>
      <c r="B740" s="33"/>
      <c r="C740" s="33"/>
      <c r="D740" s="54"/>
      <c r="E740" s="33"/>
      <c r="F740" s="33"/>
      <c r="G740" s="55"/>
      <c r="H740" s="33"/>
      <c r="I740" s="33"/>
      <c r="J740" s="55"/>
      <c r="K740" s="56"/>
      <c r="L740" s="56"/>
      <c r="M740" s="56"/>
      <c r="N740" s="56"/>
      <c r="O740" s="56"/>
      <c r="P740" s="56"/>
      <c r="Q740" s="56"/>
      <c r="R740" s="56"/>
      <c r="S740" s="56"/>
      <c r="T740" s="33"/>
    </row>
    <row r="741" spans="1:20" ht="15.75" customHeight="1" x14ac:dyDescent="0.3">
      <c r="A741" s="33"/>
      <c r="B741" s="33"/>
      <c r="C741" s="33"/>
      <c r="D741" s="54"/>
      <c r="E741" s="33"/>
      <c r="F741" s="33"/>
      <c r="G741" s="55"/>
      <c r="H741" s="33"/>
      <c r="I741" s="33"/>
      <c r="J741" s="55"/>
      <c r="K741" s="56"/>
      <c r="L741" s="56"/>
      <c r="M741" s="56"/>
      <c r="N741" s="56"/>
      <c r="O741" s="56"/>
      <c r="P741" s="56"/>
      <c r="Q741" s="56"/>
      <c r="R741" s="56"/>
      <c r="S741" s="56"/>
      <c r="T741" s="33"/>
    </row>
    <row r="742" spans="1:20" ht="15.75" customHeight="1" x14ac:dyDescent="0.3">
      <c r="A742" s="33"/>
      <c r="B742" s="33"/>
      <c r="C742" s="33"/>
      <c r="D742" s="54"/>
      <c r="E742" s="33"/>
      <c r="F742" s="33"/>
      <c r="G742" s="55"/>
      <c r="H742" s="33"/>
      <c r="I742" s="33"/>
      <c r="J742" s="55"/>
      <c r="K742" s="56"/>
      <c r="L742" s="56"/>
      <c r="M742" s="56"/>
      <c r="N742" s="56"/>
      <c r="O742" s="56"/>
      <c r="P742" s="56"/>
      <c r="Q742" s="56"/>
      <c r="R742" s="56"/>
      <c r="S742" s="56"/>
      <c r="T742" s="33"/>
    </row>
    <row r="743" spans="1:20" ht="15.75" customHeight="1" x14ac:dyDescent="0.3">
      <c r="A743" s="33"/>
      <c r="B743" s="33"/>
      <c r="C743" s="33"/>
      <c r="D743" s="54"/>
      <c r="E743" s="33"/>
      <c r="F743" s="33"/>
      <c r="G743" s="55"/>
      <c r="H743" s="33"/>
      <c r="I743" s="33"/>
      <c r="J743" s="55"/>
      <c r="K743" s="56"/>
      <c r="L743" s="56"/>
      <c r="M743" s="56"/>
      <c r="N743" s="56"/>
      <c r="O743" s="56"/>
      <c r="P743" s="56"/>
      <c r="Q743" s="56"/>
      <c r="R743" s="56"/>
      <c r="S743" s="56"/>
      <c r="T743" s="33"/>
    </row>
    <row r="744" spans="1:20" ht="15.75" customHeight="1" x14ac:dyDescent="0.3">
      <c r="A744" s="33"/>
      <c r="B744" s="33"/>
      <c r="C744" s="33"/>
      <c r="D744" s="54"/>
      <c r="E744" s="33"/>
      <c r="F744" s="33"/>
      <c r="G744" s="55"/>
      <c r="H744" s="33"/>
      <c r="I744" s="33"/>
      <c r="J744" s="55"/>
      <c r="K744" s="56"/>
      <c r="L744" s="56"/>
      <c r="M744" s="56"/>
      <c r="N744" s="56"/>
      <c r="O744" s="56"/>
      <c r="P744" s="56"/>
      <c r="Q744" s="56"/>
      <c r="R744" s="56"/>
      <c r="S744" s="56"/>
      <c r="T744" s="33"/>
    </row>
    <row r="745" spans="1:20" ht="15.75" customHeight="1" x14ac:dyDescent="0.3">
      <c r="A745" s="33"/>
      <c r="B745" s="33"/>
      <c r="C745" s="33"/>
      <c r="D745" s="54"/>
      <c r="E745" s="33"/>
      <c r="F745" s="33"/>
      <c r="G745" s="55"/>
      <c r="H745" s="33"/>
      <c r="I745" s="33"/>
      <c r="J745" s="55"/>
      <c r="K745" s="56"/>
      <c r="L745" s="56"/>
      <c r="M745" s="56"/>
      <c r="N745" s="56"/>
      <c r="O745" s="56"/>
      <c r="P745" s="56"/>
      <c r="Q745" s="56"/>
      <c r="R745" s="56"/>
      <c r="S745" s="56"/>
      <c r="T745" s="33"/>
    </row>
    <row r="746" spans="1:20" ht="15.75" customHeight="1" x14ac:dyDescent="0.3">
      <c r="A746" s="33"/>
      <c r="B746" s="33"/>
      <c r="C746" s="33"/>
      <c r="D746" s="54"/>
      <c r="E746" s="33"/>
      <c r="F746" s="33"/>
      <c r="G746" s="55"/>
      <c r="H746" s="33"/>
      <c r="I746" s="33"/>
      <c r="J746" s="55"/>
      <c r="K746" s="56"/>
      <c r="L746" s="56"/>
      <c r="M746" s="56"/>
      <c r="N746" s="56"/>
      <c r="O746" s="56"/>
      <c r="P746" s="56"/>
      <c r="Q746" s="56"/>
      <c r="R746" s="56"/>
      <c r="S746" s="56"/>
      <c r="T746" s="33"/>
    </row>
    <row r="747" spans="1:20" ht="15.75" customHeight="1" x14ac:dyDescent="0.3">
      <c r="A747" s="33"/>
      <c r="B747" s="33"/>
      <c r="C747" s="33"/>
      <c r="D747" s="54"/>
      <c r="E747" s="33"/>
      <c r="F747" s="33"/>
      <c r="G747" s="55"/>
      <c r="H747" s="33"/>
      <c r="I747" s="33"/>
      <c r="J747" s="55"/>
      <c r="K747" s="56"/>
      <c r="L747" s="56"/>
      <c r="M747" s="56"/>
      <c r="N747" s="56"/>
      <c r="O747" s="56"/>
      <c r="P747" s="56"/>
      <c r="Q747" s="56"/>
      <c r="R747" s="56"/>
      <c r="S747" s="56"/>
      <c r="T747" s="33"/>
    </row>
    <row r="748" spans="1:20" ht="15.75" customHeight="1" x14ac:dyDescent="0.3">
      <c r="A748" s="33"/>
      <c r="B748" s="33"/>
      <c r="C748" s="33"/>
      <c r="D748" s="54"/>
      <c r="E748" s="33"/>
      <c r="F748" s="33"/>
      <c r="G748" s="55"/>
      <c r="H748" s="33"/>
      <c r="I748" s="33"/>
      <c r="J748" s="55"/>
      <c r="K748" s="56"/>
      <c r="L748" s="56"/>
      <c r="M748" s="56"/>
      <c r="N748" s="56"/>
      <c r="O748" s="56"/>
      <c r="P748" s="56"/>
      <c r="Q748" s="56"/>
      <c r="R748" s="56"/>
      <c r="S748" s="56"/>
      <c r="T748" s="33"/>
    </row>
    <row r="749" spans="1:20" ht="15.75" customHeight="1" x14ac:dyDescent="0.3">
      <c r="A749" s="33"/>
      <c r="B749" s="33"/>
      <c r="C749" s="33"/>
      <c r="D749" s="54"/>
      <c r="E749" s="33"/>
      <c r="F749" s="33"/>
      <c r="G749" s="55"/>
      <c r="H749" s="33"/>
      <c r="I749" s="33"/>
      <c r="J749" s="55"/>
      <c r="K749" s="56"/>
      <c r="L749" s="56"/>
      <c r="M749" s="56"/>
      <c r="N749" s="56"/>
      <c r="O749" s="56"/>
      <c r="P749" s="56"/>
      <c r="Q749" s="56"/>
      <c r="R749" s="56"/>
      <c r="S749" s="56"/>
      <c r="T749" s="33"/>
    </row>
    <row r="750" spans="1:20" ht="15.75" customHeight="1" x14ac:dyDescent="0.3">
      <c r="A750" s="33"/>
      <c r="B750" s="33"/>
      <c r="C750" s="33"/>
      <c r="D750" s="54"/>
      <c r="E750" s="33"/>
      <c r="F750" s="33"/>
      <c r="G750" s="55"/>
      <c r="H750" s="33"/>
      <c r="I750" s="33"/>
      <c r="J750" s="55"/>
      <c r="K750" s="56"/>
      <c r="L750" s="56"/>
      <c r="M750" s="56"/>
      <c r="N750" s="56"/>
      <c r="O750" s="56"/>
      <c r="P750" s="56"/>
      <c r="Q750" s="56"/>
      <c r="R750" s="56"/>
      <c r="S750" s="56"/>
      <c r="T750" s="33"/>
    </row>
    <row r="751" spans="1:20" ht="15.75" customHeight="1" x14ac:dyDescent="0.3">
      <c r="A751" s="33"/>
      <c r="B751" s="33"/>
      <c r="C751" s="33"/>
      <c r="D751" s="54"/>
      <c r="E751" s="33"/>
      <c r="F751" s="33"/>
      <c r="G751" s="55"/>
      <c r="H751" s="33"/>
      <c r="I751" s="33"/>
      <c r="J751" s="55"/>
      <c r="K751" s="56"/>
      <c r="L751" s="56"/>
      <c r="M751" s="56"/>
      <c r="N751" s="56"/>
      <c r="O751" s="56"/>
      <c r="P751" s="56"/>
      <c r="Q751" s="56"/>
      <c r="R751" s="56"/>
      <c r="S751" s="56"/>
      <c r="T751" s="33"/>
    </row>
    <row r="752" spans="1:20" ht="15.75" customHeight="1" x14ac:dyDescent="0.3">
      <c r="A752" s="33"/>
      <c r="B752" s="33"/>
      <c r="C752" s="33"/>
      <c r="D752" s="54"/>
      <c r="E752" s="33"/>
      <c r="F752" s="33"/>
      <c r="G752" s="55"/>
      <c r="H752" s="33"/>
      <c r="I752" s="33"/>
      <c r="J752" s="55"/>
      <c r="K752" s="56"/>
      <c r="L752" s="56"/>
      <c r="M752" s="56"/>
      <c r="N752" s="56"/>
      <c r="O752" s="56"/>
      <c r="P752" s="56"/>
      <c r="Q752" s="56"/>
      <c r="R752" s="56"/>
      <c r="S752" s="56"/>
      <c r="T752" s="33"/>
    </row>
    <row r="753" spans="1:20" ht="15.75" customHeight="1" x14ac:dyDescent="0.3">
      <c r="A753" s="33"/>
      <c r="B753" s="33"/>
      <c r="C753" s="33"/>
      <c r="D753" s="54"/>
      <c r="E753" s="33"/>
      <c r="F753" s="33"/>
      <c r="G753" s="55"/>
      <c r="H753" s="33"/>
      <c r="I753" s="33"/>
      <c r="J753" s="55"/>
      <c r="K753" s="56"/>
      <c r="L753" s="56"/>
      <c r="M753" s="56"/>
      <c r="N753" s="56"/>
      <c r="O753" s="56"/>
      <c r="P753" s="56"/>
      <c r="Q753" s="56"/>
      <c r="R753" s="56"/>
      <c r="S753" s="56"/>
      <c r="T753" s="33"/>
    </row>
    <row r="754" spans="1:20" ht="15.75" customHeight="1" x14ac:dyDescent="0.3">
      <c r="A754" s="33"/>
      <c r="B754" s="33"/>
      <c r="C754" s="33"/>
      <c r="D754" s="54"/>
      <c r="E754" s="33"/>
      <c r="F754" s="33"/>
      <c r="G754" s="55"/>
      <c r="H754" s="33"/>
      <c r="I754" s="33"/>
      <c r="J754" s="55"/>
      <c r="K754" s="56"/>
      <c r="L754" s="56"/>
      <c r="M754" s="56"/>
      <c r="N754" s="56"/>
      <c r="O754" s="56"/>
      <c r="P754" s="56"/>
      <c r="Q754" s="56"/>
      <c r="R754" s="56"/>
      <c r="S754" s="56"/>
      <c r="T754" s="33"/>
    </row>
    <row r="755" spans="1:20" ht="15.75" customHeight="1" x14ac:dyDescent="0.3">
      <c r="A755" s="33"/>
      <c r="B755" s="33"/>
      <c r="C755" s="33"/>
      <c r="D755" s="54"/>
      <c r="E755" s="33"/>
      <c r="F755" s="33"/>
      <c r="G755" s="55"/>
      <c r="H755" s="33"/>
      <c r="I755" s="33"/>
      <c r="J755" s="55"/>
      <c r="K755" s="56"/>
      <c r="L755" s="56"/>
      <c r="M755" s="56"/>
      <c r="N755" s="56"/>
      <c r="O755" s="56"/>
      <c r="P755" s="56"/>
      <c r="Q755" s="56"/>
      <c r="R755" s="56"/>
      <c r="S755" s="56"/>
      <c r="T755" s="33"/>
    </row>
    <row r="756" spans="1:20" ht="15.75" customHeight="1" x14ac:dyDescent="0.3">
      <c r="A756" s="33"/>
      <c r="B756" s="33"/>
      <c r="C756" s="33"/>
      <c r="D756" s="54"/>
      <c r="E756" s="33"/>
      <c r="F756" s="33"/>
      <c r="G756" s="55"/>
      <c r="H756" s="33"/>
      <c r="I756" s="33"/>
      <c r="J756" s="55"/>
      <c r="K756" s="56"/>
      <c r="L756" s="56"/>
      <c r="M756" s="56"/>
      <c r="N756" s="56"/>
      <c r="O756" s="56"/>
      <c r="P756" s="56"/>
      <c r="Q756" s="56"/>
      <c r="R756" s="56"/>
      <c r="S756" s="56"/>
      <c r="T756" s="33"/>
    </row>
    <row r="757" spans="1:20" ht="15.75" customHeight="1" x14ac:dyDescent="0.3">
      <c r="A757" s="33"/>
      <c r="B757" s="33"/>
      <c r="C757" s="33"/>
      <c r="D757" s="54"/>
      <c r="E757" s="33"/>
      <c r="F757" s="33"/>
      <c r="G757" s="55"/>
      <c r="H757" s="33"/>
      <c r="I757" s="33"/>
      <c r="J757" s="55"/>
      <c r="K757" s="56"/>
      <c r="L757" s="56"/>
      <c r="M757" s="56"/>
      <c r="N757" s="56"/>
      <c r="O757" s="56"/>
      <c r="P757" s="56"/>
      <c r="Q757" s="56"/>
      <c r="R757" s="56"/>
      <c r="S757" s="56"/>
      <c r="T757" s="33"/>
    </row>
    <row r="758" spans="1:20" ht="15.75" customHeight="1" x14ac:dyDescent="0.3">
      <c r="A758" s="33"/>
      <c r="B758" s="33"/>
      <c r="C758" s="33"/>
      <c r="D758" s="54"/>
      <c r="E758" s="33"/>
      <c r="F758" s="33"/>
      <c r="G758" s="55"/>
      <c r="H758" s="33"/>
      <c r="I758" s="33"/>
      <c r="J758" s="55"/>
      <c r="K758" s="56"/>
      <c r="L758" s="56"/>
      <c r="M758" s="56"/>
      <c r="N758" s="56"/>
      <c r="O758" s="56"/>
      <c r="P758" s="56"/>
      <c r="Q758" s="56"/>
      <c r="R758" s="56"/>
      <c r="S758" s="56"/>
      <c r="T758" s="33"/>
    </row>
    <row r="759" spans="1:20" ht="15.75" customHeight="1" x14ac:dyDescent="0.3">
      <c r="A759" s="33"/>
      <c r="B759" s="33"/>
      <c r="C759" s="33"/>
      <c r="D759" s="54"/>
      <c r="E759" s="33"/>
      <c r="F759" s="33"/>
      <c r="G759" s="55"/>
      <c r="H759" s="33"/>
      <c r="I759" s="33"/>
      <c r="J759" s="55"/>
      <c r="K759" s="56"/>
      <c r="L759" s="56"/>
      <c r="M759" s="56"/>
      <c r="N759" s="56"/>
      <c r="O759" s="56"/>
      <c r="P759" s="56"/>
      <c r="Q759" s="56"/>
      <c r="R759" s="56"/>
      <c r="S759" s="56"/>
      <c r="T759" s="33"/>
    </row>
    <row r="760" spans="1:20" ht="15.75" customHeight="1" x14ac:dyDescent="0.3">
      <c r="A760" s="33"/>
      <c r="B760" s="33"/>
      <c r="C760" s="33"/>
      <c r="D760" s="54"/>
      <c r="E760" s="33"/>
      <c r="F760" s="33"/>
      <c r="G760" s="55"/>
      <c r="H760" s="33"/>
      <c r="I760" s="33"/>
      <c r="J760" s="55"/>
      <c r="K760" s="56"/>
      <c r="L760" s="56"/>
      <c r="M760" s="56"/>
      <c r="N760" s="56"/>
      <c r="O760" s="56"/>
      <c r="P760" s="56"/>
      <c r="Q760" s="56"/>
      <c r="R760" s="56"/>
      <c r="S760" s="56"/>
      <c r="T760" s="33"/>
    </row>
    <row r="761" spans="1:20" ht="15.75" customHeight="1" x14ac:dyDescent="0.3">
      <c r="A761" s="33"/>
      <c r="B761" s="33"/>
      <c r="C761" s="33"/>
      <c r="D761" s="54"/>
      <c r="E761" s="33"/>
      <c r="F761" s="33"/>
      <c r="G761" s="55"/>
      <c r="H761" s="33"/>
      <c r="I761" s="33"/>
      <c r="J761" s="55"/>
      <c r="K761" s="56"/>
      <c r="L761" s="56"/>
      <c r="M761" s="56"/>
      <c r="N761" s="56"/>
      <c r="O761" s="56"/>
      <c r="P761" s="56"/>
      <c r="Q761" s="56"/>
      <c r="R761" s="56"/>
      <c r="S761" s="56"/>
      <c r="T761" s="33"/>
    </row>
    <row r="762" spans="1:20" ht="15.75" customHeight="1" x14ac:dyDescent="0.3">
      <c r="A762" s="33"/>
      <c r="B762" s="33"/>
      <c r="C762" s="33"/>
      <c r="D762" s="54"/>
      <c r="E762" s="33"/>
      <c r="F762" s="33"/>
      <c r="G762" s="55"/>
      <c r="H762" s="33"/>
      <c r="I762" s="33"/>
      <c r="J762" s="55"/>
      <c r="K762" s="56"/>
      <c r="L762" s="56"/>
      <c r="M762" s="56"/>
      <c r="N762" s="56"/>
      <c r="O762" s="56"/>
      <c r="P762" s="56"/>
      <c r="Q762" s="56"/>
      <c r="R762" s="56"/>
      <c r="S762" s="56"/>
      <c r="T762" s="33"/>
    </row>
    <row r="763" spans="1:20" ht="15.75" customHeight="1" x14ac:dyDescent="0.3">
      <c r="A763" s="33"/>
      <c r="B763" s="33"/>
      <c r="C763" s="33"/>
      <c r="D763" s="54"/>
      <c r="E763" s="33"/>
      <c r="F763" s="33"/>
      <c r="G763" s="55"/>
      <c r="H763" s="33"/>
      <c r="I763" s="33"/>
      <c r="J763" s="55"/>
      <c r="K763" s="56"/>
      <c r="L763" s="56"/>
      <c r="M763" s="56"/>
      <c r="N763" s="56"/>
      <c r="O763" s="56"/>
      <c r="P763" s="56"/>
      <c r="Q763" s="56"/>
      <c r="R763" s="56"/>
      <c r="S763" s="56"/>
      <c r="T763" s="33"/>
    </row>
    <row r="764" spans="1:20" ht="15.75" customHeight="1" x14ac:dyDescent="0.3">
      <c r="A764" s="33"/>
      <c r="B764" s="33"/>
      <c r="C764" s="33"/>
      <c r="D764" s="54"/>
      <c r="E764" s="33"/>
      <c r="F764" s="33"/>
      <c r="G764" s="55"/>
      <c r="H764" s="33"/>
      <c r="I764" s="33"/>
      <c r="J764" s="55"/>
      <c r="K764" s="56"/>
      <c r="L764" s="56"/>
      <c r="M764" s="56"/>
      <c r="N764" s="56"/>
      <c r="O764" s="56"/>
      <c r="P764" s="56"/>
      <c r="Q764" s="56"/>
      <c r="R764" s="56"/>
      <c r="S764" s="56"/>
      <c r="T764" s="33"/>
    </row>
    <row r="765" spans="1:20" ht="15.75" customHeight="1" x14ac:dyDescent="0.3">
      <c r="A765" s="33"/>
      <c r="B765" s="33"/>
      <c r="C765" s="33"/>
      <c r="D765" s="54"/>
      <c r="E765" s="33"/>
      <c r="F765" s="33"/>
      <c r="G765" s="55"/>
      <c r="H765" s="33"/>
      <c r="I765" s="33"/>
      <c r="J765" s="55"/>
      <c r="K765" s="56"/>
      <c r="L765" s="56"/>
      <c r="M765" s="56"/>
      <c r="N765" s="56"/>
      <c r="O765" s="56"/>
      <c r="P765" s="56"/>
      <c r="Q765" s="56"/>
      <c r="R765" s="56"/>
      <c r="S765" s="56"/>
      <c r="T765" s="33"/>
    </row>
    <row r="766" spans="1:20" ht="15.75" customHeight="1" x14ac:dyDescent="0.3">
      <c r="A766" s="33"/>
      <c r="B766" s="33"/>
      <c r="C766" s="33"/>
      <c r="D766" s="54"/>
      <c r="E766" s="33"/>
      <c r="F766" s="33"/>
      <c r="G766" s="55"/>
      <c r="H766" s="33"/>
      <c r="I766" s="33"/>
      <c r="J766" s="55"/>
      <c r="K766" s="56"/>
      <c r="L766" s="56"/>
      <c r="M766" s="56"/>
      <c r="N766" s="56"/>
      <c r="O766" s="56"/>
      <c r="P766" s="56"/>
      <c r="Q766" s="56"/>
      <c r="R766" s="56"/>
      <c r="S766" s="56"/>
      <c r="T766" s="33"/>
    </row>
    <row r="767" spans="1:20" ht="15.75" customHeight="1" x14ac:dyDescent="0.3">
      <c r="A767" s="33"/>
      <c r="B767" s="33"/>
      <c r="C767" s="33"/>
      <c r="D767" s="54"/>
      <c r="E767" s="33"/>
      <c r="F767" s="33"/>
      <c r="G767" s="55"/>
      <c r="H767" s="33"/>
      <c r="I767" s="33"/>
      <c r="J767" s="55"/>
      <c r="K767" s="56"/>
      <c r="L767" s="56"/>
      <c r="M767" s="56"/>
      <c r="N767" s="56"/>
      <c r="O767" s="56"/>
      <c r="P767" s="56"/>
      <c r="Q767" s="56"/>
      <c r="R767" s="56"/>
      <c r="S767" s="56"/>
      <c r="T767" s="33"/>
    </row>
    <row r="768" spans="1:20" ht="15.75" customHeight="1" x14ac:dyDescent="0.3">
      <c r="A768" s="33"/>
      <c r="B768" s="33"/>
      <c r="C768" s="33"/>
      <c r="D768" s="54"/>
      <c r="E768" s="33"/>
      <c r="F768" s="33"/>
      <c r="G768" s="55"/>
      <c r="H768" s="33"/>
      <c r="I768" s="33"/>
      <c r="J768" s="55"/>
      <c r="K768" s="56"/>
      <c r="L768" s="56"/>
      <c r="M768" s="56"/>
      <c r="N768" s="56"/>
      <c r="O768" s="56"/>
      <c r="P768" s="56"/>
      <c r="Q768" s="56"/>
      <c r="R768" s="56"/>
      <c r="S768" s="56"/>
      <c r="T768" s="33"/>
    </row>
    <row r="769" spans="1:20" ht="15.75" customHeight="1" x14ac:dyDescent="0.3">
      <c r="A769" s="33"/>
      <c r="B769" s="33"/>
      <c r="C769" s="33"/>
      <c r="D769" s="54"/>
      <c r="E769" s="33"/>
      <c r="F769" s="33"/>
      <c r="G769" s="55"/>
      <c r="H769" s="33"/>
      <c r="I769" s="33"/>
      <c r="J769" s="55"/>
      <c r="K769" s="56"/>
      <c r="L769" s="56"/>
      <c r="M769" s="56"/>
      <c r="N769" s="56"/>
      <c r="O769" s="56"/>
      <c r="P769" s="56"/>
      <c r="Q769" s="56"/>
      <c r="R769" s="56"/>
      <c r="S769" s="56"/>
      <c r="T769" s="33"/>
    </row>
    <row r="770" spans="1:20" ht="15.75" customHeight="1" x14ac:dyDescent="0.3">
      <c r="A770" s="33"/>
      <c r="B770" s="33"/>
      <c r="C770" s="33"/>
      <c r="D770" s="54"/>
      <c r="E770" s="33"/>
      <c r="F770" s="33"/>
      <c r="G770" s="55"/>
      <c r="H770" s="33"/>
      <c r="I770" s="33"/>
      <c r="J770" s="55"/>
      <c r="K770" s="56"/>
      <c r="L770" s="56"/>
      <c r="M770" s="56"/>
      <c r="N770" s="56"/>
      <c r="O770" s="56"/>
      <c r="P770" s="56"/>
      <c r="Q770" s="56"/>
      <c r="R770" s="56"/>
      <c r="S770" s="56"/>
      <c r="T770" s="33"/>
    </row>
    <row r="771" spans="1:20" ht="15.75" customHeight="1" x14ac:dyDescent="0.3">
      <c r="A771" s="33"/>
      <c r="B771" s="33"/>
      <c r="C771" s="33"/>
      <c r="D771" s="54"/>
      <c r="E771" s="33"/>
      <c r="F771" s="33"/>
      <c r="G771" s="55"/>
      <c r="H771" s="33"/>
      <c r="I771" s="33"/>
      <c r="J771" s="55"/>
      <c r="K771" s="56"/>
      <c r="L771" s="56"/>
      <c r="M771" s="56"/>
      <c r="N771" s="56"/>
      <c r="O771" s="56"/>
      <c r="P771" s="56"/>
      <c r="Q771" s="56"/>
      <c r="R771" s="56"/>
      <c r="S771" s="56"/>
      <c r="T771" s="33"/>
    </row>
    <row r="772" spans="1:20" ht="15.75" customHeight="1" x14ac:dyDescent="0.3">
      <c r="A772" s="33"/>
      <c r="B772" s="33"/>
      <c r="C772" s="33"/>
      <c r="D772" s="54"/>
      <c r="E772" s="33"/>
      <c r="F772" s="33"/>
      <c r="G772" s="55"/>
      <c r="H772" s="33"/>
      <c r="I772" s="33"/>
      <c r="J772" s="55"/>
      <c r="K772" s="56"/>
      <c r="L772" s="56"/>
      <c r="M772" s="56"/>
      <c r="N772" s="56"/>
      <c r="O772" s="56"/>
      <c r="P772" s="56"/>
      <c r="Q772" s="56"/>
      <c r="R772" s="56"/>
      <c r="S772" s="56"/>
      <c r="T772" s="33"/>
    </row>
    <row r="773" spans="1:20" ht="15.75" customHeight="1" x14ac:dyDescent="0.3">
      <c r="A773" s="33"/>
      <c r="B773" s="33"/>
      <c r="C773" s="33"/>
      <c r="D773" s="54"/>
      <c r="E773" s="33"/>
      <c r="F773" s="33"/>
      <c r="G773" s="55"/>
      <c r="H773" s="33"/>
      <c r="I773" s="33"/>
      <c r="J773" s="55"/>
      <c r="K773" s="56"/>
      <c r="L773" s="56"/>
      <c r="M773" s="56"/>
      <c r="N773" s="56"/>
      <c r="O773" s="56"/>
      <c r="P773" s="56"/>
      <c r="Q773" s="56"/>
      <c r="R773" s="56"/>
      <c r="S773" s="56"/>
      <c r="T773" s="33"/>
    </row>
    <row r="774" spans="1:20" ht="15.75" customHeight="1" x14ac:dyDescent="0.3">
      <c r="A774" s="33"/>
      <c r="B774" s="33"/>
      <c r="C774" s="33"/>
      <c r="D774" s="54"/>
      <c r="E774" s="33"/>
      <c r="F774" s="33"/>
      <c r="G774" s="55"/>
      <c r="H774" s="33"/>
      <c r="I774" s="33"/>
      <c r="J774" s="55"/>
      <c r="K774" s="56"/>
      <c r="L774" s="56"/>
      <c r="M774" s="56"/>
      <c r="N774" s="56"/>
      <c r="O774" s="56"/>
      <c r="P774" s="56"/>
      <c r="Q774" s="56"/>
      <c r="R774" s="56"/>
      <c r="S774" s="56"/>
      <c r="T774" s="33"/>
    </row>
    <row r="775" spans="1:20" ht="15.75" customHeight="1" x14ac:dyDescent="0.3">
      <c r="A775" s="33"/>
      <c r="B775" s="33"/>
      <c r="C775" s="33"/>
      <c r="D775" s="54"/>
      <c r="E775" s="33"/>
      <c r="F775" s="33"/>
      <c r="G775" s="55"/>
      <c r="H775" s="33"/>
      <c r="I775" s="33"/>
      <c r="J775" s="55"/>
      <c r="K775" s="56"/>
      <c r="L775" s="56"/>
      <c r="M775" s="56"/>
      <c r="N775" s="56"/>
      <c r="O775" s="56"/>
      <c r="P775" s="56"/>
      <c r="Q775" s="56"/>
      <c r="R775" s="56"/>
      <c r="S775" s="56"/>
      <c r="T775" s="33"/>
    </row>
    <row r="776" spans="1:20" ht="15.75" customHeight="1" x14ac:dyDescent="0.3">
      <c r="A776" s="33"/>
      <c r="B776" s="33"/>
      <c r="C776" s="33"/>
      <c r="D776" s="54"/>
      <c r="E776" s="33"/>
      <c r="F776" s="33"/>
      <c r="G776" s="55"/>
      <c r="H776" s="33"/>
      <c r="I776" s="33"/>
      <c r="J776" s="55"/>
      <c r="K776" s="56"/>
      <c r="L776" s="56"/>
      <c r="M776" s="56"/>
      <c r="N776" s="56"/>
      <c r="O776" s="56"/>
      <c r="P776" s="56"/>
      <c r="Q776" s="56"/>
      <c r="R776" s="56"/>
      <c r="S776" s="56"/>
      <c r="T776" s="33"/>
    </row>
    <row r="777" spans="1:20" ht="15.75" customHeight="1" x14ac:dyDescent="0.3">
      <c r="A777" s="33"/>
      <c r="B777" s="33"/>
      <c r="C777" s="33"/>
      <c r="D777" s="54"/>
      <c r="E777" s="33"/>
      <c r="F777" s="33"/>
      <c r="G777" s="55"/>
      <c r="H777" s="33"/>
      <c r="I777" s="33"/>
      <c r="J777" s="55"/>
      <c r="K777" s="56"/>
      <c r="L777" s="56"/>
      <c r="M777" s="56"/>
      <c r="N777" s="56"/>
      <c r="O777" s="56"/>
      <c r="P777" s="56"/>
      <c r="Q777" s="56"/>
      <c r="R777" s="56"/>
      <c r="S777" s="56"/>
      <c r="T777" s="33"/>
    </row>
    <row r="778" spans="1:20" ht="15.75" customHeight="1" x14ac:dyDescent="0.3">
      <c r="A778" s="33"/>
      <c r="B778" s="33"/>
      <c r="C778" s="33"/>
      <c r="D778" s="54"/>
      <c r="E778" s="33"/>
      <c r="F778" s="33"/>
      <c r="G778" s="55"/>
      <c r="H778" s="33"/>
      <c r="I778" s="33"/>
      <c r="J778" s="55"/>
      <c r="K778" s="56"/>
      <c r="L778" s="56"/>
      <c r="M778" s="56"/>
      <c r="N778" s="56"/>
      <c r="O778" s="56"/>
      <c r="P778" s="56"/>
      <c r="Q778" s="56"/>
      <c r="R778" s="56"/>
      <c r="S778" s="56"/>
      <c r="T778" s="33"/>
    </row>
    <row r="779" spans="1:20" ht="15.75" customHeight="1" x14ac:dyDescent="0.3">
      <c r="A779" s="33"/>
      <c r="B779" s="33"/>
      <c r="C779" s="33"/>
      <c r="D779" s="54"/>
      <c r="E779" s="33"/>
      <c r="F779" s="33"/>
      <c r="G779" s="55"/>
      <c r="H779" s="33"/>
      <c r="I779" s="33"/>
      <c r="J779" s="55"/>
      <c r="K779" s="56"/>
      <c r="L779" s="56"/>
      <c r="M779" s="56"/>
      <c r="N779" s="56"/>
      <c r="O779" s="56"/>
      <c r="P779" s="56"/>
      <c r="Q779" s="56"/>
      <c r="R779" s="56"/>
      <c r="S779" s="56"/>
      <c r="T779" s="33"/>
    </row>
    <row r="780" spans="1:20" ht="15.75" customHeight="1" x14ac:dyDescent="0.3">
      <c r="A780" s="33"/>
      <c r="B780" s="33"/>
      <c r="C780" s="33"/>
      <c r="D780" s="54"/>
      <c r="E780" s="33"/>
      <c r="F780" s="33"/>
      <c r="G780" s="55"/>
      <c r="H780" s="33"/>
      <c r="I780" s="33"/>
      <c r="J780" s="55"/>
      <c r="K780" s="56"/>
      <c r="L780" s="56"/>
      <c r="M780" s="56"/>
      <c r="N780" s="56"/>
      <c r="O780" s="56"/>
      <c r="P780" s="56"/>
      <c r="Q780" s="56"/>
      <c r="R780" s="56"/>
      <c r="S780" s="56"/>
      <c r="T780" s="33"/>
    </row>
    <row r="781" spans="1:20" ht="15.75" customHeight="1" x14ac:dyDescent="0.3">
      <c r="A781" s="33"/>
      <c r="B781" s="33"/>
      <c r="C781" s="33"/>
      <c r="D781" s="54"/>
      <c r="E781" s="33"/>
      <c r="F781" s="33"/>
      <c r="G781" s="55"/>
      <c r="H781" s="33"/>
      <c r="I781" s="33"/>
      <c r="J781" s="55"/>
      <c r="K781" s="56"/>
      <c r="L781" s="56"/>
      <c r="M781" s="56"/>
      <c r="N781" s="56"/>
      <c r="O781" s="56"/>
      <c r="P781" s="56"/>
      <c r="Q781" s="56"/>
      <c r="R781" s="56"/>
      <c r="S781" s="56"/>
      <c r="T781" s="33"/>
    </row>
    <row r="782" spans="1:20" ht="15.75" customHeight="1" x14ac:dyDescent="0.3">
      <c r="A782" s="33"/>
      <c r="B782" s="33"/>
      <c r="C782" s="33"/>
      <c r="D782" s="54"/>
      <c r="E782" s="33"/>
      <c r="F782" s="33"/>
      <c r="G782" s="55"/>
      <c r="H782" s="33"/>
      <c r="I782" s="33"/>
      <c r="J782" s="55"/>
      <c r="K782" s="56"/>
      <c r="L782" s="56"/>
      <c r="M782" s="56"/>
      <c r="N782" s="56"/>
      <c r="O782" s="56"/>
      <c r="P782" s="56"/>
      <c r="Q782" s="56"/>
      <c r="R782" s="56"/>
      <c r="S782" s="56"/>
      <c r="T782" s="33"/>
    </row>
    <row r="783" spans="1:20" ht="15.75" customHeight="1" x14ac:dyDescent="0.3">
      <c r="A783" s="33"/>
      <c r="B783" s="33"/>
      <c r="C783" s="33"/>
      <c r="D783" s="54"/>
      <c r="E783" s="33"/>
      <c r="F783" s="33"/>
      <c r="G783" s="55"/>
      <c r="H783" s="33"/>
      <c r="I783" s="33"/>
      <c r="J783" s="55"/>
      <c r="K783" s="56"/>
      <c r="L783" s="56"/>
      <c r="M783" s="56"/>
      <c r="N783" s="56"/>
      <c r="O783" s="56"/>
      <c r="P783" s="56"/>
      <c r="Q783" s="56"/>
      <c r="R783" s="56"/>
      <c r="S783" s="56"/>
      <c r="T783" s="33"/>
    </row>
    <row r="784" spans="1:20" ht="15.75" customHeight="1" x14ac:dyDescent="0.3">
      <c r="A784" s="33"/>
      <c r="B784" s="33"/>
      <c r="C784" s="33"/>
      <c r="D784" s="54"/>
      <c r="E784" s="33"/>
      <c r="F784" s="33"/>
      <c r="G784" s="55"/>
      <c r="H784" s="33"/>
      <c r="I784" s="33"/>
      <c r="J784" s="55"/>
      <c r="K784" s="56"/>
      <c r="L784" s="56"/>
      <c r="M784" s="56"/>
      <c r="N784" s="56"/>
      <c r="O784" s="56"/>
      <c r="P784" s="56"/>
      <c r="Q784" s="56"/>
      <c r="R784" s="56"/>
      <c r="S784" s="56"/>
      <c r="T784" s="33"/>
    </row>
    <row r="785" spans="1:20" ht="15.75" customHeight="1" x14ac:dyDescent="0.3">
      <c r="A785" s="33"/>
      <c r="B785" s="33"/>
      <c r="C785" s="33"/>
      <c r="D785" s="54"/>
      <c r="E785" s="33"/>
      <c r="F785" s="33"/>
      <c r="G785" s="55"/>
      <c r="H785" s="33"/>
      <c r="I785" s="33"/>
      <c r="J785" s="55"/>
      <c r="K785" s="56"/>
      <c r="L785" s="56"/>
      <c r="M785" s="56"/>
      <c r="N785" s="56"/>
      <c r="O785" s="56"/>
      <c r="P785" s="56"/>
      <c r="Q785" s="56"/>
      <c r="R785" s="56"/>
      <c r="S785" s="56"/>
      <c r="T785" s="33"/>
    </row>
    <row r="786" spans="1:20" ht="15.75" customHeight="1" x14ac:dyDescent="0.3">
      <c r="A786" s="33"/>
      <c r="B786" s="33"/>
      <c r="C786" s="33"/>
      <c r="D786" s="54"/>
      <c r="E786" s="33"/>
      <c r="F786" s="33"/>
      <c r="G786" s="55"/>
      <c r="H786" s="33"/>
      <c r="I786" s="33"/>
      <c r="J786" s="55"/>
      <c r="K786" s="56"/>
      <c r="L786" s="56"/>
      <c r="M786" s="56"/>
      <c r="N786" s="56"/>
      <c r="O786" s="56"/>
      <c r="P786" s="56"/>
      <c r="Q786" s="56"/>
      <c r="R786" s="56"/>
      <c r="S786" s="56"/>
      <c r="T786" s="33"/>
    </row>
    <row r="787" spans="1:20" ht="15.75" customHeight="1" x14ac:dyDescent="0.3">
      <c r="A787" s="33"/>
      <c r="B787" s="33"/>
      <c r="C787" s="33"/>
      <c r="D787" s="54"/>
      <c r="E787" s="33"/>
      <c r="F787" s="33"/>
      <c r="G787" s="55"/>
      <c r="H787" s="33"/>
      <c r="I787" s="33"/>
      <c r="J787" s="55"/>
      <c r="K787" s="56"/>
      <c r="L787" s="56"/>
      <c r="M787" s="56"/>
      <c r="N787" s="56"/>
      <c r="O787" s="56"/>
      <c r="P787" s="56"/>
      <c r="Q787" s="56"/>
      <c r="R787" s="56"/>
      <c r="S787" s="56"/>
      <c r="T787" s="33"/>
    </row>
    <row r="788" spans="1:20" ht="15.75" customHeight="1" x14ac:dyDescent="0.3">
      <c r="A788" s="33"/>
      <c r="B788" s="33"/>
      <c r="C788" s="33"/>
      <c r="D788" s="54"/>
      <c r="E788" s="33"/>
      <c r="F788" s="33"/>
      <c r="G788" s="55"/>
      <c r="H788" s="33"/>
      <c r="I788" s="33"/>
      <c r="J788" s="55"/>
      <c r="K788" s="56"/>
      <c r="L788" s="56"/>
      <c r="M788" s="56"/>
      <c r="N788" s="56"/>
      <c r="O788" s="56"/>
      <c r="P788" s="56"/>
      <c r="Q788" s="56"/>
      <c r="R788" s="56"/>
      <c r="S788" s="56"/>
      <c r="T788" s="33"/>
    </row>
    <row r="789" spans="1:20" ht="15.75" customHeight="1" x14ac:dyDescent="0.3">
      <c r="A789" s="33"/>
      <c r="B789" s="33"/>
      <c r="C789" s="33"/>
      <c r="D789" s="54"/>
      <c r="E789" s="33"/>
      <c r="F789" s="33"/>
      <c r="G789" s="55"/>
      <c r="H789" s="33"/>
      <c r="I789" s="33"/>
      <c r="J789" s="55"/>
      <c r="K789" s="56"/>
      <c r="L789" s="56"/>
      <c r="M789" s="56"/>
      <c r="N789" s="56"/>
      <c r="O789" s="56"/>
      <c r="P789" s="56"/>
      <c r="Q789" s="56"/>
      <c r="R789" s="56"/>
      <c r="S789" s="56"/>
      <c r="T789" s="33"/>
    </row>
    <row r="790" spans="1:20" ht="15.75" customHeight="1" x14ac:dyDescent="0.3">
      <c r="A790" s="33"/>
      <c r="B790" s="33"/>
      <c r="C790" s="33"/>
      <c r="D790" s="54"/>
      <c r="E790" s="33"/>
      <c r="F790" s="33"/>
      <c r="G790" s="55"/>
      <c r="H790" s="33"/>
      <c r="I790" s="33"/>
      <c r="J790" s="55"/>
      <c r="K790" s="56"/>
      <c r="L790" s="56"/>
      <c r="M790" s="56"/>
      <c r="N790" s="56"/>
      <c r="O790" s="56"/>
      <c r="P790" s="56"/>
      <c r="Q790" s="56"/>
      <c r="R790" s="56"/>
      <c r="S790" s="56"/>
      <c r="T790" s="33"/>
    </row>
    <row r="791" spans="1:20" ht="15.75" customHeight="1" x14ac:dyDescent="0.3">
      <c r="A791" s="33"/>
      <c r="B791" s="33"/>
      <c r="C791" s="33"/>
      <c r="D791" s="54"/>
      <c r="E791" s="33"/>
      <c r="F791" s="33"/>
      <c r="G791" s="55"/>
      <c r="H791" s="33"/>
      <c r="I791" s="33"/>
      <c r="J791" s="55"/>
      <c r="K791" s="56"/>
      <c r="L791" s="56"/>
      <c r="M791" s="56"/>
      <c r="N791" s="56"/>
      <c r="O791" s="56"/>
      <c r="P791" s="56"/>
      <c r="Q791" s="56"/>
      <c r="R791" s="56"/>
      <c r="S791" s="56"/>
      <c r="T791" s="33"/>
    </row>
    <row r="792" spans="1:20" ht="15.75" customHeight="1" x14ac:dyDescent="0.3">
      <c r="A792" s="33"/>
      <c r="B792" s="33"/>
      <c r="C792" s="33"/>
      <c r="D792" s="54"/>
      <c r="E792" s="33"/>
      <c r="F792" s="33"/>
      <c r="G792" s="55"/>
      <c r="H792" s="33"/>
      <c r="I792" s="33"/>
      <c r="J792" s="55"/>
      <c r="K792" s="56"/>
      <c r="L792" s="56"/>
      <c r="M792" s="56"/>
      <c r="N792" s="56"/>
      <c r="O792" s="56"/>
      <c r="P792" s="56"/>
      <c r="Q792" s="56"/>
      <c r="R792" s="56"/>
      <c r="S792" s="56"/>
      <c r="T792" s="33"/>
    </row>
    <row r="793" spans="1:20" ht="15.75" customHeight="1" x14ac:dyDescent="0.3">
      <c r="A793" s="33"/>
      <c r="B793" s="33"/>
      <c r="C793" s="33"/>
      <c r="D793" s="54"/>
      <c r="E793" s="33"/>
      <c r="F793" s="33"/>
      <c r="G793" s="55"/>
      <c r="H793" s="33"/>
      <c r="I793" s="33"/>
      <c r="J793" s="55"/>
      <c r="K793" s="56"/>
      <c r="L793" s="56"/>
      <c r="M793" s="56"/>
      <c r="N793" s="56"/>
      <c r="O793" s="56"/>
      <c r="P793" s="56"/>
      <c r="Q793" s="56"/>
      <c r="R793" s="56"/>
      <c r="S793" s="56"/>
      <c r="T793" s="33"/>
    </row>
    <row r="794" spans="1:20" ht="15.75" customHeight="1" x14ac:dyDescent="0.3">
      <c r="A794" s="33"/>
      <c r="B794" s="33"/>
      <c r="C794" s="33"/>
      <c r="D794" s="54"/>
      <c r="E794" s="33"/>
      <c r="F794" s="33"/>
      <c r="G794" s="55"/>
      <c r="H794" s="33"/>
      <c r="I794" s="33"/>
      <c r="J794" s="55"/>
      <c r="K794" s="56"/>
      <c r="L794" s="56"/>
      <c r="M794" s="56"/>
      <c r="N794" s="56"/>
      <c r="O794" s="56"/>
      <c r="P794" s="56"/>
      <c r="Q794" s="56"/>
      <c r="R794" s="56"/>
      <c r="S794" s="56"/>
      <c r="T794" s="33"/>
    </row>
    <row r="795" spans="1:20" ht="15.75" customHeight="1" x14ac:dyDescent="0.3">
      <c r="A795" s="33"/>
      <c r="B795" s="33"/>
      <c r="C795" s="33"/>
      <c r="D795" s="54"/>
      <c r="E795" s="33"/>
      <c r="F795" s="33"/>
      <c r="G795" s="55"/>
      <c r="H795" s="33"/>
      <c r="I795" s="33"/>
      <c r="J795" s="55"/>
      <c r="K795" s="56"/>
      <c r="L795" s="56"/>
      <c r="M795" s="56"/>
      <c r="N795" s="56"/>
      <c r="O795" s="56"/>
      <c r="P795" s="56"/>
      <c r="Q795" s="56"/>
      <c r="R795" s="56"/>
      <c r="S795" s="56"/>
      <c r="T795" s="33"/>
    </row>
    <row r="796" spans="1:20" ht="15.75" customHeight="1" x14ac:dyDescent="0.3">
      <c r="A796" s="33"/>
      <c r="B796" s="33"/>
      <c r="C796" s="33"/>
      <c r="D796" s="54"/>
      <c r="E796" s="33"/>
      <c r="F796" s="33"/>
      <c r="G796" s="55"/>
      <c r="H796" s="33"/>
      <c r="I796" s="33"/>
      <c r="J796" s="55"/>
      <c r="K796" s="56"/>
      <c r="L796" s="56"/>
      <c r="M796" s="56"/>
      <c r="N796" s="56"/>
      <c r="O796" s="56"/>
      <c r="P796" s="56"/>
      <c r="Q796" s="56"/>
      <c r="R796" s="56"/>
      <c r="S796" s="56"/>
      <c r="T796" s="33"/>
    </row>
    <row r="797" spans="1:20" ht="15.75" customHeight="1" x14ac:dyDescent="0.3">
      <c r="A797" s="33"/>
      <c r="B797" s="33"/>
      <c r="C797" s="33"/>
      <c r="D797" s="54"/>
      <c r="E797" s="33"/>
      <c r="F797" s="33"/>
      <c r="G797" s="55"/>
      <c r="H797" s="33"/>
      <c r="I797" s="33"/>
      <c r="J797" s="55"/>
      <c r="K797" s="56"/>
      <c r="L797" s="56"/>
      <c r="M797" s="56"/>
      <c r="N797" s="56"/>
      <c r="O797" s="56"/>
      <c r="P797" s="56"/>
      <c r="Q797" s="56"/>
      <c r="R797" s="56"/>
      <c r="S797" s="56"/>
      <c r="T797" s="33"/>
    </row>
    <row r="798" spans="1:20" ht="15.75" customHeight="1" x14ac:dyDescent="0.3">
      <c r="A798" s="33"/>
      <c r="B798" s="33"/>
      <c r="C798" s="33"/>
      <c r="D798" s="54"/>
      <c r="E798" s="33"/>
      <c r="F798" s="33"/>
      <c r="G798" s="55"/>
      <c r="H798" s="33"/>
      <c r="I798" s="33"/>
      <c r="J798" s="55"/>
      <c r="K798" s="56"/>
      <c r="L798" s="56"/>
      <c r="M798" s="56"/>
      <c r="N798" s="56"/>
      <c r="O798" s="56"/>
      <c r="P798" s="56"/>
      <c r="Q798" s="56"/>
      <c r="R798" s="56"/>
      <c r="S798" s="56"/>
      <c r="T798" s="33"/>
    </row>
    <row r="799" spans="1:20" ht="15.75" customHeight="1" x14ac:dyDescent="0.3">
      <c r="A799" s="33"/>
      <c r="B799" s="33"/>
      <c r="C799" s="33"/>
      <c r="D799" s="54"/>
      <c r="E799" s="33"/>
      <c r="F799" s="33"/>
      <c r="G799" s="55"/>
      <c r="H799" s="33"/>
      <c r="I799" s="33"/>
      <c r="J799" s="55"/>
      <c r="K799" s="56"/>
      <c r="L799" s="56"/>
      <c r="M799" s="56"/>
      <c r="N799" s="56"/>
      <c r="O799" s="56"/>
      <c r="P799" s="56"/>
      <c r="Q799" s="56"/>
      <c r="R799" s="56"/>
      <c r="S799" s="56"/>
      <c r="T799" s="33"/>
    </row>
    <row r="800" spans="1:20" ht="15.75" customHeight="1" x14ac:dyDescent="0.3">
      <c r="A800" s="33"/>
      <c r="B800" s="33"/>
      <c r="C800" s="33"/>
      <c r="D800" s="54"/>
      <c r="E800" s="33"/>
      <c r="F800" s="33"/>
      <c r="G800" s="55"/>
      <c r="H800" s="33"/>
      <c r="I800" s="33"/>
      <c r="J800" s="55"/>
      <c r="K800" s="56"/>
      <c r="L800" s="56"/>
      <c r="M800" s="56"/>
      <c r="N800" s="56"/>
      <c r="O800" s="56"/>
      <c r="P800" s="56"/>
      <c r="Q800" s="56"/>
      <c r="R800" s="56"/>
      <c r="S800" s="56"/>
      <c r="T800" s="33"/>
    </row>
    <row r="801" spans="1:20" ht="15.75" customHeight="1" x14ac:dyDescent="0.3">
      <c r="A801" s="33"/>
      <c r="B801" s="33"/>
      <c r="C801" s="33"/>
      <c r="D801" s="54"/>
      <c r="E801" s="33"/>
      <c r="F801" s="33"/>
      <c r="G801" s="55"/>
      <c r="H801" s="33"/>
      <c r="I801" s="33"/>
      <c r="J801" s="55"/>
      <c r="K801" s="56"/>
      <c r="L801" s="56"/>
      <c r="M801" s="56"/>
      <c r="N801" s="56"/>
      <c r="O801" s="56"/>
      <c r="P801" s="56"/>
      <c r="Q801" s="56"/>
      <c r="R801" s="56"/>
      <c r="S801" s="56"/>
      <c r="T801" s="33"/>
    </row>
    <row r="802" spans="1:20" ht="15.75" customHeight="1" x14ac:dyDescent="0.3">
      <c r="A802" s="33"/>
      <c r="B802" s="33"/>
      <c r="C802" s="33"/>
      <c r="D802" s="54"/>
      <c r="E802" s="33"/>
      <c r="F802" s="33"/>
      <c r="G802" s="55"/>
      <c r="H802" s="33"/>
      <c r="I802" s="33"/>
      <c r="J802" s="55"/>
      <c r="K802" s="56"/>
      <c r="L802" s="56"/>
      <c r="M802" s="56"/>
      <c r="N802" s="56"/>
      <c r="O802" s="56"/>
      <c r="P802" s="56"/>
      <c r="Q802" s="56"/>
      <c r="R802" s="56"/>
      <c r="S802" s="56"/>
      <c r="T802" s="33"/>
    </row>
    <row r="803" spans="1:20" ht="15.75" customHeight="1" x14ac:dyDescent="0.3">
      <c r="A803" s="33"/>
      <c r="B803" s="33"/>
      <c r="C803" s="33"/>
      <c r="D803" s="54"/>
      <c r="E803" s="33"/>
      <c r="F803" s="33"/>
      <c r="G803" s="55"/>
      <c r="H803" s="33"/>
      <c r="I803" s="33"/>
      <c r="J803" s="55"/>
      <c r="K803" s="56"/>
      <c r="L803" s="56"/>
      <c r="M803" s="56"/>
      <c r="N803" s="56"/>
      <c r="O803" s="56"/>
      <c r="P803" s="56"/>
      <c r="Q803" s="56"/>
      <c r="R803" s="56"/>
      <c r="S803" s="56"/>
      <c r="T803" s="33"/>
    </row>
    <row r="804" spans="1:20" ht="15.75" customHeight="1" x14ac:dyDescent="0.3">
      <c r="A804" s="33"/>
      <c r="B804" s="33"/>
      <c r="C804" s="33"/>
      <c r="D804" s="54"/>
      <c r="E804" s="33"/>
      <c r="F804" s="33"/>
      <c r="G804" s="55"/>
      <c r="H804" s="33"/>
      <c r="I804" s="33"/>
      <c r="J804" s="55"/>
      <c r="K804" s="56"/>
      <c r="L804" s="56"/>
      <c r="M804" s="56"/>
      <c r="N804" s="56"/>
      <c r="O804" s="56"/>
      <c r="P804" s="56"/>
      <c r="Q804" s="56"/>
      <c r="R804" s="56"/>
      <c r="S804" s="56"/>
      <c r="T804" s="33"/>
    </row>
    <row r="805" spans="1:20" ht="15.75" customHeight="1" x14ac:dyDescent="0.3">
      <c r="A805" s="33"/>
      <c r="B805" s="33"/>
      <c r="C805" s="33"/>
      <c r="D805" s="54"/>
      <c r="E805" s="33"/>
      <c r="F805" s="33"/>
      <c r="G805" s="55"/>
      <c r="H805" s="33"/>
      <c r="I805" s="33"/>
      <c r="J805" s="55"/>
      <c r="K805" s="56"/>
      <c r="L805" s="56"/>
      <c r="M805" s="56"/>
      <c r="N805" s="56"/>
      <c r="O805" s="56"/>
      <c r="P805" s="56"/>
      <c r="Q805" s="56"/>
      <c r="R805" s="56"/>
      <c r="S805" s="56"/>
      <c r="T805" s="33"/>
    </row>
    <row r="806" spans="1:20" ht="15.75" customHeight="1" x14ac:dyDescent="0.3">
      <c r="A806" s="33"/>
      <c r="B806" s="33"/>
      <c r="C806" s="33"/>
      <c r="D806" s="54"/>
      <c r="E806" s="33"/>
      <c r="F806" s="33"/>
      <c r="G806" s="55"/>
      <c r="H806" s="33"/>
      <c r="I806" s="33"/>
      <c r="J806" s="55"/>
      <c r="K806" s="56"/>
      <c r="L806" s="56"/>
      <c r="M806" s="56"/>
      <c r="N806" s="56"/>
      <c r="O806" s="56"/>
      <c r="P806" s="56"/>
      <c r="Q806" s="56"/>
      <c r="R806" s="56"/>
      <c r="S806" s="56"/>
      <c r="T806" s="33"/>
    </row>
    <row r="807" spans="1:20" ht="15.75" customHeight="1" x14ac:dyDescent="0.3">
      <c r="A807" s="33"/>
      <c r="B807" s="33"/>
      <c r="C807" s="33"/>
      <c r="D807" s="54"/>
      <c r="E807" s="33"/>
      <c r="F807" s="33"/>
      <c r="G807" s="55"/>
      <c r="H807" s="33"/>
      <c r="I807" s="33"/>
      <c r="J807" s="55"/>
      <c r="K807" s="56"/>
      <c r="L807" s="56"/>
      <c r="M807" s="56"/>
      <c r="N807" s="56"/>
      <c r="O807" s="56"/>
      <c r="P807" s="56"/>
      <c r="Q807" s="56"/>
      <c r="R807" s="56"/>
      <c r="S807" s="56"/>
      <c r="T807" s="33"/>
    </row>
    <row r="808" spans="1:20" ht="15.75" customHeight="1" x14ac:dyDescent="0.3">
      <c r="A808" s="33"/>
      <c r="B808" s="33"/>
      <c r="C808" s="33"/>
      <c r="D808" s="54"/>
      <c r="E808" s="33"/>
      <c r="F808" s="33"/>
      <c r="G808" s="55"/>
      <c r="H808" s="33"/>
      <c r="I808" s="33"/>
      <c r="J808" s="55"/>
      <c r="K808" s="56"/>
      <c r="L808" s="56"/>
      <c r="M808" s="56"/>
      <c r="N808" s="56"/>
      <c r="O808" s="56"/>
      <c r="P808" s="56"/>
      <c r="Q808" s="56"/>
      <c r="R808" s="56"/>
      <c r="S808" s="56"/>
      <c r="T808" s="33"/>
    </row>
    <row r="809" spans="1:20" ht="15.75" customHeight="1" x14ac:dyDescent="0.3">
      <c r="A809" s="33"/>
      <c r="B809" s="33"/>
      <c r="C809" s="33"/>
      <c r="D809" s="54"/>
      <c r="E809" s="33"/>
      <c r="F809" s="33"/>
      <c r="G809" s="55"/>
      <c r="H809" s="33"/>
      <c r="I809" s="33"/>
      <c r="J809" s="55"/>
      <c r="K809" s="56"/>
      <c r="L809" s="56"/>
      <c r="M809" s="56"/>
      <c r="N809" s="56"/>
      <c r="O809" s="56"/>
      <c r="P809" s="56"/>
      <c r="Q809" s="56"/>
      <c r="R809" s="56"/>
      <c r="S809" s="56"/>
      <c r="T809" s="33"/>
    </row>
    <row r="810" spans="1:20" ht="15.75" customHeight="1" x14ac:dyDescent="0.3">
      <c r="A810" s="33"/>
      <c r="B810" s="33"/>
      <c r="C810" s="33"/>
      <c r="D810" s="54"/>
      <c r="E810" s="33"/>
      <c r="F810" s="33"/>
      <c r="G810" s="55"/>
      <c r="H810" s="33"/>
      <c r="I810" s="33"/>
      <c r="J810" s="55"/>
      <c r="K810" s="56"/>
      <c r="L810" s="56"/>
      <c r="M810" s="56"/>
      <c r="N810" s="56"/>
      <c r="O810" s="56"/>
      <c r="P810" s="56"/>
      <c r="Q810" s="56"/>
      <c r="R810" s="56"/>
      <c r="S810" s="56"/>
      <c r="T810" s="33"/>
    </row>
    <row r="811" spans="1:20" ht="15.75" customHeight="1" x14ac:dyDescent="0.3">
      <c r="A811" s="33"/>
      <c r="B811" s="33"/>
      <c r="C811" s="33"/>
      <c r="D811" s="54"/>
      <c r="E811" s="33"/>
      <c r="F811" s="33"/>
      <c r="G811" s="55"/>
      <c r="H811" s="33"/>
      <c r="I811" s="33"/>
      <c r="J811" s="55"/>
      <c r="K811" s="56"/>
      <c r="L811" s="56"/>
      <c r="M811" s="56"/>
      <c r="N811" s="56"/>
      <c r="O811" s="56"/>
      <c r="P811" s="56"/>
      <c r="Q811" s="56"/>
      <c r="R811" s="56"/>
      <c r="S811" s="56"/>
      <c r="T811" s="33"/>
    </row>
    <row r="812" spans="1:20" ht="15.75" customHeight="1" x14ac:dyDescent="0.3">
      <c r="A812" s="33"/>
      <c r="B812" s="33"/>
      <c r="C812" s="33"/>
      <c r="D812" s="54"/>
      <c r="E812" s="33"/>
      <c r="F812" s="33"/>
      <c r="G812" s="55"/>
      <c r="H812" s="33"/>
      <c r="I812" s="33"/>
      <c r="J812" s="55"/>
      <c r="K812" s="56"/>
      <c r="L812" s="56"/>
      <c r="M812" s="56"/>
      <c r="N812" s="56"/>
      <c r="O812" s="56"/>
      <c r="P812" s="56"/>
      <c r="Q812" s="56"/>
      <c r="R812" s="56"/>
      <c r="S812" s="56"/>
      <c r="T812" s="33"/>
    </row>
    <row r="813" spans="1:20" ht="15.75" customHeight="1" x14ac:dyDescent="0.3">
      <c r="A813" s="33"/>
      <c r="B813" s="33"/>
      <c r="C813" s="33"/>
      <c r="D813" s="54"/>
      <c r="E813" s="33"/>
      <c r="F813" s="33"/>
      <c r="G813" s="55"/>
      <c r="H813" s="33"/>
      <c r="I813" s="33"/>
      <c r="J813" s="55"/>
      <c r="K813" s="56"/>
      <c r="L813" s="56"/>
      <c r="M813" s="56"/>
      <c r="N813" s="56"/>
      <c r="O813" s="56"/>
      <c r="P813" s="56"/>
      <c r="Q813" s="56"/>
      <c r="R813" s="56"/>
      <c r="S813" s="56"/>
      <c r="T813" s="33"/>
    </row>
    <row r="814" spans="1:20" ht="15.75" customHeight="1" x14ac:dyDescent="0.3">
      <c r="A814" s="33"/>
      <c r="B814" s="33"/>
      <c r="C814" s="33"/>
      <c r="D814" s="54"/>
      <c r="E814" s="33"/>
      <c r="F814" s="33"/>
      <c r="G814" s="55"/>
      <c r="H814" s="33"/>
      <c r="I814" s="33"/>
      <c r="J814" s="55"/>
      <c r="K814" s="56"/>
      <c r="L814" s="56"/>
      <c r="M814" s="56"/>
      <c r="N814" s="56"/>
      <c r="O814" s="56"/>
      <c r="P814" s="56"/>
      <c r="Q814" s="56"/>
      <c r="R814" s="56"/>
      <c r="S814" s="56"/>
      <c r="T814" s="33"/>
    </row>
    <row r="815" spans="1:20" ht="15.75" customHeight="1" x14ac:dyDescent="0.3">
      <c r="A815" s="33"/>
      <c r="B815" s="33"/>
      <c r="C815" s="33"/>
      <c r="D815" s="54"/>
      <c r="E815" s="33"/>
      <c r="F815" s="33"/>
      <c r="G815" s="55"/>
      <c r="H815" s="33"/>
      <c r="I815" s="33"/>
      <c r="J815" s="55"/>
      <c r="K815" s="56"/>
      <c r="L815" s="56"/>
      <c r="M815" s="56"/>
      <c r="N815" s="56"/>
      <c r="O815" s="56"/>
      <c r="P815" s="56"/>
      <c r="Q815" s="56"/>
      <c r="R815" s="56"/>
      <c r="S815" s="56"/>
      <c r="T815" s="33"/>
    </row>
    <row r="816" spans="1:20" ht="15.75" customHeight="1" x14ac:dyDescent="0.3">
      <c r="A816" s="33"/>
      <c r="B816" s="33"/>
      <c r="C816" s="33"/>
      <c r="D816" s="54"/>
      <c r="E816" s="33"/>
      <c r="F816" s="33"/>
      <c r="G816" s="55"/>
      <c r="H816" s="33"/>
      <c r="I816" s="33"/>
      <c r="J816" s="55"/>
      <c r="K816" s="56"/>
      <c r="L816" s="56"/>
      <c r="M816" s="56"/>
      <c r="N816" s="56"/>
      <c r="O816" s="56"/>
      <c r="P816" s="56"/>
      <c r="Q816" s="56"/>
      <c r="R816" s="56"/>
      <c r="S816" s="56"/>
      <c r="T816" s="33"/>
    </row>
    <row r="817" spans="1:20" ht="15.75" customHeight="1" x14ac:dyDescent="0.3">
      <c r="A817" s="33"/>
      <c r="B817" s="33"/>
      <c r="C817" s="33"/>
      <c r="D817" s="54"/>
      <c r="E817" s="33"/>
      <c r="F817" s="33"/>
      <c r="G817" s="55"/>
      <c r="H817" s="33"/>
      <c r="I817" s="33"/>
      <c r="J817" s="55"/>
      <c r="K817" s="56"/>
      <c r="L817" s="56"/>
      <c r="M817" s="56"/>
      <c r="N817" s="56"/>
      <c r="O817" s="56"/>
      <c r="P817" s="56"/>
      <c r="Q817" s="56"/>
      <c r="R817" s="56"/>
      <c r="S817" s="56"/>
      <c r="T817" s="33"/>
    </row>
    <row r="818" spans="1:20" ht="15.75" customHeight="1" x14ac:dyDescent="0.3">
      <c r="A818" s="33"/>
      <c r="B818" s="33"/>
      <c r="C818" s="33"/>
      <c r="D818" s="54"/>
      <c r="E818" s="33"/>
      <c r="F818" s="33"/>
      <c r="G818" s="55"/>
      <c r="H818" s="33"/>
      <c r="I818" s="33"/>
      <c r="J818" s="55"/>
      <c r="K818" s="56"/>
      <c r="L818" s="56"/>
      <c r="M818" s="56"/>
      <c r="N818" s="56"/>
      <c r="O818" s="56"/>
      <c r="P818" s="56"/>
      <c r="Q818" s="56"/>
      <c r="R818" s="56"/>
      <c r="S818" s="56"/>
      <c r="T818" s="33"/>
    </row>
    <row r="819" spans="1:20" ht="15.75" customHeight="1" x14ac:dyDescent="0.3">
      <c r="A819" s="33"/>
      <c r="B819" s="33"/>
      <c r="C819" s="33"/>
      <c r="D819" s="54"/>
      <c r="E819" s="33"/>
      <c r="F819" s="33"/>
      <c r="G819" s="55"/>
      <c r="H819" s="33"/>
      <c r="I819" s="33"/>
      <c r="J819" s="55"/>
      <c r="K819" s="56"/>
      <c r="L819" s="56"/>
      <c r="M819" s="56"/>
      <c r="N819" s="56"/>
      <c r="O819" s="56"/>
      <c r="P819" s="56"/>
      <c r="Q819" s="56"/>
      <c r="R819" s="56"/>
      <c r="S819" s="56"/>
      <c r="T819" s="33"/>
    </row>
    <row r="820" spans="1:20" ht="15.75" customHeight="1" x14ac:dyDescent="0.3">
      <c r="A820" s="33"/>
      <c r="B820" s="33"/>
      <c r="C820" s="33"/>
      <c r="D820" s="54"/>
      <c r="E820" s="33"/>
      <c r="F820" s="33"/>
      <c r="G820" s="55"/>
      <c r="H820" s="33"/>
      <c r="I820" s="33"/>
      <c r="J820" s="55"/>
      <c r="K820" s="56"/>
      <c r="L820" s="56"/>
      <c r="M820" s="56"/>
      <c r="N820" s="56"/>
      <c r="O820" s="56"/>
      <c r="P820" s="56"/>
      <c r="Q820" s="56"/>
      <c r="R820" s="56"/>
      <c r="S820" s="56"/>
      <c r="T820" s="33"/>
    </row>
    <row r="821" spans="1:20" ht="15.75" customHeight="1" x14ac:dyDescent="0.3">
      <c r="A821" s="33"/>
      <c r="B821" s="33"/>
      <c r="C821" s="33"/>
      <c r="D821" s="54"/>
      <c r="E821" s="33"/>
      <c r="F821" s="33"/>
      <c r="G821" s="55"/>
      <c r="H821" s="33"/>
      <c r="I821" s="33"/>
      <c r="J821" s="55"/>
      <c r="K821" s="56"/>
      <c r="L821" s="56"/>
      <c r="M821" s="56"/>
      <c r="N821" s="56"/>
      <c r="O821" s="56"/>
      <c r="P821" s="56"/>
      <c r="Q821" s="56"/>
      <c r="R821" s="56"/>
      <c r="S821" s="56"/>
      <c r="T821" s="33"/>
    </row>
    <row r="822" spans="1:20" ht="15.75" customHeight="1" x14ac:dyDescent="0.3">
      <c r="A822" s="33"/>
      <c r="B822" s="33"/>
      <c r="C822" s="33"/>
      <c r="D822" s="54"/>
      <c r="E822" s="33"/>
      <c r="F822" s="33"/>
      <c r="G822" s="55"/>
      <c r="H822" s="33"/>
      <c r="I822" s="33"/>
      <c r="J822" s="55"/>
      <c r="K822" s="56"/>
      <c r="L822" s="56"/>
      <c r="M822" s="56"/>
      <c r="N822" s="56"/>
      <c r="O822" s="56"/>
      <c r="P822" s="56"/>
      <c r="Q822" s="56"/>
      <c r="R822" s="56"/>
      <c r="S822" s="56"/>
      <c r="T822" s="33"/>
    </row>
    <row r="823" spans="1:20" ht="15.75" customHeight="1" x14ac:dyDescent="0.3">
      <c r="A823" s="33"/>
      <c r="B823" s="33"/>
      <c r="C823" s="33"/>
      <c r="D823" s="54"/>
      <c r="E823" s="33"/>
      <c r="F823" s="33"/>
      <c r="G823" s="55"/>
      <c r="H823" s="33"/>
      <c r="I823" s="33"/>
      <c r="J823" s="55"/>
      <c r="K823" s="56"/>
      <c r="L823" s="56"/>
      <c r="M823" s="56"/>
      <c r="N823" s="56"/>
      <c r="O823" s="56"/>
      <c r="P823" s="56"/>
      <c r="Q823" s="56"/>
      <c r="R823" s="56"/>
      <c r="S823" s="56"/>
      <c r="T823" s="33"/>
    </row>
    <row r="824" spans="1:20" ht="15.75" customHeight="1" x14ac:dyDescent="0.3">
      <c r="A824" s="33"/>
      <c r="B824" s="33"/>
      <c r="C824" s="33"/>
      <c r="D824" s="54"/>
      <c r="E824" s="33"/>
      <c r="F824" s="33"/>
      <c r="G824" s="55"/>
      <c r="H824" s="33"/>
      <c r="I824" s="33"/>
      <c r="J824" s="55"/>
      <c r="K824" s="56"/>
      <c r="L824" s="56"/>
      <c r="M824" s="56"/>
      <c r="N824" s="56"/>
      <c r="O824" s="56"/>
      <c r="P824" s="56"/>
      <c r="Q824" s="56"/>
      <c r="R824" s="56"/>
      <c r="S824" s="56"/>
      <c r="T824" s="33"/>
    </row>
    <row r="825" spans="1:20" ht="15.75" customHeight="1" x14ac:dyDescent="0.3">
      <c r="A825" s="33"/>
      <c r="B825" s="33"/>
      <c r="C825" s="33"/>
      <c r="D825" s="54"/>
      <c r="E825" s="33"/>
      <c r="F825" s="33"/>
      <c r="G825" s="55"/>
      <c r="H825" s="33"/>
      <c r="I825" s="33"/>
      <c r="J825" s="55"/>
      <c r="K825" s="56"/>
      <c r="L825" s="56"/>
      <c r="M825" s="56"/>
      <c r="N825" s="56"/>
      <c r="O825" s="56"/>
      <c r="P825" s="56"/>
      <c r="Q825" s="56"/>
      <c r="R825" s="56"/>
      <c r="S825" s="56"/>
      <c r="T825" s="33"/>
    </row>
    <row r="826" spans="1:20" ht="15.75" customHeight="1" x14ac:dyDescent="0.3">
      <c r="A826" s="33"/>
      <c r="B826" s="33"/>
      <c r="C826" s="33"/>
      <c r="D826" s="54"/>
      <c r="E826" s="33"/>
      <c r="F826" s="33"/>
      <c r="G826" s="55"/>
      <c r="H826" s="33"/>
      <c r="I826" s="33"/>
      <c r="J826" s="55"/>
      <c r="K826" s="56"/>
      <c r="L826" s="56"/>
      <c r="M826" s="56"/>
      <c r="N826" s="56"/>
      <c r="O826" s="56"/>
      <c r="P826" s="56"/>
      <c r="Q826" s="56"/>
      <c r="R826" s="56"/>
      <c r="S826" s="56"/>
      <c r="T826" s="33"/>
    </row>
    <row r="827" spans="1:20" ht="15.75" customHeight="1" x14ac:dyDescent="0.3">
      <c r="A827" s="33"/>
      <c r="B827" s="33"/>
      <c r="C827" s="33"/>
      <c r="D827" s="54"/>
      <c r="E827" s="33"/>
      <c r="F827" s="33"/>
      <c r="G827" s="55"/>
      <c r="H827" s="33"/>
      <c r="I827" s="33"/>
      <c r="J827" s="55"/>
      <c r="K827" s="56"/>
      <c r="L827" s="56"/>
      <c r="M827" s="56"/>
      <c r="N827" s="56"/>
      <c r="O827" s="56"/>
      <c r="P827" s="56"/>
      <c r="Q827" s="56"/>
      <c r="R827" s="56"/>
      <c r="S827" s="56"/>
      <c r="T827" s="33"/>
    </row>
    <row r="828" spans="1:20" ht="15.75" customHeight="1" x14ac:dyDescent="0.3">
      <c r="A828" s="33"/>
      <c r="B828" s="33"/>
      <c r="C828" s="33"/>
      <c r="D828" s="54"/>
      <c r="E828" s="33"/>
      <c r="F828" s="33"/>
      <c r="G828" s="55"/>
      <c r="H828" s="33"/>
      <c r="I828" s="33"/>
      <c r="J828" s="55"/>
      <c r="K828" s="56"/>
      <c r="L828" s="56"/>
      <c r="M828" s="56"/>
      <c r="N828" s="56"/>
      <c r="O828" s="56"/>
      <c r="P828" s="56"/>
      <c r="Q828" s="56"/>
      <c r="R828" s="56"/>
      <c r="S828" s="56"/>
      <c r="T828" s="33"/>
    </row>
    <row r="829" spans="1:20" ht="15.75" customHeight="1" x14ac:dyDescent="0.3">
      <c r="A829" s="33"/>
      <c r="B829" s="33"/>
      <c r="C829" s="33"/>
      <c r="D829" s="54"/>
      <c r="E829" s="33"/>
      <c r="F829" s="33"/>
      <c r="G829" s="55"/>
      <c r="H829" s="33"/>
      <c r="I829" s="33"/>
      <c r="J829" s="55"/>
      <c r="K829" s="56"/>
      <c r="L829" s="56"/>
      <c r="M829" s="56"/>
      <c r="N829" s="56"/>
      <c r="O829" s="56"/>
      <c r="P829" s="56"/>
      <c r="Q829" s="56"/>
      <c r="R829" s="56"/>
      <c r="S829" s="56"/>
      <c r="T829" s="33"/>
    </row>
    <row r="830" spans="1:20" ht="15.75" customHeight="1" x14ac:dyDescent="0.3">
      <c r="A830" s="33"/>
      <c r="B830" s="33"/>
      <c r="C830" s="33"/>
      <c r="D830" s="54"/>
      <c r="E830" s="33"/>
      <c r="F830" s="33"/>
      <c r="G830" s="55"/>
      <c r="H830" s="33"/>
      <c r="I830" s="33"/>
      <c r="J830" s="55"/>
      <c r="K830" s="56"/>
      <c r="L830" s="56"/>
      <c r="M830" s="56"/>
      <c r="N830" s="56"/>
      <c r="O830" s="56"/>
      <c r="P830" s="56"/>
      <c r="Q830" s="56"/>
      <c r="R830" s="56"/>
      <c r="S830" s="56"/>
      <c r="T830" s="33"/>
    </row>
    <row r="831" spans="1:20" ht="15.75" customHeight="1" x14ac:dyDescent="0.3">
      <c r="A831" s="33"/>
      <c r="B831" s="33"/>
      <c r="C831" s="33"/>
      <c r="D831" s="54"/>
      <c r="E831" s="33"/>
      <c r="F831" s="33"/>
      <c r="G831" s="55"/>
      <c r="H831" s="33"/>
      <c r="I831" s="33"/>
      <c r="J831" s="55"/>
      <c r="K831" s="56"/>
      <c r="L831" s="56"/>
      <c r="M831" s="56"/>
      <c r="N831" s="56"/>
      <c r="O831" s="56"/>
      <c r="P831" s="56"/>
      <c r="Q831" s="56"/>
      <c r="R831" s="56"/>
      <c r="S831" s="56"/>
      <c r="T831" s="33"/>
    </row>
    <row r="832" spans="1:20" ht="15.75" customHeight="1" x14ac:dyDescent="0.3">
      <c r="A832" s="33"/>
      <c r="B832" s="33"/>
      <c r="C832" s="33"/>
      <c r="D832" s="54"/>
      <c r="E832" s="33"/>
      <c r="F832" s="33"/>
      <c r="G832" s="55"/>
      <c r="H832" s="33"/>
      <c r="I832" s="33"/>
      <c r="J832" s="55"/>
      <c r="K832" s="56"/>
      <c r="L832" s="56"/>
      <c r="M832" s="56"/>
      <c r="N832" s="56"/>
      <c r="O832" s="56"/>
      <c r="P832" s="56"/>
      <c r="Q832" s="56"/>
      <c r="R832" s="56"/>
      <c r="S832" s="56"/>
      <c r="T832" s="33"/>
    </row>
    <row r="833" spans="1:20" ht="15.75" customHeight="1" x14ac:dyDescent="0.3">
      <c r="A833" s="33"/>
      <c r="B833" s="33"/>
      <c r="C833" s="33"/>
      <c r="D833" s="54"/>
      <c r="E833" s="33"/>
      <c r="F833" s="33"/>
      <c r="G833" s="55"/>
      <c r="H833" s="33"/>
      <c r="I833" s="33"/>
      <c r="J833" s="55"/>
      <c r="K833" s="56"/>
      <c r="L833" s="56"/>
      <c r="M833" s="56"/>
      <c r="N833" s="56"/>
      <c r="O833" s="56"/>
      <c r="P833" s="56"/>
      <c r="Q833" s="56"/>
      <c r="R833" s="56"/>
      <c r="S833" s="56"/>
      <c r="T833" s="33"/>
    </row>
    <row r="834" spans="1:20" ht="15.75" customHeight="1" x14ac:dyDescent="0.3">
      <c r="A834" s="33"/>
      <c r="B834" s="33"/>
      <c r="C834" s="33"/>
      <c r="D834" s="54"/>
      <c r="E834" s="33"/>
      <c r="F834" s="33"/>
      <c r="G834" s="55"/>
      <c r="H834" s="33"/>
      <c r="I834" s="33"/>
      <c r="J834" s="55"/>
      <c r="K834" s="56"/>
      <c r="L834" s="56"/>
      <c r="M834" s="56"/>
      <c r="N834" s="56"/>
      <c r="O834" s="56"/>
      <c r="P834" s="56"/>
      <c r="Q834" s="56"/>
      <c r="R834" s="56"/>
      <c r="S834" s="56"/>
      <c r="T834" s="33"/>
    </row>
    <row r="835" spans="1:20" ht="15.75" customHeight="1" x14ac:dyDescent="0.3">
      <c r="A835" s="33"/>
      <c r="B835" s="33"/>
      <c r="C835" s="33"/>
      <c r="D835" s="54"/>
      <c r="E835" s="33"/>
      <c r="F835" s="33"/>
      <c r="G835" s="55"/>
      <c r="H835" s="33"/>
      <c r="I835" s="33"/>
      <c r="J835" s="55"/>
      <c r="K835" s="56"/>
      <c r="L835" s="56"/>
      <c r="M835" s="56"/>
      <c r="N835" s="56"/>
      <c r="O835" s="56"/>
      <c r="P835" s="56"/>
      <c r="Q835" s="56"/>
      <c r="R835" s="56"/>
      <c r="S835" s="56"/>
      <c r="T835" s="33"/>
    </row>
    <row r="836" spans="1:20" ht="15.75" customHeight="1" x14ac:dyDescent="0.3">
      <c r="A836" s="33"/>
      <c r="B836" s="33"/>
      <c r="C836" s="33"/>
      <c r="D836" s="54"/>
      <c r="E836" s="33"/>
      <c r="F836" s="33"/>
      <c r="G836" s="55"/>
      <c r="H836" s="33"/>
      <c r="I836" s="33"/>
      <c r="J836" s="55"/>
      <c r="K836" s="56"/>
      <c r="L836" s="56"/>
      <c r="M836" s="56"/>
      <c r="N836" s="56"/>
      <c r="O836" s="56"/>
      <c r="P836" s="56"/>
      <c r="Q836" s="56"/>
      <c r="R836" s="56"/>
      <c r="S836" s="56"/>
      <c r="T836" s="33"/>
    </row>
    <row r="837" spans="1:20" ht="15.75" customHeight="1" x14ac:dyDescent="0.3">
      <c r="A837" s="33"/>
      <c r="B837" s="33"/>
      <c r="C837" s="33"/>
      <c r="D837" s="54"/>
      <c r="E837" s="33"/>
      <c r="F837" s="33"/>
      <c r="G837" s="55"/>
      <c r="H837" s="33"/>
      <c r="I837" s="33"/>
      <c r="J837" s="55"/>
      <c r="K837" s="56"/>
      <c r="L837" s="56"/>
      <c r="M837" s="56"/>
      <c r="N837" s="56"/>
      <c r="O837" s="56"/>
      <c r="P837" s="56"/>
      <c r="Q837" s="56"/>
      <c r="R837" s="56"/>
      <c r="S837" s="56"/>
      <c r="T837" s="33"/>
    </row>
    <row r="838" spans="1:20" ht="15.75" customHeight="1" x14ac:dyDescent="0.3">
      <c r="A838" s="33"/>
      <c r="B838" s="33"/>
      <c r="C838" s="33"/>
      <c r="D838" s="54"/>
      <c r="E838" s="33"/>
      <c r="F838" s="33"/>
      <c r="G838" s="55"/>
      <c r="H838" s="33"/>
      <c r="I838" s="33"/>
      <c r="J838" s="55"/>
      <c r="K838" s="56"/>
      <c r="L838" s="56"/>
      <c r="M838" s="56"/>
      <c r="N838" s="56"/>
      <c r="O838" s="56"/>
      <c r="P838" s="56"/>
      <c r="Q838" s="56"/>
      <c r="R838" s="56"/>
      <c r="S838" s="56"/>
      <c r="T838" s="33"/>
    </row>
    <row r="839" spans="1:20" ht="15.75" customHeight="1" x14ac:dyDescent="0.3">
      <c r="A839" s="33"/>
      <c r="B839" s="33"/>
      <c r="C839" s="33"/>
      <c r="D839" s="54"/>
      <c r="E839" s="33"/>
      <c r="F839" s="33"/>
      <c r="G839" s="55"/>
      <c r="H839" s="33"/>
      <c r="I839" s="33"/>
      <c r="J839" s="55"/>
      <c r="K839" s="56"/>
      <c r="L839" s="56"/>
      <c r="M839" s="56"/>
      <c r="N839" s="56"/>
      <c r="O839" s="56"/>
      <c r="P839" s="56"/>
      <c r="Q839" s="56"/>
      <c r="R839" s="56"/>
      <c r="S839" s="56"/>
      <c r="T839" s="33"/>
    </row>
    <row r="840" spans="1:20" ht="15.75" customHeight="1" x14ac:dyDescent="0.3">
      <c r="A840" s="33"/>
      <c r="B840" s="33"/>
      <c r="C840" s="33"/>
      <c r="D840" s="54"/>
      <c r="E840" s="33"/>
      <c r="F840" s="33"/>
      <c r="G840" s="55"/>
      <c r="H840" s="33"/>
      <c r="I840" s="33"/>
      <c r="J840" s="55"/>
      <c r="K840" s="56"/>
      <c r="L840" s="56"/>
      <c r="M840" s="56"/>
      <c r="N840" s="56"/>
      <c r="O840" s="56"/>
      <c r="P840" s="56"/>
      <c r="Q840" s="56"/>
      <c r="R840" s="56"/>
      <c r="S840" s="56"/>
      <c r="T840" s="33"/>
    </row>
    <row r="841" spans="1:20" ht="15.75" customHeight="1" x14ac:dyDescent="0.3">
      <c r="A841" s="33"/>
      <c r="B841" s="33"/>
      <c r="C841" s="33"/>
      <c r="D841" s="54"/>
      <c r="E841" s="33"/>
      <c r="F841" s="33"/>
      <c r="G841" s="55"/>
      <c r="H841" s="33"/>
      <c r="I841" s="33"/>
      <c r="J841" s="55"/>
      <c r="K841" s="56"/>
      <c r="L841" s="56"/>
      <c r="M841" s="56"/>
      <c r="N841" s="56"/>
      <c r="O841" s="56"/>
      <c r="P841" s="56"/>
      <c r="Q841" s="56"/>
      <c r="R841" s="56"/>
      <c r="S841" s="56"/>
      <c r="T841" s="33"/>
    </row>
    <row r="842" spans="1:20" ht="15.75" customHeight="1" x14ac:dyDescent="0.3">
      <c r="A842" s="33"/>
      <c r="B842" s="33"/>
      <c r="C842" s="33"/>
      <c r="D842" s="54"/>
      <c r="E842" s="33"/>
      <c r="F842" s="33"/>
      <c r="G842" s="55"/>
      <c r="H842" s="33"/>
      <c r="I842" s="33"/>
      <c r="J842" s="55"/>
      <c r="K842" s="56"/>
      <c r="L842" s="56"/>
      <c r="M842" s="56"/>
      <c r="N842" s="56"/>
      <c r="O842" s="56"/>
      <c r="P842" s="56"/>
      <c r="Q842" s="56"/>
      <c r="R842" s="56"/>
      <c r="S842" s="56"/>
      <c r="T842" s="33"/>
    </row>
    <row r="843" spans="1:20" ht="15.75" customHeight="1" x14ac:dyDescent="0.3">
      <c r="A843" s="33"/>
      <c r="B843" s="33"/>
      <c r="C843" s="33"/>
      <c r="D843" s="54"/>
      <c r="E843" s="33"/>
      <c r="F843" s="33"/>
      <c r="G843" s="55"/>
      <c r="H843" s="33"/>
      <c r="I843" s="33"/>
      <c r="J843" s="55"/>
      <c r="K843" s="56"/>
      <c r="L843" s="56"/>
      <c r="M843" s="56"/>
      <c r="N843" s="56"/>
      <c r="O843" s="56"/>
      <c r="P843" s="56"/>
      <c r="Q843" s="56"/>
      <c r="R843" s="56"/>
      <c r="S843" s="56"/>
      <c r="T843" s="33"/>
    </row>
    <row r="844" spans="1:20" ht="15.75" customHeight="1" x14ac:dyDescent="0.3">
      <c r="A844" s="33"/>
      <c r="B844" s="33"/>
      <c r="C844" s="33"/>
      <c r="D844" s="54"/>
      <c r="E844" s="33"/>
      <c r="F844" s="33"/>
      <c r="G844" s="55"/>
      <c r="H844" s="33"/>
      <c r="I844" s="33"/>
      <c r="J844" s="55"/>
      <c r="K844" s="56"/>
      <c r="L844" s="56"/>
      <c r="M844" s="56"/>
      <c r="N844" s="56"/>
      <c r="O844" s="56"/>
      <c r="P844" s="56"/>
      <c r="Q844" s="56"/>
      <c r="R844" s="56"/>
      <c r="S844" s="56"/>
      <c r="T844" s="33"/>
    </row>
    <row r="845" spans="1:20" ht="15.75" customHeight="1" x14ac:dyDescent="0.3">
      <c r="A845" s="33"/>
      <c r="B845" s="33"/>
      <c r="C845" s="33"/>
      <c r="D845" s="54"/>
      <c r="E845" s="33"/>
      <c r="F845" s="33"/>
      <c r="G845" s="55"/>
      <c r="H845" s="33"/>
      <c r="I845" s="33"/>
      <c r="J845" s="55"/>
      <c r="K845" s="56"/>
      <c r="L845" s="56"/>
      <c r="M845" s="56"/>
      <c r="N845" s="56"/>
      <c r="O845" s="56"/>
      <c r="P845" s="56"/>
      <c r="Q845" s="56"/>
      <c r="R845" s="56"/>
      <c r="S845" s="56"/>
      <c r="T845" s="33"/>
    </row>
    <row r="846" spans="1:20" ht="15.75" customHeight="1" x14ac:dyDescent="0.3">
      <c r="A846" s="33"/>
      <c r="B846" s="33"/>
      <c r="C846" s="33"/>
      <c r="D846" s="54"/>
      <c r="E846" s="33"/>
      <c r="F846" s="33"/>
      <c r="G846" s="55"/>
      <c r="H846" s="33"/>
      <c r="I846" s="33"/>
      <c r="J846" s="55"/>
      <c r="K846" s="56"/>
      <c r="L846" s="56"/>
      <c r="M846" s="56"/>
      <c r="N846" s="56"/>
      <c r="O846" s="56"/>
      <c r="P846" s="56"/>
      <c r="Q846" s="56"/>
      <c r="R846" s="56"/>
      <c r="S846" s="56"/>
      <c r="T846" s="33"/>
    </row>
    <row r="847" spans="1:20" ht="15.75" customHeight="1" x14ac:dyDescent="0.3">
      <c r="A847" s="33"/>
      <c r="B847" s="33"/>
      <c r="C847" s="33"/>
      <c r="D847" s="54"/>
      <c r="E847" s="33"/>
      <c r="F847" s="33"/>
      <c r="G847" s="55"/>
      <c r="H847" s="33"/>
      <c r="I847" s="33"/>
      <c r="J847" s="55"/>
      <c r="K847" s="56"/>
      <c r="L847" s="56"/>
      <c r="M847" s="56"/>
      <c r="N847" s="56"/>
      <c r="O847" s="56"/>
      <c r="P847" s="56"/>
      <c r="Q847" s="56"/>
      <c r="R847" s="56"/>
      <c r="S847" s="56"/>
      <c r="T847" s="33"/>
    </row>
    <row r="848" spans="1:20" ht="15.75" customHeight="1" x14ac:dyDescent="0.3">
      <c r="A848" s="33"/>
      <c r="B848" s="33"/>
      <c r="C848" s="33"/>
      <c r="D848" s="54"/>
      <c r="E848" s="33"/>
      <c r="F848" s="33"/>
      <c r="G848" s="55"/>
      <c r="H848" s="33"/>
      <c r="I848" s="33"/>
      <c r="J848" s="55"/>
      <c r="K848" s="56"/>
      <c r="L848" s="56"/>
      <c r="M848" s="56"/>
      <c r="N848" s="56"/>
      <c r="O848" s="56"/>
      <c r="P848" s="56"/>
      <c r="Q848" s="56"/>
      <c r="R848" s="56"/>
      <c r="S848" s="56"/>
      <c r="T848" s="33"/>
    </row>
    <row r="849" spans="1:20" ht="15.75" customHeight="1" x14ac:dyDescent="0.3">
      <c r="A849" s="33"/>
      <c r="B849" s="33"/>
      <c r="C849" s="33"/>
      <c r="D849" s="54"/>
      <c r="E849" s="33"/>
      <c r="F849" s="33"/>
      <c r="G849" s="55"/>
      <c r="H849" s="33"/>
      <c r="I849" s="33"/>
      <c r="J849" s="55"/>
      <c r="K849" s="56"/>
      <c r="L849" s="56"/>
      <c r="M849" s="56"/>
      <c r="N849" s="56"/>
      <c r="O849" s="56"/>
      <c r="P849" s="56"/>
      <c r="Q849" s="56"/>
      <c r="R849" s="56"/>
      <c r="S849" s="56"/>
      <c r="T849" s="33"/>
    </row>
    <row r="850" spans="1:20" ht="15.75" customHeight="1" x14ac:dyDescent="0.3">
      <c r="A850" s="33"/>
      <c r="B850" s="33"/>
      <c r="C850" s="33"/>
      <c r="D850" s="54"/>
      <c r="E850" s="33"/>
      <c r="F850" s="33"/>
      <c r="G850" s="55"/>
      <c r="H850" s="33"/>
      <c r="I850" s="33"/>
      <c r="J850" s="55"/>
      <c r="K850" s="56"/>
      <c r="L850" s="56"/>
      <c r="M850" s="56"/>
      <c r="N850" s="56"/>
      <c r="O850" s="56"/>
      <c r="P850" s="56"/>
      <c r="Q850" s="56"/>
      <c r="R850" s="56"/>
      <c r="S850" s="56"/>
      <c r="T850" s="33"/>
    </row>
    <row r="851" spans="1:20" ht="15.75" customHeight="1" x14ac:dyDescent="0.3">
      <c r="A851" s="33"/>
      <c r="B851" s="33"/>
      <c r="C851" s="33"/>
      <c r="D851" s="54"/>
      <c r="E851" s="33"/>
      <c r="F851" s="33"/>
      <c r="G851" s="55"/>
      <c r="H851" s="33"/>
      <c r="I851" s="33"/>
      <c r="J851" s="55"/>
      <c r="K851" s="56"/>
      <c r="L851" s="56"/>
      <c r="M851" s="56"/>
      <c r="N851" s="56"/>
      <c r="O851" s="56"/>
      <c r="P851" s="56"/>
      <c r="Q851" s="56"/>
      <c r="R851" s="56"/>
      <c r="S851" s="56"/>
      <c r="T851" s="33"/>
    </row>
    <row r="852" spans="1:20" ht="15.75" customHeight="1" x14ac:dyDescent="0.3">
      <c r="A852" s="33"/>
      <c r="B852" s="33"/>
      <c r="C852" s="33"/>
      <c r="D852" s="54"/>
      <c r="E852" s="33"/>
      <c r="F852" s="33"/>
      <c r="G852" s="55"/>
      <c r="H852" s="33"/>
      <c r="I852" s="33"/>
      <c r="J852" s="55"/>
      <c r="K852" s="56"/>
      <c r="L852" s="56"/>
      <c r="M852" s="56"/>
      <c r="N852" s="56"/>
      <c r="O852" s="56"/>
      <c r="P852" s="56"/>
      <c r="Q852" s="56"/>
      <c r="R852" s="56"/>
      <c r="S852" s="56"/>
      <c r="T852" s="33"/>
    </row>
    <row r="853" spans="1:20" ht="15.75" customHeight="1" x14ac:dyDescent="0.3">
      <c r="A853" s="33"/>
      <c r="B853" s="33"/>
      <c r="C853" s="33"/>
      <c r="D853" s="54"/>
      <c r="E853" s="33"/>
      <c r="F853" s="33"/>
      <c r="G853" s="55"/>
      <c r="H853" s="33"/>
      <c r="I853" s="33"/>
      <c r="J853" s="55"/>
      <c r="K853" s="56"/>
      <c r="L853" s="56"/>
      <c r="M853" s="56"/>
      <c r="N853" s="56"/>
      <c r="O853" s="56"/>
      <c r="P853" s="56"/>
      <c r="Q853" s="56"/>
      <c r="R853" s="56"/>
      <c r="S853" s="56"/>
      <c r="T853" s="33"/>
    </row>
    <row r="854" spans="1:20" ht="15.75" customHeight="1" x14ac:dyDescent="0.3">
      <c r="A854" s="33"/>
      <c r="B854" s="33"/>
      <c r="C854" s="33"/>
      <c r="D854" s="54"/>
      <c r="E854" s="33"/>
      <c r="F854" s="33"/>
      <c r="G854" s="55"/>
      <c r="H854" s="33"/>
      <c r="I854" s="33"/>
      <c r="J854" s="55"/>
      <c r="K854" s="56"/>
      <c r="L854" s="56"/>
      <c r="M854" s="56"/>
      <c r="N854" s="56"/>
      <c r="O854" s="56"/>
      <c r="P854" s="56"/>
      <c r="Q854" s="56"/>
      <c r="R854" s="56"/>
      <c r="S854" s="56"/>
      <c r="T854" s="33"/>
    </row>
    <row r="855" spans="1:20" ht="15.75" customHeight="1" x14ac:dyDescent="0.3">
      <c r="A855" s="33"/>
      <c r="B855" s="33"/>
      <c r="C855" s="33"/>
      <c r="D855" s="54"/>
      <c r="E855" s="33"/>
      <c r="F855" s="33"/>
      <c r="G855" s="55"/>
      <c r="H855" s="33"/>
      <c r="I855" s="33"/>
      <c r="J855" s="55"/>
      <c r="K855" s="56"/>
      <c r="L855" s="56"/>
      <c r="M855" s="56"/>
      <c r="N855" s="56"/>
      <c r="O855" s="56"/>
      <c r="P855" s="56"/>
      <c r="Q855" s="56"/>
      <c r="R855" s="56"/>
      <c r="S855" s="56"/>
      <c r="T855" s="33"/>
    </row>
    <row r="856" spans="1:20" ht="15.75" customHeight="1" x14ac:dyDescent="0.3">
      <c r="A856" s="33"/>
      <c r="B856" s="33"/>
      <c r="C856" s="33"/>
      <c r="D856" s="54"/>
      <c r="E856" s="33"/>
      <c r="F856" s="33"/>
      <c r="G856" s="55"/>
      <c r="H856" s="33"/>
      <c r="I856" s="33"/>
      <c r="J856" s="55"/>
      <c r="K856" s="56"/>
      <c r="L856" s="56"/>
      <c r="M856" s="56"/>
      <c r="N856" s="56"/>
      <c r="O856" s="56"/>
      <c r="P856" s="56"/>
      <c r="Q856" s="56"/>
      <c r="R856" s="56"/>
      <c r="S856" s="56"/>
      <c r="T856" s="33"/>
    </row>
    <row r="857" spans="1:20" ht="15.75" customHeight="1" x14ac:dyDescent="0.3">
      <c r="A857" s="33"/>
      <c r="B857" s="33"/>
      <c r="C857" s="33"/>
      <c r="D857" s="54"/>
      <c r="E857" s="33"/>
      <c r="F857" s="33"/>
      <c r="G857" s="55"/>
      <c r="H857" s="33"/>
      <c r="I857" s="33"/>
      <c r="J857" s="55"/>
      <c r="K857" s="56"/>
      <c r="L857" s="56"/>
      <c r="M857" s="56"/>
      <c r="N857" s="56"/>
      <c r="O857" s="56"/>
      <c r="P857" s="56"/>
      <c r="Q857" s="56"/>
      <c r="R857" s="56"/>
      <c r="S857" s="56"/>
      <c r="T857" s="33"/>
    </row>
    <row r="858" spans="1:20" ht="15.75" customHeight="1" x14ac:dyDescent="0.3">
      <c r="A858" s="33"/>
      <c r="B858" s="33"/>
      <c r="C858" s="33"/>
      <c r="D858" s="54"/>
      <c r="E858" s="33"/>
      <c r="F858" s="33"/>
      <c r="G858" s="55"/>
      <c r="H858" s="33"/>
      <c r="I858" s="33"/>
      <c r="J858" s="55"/>
      <c r="K858" s="56"/>
      <c r="L858" s="56"/>
      <c r="M858" s="56"/>
      <c r="N858" s="56"/>
      <c r="O858" s="56"/>
      <c r="P858" s="56"/>
      <c r="Q858" s="56"/>
      <c r="R858" s="56"/>
      <c r="S858" s="56"/>
      <c r="T858" s="33"/>
    </row>
    <row r="859" spans="1:20" ht="15.75" customHeight="1" x14ac:dyDescent="0.3">
      <c r="A859" s="33"/>
      <c r="B859" s="33"/>
      <c r="C859" s="33"/>
      <c r="D859" s="54"/>
      <c r="E859" s="33"/>
      <c r="F859" s="33"/>
      <c r="G859" s="55"/>
      <c r="H859" s="33"/>
      <c r="I859" s="33"/>
      <c r="J859" s="55"/>
      <c r="K859" s="56"/>
      <c r="L859" s="56"/>
      <c r="M859" s="56"/>
      <c r="N859" s="56"/>
      <c r="O859" s="56"/>
      <c r="P859" s="56"/>
      <c r="Q859" s="56"/>
      <c r="R859" s="56"/>
      <c r="S859" s="56"/>
      <c r="T859" s="33"/>
    </row>
    <row r="860" spans="1:20" ht="15.75" customHeight="1" x14ac:dyDescent="0.3">
      <c r="A860" s="33"/>
      <c r="B860" s="33"/>
      <c r="C860" s="33"/>
      <c r="D860" s="54"/>
      <c r="E860" s="33"/>
      <c r="F860" s="33"/>
      <c r="G860" s="55"/>
      <c r="H860" s="33"/>
      <c r="I860" s="33"/>
      <c r="J860" s="55"/>
      <c r="K860" s="56"/>
      <c r="L860" s="56"/>
      <c r="M860" s="56"/>
      <c r="N860" s="56"/>
      <c r="O860" s="56"/>
      <c r="P860" s="56"/>
      <c r="Q860" s="56"/>
      <c r="R860" s="56"/>
      <c r="S860" s="56"/>
      <c r="T860" s="33"/>
    </row>
    <row r="861" spans="1:20" ht="15.75" customHeight="1" x14ac:dyDescent="0.3">
      <c r="A861" s="33"/>
      <c r="B861" s="33"/>
      <c r="C861" s="33"/>
      <c r="D861" s="54"/>
      <c r="E861" s="33"/>
      <c r="F861" s="33"/>
      <c r="G861" s="55"/>
      <c r="H861" s="33"/>
      <c r="I861" s="33"/>
      <c r="J861" s="55"/>
      <c r="K861" s="56"/>
      <c r="L861" s="56"/>
      <c r="M861" s="56"/>
      <c r="N861" s="56"/>
      <c r="O861" s="56"/>
      <c r="P861" s="56"/>
      <c r="Q861" s="56"/>
      <c r="R861" s="56"/>
      <c r="S861" s="56"/>
      <c r="T861" s="33"/>
    </row>
    <row r="862" spans="1:20" ht="15.75" customHeight="1" x14ac:dyDescent="0.3">
      <c r="A862" s="33"/>
      <c r="B862" s="33"/>
      <c r="C862" s="33"/>
      <c r="D862" s="54"/>
      <c r="E862" s="33"/>
      <c r="F862" s="33"/>
      <c r="G862" s="55"/>
      <c r="H862" s="33"/>
      <c r="I862" s="33"/>
      <c r="J862" s="55"/>
      <c r="K862" s="56"/>
      <c r="L862" s="56"/>
      <c r="M862" s="56"/>
      <c r="N862" s="56"/>
      <c r="O862" s="56"/>
      <c r="P862" s="56"/>
      <c r="Q862" s="56"/>
      <c r="R862" s="56"/>
      <c r="S862" s="56"/>
      <c r="T862" s="33"/>
    </row>
    <row r="863" spans="1:20" ht="15.75" customHeight="1" x14ac:dyDescent="0.3">
      <c r="A863" s="33"/>
      <c r="B863" s="33"/>
      <c r="C863" s="33"/>
      <c r="D863" s="54"/>
      <c r="E863" s="33"/>
      <c r="F863" s="33"/>
      <c r="G863" s="55"/>
      <c r="H863" s="33"/>
      <c r="I863" s="33"/>
      <c r="J863" s="55"/>
      <c r="K863" s="56"/>
      <c r="L863" s="56"/>
      <c r="M863" s="56"/>
      <c r="N863" s="56"/>
      <c r="O863" s="56"/>
      <c r="P863" s="56"/>
      <c r="Q863" s="56"/>
      <c r="R863" s="56"/>
      <c r="S863" s="56"/>
      <c r="T863" s="33"/>
    </row>
    <row r="864" spans="1:20" ht="15.75" customHeight="1" x14ac:dyDescent="0.3">
      <c r="A864" s="33"/>
      <c r="B864" s="33"/>
      <c r="C864" s="33"/>
      <c r="D864" s="54"/>
      <c r="E864" s="33"/>
      <c r="F864" s="33"/>
      <c r="G864" s="55"/>
      <c r="H864" s="33"/>
      <c r="I864" s="33"/>
      <c r="J864" s="55"/>
      <c r="K864" s="56"/>
      <c r="L864" s="56"/>
      <c r="M864" s="56"/>
      <c r="N864" s="56"/>
      <c r="O864" s="56"/>
      <c r="P864" s="56"/>
      <c r="Q864" s="56"/>
      <c r="R864" s="56"/>
      <c r="S864" s="56"/>
      <c r="T864" s="33"/>
    </row>
    <row r="865" spans="1:20" ht="15.75" customHeight="1" x14ac:dyDescent="0.3">
      <c r="A865" s="33"/>
      <c r="B865" s="33"/>
      <c r="C865" s="33"/>
      <c r="D865" s="54"/>
      <c r="E865" s="33"/>
      <c r="F865" s="33"/>
      <c r="G865" s="55"/>
      <c r="H865" s="33"/>
      <c r="I865" s="33"/>
      <c r="J865" s="55"/>
      <c r="K865" s="56"/>
      <c r="L865" s="56"/>
      <c r="M865" s="56"/>
      <c r="N865" s="56"/>
      <c r="O865" s="56"/>
      <c r="P865" s="56"/>
      <c r="Q865" s="56"/>
      <c r="R865" s="56"/>
      <c r="S865" s="56"/>
      <c r="T865" s="33"/>
    </row>
    <row r="866" spans="1:20" ht="15.75" customHeight="1" x14ac:dyDescent="0.3">
      <c r="A866" s="33"/>
      <c r="B866" s="33"/>
      <c r="C866" s="33"/>
      <c r="D866" s="54"/>
      <c r="E866" s="33"/>
      <c r="F866" s="33"/>
      <c r="G866" s="55"/>
      <c r="H866" s="33"/>
      <c r="I866" s="33"/>
      <c r="J866" s="55"/>
      <c r="K866" s="56"/>
      <c r="L866" s="56"/>
      <c r="M866" s="56"/>
      <c r="N866" s="56"/>
      <c r="O866" s="56"/>
      <c r="P866" s="56"/>
      <c r="Q866" s="56"/>
      <c r="R866" s="56"/>
      <c r="S866" s="56"/>
      <c r="T866" s="33"/>
    </row>
    <row r="867" spans="1:20" ht="15.75" customHeight="1" x14ac:dyDescent="0.3">
      <c r="A867" s="33"/>
      <c r="B867" s="33"/>
      <c r="C867" s="33"/>
      <c r="D867" s="54"/>
      <c r="E867" s="33"/>
      <c r="F867" s="33"/>
      <c r="G867" s="55"/>
      <c r="H867" s="33"/>
      <c r="I867" s="33"/>
      <c r="J867" s="55"/>
      <c r="K867" s="56"/>
      <c r="L867" s="56"/>
      <c r="M867" s="56"/>
      <c r="N867" s="56"/>
      <c r="O867" s="56"/>
      <c r="P867" s="56"/>
      <c r="Q867" s="56"/>
      <c r="R867" s="56"/>
      <c r="S867" s="56"/>
      <c r="T867" s="33"/>
    </row>
    <row r="868" spans="1:20" ht="15.75" customHeight="1" x14ac:dyDescent="0.3">
      <c r="A868" s="33"/>
      <c r="B868" s="33"/>
      <c r="C868" s="33"/>
      <c r="D868" s="54"/>
      <c r="E868" s="33"/>
      <c r="F868" s="33"/>
      <c r="G868" s="55"/>
      <c r="H868" s="33"/>
      <c r="I868" s="33"/>
      <c r="J868" s="55"/>
      <c r="K868" s="56"/>
      <c r="L868" s="56"/>
      <c r="M868" s="56"/>
      <c r="N868" s="56"/>
      <c r="O868" s="56"/>
      <c r="P868" s="56"/>
      <c r="Q868" s="56"/>
      <c r="R868" s="56"/>
      <c r="S868" s="56"/>
      <c r="T868" s="33"/>
    </row>
    <row r="869" spans="1:20" ht="15.75" customHeight="1" x14ac:dyDescent="0.3">
      <c r="A869" s="33"/>
      <c r="B869" s="33"/>
      <c r="C869" s="33"/>
      <c r="D869" s="54"/>
      <c r="E869" s="33"/>
      <c r="F869" s="33"/>
      <c r="G869" s="55"/>
      <c r="H869" s="33"/>
      <c r="I869" s="33"/>
      <c r="J869" s="55"/>
      <c r="K869" s="56"/>
      <c r="L869" s="56"/>
      <c r="M869" s="56"/>
      <c r="N869" s="56"/>
      <c r="O869" s="56"/>
      <c r="P869" s="56"/>
      <c r="Q869" s="56"/>
      <c r="R869" s="56"/>
      <c r="S869" s="56"/>
      <c r="T869" s="33"/>
    </row>
    <row r="870" spans="1:20" ht="15.75" customHeight="1" x14ac:dyDescent="0.3">
      <c r="A870" s="33"/>
      <c r="B870" s="33"/>
      <c r="C870" s="33"/>
      <c r="D870" s="54"/>
      <c r="E870" s="33"/>
      <c r="F870" s="33"/>
      <c r="G870" s="55"/>
      <c r="H870" s="33"/>
      <c r="I870" s="33"/>
      <c r="J870" s="55"/>
      <c r="K870" s="56"/>
      <c r="L870" s="56"/>
      <c r="M870" s="56"/>
      <c r="N870" s="56"/>
      <c r="O870" s="56"/>
      <c r="P870" s="56"/>
      <c r="Q870" s="56"/>
      <c r="R870" s="56"/>
      <c r="S870" s="56"/>
      <c r="T870" s="33"/>
    </row>
    <row r="871" spans="1:20" ht="15.75" customHeight="1" x14ac:dyDescent="0.3">
      <c r="A871" s="33"/>
      <c r="B871" s="33"/>
      <c r="C871" s="33"/>
      <c r="D871" s="54"/>
      <c r="E871" s="33"/>
      <c r="F871" s="33"/>
      <c r="G871" s="55"/>
      <c r="H871" s="33"/>
      <c r="I871" s="33"/>
      <c r="J871" s="55"/>
      <c r="K871" s="56"/>
      <c r="L871" s="56"/>
      <c r="M871" s="56"/>
      <c r="N871" s="56"/>
      <c r="O871" s="56"/>
      <c r="P871" s="56"/>
      <c r="Q871" s="56"/>
      <c r="R871" s="56"/>
      <c r="S871" s="56"/>
      <c r="T871" s="33"/>
    </row>
    <row r="872" spans="1:20" ht="15.75" customHeight="1" x14ac:dyDescent="0.3">
      <c r="A872" s="33"/>
      <c r="B872" s="33"/>
      <c r="C872" s="33"/>
      <c r="D872" s="54"/>
      <c r="E872" s="33"/>
      <c r="F872" s="33"/>
      <c r="G872" s="55"/>
      <c r="H872" s="33"/>
      <c r="I872" s="33"/>
      <c r="J872" s="55"/>
      <c r="K872" s="56"/>
      <c r="L872" s="56"/>
      <c r="M872" s="56"/>
      <c r="N872" s="56"/>
      <c r="O872" s="56"/>
      <c r="P872" s="56"/>
      <c r="Q872" s="56"/>
      <c r="R872" s="56"/>
      <c r="S872" s="56"/>
      <c r="T872" s="33"/>
    </row>
    <row r="873" spans="1:20" ht="15.75" customHeight="1" x14ac:dyDescent="0.3">
      <c r="A873" s="33"/>
      <c r="B873" s="33"/>
      <c r="C873" s="33"/>
      <c r="D873" s="54"/>
      <c r="E873" s="33"/>
      <c r="F873" s="33"/>
      <c r="G873" s="55"/>
      <c r="H873" s="33"/>
      <c r="I873" s="33"/>
      <c r="J873" s="55"/>
      <c r="K873" s="56"/>
      <c r="L873" s="56"/>
      <c r="M873" s="56"/>
      <c r="N873" s="56"/>
      <c r="O873" s="56"/>
      <c r="P873" s="56"/>
      <c r="Q873" s="56"/>
      <c r="R873" s="56"/>
      <c r="S873" s="56"/>
      <c r="T873" s="33"/>
    </row>
    <row r="874" spans="1:20" ht="15.75" customHeight="1" x14ac:dyDescent="0.3">
      <c r="A874" s="33"/>
      <c r="B874" s="33"/>
      <c r="C874" s="33"/>
      <c r="D874" s="54"/>
      <c r="E874" s="33"/>
      <c r="F874" s="33"/>
      <c r="G874" s="55"/>
      <c r="H874" s="33"/>
      <c r="I874" s="33"/>
      <c r="J874" s="55"/>
      <c r="K874" s="56"/>
      <c r="L874" s="56"/>
      <c r="M874" s="56"/>
      <c r="N874" s="56"/>
      <c r="O874" s="56"/>
      <c r="P874" s="56"/>
      <c r="Q874" s="56"/>
      <c r="R874" s="56"/>
      <c r="S874" s="56"/>
      <c r="T874" s="33"/>
    </row>
    <row r="875" spans="1:20" ht="15.75" customHeight="1" x14ac:dyDescent="0.3">
      <c r="A875" s="33"/>
      <c r="B875" s="33"/>
      <c r="C875" s="33"/>
      <c r="D875" s="54"/>
      <c r="E875" s="33"/>
      <c r="F875" s="33"/>
      <c r="G875" s="55"/>
      <c r="H875" s="33"/>
      <c r="I875" s="33"/>
      <c r="J875" s="55"/>
      <c r="K875" s="56"/>
      <c r="L875" s="56"/>
      <c r="M875" s="56"/>
      <c r="N875" s="56"/>
      <c r="O875" s="56"/>
      <c r="P875" s="56"/>
      <c r="Q875" s="56"/>
      <c r="R875" s="56"/>
      <c r="S875" s="56"/>
      <c r="T875" s="33"/>
    </row>
    <row r="876" spans="1:20" ht="15.75" customHeight="1" x14ac:dyDescent="0.3">
      <c r="A876" s="33"/>
      <c r="B876" s="33"/>
      <c r="C876" s="33"/>
      <c r="D876" s="54"/>
      <c r="E876" s="33"/>
      <c r="F876" s="33"/>
      <c r="G876" s="55"/>
      <c r="H876" s="33"/>
      <c r="I876" s="33"/>
      <c r="J876" s="55"/>
      <c r="K876" s="56"/>
      <c r="L876" s="56"/>
      <c r="M876" s="56"/>
      <c r="N876" s="56"/>
      <c r="O876" s="56"/>
      <c r="P876" s="56"/>
      <c r="Q876" s="56"/>
      <c r="R876" s="56"/>
      <c r="S876" s="56"/>
      <c r="T876" s="33"/>
    </row>
    <row r="877" spans="1:20" ht="15.75" customHeight="1" x14ac:dyDescent="0.3">
      <c r="A877" s="33"/>
      <c r="B877" s="33"/>
      <c r="C877" s="33"/>
      <c r="D877" s="54"/>
      <c r="E877" s="33"/>
      <c r="F877" s="33"/>
      <c r="G877" s="55"/>
      <c r="H877" s="33"/>
      <c r="I877" s="33"/>
      <c r="J877" s="55"/>
      <c r="K877" s="56"/>
      <c r="L877" s="56"/>
      <c r="M877" s="56"/>
      <c r="N877" s="56"/>
      <c r="O877" s="56"/>
      <c r="P877" s="56"/>
      <c r="Q877" s="56"/>
      <c r="R877" s="56"/>
      <c r="S877" s="56"/>
      <c r="T877" s="33"/>
    </row>
    <row r="878" spans="1:20" ht="15.75" customHeight="1" x14ac:dyDescent="0.3">
      <c r="A878" s="33"/>
      <c r="B878" s="33"/>
      <c r="C878" s="33"/>
      <c r="D878" s="54"/>
      <c r="E878" s="33"/>
      <c r="F878" s="33"/>
      <c r="G878" s="55"/>
      <c r="H878" s="33"/>
      <c r="I878" s="33"/>
      <c r="J878" s="55"/>
      <c r="K878" s="56"/>
      <c r="L878" s="56"/>
      <c r="M878" s="56"/>
      <c r="N878" s="56"/>
      <c r="O878" s="56"/>
      <c r="P878" s="56"/>
      <c r="Q878" s="56"/>
      <c r="R878" s="56"/>
      <c r="S878" s="56"/>
      <c r="T878" s="33"/>
    </row>
    <row r="879" spans="1:20" ht="15.75" customHeight="1" x14ac:dyDescent="0.3">
      <c r="A879" s="33"/>
      <c r="B879" s="33"/>
      <c r="C879" s="33"/>
      <c r="D879" s="54"/>
      <c r="E879" s="33"/>
      <c r="F879" s="33"/>
      <c r="G879" s="55"/>
      <c r="H879" s="33"/>
      <c r="I879" s="33"/>
      <c r="J879" s="55"/>
      <c r="K879" s="56"/>
      <c r="L879" s="56"/>
      <c r="M879" s="56"/>
      <c r="N879" s="56"/>
      <c r="O879" s="56"/>
      <c r="P879" s="56"/>
      <c r="Q879" s="56"/>
      <c r="R879" s="56"/>
      <c r="S879" s="56"/>
      <c r="T879" s="33"/>
    </row>
    <row r="880" spans="1:20" ht="15.75" customHeight="1" x14ac:dyDescent="0.3">
      <c r="A880" s="33"/>
      <c r="B880" s="33"/>
      <c r="C880" s="33"/>
      <c r="D880" s="54"/>
      <c r="E880" s="33"/>
      <c r="F880" s="33"/>
      <c r="G880" s="55"/>
      <c r="H880" s="33"/>
      <c r="I880" s="33"/>
      <c r="J880" s="55"/>
      <c r="K880" s="56"/>
      <c r="L880" s="56"/>
      <c r="M880" s="56"/>
      <c r="N880" s="56"/>
      <c r="O880" s="56"/>
      <c r="P880" s="56"/>
      <c r="Q880" s="56"/>
      <c r="R880" s="56"/>
      <c r="S880" s="56"/>
      <c r="T880" s="33"/>
    </row>
    <row r="881" spans="1:20" ht="15.75" customHeight="1" x14ac:dyDescent="0.3">
      <c r="A881" s="33"/>
      <c r="B881" s="33"/>
      <c r="C881" s="33"/>
      <c r="D881" s="54"/>
      <c r="E881" s="33"/>
      <c r="F881" s="33"/>
      <c r="G881" s="55"/>
      <c r="H881" s="33"/>
      <c r="I881" s="33"/>
      <c r="J881" s="55"/>
      <c r="K881" s="56"/>
      <c r="L881" s="56"/>
      <c r="M881" s="56"/>
      <c r="N881" s="56"/>
      <c r="O881" s="56"/>
      <c r="P881" s="56"/>
      <c r="Q881" s="56"/>
      <c r="R881" s="56"/>
      <c r="S881" s="56"/>
      <c r="T881" s="33"/>
    </row>
    <row r="882" spans="1:20" ht="15.75" customHeight="1" x14ac:dyDescent="0.3">
      <c r="A882" s="33"/>
      <c r="B882" s="33"/>
      <c r="C882" s="33"/>
      <c r="D882" s="54"/>
      <c r="E882" s="33"/>
      <c r="F882" s="33"/>
      <c r="G882" s="55"/>
      <c r="H882" s="33"/>
      <c r="I882" s="33"/>
      <c r="J882" s="55"/>
      <c r="K882" s="56"/>
      <c r="L882" s="56"/>
      <c r="M882" s="56"/>
      <c r="N882" s="56"/>
      <c r="O882" s="56"/>
      <c r="P882" s="56"/>
      <c r="Q882" s="56"/>
      <c r="R882" s="56"/>
      <c r="S882" s="56"/>
      <c r="T882" s="33"/>
    </row>
    <row r="883" spans="1:20" ht="15.75" customHeight="1" x14ac:dyDescent="0.3">
      <c r="A883" s="33"/>
      <c r="B883" s="33"/>
      <c r="C883" s="33"/>
      <c r="D883" s="54"/>
      <c r="E883" s="33"/>
      <c r="F883" s="33"/>
      <c r="G883" s="55"/>
      <c r="H883" s="33"/>
      <c r="I883" s="33"/>
      <c r="J883" s="55"/>
      <c r="K883" s="56"/>
      <c r="L883" s="56"/>
      <c r="M883" s="56"/>
      <c r="N883" s="56"/>
      <c r="O883" s="56"/>
      <c r="P883" s="56"/>
      <c r="Q883" s="56"/>
      <c r="R883" s="56"/>
      <c r="S883" s="56"/>
      <c r="T883" s="33"/>
    </row>
    <row r="884" spans="1:20" ht="15.75" customHeight="1" x14ac:dyDescent="0.3">
      <c r="A884" s="33"/>
      <c r="B884" s="33"/>
      <c r="C884" s="33"/>
      <c r="D884" s="54"/>
      <c r="E884" s="33"/>
      <c r="F884" s="33"/>
      <c r="G884" s="55"/>
      <c r="H884" s="33"/>
      <c r="I884" s="33"/>
      <c r="J884" s="55"/>
      <c r="K884" s="56"/>
      <c r="L884" s="56"/>
      <c r="M884" s="56"/>
      <c r="N884" s="56"/>
      <c r="O884" s="56"/>
      <c r="P884" s="56"/>
      <c r="Q884" s="56"/>
      <c r="R884" s="56"/>
      <c r="S884" s="56"/>
      <c r="T884" s="33"/>
    </row>
    <row r="885" spans="1:20" ht="15.75" customHeight="1" x14ac:dyDescent="0.3">
      <c r="A885" s="33"/>
      <c r="B885" s="33"/>
      <c r="C885" s="33"/>
      <c r="D885" s="54"/>
      <c r="E885" s="33"/>
      <c r="F885" s="33"/>
      <c r="G885" s="55"/>
      <c r="H885" s="33"/>
      <c r="I885" s="33"/>
      <c r="J885" s="55"/>
      <c r="K885" s="56"/>
      <c r="L885" s="56"/>
      <c r="M885" s="56"/>
      <c r="N885" s="56"/>
      <c r="O885" s="56"/>
      <c r="P885" s="56"/>
      <c r="Q885" s="56"/>
      <c r="R885" s="56"/>
      <c r="S885" s="56"/>
      <c r="T885" s="33"/>
    </row>
    <row r="886" spans="1:20" ht="15.75" customHeight="1" x14ac:dyDescent="0.3">
      <c r="A886" s="33"/>
      <c r="B886" s="33"/>
      <c r="C886" s="33"/>
      <c r="D886" s="54"/>
      <c r="E886" s="33"/>
      <c r="F886" s="33"/>
      <c r="G886" s="55"/>
      <c r="H886" s="33"/>
      <c r="I886" s="33"/>
      <c r="J886" s="55"/>
      <c r="K886" s="56"/>
      <c r="L886" s="56"/>
      <c r="M886" s="56"/>
      <c r="N886" s="56"/>
      <c r="O886" s="56"/>
      <c r="P886" s="56"/>
      <c r="Q886" s="56"/>
      <c r="R886" s="56"/>
      <c r="S886" s="56"/>
      <c r="T886" s="33"/>
    </row>
    <row r="887" spans="1:20" ht="15.75" customHeight="1" x14ac:dyDescent="0.3">
      <c r="A887" s="33"/>
      <c r="B887" s="33"/>
      <c r="C887" s="33"/>
      <c r="D887" s="54"/>
      <c r="E887" s="33"/>
      <c r="F887" s="33"/>
      <c r="G887" s="55"/>
      <c r="H887" s="33"/>
      <c r="I887" s="33"/>
      <c r="J887" s="55"/>
      <c r="K887" s="56"/>
      <c r="L887" s="56"/>
      <c r="M887" s="56"/>
      <c r="N887" s="56"/>
      <c r="O887" s="56"/>
      <c r="P887" s="56"/>
      <c r="Q887" s="56"/>
      <c r="R887" s="56"/>
      <c r="S887" s="56"/>
      <c r="T887" s="33"/>
    </row>
    <row r="888" spans="1:20" ht="15.75" customHeight="1" x14ac:dyDescent="0.3">
      <c r="A888" s="33"/>
      <c r="B888" s="33"/>
      <c r="C888" s="33"/>
      <c r="D888" s="54"/>
      <c r="E888" s="33"/>
      <c r="F888" s="33"/>
      <c r="G888" s="55"/>
      <c r="H888" s="33"/>
      <c r="I888" s="33"/>
      <c r="J888" s="55"/>
      <c r="K888" s="56"/>
      <c r="L888" s="56"/>
      <c r="M888" s="56"/>
      <c r="N888" s="56"/>
      <c r="O888" s="56"/>
      <c r="P888" s="56"/>
      <c r="Q888" s="56"/>
      <c r="R888" s="56"/>
      <c r="S888" s="56"/>
      <c r="T888" s="33"/>
    </row>
    <row r="889" spans="1:20" ht="15.75" customHeight="1" x14ac:dyDescent="0.3">
      <c r="A889" s="33"/>
      <c r="B889" s="33"/>
      <c r="C889" s="33"/>
      <c r="D889" s="54"/>
      <c r="E889" s="33"/>
      <c r="F889" s="33"/>
      <c r="G889" s="55"/>
      <c r="H889" s="33"/>
      <c r="I889" s="33"/>
      <c r="J889" s="55"/>
      <c r="K889" s="56"/>
      <c r="L889" s="56"/>
      <c r="M889" s="56"/>
      <c r="N889" s="56"/>
      <c r="O889" s="56"/>
      <c r="P889" s="56"/>
      <c r="Q889" s="56"/>
      <c r="R889" s="56"/>
      <c r="S889" s="56"/>
      <c r="T889" s="33"/>
    </row>
    <row r="890" spans="1:20" ht="15.75" customHeight="1" x14ac:dyDescent="0.3">
      <c r="A890" s="33"/>
      <c r="B890" s="33"/>
      <c r="C890" s="33"/>
      <c r="D890" s="54"/>
      <c r="E890" s="33"/>
      <c r="F890" s="33"/>
      <c r="G890" s="55"/>
      <c r="H890" s="33"/>
      <c r="I890" s="33"/>
      <c r="J890" s="55"/>
      <c r="K890" s="56"/>
      <c r="L890" s="56"/>
      <c r="M890" s="56"/>
      <c r="N890" s="56"/>
      <c r="O890" s="56"/>
      <c r="P890" s="56"/>
      <c r="Q890" s="56"/>
      <c r="R890" s="56"/>
      <c r="S890" s="56"/>
      <c r="T890" s="33"/>
    </row>
    <row r="891" spans="1:20" ht="15.75" customHeight="1" x14ac:dyDescent="0.3">
      <c r="A891" s="33"/>
      <c r="B891" s="33"/>
      <c r="C891" s="33"/>
      <c r="D891" s="54"/>
      <c r="E891" s="33"/>
      <c r="F891" s="33"/>
      <c r="G891" s="55"/>
      <c r="H891" s="33"/>
      <c r="I891" s="33"/>
      <c r="J891" s="55"/>
      <c r="K891" s="56"/>
      <c r="L891" s="56"/>
      <c r="M891" s="56"/>
      <c r="N891" s="56"/>
      <c r="O891" s="56"/>
      <c r="P891" s="56"/>
      <c r="Q891" s="56"/>
      <c r="R891" s="56"/>
      <c r="S891" s="56"/>
      <c r="T891" s="33"/>
    </row>
    <row r="892" spans="1:20" ht="15.75" customHeight="1" x14ac:dyDescent="0.3">
      <c r="A892" s="33"/>
      <c r="B892" s="33"/>
      <c r="C892" s="33"/>
      <c r="D892" s="54"/>
      <c r="E892" s="33"/>
      <c r="F892" s="33"/>
      <c r="G892" s="55"/>
      <c r="H892" s="33"/>
      <c r="I892" s="33"/>
      <c r="J892" s="55"/>
      <c r="K892" s="56"/>
      <c r="L892" s="56"/>
      <c r="M892" s="56"/>
      <c r="N892" s="56"/>
      <c r="O892" s="56"/>
      <c r="P892" s="56"/>
      <c r="Q892" s="56"/>
      <c r="R892" s="56"/>
      <c r="S892" s="56"/>
      <c r="T892" s="33"/>
    </row>
    <row r="893" spans="1:20" ht="15.75" customHeight="1" x14ac:dyDescent="0.3">
      <c r="A893" s="33"/>
      <c r="B893" s="33"/>
      <c r="C893" s="33"/>
      <c r="D893" s="54"/>
      <c r="E893" s="33"/>
      <c r="F893" s="33"/>
      <c r="G893" s="55"/>
      <c r="H893" s="33"/>
      <c r="I893" s="33"/>
      <c r="J893" s="55"/>
      <c r="K893" s="56"/>
      <c r="L893" s="56"/>
      <c r="M893" s="56"/>
      <c r="N893" s="56"/>
      <c r="O893" s="56"/>
      <c r="P893" s="56"/>
      <c r="Q893" s="56"/>
      <c r="R893" s="56"/>
      <c r="S893" s="56"/>
      <c r="T893" s="33"/>
    </row>
    <row r="894" spans="1:20" ht="15.75" customHeight="1" x14ac:dyDescent="0.3">
      <c r="A894" s="33"/>
      <c r="B894" s="33"/>
      <c r="C894" s="33"/>
      <c r="D894" s="54"/>
      <c r="E894" s="33"/>
      <c r="F894" s="33"/>
      <c r="G894" s="55"/>
      <c r="H894" s="33"/>
      <c r="I894" s="33"/>
      <c r="J894" s="55"/>
      <c r="K894" s="56"/>
      <c r="L894" s="56"/>
      <c r="M894" s="56"/>
      <c r="N894" s="56"/>
      <c r="O894" s="56"/>
      <c r="P894" s="56"/>
      <c r="Q894" s="56"/>
      <c r="R894" s="56"/>
      <c r="S894" s="56"/>
      <c r="T894" s="33"/>
    </row>
    <row r="895" spans="1:20" ht="15.75" customHeight="1" x14ac:dyDescent="0.3">
      <c r="A895" s="33"/>
      <c r="B895" s="33"/>
      <c r="C895" s="33"/>
      <c r="D895" s="54"/>
      <c r="E895" s="33"/>
      <c r="F895" s="33"/>
      <c r="G895" s="55"/>
      <c r="H895" s="33"/>
      <c r="I895" s="33"/>
      <c r="J895" s="55"/>
      <c r="K895" s="56"/>
      <c r="L895" s="56"/>
      <c r="M895" s="56"/>
      <c r="N895" s="56"/>
      <c r="O895" s="56"/>
      <c r="P895" s="56"/>
      <c r="Q895" s="56"/>
      <c r="R895" s="56"/>
      <c r="S895" s="56"/>
      <c r="T895" s="33"/>
    </row>
    <row r="896" spans="1:20" ht="15.75" customHeight="1" x14ac:dyDescent="0.3">
      <c r="A896" s="33"/>
      <c r="B896" s="33"/>
      <c r="C896" s="33"/>
      <c r="D896" s="54"/>
      <c r="E896" s="33"/>
      <c r="F896" s="33"/>
      <c r="G896" s="55"/>
      <c r="H896" s="33"/>
      <c r="I896" s="33"/>
      <c r="J896" s="55"/>
      <c r="K896" s="56"/>
      <c r="L896" s="56"/>
      <c r="M896" s="56"/>
      <c r="N896" s="56"/>
      <c r="O896" s="56"/>
      <c r="P896" s="56"/>
      <c r="Q896" s="56"/>
      <c r="R896" s="56"/>
      <c r="S896" s="56"/>
      <c r="T896" s="33"/>
    </row>
    <row r="897" spans="1:20" ht="15.75" customHeight="1" x14ac:dyDescent="0.3">
      <c r="A897" s="33"/>
      <c r="B897" s="33"/>
      <c r="C897" s="33"/>
      <c r="D897" s="54"/>
      <c r="E897" s="33"/>
      <c r="F897" s="33"/>
      <c r="G897" s="55"/>
      <c r="H897" s="33"/>
      <c r="I897" s="33"/>
      <c r="J897" s="55"/>
      <c r="K897" s="56"/>
      <c r="L897" s="56"/>
      <c r="M897" s="56"/>
      <c r="N897" s="56"/>
      <c r="O897" s="56"/>
      <c r="P897" s="56"/>
      <c r="Q897" s="56"/>
      <c r="R897" s="56"/>
      <c r="S897" s="56"/>
      <c r="T897" s="33"/>
    </row>
    <row r="898" spans="1:20" ht="15.75" customHeight="1" x14ac:dyDescent="0.3">
      <c r="A898" s="33"/>
      <c r="B898" s="33"/>
      <c r="C898" s="33"/>
      <c r="D898" s="54"/>
      <c r="E898" s="33"/>
      <c r="F898" s="33"/>
      <c r="G898" s="55"/>
      <c r="H898" s="33"/>
      <c r="I898" s="33"/>
      <c r="J898" s="55"/>
      <c r="K898" s="56"/>
      <c r="L898" s="56"/>
      <c r="M898" s="56"/>
      <c r="N898" s="56"/>
      <c r="O898" s="56"/>
      <c r="P898" s="56"/>
      <c r="Q898" s="56"/>
      <c r="R898" s="56"/>
      <c r="S898" s="56"/>
      <c r="T898" s="33"/>
    </row>
    <row r="899" spans="1:20" ht="15.75" customHeight="1" x14ac:dyDescent="0.3">
      <c r="A899" s="33"/>
      <c r="B899" s="33"/>
      <c r="C899" s="33"/>
      <c r="D899" s="54"/>
      <c r="E899" s="33"/>
      <c r="F899" s="33"/>
      <c r="G899" s="55"/>
      <c r="H899" s="33"/>
      <c r="I899" s="33"/>
      <c r="J899" s="55"/>
      <c r="K899" s="56"/>
      <c r="L899" s="56"/>
      <c r="M899" s="56"/>
      <c r="N899" s="56"/>
      <c r="O899" s="56"/>
      <c r="P899" s="56"/>
      <c r="Q899" s="56"/>
      <c r="R899" s="56"/>
      <c r="S899" s="56"/>
      <c r="T899" s="33"/>
    </row>
    <row r="900" spans="1:20" ht="15.75" customHeight="1" x14ac:dyDescent="0.3">
      <c r="A900" s="33"/>
      <c r="B900" s="33"/>
      <c r="C900" s="33"/>
      <c r="D900" s="54"/>
      <c r="E900" s="33"/>
      <c r="F900" s="33"/>
      <c r="G900" s="55"/>
      <c r="H900" s="33"/>
      <c r="I900" s="33"/>
      <c r="J900" s="55"/>
      <c r="K900" s="56"/>
      <c r="L900" s="56"/>
      <c r="M900" s="56"/>
      <c r="N900" s="56"/>
      <c r="O900" s="56"/>
      <c r="P900" s="56"/>
      <c r="Q900" s="56"/>
      <c r="R900" s="56"/>
      <c r="S900" s="56"/>
      <c r="T900" s="33"/>
    </row>
    <row r="901" spans="1:20" ht="15.75" customHeight="1" x14ac:dyDescent="0.3">
      <c r="A901" s="33"/>
      <c r="B901" s="33"/>
      <c r="C901" s="33"/>
      <c r="D901" s="54"/>
      <c r="E901" s="33"/>
      <c r="F901" s="33"/>
      <c r="G901" s="55"/>
      <c r="H901" s="33"/>
      <c r="I901" s="33"/>
      <c r="J901" s="55"/>
      <c r="K901" s="56"/>
      <c r="L901" s="56"/>
      <c r="M901" s="56"/>
      <c r="N901" s="56"/>
      <c r="O901" s="56"/>
      <c r="P901" s="56"/>
      <c r="Q901" s="56"/>
      <c r="R901" s="56"/>
      <c r="S901" s="56"/>
      <c r="T901" s="33"/>
    </row>
    <row r="902" spans="1:20" ht="15.75" customHeight="1" x14ac:dyDescent="0.3">
      <c r="A902" s="33"/>
      <c r="B902" s="33"/>
      <c r="C902" s="33"/>
      <c r="D902" s="54"/>
      <c r="E902" s="33"/>
      <c r="F902" s="33"/>
      <c r="G902" s="55"/>
      <c r="H902" s="33"/>
      <c r="I902" s="33"/>
      <c r="J902" s="55"/>
      <c r="K902" s="56"/>
      <c r="L902" s="56"/>
      <c r="M902" s="56"/>
      <c r="N902" s="56"/>
      <c r="O902" s="56"/>
      <c r="P902" s="56"/>
      <c r="Q902" s="56"/>
      <c r="R902" s="56"/>
      <c r="S902" s="56"/>
      <c r="T902" s="33"/>
    </row>
    <row r="903" spans="1:20" ht="15.75" customHeight="1" x14ac:dyDescent="0.3">
      <c r="A903" s="33"/>
      <c r="B903" s="33"/>
      <c r="C903" s="33"/>
      <c r="D903" s="54"/>
      <c r="E903" s="33"/>
      <c r="F903" s="33"/>
      <c r="G903" s="55"/>
      <c r="H903" s="33"/>
      <c r="I903" s="33"/>
      <c r="J903" s="55"/>
      <c r="K903" s="56"/>
      <c r="L903" s="56"/>
      <c r="M903" s="56"/>
      <c r="N903" s="56"/>
      <c r="O903" s="56"/>
      <c r="P903" s="56"/>
      <c r="Q903" s="56"/>
      <c r="R903" s="56"/>
      <c r="S903" s="56"/>
      <c r="T903" s="33"/>
    </row>
    <row r="904" spans="1:20" ht="15.75" customHeight="1" x14ac:dyDescent="0.3">
      <c r="A904" s="33"/>
      <c r="B904" s="33"/>
      <c r="C904" s="33"/>
      <c r="D904" s="54"/>
      <c r="E904" s="33"/>
      <c r="F904" s="33"/>
      <c r="G904" s="55"/>
      <c r="H904" s="33"/>
      <c r="I904" s="33"/>
      <c r="J904" s="55"/>
      <c r="K904" s="56"/>
      <c r="L904" s="56"/>
      <c r="M904" s="56"/>
      <c r="N904" s="56"/>
      <c r="O904" s="56"/>
      <c r="P904" s="56"/>
      <c r="Q904" s="56"/>
      <c r="R904" s="56"/>
      <c r="S904" s="56"/>
      <c r="T904" s="33"/>
    </row>
    <row r="905" spans="1:20" ht="15.75" customHeight="1" x14ac:dyDescent="0.3">
      <c r="A905" s="33"/>
      <c r="B905" s="33"/>
      <c r="C905" s="33"/>
      <c r="D905" s="54"/>
      <c r="E905" s="33"/>
      <c r="F905" s="33"/>
      <c r="G905" s="55"/>
      <c r="H905" s="33"/>
      <c r="I905" s="33"/>
      <c r="J905" s="55"/>
      <c r="K905" s="56"/>
      <c r="L905" s="56"/>
      <c r="M905" s="56"/>
      <c r="N905" s="56"/>
      <c r="O905" s="56"/>
      <c r="P905" s="56"/>
      <c r="Q905" s="56"/>
      <c r="R905" s="56"/>
      <c r="S905" s="56"/>
      <c r="T905" s="33"/>
    </row>
    <row r="906" spans="1:20" ht="15.75" customHeight="1" x14ac:dyDescent="0.3">
      <c r="A906" s="33"/>
      <c r="B906" s="33"/>
      <c r="C906" s="33"/>
      <c r="D906" s="54"/>
      <c r="E906" s="33"/>
      <c r="F906" s="33"/>
      <c r="G906" s="55"/>
      <c r="H906" s="33"/>
      <c r="I906" s="33"/>
      <c r="J906" s="55"/>
      <c r="K906" s="56"/>
      <c r="L906" s="56"/>
      <c r="M906" s="56"/>
      <c r="N906" s="56"/>
      <c r="O906" s="56"/>
      <c r="P906" s="56"/>
      <c r="Q906" s="56"/>
      <c r="R906" s="56"/>
      <c r="S906" s="56"/>
      <c r="T906" s="33"/>
    </row>
    <row r="907" spans="1:20" ht="15.75" customHeight="1" x14ac:dyDescent="0.3">
      <c r="A907" s="33"/>
      <c r="B907" s="33"/>
      <c r="C907" s="33"/>
      <c r="D907" s="54"/>
      <c r="E907" s="33"/>
      <c r="F907" s="33"/>
      <c r="G907" s="55"/>
      <c r="H907" s="33"/>
      <c r="I907" s="33"/>
      <c r="J907" s="55"/>
      <c r="K907" s="56"/>
      <c r="L907" s="56"/>
      <c r="M907" s="56"/>
      <c r="N907" s="56"/>
      <c r="O907" s="56"/>
      <c r="P907" s="56"/>
      <c r="Q907" s="56"/>
      <c r="R907" s="56"/>
      <c r="S907" s="56"/>
      <c r="T907" s="33"/>
    </row>
    <row r="908" spans="1:20" ht="15.75" customHeight="1" x14ac:dyDescent="0.3">
      <c r="A908" s="33"/>
      <c r="B908" s="33"/>
      <c r="C908" s="33"/>
      <c r="D908" s="54"/>
      <c r="E908" s="33"/>
      <c r="F908" s="33"/>
      <c r="G908" s="55"/>
      <c r="H908" s="33"/>
      <c r="I908" s="33"/>
      <c r="J908" s="55"/>
      <c r="K908" s="56"/>
      <c r="L908" s="56"/>
      <c r="M908" s="56"/>
      <c r="N908" s="56"/>
      <c r="O908" s="56"/>
      <c r="P908" s="56"/>
      <c r="Q908" s="56"/>
      <c r="R908" s="56"/>
      <c r="S908" s="56"/>
      <c r="T908" s="33"/>
    </row>
    <row r="909" spans="1:20" ht="15.75" customHeight="1" x14ac:dyDescent="0.3">
      <c r="A909" s="33"/>
      <c r="B909" s="33"/>
      <c r="C909" s="33"/>
      <c r="D909" s="54"/>
      <c r="E909" s="33"/>
      <c r="F909" s="33"/>
      <c r="G909" s="55"/>
      <c r="H909" s="33"/>
      <c r="I909" s="33"/>
      <c r="J909" s="55"/>
      <c r="K909" s="56"/>
      <c r="L909" s="56"/>
      <c r="M909" s="56"/>
      <c r="N909" s="56"/>
      <c r="O909" s="56"/>
      <c r="P909" s="56"/>
      <c r="Q909" s="56"/>
      <c r="R909" s="56"/>
      <c r="S909" s="56"/>
      <c r="T909" s="33"/>
    </row>
    <row r="910" spans="1:20" ht="15.75" customHeight="1" x14ac:dyDescent="0.3">
      <c r="A910" s="33"/>
      <c r="B910" s="33"/>
      <c r="C910" s="33"/>
      <c r="D910" s="54"/>
      <c r="E910" s="33"/>
      <c r="F910" s="33"/>
      <c r="G910" s="55"/>
      <c r="H910" s="33"/>
      <c r="I910" s="33"/>
      <c r="J910" s="55"/>
      <c r="K910" s="56"/>
      <c r="L910" s="56"/>
      <c r="M910" s="56"/>
      <c r="N910" s="56"/>
      <c r="O910" s="56"/>
      <c r="P910" s="56"/>
      <c r="Q910" s="56"/>
      <c r="R910" s="56"/>
      <c r="S910" s="56"/>
      <c r="T910" s="33"/>
    </row>
    <row r="911" spans="1:20" ht="15.75" customHeight="1" x14ac:dyDescent="0.3">
      <c r="A911" s="33"/>
      <c r="B911" s="33"/>
      <c r="C911" s="33"/>
      <c r="D911" s="54"/>
      <c r="E911" s="33"/>
      <c r="F911" s="33"/>
      <c r="G911" s="55"/>
      <c r="H911" s="33"/>
      <c r="I911" s="33"/>
      <c r="J911" s="55"/>
      <c r="K911" s="56"/>
      <c r="L911" s="56"/>
      <c r="M911" s="56"/>
      <c r="N911" s="56"/>
      <c r="O911" s="56"/>
      <c r="P911" s="56"/>
      <c r="Q911" s="56"/>
      <c r="R911" s="56"/>
      <c r="S911" s="56"/>
      <c r="T911" s="33"/>
    </row>
    <row r="912" spans="1:20" ht="15.75" customHeight="1" x14ac:dyDescent="0.3">
      <c r="A912" s="33"/>
      <c r="B912" s="33"/>
      <c r="C912" s="33"/>
      <c r="D912" s="54"/>
      <c r="E912" s="33"/>
      <c r="F912" s="33"/>
      <c r="G912" s="55"/>
      <c r="H912" s="33"/>
      <c r="I912" s="33"/>
      <c r="J912" s="55"/>
      <c r="K912" s="56"/>
      <c r="L912" s="56"/>
      <c r="M912" s="56"/>
      <c r="N912" s="56"/>
      <c r="O912" s="56"/>
      <c r="P912" s="56"/>
      <c r="Q912" s="56"/>
      <c r="R912" s="56"/>
      <c r="S912" s="56"/>
      <c r="T912" s="33"/>
    </row>
    <row r="913" spans="1:20" ht="15.75" customHeight="1" x14ac:dyDescent="0.3">
      <c r="A913" s="33"/>
      <c r="B913" s="33"/>
      <c r="C913" s="33"/>
      <c r="D913" s="54"/>
      <c r="E913" s="33"/>
      <c r="F913" s="33"/>
      <c r="G913" s="55"/>
      <c r="H913" s="33"/>
      <c r="I913" s="33"/>
      <c r="J913" s="55"/>
      <c r="K913" s="56"/>
      <c r="L913" s="56"/>
      <c r="M913" s="56"/>
      <c r="N913" s="56"/>
      <c r="O913" s="56"/>
      <c r="P913" s="56"/>
      <c r="Q913" s="56"/>
      <c r="R913" s="56"/>
      <c r="S913" s="56"/>
      <c r="T913" s="33"/>
    </row>
    <row r="914" spans="1:20" ht="15.75" customHeight="1" x14ac:dyDescent="0.3">
      <c r="A914" s="33"/>
      <c r="B914" s="33"/>
      <c r="C914" s="33"/>
      <c r="D914" s="54"/>
      <c r="E914" s="33"/>
      <c r="F914" s="33"/>
      <c r="G914" s="55"/>
      <c r="H914" s="33"/>
      <c r="I914" s="33"/>
      <c r="J914" s="55"/>
      <c r="K914" s="56"/>
      <c r="L914" s="56"/>
      <c r="M914" s="56"/>
      <c r="N914" s="56"/>
      <c r="O914" s="56"/>
      <c r="P914" s="56"/>
      <c r="Q914" s="56"/>
      <c r="R914" s="56"/>
      <c r="S914" s="56"/>
      <c r="T914" s="33"/>
    </row>
    <row r="915" spans="1:20" ht="15.75" customHeight="1" x14ac:dyDescent="0.3">
      <c r="A915" s="33"/>
      <c r="B915" s="33"/>
      <c r="C915" s="33"/>
      <c r="D915" s="54"/>
      <c r="E915" s="33"/>
      <c r="F915" s="33"/>
      <c r="G915" s="55"/>
      <c r="H915" s="33"/>
      <c r="I915" s="33"/>
      <c r="J915" s="55"/>
      <c r="K915" s="56"/>
      <c r="L915" s="56"/>
      <c r="M915" s="56"/>
      <c r="N915" s="56"/>
      <c r="O915" s="56"/>
      <c r="P915" s="56"/>
      <c r="Q915" s="56"/>
      <c r="R915" s="56"/>
      <c r="S915" s="56"/>
      <c r="T915" s="33"/>
    </row>
    <row r="916" spans="1:20" ht="15.75" customHeight="1" x14ac:dyDescent="0.3">
      <c r="A916" s="33"/>
      <c r="B916" s="33"/>
      <c r="C916" s="33"/>
      <c r="D916" s="54"/>
      <c r="E916" s="33"/>
      <c r="F916" s="33"/>
      <c r="G916" s="55"/>
      <c r="H916" s="33"/>
      <c r="I916" s="33"/>
      <c r="J916" s="55"/>
      <c r="K916" s="56"/>
      <c r="L916" s="56"/>
      <c r="M916" s="56"/>
      <c r="N916" s="56"/>
      <c r="O916" s="56"/>
      <c r="P916" s="56"/>
      <c r="Q916" s="56"/>
      <c r="R916" s="56"/>
      <c r="S916" s="56"/>
      <c r="T916" s="33"/>
    </row>
    <row r="917" spans="1:20" ht="15.75" customHeight="1" x14ac:dyDescent="0.3">
      <c r="A917" s="33"/>
      <c r="B917" s="33"/>
      <c r="C917" s="33"/>
      <c r="D917" s="54"/>
      <c r="E917" s="33"/>
      <c r="F917" s="33"/>
      <c r="G917" s="55"/>
      <c r="H917" s="33"/>
      <c r="I917" s="33"/>
      <c r="J917" s="55"/>
      <c r="K917" s="56"/>
      <c r="L917" s="56"/>
      <c r="M917" s="56"/>
      <c r="N917" s="56"/>
      <c r="O917" s="56"/>
      <c r="P917" s="56"/>
      <c r="Q917" s="56"/>
      <c r="R917" s="56"/>
      <c r="S917" s="56"/>
      <c r="T917" s="33"/>
    </row>
    <row r="918" spans="1:20" ht="15.75" customHeight="1" x14ac:dyDescent="0.3">
      <c r="A918" s="33"/>
      <c r="B918" s="33"/>
      <c r="C918" s="33"/>
      <c r="D918" s="54"/>
      <c r="E918" s="33"/>
      <c r="F918" s="33"/>
      <c r="G918" s="55"/>
      <c r="H918" s="33"/>
      <c r="I918" s="33"/>
      <c r="J918" s="55"/>
      <c r="K918" s="56"/>
      <c r="L918" s="56"/>
      <c r="M918" s="56"/>
      <c r="N918" s="56"/>
      <c r="O918" s="56"/>
      <c r="P918" s="56"/>
      <c r="Q918" s="56"/>
      <c r="R918" s="56"/>
      <c r="S918" s="56"/>
      <c r="T918" s="33"/>
    </row>
    <row r="919" spans="1:20" ht="15.75" customHeight="1" x14ac:dyDescent="0.3">
      <c r="A919" s="33"/>
      <c r="B919" s="33"/>
      <c r="C919" s="33"/>
      <c r="D919" s="54"/>
      <c r="E919" s="33"/>
      <c r="F919" s="33"/>
      <c r="G919" s="55"/>
      <c r="H919" s="33"/>
      <c r="I919" s="33"/>
      <c r="J919" s="55"/>
      <c r="K919" s="56"/>
      <c r="L919" s="56"/>
      <c r="M919" s="56"/>
      <c r="N919" s="56"/>
      <c r="O919" s="56"/>
      <c r="P919" s="56"/>
      <c r="Q919" s="56"/>
      <c r="R919" s="56"/>
      <c r="S919" s="56"/>
      <c r="T919" s="33"/>
    </row>
    <row r="920" spans="1:20" ht="15.75" customHeight="1" x14ac:dyDescent="0.3">
      <c r="A920" s="33"/>
      <c r="B920" s="33"/>
      <c r="C920" s="33"/>
      <c r="D920" s="54"/>
      <c r="E920" s="33"/>
      <c r="F920" s="33"/>
      <c r="G920" s="55"/>
      <c r="H920" s="33"/>
      <c r="I920" s="33"/>
      <c r="J920" s="55"/>
      <c r="K920" s="56"/>
      <c r="L920" s="56"/>
      <c r="M920" s="56"/>
      <c r="N920" s="56"/>
      <c r="O920" s="56"/>
      <c r="P920" s="56"/>
      <c r="Q920" s="56"/>
      <c r="R920" s="56"/>
      <c r="S920" s="56"/>
      <c r="T920" s="33"/>
    </row>
    <row r="921" spans="1:20" ht="15.75" customHeight="1" x14ac:dyDescent="0.3">
      <c r="A921" s="33"/>
      <c r="B921" s="33"/>
      <c r="C921" s="33"/>
      <c r="D921" s="54"/>
      <c r="E921" s="33"/>
      <c r="F921" s="33"/>
      <c r="G921" s="55"/>
      <c r="H921" s="33"/>
      <c r="I921" s="33"/>
      <c r="J921" s="55"/>
      <c r="K921" s="56"/>
      <c r="L921" s="56"/>
      <c r="M921" s="56"/>
      <c r="N921" s="56"/>
      <c r="O921" s="56"/>
      <c r="P921" s="56"/>
      <c r="Q921" s="56"/>
      <c r="R921" s="56"/>
      <c r="S921" s="56"/>
      <c r="T921" s="33"/>
    </row>
    <row r="922" spans="1:20" ht="15.75" customHeight="1" x14ac:dyDescent="0.3">
      <c r="A922" s="33"/>
      <c r="B922" s="33"/>
      <c r="C922" s="33"/>
      <c r="D922" s="54"/>
      <c r="E922" s="33"/>
      <c r="F922" s="33"/>
      <c r="G922" s="55"/>
      <c r="H922" s="33"/>
      <c r="I922" s="33"/>
      <c r="J922" s="55"/>
      <c r="K922" s="56"/>
      <c r="L922" s="56"/>
      <c r="M922" s="56"/>
      <c r="N922" s="56"/>
      <c r="O922" s="56"/>
      <c r="P922" s="56"/>
      <c r="Q922" s="56"/>
      <c r="R922" s="56"/>
      <c r="S922" s="56"/>
      <c r="T922" s="33"/>
    </row>
    <row r="923" spans="1:20" ht="15.75" customHeight="1" x14ac:dyDescent="0.3">
      <c r="A923" s="33"/>
      <c r="B923" s="33"/>
      <c r="C923" s="33"/>
      <c r="D923" s="54"/>
      <c r="E923" s="33"/>
      <c r="F923" s="33"/>
      <c r="G923" s="55"/>
      <c r="H923" s="33"/>
      <c r="I923" s="33"/>
      <c r="J923" s="55"/>
      <c r="K923" s="56"/>
      <c r="L923" s="56"/>
      <c r="M923" s="56"/>
      <c r="N923" s="56"/>
      <c r="O923" s="56"/>
      <c r="P923" s="56"/>
      <c r="Q923" s="56"/>
      <c r="R923" s="56"/>
      <c r="S923" s="56"/>
      <c r="T923" s="33"/>
    </row>
    <row r="924" spans="1:20" ht="15.75" customHeight="1" x14ac:dyDescent="0.3">
      <c r="A924" s="33"/>
      <c r="B924" s="33"/>
      <c r="C924" s="33"/>
      <c r="D924" s="54"/>
      <c r="E924" s="33"/>
      <c r="F924" s="33"/>
      <c r="G924" s="55"/>
      <c r="H924" s="33"/>
      <c r="I924" s="33"/>
      <c r="J924" s="55"/>
      <c r="K924" s="56"/>
      <c r="L924" s="56"/>
      <c r="M924" s="56"/>
      <c r="N924" s="56"/>
      <c r="O924" s="56"/>
      <c r="P924" s="56"/>
      <c r="Q924" s="56"/>
      <c r="R924" s="56"/>
      <c r="S924" s="56"/>
      <c r="T924" s="33"/>
    </row>
    <row r="925" spans="1:20" ht="15.75" customHeight="1" x14ac:dyDescent="0.3">
      <c r="A925" s="33"/>
      <c r="B925" s="33"/>
      <c r="C925" s="33"/>
      <c r="D925" s="54"/>
      <c r="E925" s="33"/>
      <c r="F925" s="33"/>
      <c r="G925" s="55"/>
      <c r="H925" s="33"/>
      <c r="I925" s="33"/>
      <c r="J925" s="55"/>
      <c r="K925" s="56"/>
      <c r="L925" s="56"/>
      <c r="M925" s="56"/>
      <c r="N925" s="56"/>
      <c r="O925" s="56"/>
      <c r="P925" s="56"/>
      <c r="Q925" s="56"/>
      <c r="R925" s="56"/>
      <c r="S925" s="56"/>
      <c r="T925" s="33"/>
    </row>
    <row r="926" spans="1:20" ht="15.75" customHeight="1" x14ac:dyDescent="0.3">
      <c r="A926" s="33"/>
      <c r="B926" s="33"/>
      <c r="C926" s="33"/>
      <c r="D926" s="54"/>
      <c r="E926" s="33"/>
      <c r="F926" s="33"/>
      <c r="G926" s="55"/>
      <c r="H926" s="33"/>
      <c r="I926" s="33"/>
      <c r="J926" s="55"/>
      <c r="K926" s="56"/>
      <c r="L926" s="56"/>
      <c r="M926" s="56"/>
      <c r="N926" s="56"/>
      <c r="O926" s="56"/>
      <c r="P926" s="56"/>
      <c r="Q926" s="56"/>
      <c r="R926" s="56"/>
      <c r="S926" s="56"/>
      <c r="T926" s="33"/>
    </row>
    <row r="927" spans="1:20" ht="15.75" customHeight="1" x14ac:dyDescent="0.3">
      <c r="A927" s="33"/>
      <c r="B927" s="33"/>
      <c r="C927" s="33"/>
      <c r="D927" s="54"/>
      <c r="E927" s="33"/>
      <c r="F927" s="33"/>
      <c r="G927" s="55"/>
      <c r="H927" s="33"/>
      <c r="I927" s="33"/>
      <c r="J927" s="55"/>
      <c r="K927" s="56"/>
      <c r="L927" s="56"/>
      <c r="M927" s="56"/>
      <c r="N927" s="56"/>
      <c r="O927" s="56"/>
      <c r="P927" s="56"/>
      <c r="Q927" s="56"/>
      <c r="R927" s="56"/>
      <c r="S927" s="56"/>
      <c r="T927" s="33"/>
    </row>
    <row r="928" spans="1:20" ht="15.75" customHeight="1" x14ac:dyDescent="0.3">
      <c r="A928" s="33"/>
      <c r="B928" s="33"/>
      <c r="C928" s="33"/>
      <c r="D928" s="54"/>
      <c r="E928" s="33"/>
      <c r="F928" s="33"/>
      <c r="G928" s="55"/>
      <c r="H928" s="33"/>
      <c r="I928" s="33"/>
      <c r="J928" s="55"/>
      <c r="K928" s="56"/>
      <c r="L928" s="56"/>
      <c r="M928" s="56"/>
      <c r="N928" s="56"/>
      <c r="O928" s="56"/>
      <c r="P928" s="56"/>
      <c r="Q928" s="56"/>
      <c r="R928" s="56"/>
      <c r="S928" s="56"/>
      <c r="T928" s="33"/>
    </row>
    <row r="929" spans="1:20" ht="15.75" customHeight="1" x14ac:dyDescent="0.3">
      <c r="A929" s="33"/>
      <c r="B929" s="33"/>
      <c r="C929" s="33"/>
      <c r="D929" s="54"/>
      <c r="E929" s="33"/>
      <c r="F929" s="33"/>
      <c r="G929" s="55"/>
      <c r="H929" s="33"/>
      <c r="I929" s="33"/>
      <c r="J929" s="55"/>
      <c r="K929" s="56"/>
      <c r="L929" s="56"/>
      <c r="M929" s="56"/>
      <c r="N929" s="56"/>
      <c r="O929" s="56"/>
      <c r="P929" s="56"/>
      <c r="Q929" s="56"/>
      <c r="R929" s="56"/>
      <c r="S929" s="56"/>
      <c r="T929" s="33"/>
    </row>
    <row r="930" spans="1:20" ht="15.75" customHeight="1" x14ac:dyDescent="0.3">
      <c r="A930" s="33"/>
      <c r="B930" s="33"/>
      <c r="C930" s="33"/>
      <c r="D930" s="54"/>
      <c r="E930" s="33"/>
      <c r="F930" s="33"/>
      <c r="G930" s="55"/>
      <c r="H930" s="33"/>
      <c r="I930" s="33"/>
      <c r="J930" s="55"/>
      <c r="K930" s="56"/>
      <c r="L930" s="56"/>
      <c r="M930" s="56"/>
      <c r="N930" s="56"/>
      <c r="O930" s="56"/>
      <c r="P930" s="56"/>
      <c r="Q930" s="56"/>
      <c r="R930" s="56"/>
      <c r="S930" s="56"/>
      <c r="T930" s="33"/>
    </row>
    <row r="931" spans="1:20" ht="15.75" customHeight="1" x14ac:dyDescent="0.3">
      <c r="A931" s="33"/>
      <c r="B931" s="33"/>
      <c r="C931" s="33"/>
      <c r="D931" s="54"/>
      <c r="E931" s="33"/>
      <c r="F931" s="33"/>
      <c r="G931" s="55"/>
      <c r="H931" s="33"/>
      <c r="I931" s="33"/>
      <c r="J931" s="55"/>
      <c r="K931" s="56"/>
      <c r="L931" s="56"/>
      <c r="M931" s="56"/>
      <c r="N931" s="56"/>
      <c r="O931" s="56"/>
      <c r="P931" s="56"/>
      <c r="Q931" s="56"/>
      <c r="R931" s="56"/>
      <c r="S931" s="56"/>
      <c r="T931" s="33"/>
    </row>
    <row r="932" spans="1:20" ht="15.75" customHeight="1" x14ac:dyDescent="0.3">
      <c r="A932" s="33"/>
      <c r="B932" s="33"/>
      <c r="C932" s="33"/>
      <c r="D932" s="54"/>
      <c r="E932" s="33"/>
      <c r="F932" s="33"/>
      <c r="G932" s="55"/>
      <c r="H932" s="33"/>
      <c r="I932" s="33"/>
      <c r="J932" s="55"/>
      <c r="K932" s="56"/>
      <c r="L932" s="56"/>
      <c r="M932" s="56"/>
      <c r="N932" s="56"/>
      <c r="O932" s="56"/>
      <c r="P932" s="56"/>
      <c r="Q932" s="56"/>
      <c r="R932" s="56"/>
      <c r="S932" s="56"/>
      <c r="T932" s="33"/>
    </row>
    <row r="933" spans="1:20" ht="15.75" customHeight="1" x14ac:dyDescent="0.3">
      <c r="A933" s="33"/>
      <c r="B933" s="33"/>
      <c r="C933" s="33"/>
      <c r="D933" s="54"/>
      <c r="E933" s="33"/>
      <c r="F933" s="33"/>
      <c r="G933" s="55"/>
      <c r="H933" s="33"/>
      <c r="I933" s="33"/>
      <c r="J933" s="55"/>
      <c r="K933" s="56"/>
      <c r="L933" s="56"/>
      <c r="M933" s="56"/>
      <c r="N933" s="56"/>
      <c r="O933" s="56"/>
      <c r="P933" s="56"/>
      <c r="Q933" s="56"/>
      <c r="R933" s="56"/>
      <c r="S933" s="56"/>
      <c r="T933" s="33"/>
    </row>
    <row r="934" spans="1:20" ht="15.75" customHeight="1" x14ac:dyDescent="0.3">
      <c r="A934" s="33"/>
      <c r="B934" s="33"/>
      <c r="C934" s="33"/>
      <c r="D934" s="54"/>
      <c r="E934" s="33"/>
      <c r="F934" s="33"/>
      <c r="G934" s="55"/>
      <c r="H934" s="33"/>
      <c r="I934" s="33"/>
      <c r="J934" s="55"/>
      <c r="K934" s="56"/>
      <c r="L934" s="56"/>
      <c r="M934" s="56"/>
      <c r="N934" s="56"/>
      <c r="O934" s="56"/>
      <c r="P934" s="56"/>
      <c r="Q934" s="56"/>
      <c r="R934" s="56"/>
      <c r="S934" s="56"/>
      <c r="T934" s="33"/>
    </row>
    <row r="935" spans="1:20" ht="15.75" customHeight="1" x14ac:dyDescent="0.3">
      <c r="A935" s="33"/>
      <c r="B935" s="33"/>
      <c r="C935" s="33"/>
      <c r="D935" s="54"/>
      <c r="E935" s="33"/>
      <c r="F935" s="33"/>
      <c r="G935" s="55"/>
      <c r="H935" s="33"/>
      <c r="I935" s="33"/>
      <c r="J935" s="55"/>
      <c r="K935" s="56"/>
      <c r="L935" s="56"/>
      <c r="M935" s="56"/>
      <c r="N935" s="56"/>
      <c r="O935" s="56"/>
      <c r="P935" s="56"/>
      <c r="Q935" s="56"/>
      <c r="R935" s="56"/>
      <c r="S935" s="56"/>
      <c r="T935" s="33"/>
    </row>
    <row r="936" spans="1:20" ht="15.75" customHeight="1" x14ac:dyDescent="0.3">
      <c r="A936" s="33"/>
      <c r="B936" s="33"/>
      <c r="C936" s="33"/>
      <c r="D936" s="54"/>
      <c r="E936" s="33"/>
      <c r="F936" s="33"/>
      <c r="G936" s="55"/>
      <c r="H936" s="33"/>
      <c r="I936" s="33"/>
      <c r="J936" s="55"/>
      <c r="K936" s="56"/>
      <c r="L936" s="56"/>
      <c r="M936" s="56"/>
      <c r="N936" s="56"/>
      <c r="O936" s="56"/>
      <c r="P936" s="56"/>
      <c r="Q936" s="56"/>
      <c r="R936" s="56"/>
      <c r="S936" s="56"/>
      <c r="T936" s="33"/>
    </row>
    <row r="937" spans="1:20" ht="15.75" customHeight="1" x14ac:dyDescent="0.3">
      <c r="A937" s="33"/>
      <c r="B937" s="33"/>
      <c r="C937" s="33"/>
      <c r="D937" s="54"/>
      <c r="E937" s="33"/>
      <c r="F937" s="33"/>
      <c r="G937" s="55"/>
      <c r="H937" s="33"/>
      <c r="I937" s="33"/>
      <c r="J937" s="55"/>
      <c r="K937" s="56"/>
      <c r="L937" s="56"/>
      <c r="M937" s="56"/>
      <c r="N937" s="56"/>
      <c r="O937" s="56"/>
      <c r="P937" s="56"/>
      <c r="Q937" s="56"/>
      <c r="R937" s="56"/>
      <c r="S937" s="56"/>
      <c r="T937" s="33"/>
    </row>
    <row r="938" spans="1:20" ht="15.75" customHeight="1" x14ac:dyDescent="0.3">
      <c r="A938" s="33"/>
      <c r="B938" s="33"/>
      <c r="C938" s="33"/>
      <c r="D938" s="54"/>
      <c r="E938" s="33"/>
      <c r="F938" s="33"/>
      <c r="G938" s="55"/>
      <c r="H938" s="33"/>
      <c r="I938" s="33"/>
      <c r="J938" s="55"/>
      <c r="K938" s="56"/>
      <c r="L938" s="56"/>
      <c r="M938" s="56"/>
      <c r="N938" s="56"/>
      <c r="O938" s="56"/>
      <c r="P938" s="56"/>
      <c r="Q938" s="56"/>
      <c r="R938" s="56"/>
      <c r="S938" s="56"/>
      <c r="T938" s="33"/>
    </row>
    <row r="939" spans="1:20" ht="15.75" customHeight="1" x14ac:dyDescent="0.3">
      <c r="A939" s="33"/>
      <c r="B939" s="33"/>
      <c r="C939" s="33"/>
      <c r="D939" s="54"/>
      <c r="E939" s="33"/>
      <c r="F939" s="33"/>
      <c r="G939" s="55"/>
      <c r="H939" s="33"/>
      <c r="I939" s="33"/>
      <c r="J939" s="55"/>
      <c r="K939" s="56"/>
      <c r="L939" s="56"/>
      <c r="M939" s="56"/>
      <c r="N939" s="56"/>
      <c r="O939" s="56"/>
      <c r="P939" s="56"/>
      <c r="Q939" s="56"/>
      <c r="R939" s="56"/>
      <c r="S939" s="56"/>
      <c r="T939" s="33"/>
    </row>
    <row r="940" spans="1:20" ht="15.75" customHeight="1" x14ac:dyDescent="0.3">
      <c r="A940" s="33"/>
      <c r="B940" s="33"/>
      <c r="C940" s="33"/>
      <c r="D940" s="54"/>
      <c r="E940" s="33"/>
      <c r="F940" s="33"/>
      <c r="G940" s="55"/>
      <c r="H940" s="33"/>
      <c r="I940" s="33"/>
      <c r="J940" s="55"/>
      <c r="K940" s="56"/>
      <c r="L940" s="56"/>
      <c r="M940" s="56"/>
      <c r="N940" s="56"/>
      <c r="O940" s="56"/>
      <c r="P940" s="56"/>
      <c r="Q940" s="56"/>
      <c r="R940" s="56"/>
      <c r="S940" s="56"/>
      <c r="T940" s="33"/>
    </row>
    <row r="941" spans="1:20" ht="15.75" customHeight="1" x14ac:dyDescent="0.3">
      <c r="A941" s="33"/>
      <c r="B941" s="33"/>
      <c r="C941" s="33"/>
      <c r="D941" s="54"/>
      <c r="E941" s="33"/>
      <c r="F941" s="33"/>
      <c r="G941" s="55"/>
      <c r="H941" s="33"/>
      <c r="I941" s="33"/>
      <c r="J941" s="55"/>
      <c r="K941" s="56"/>
      <c r="L941" s="56"/>
      <c r="M941" s="56"/>
      <c r="N941" s="56"/>
      <c r="O941" s="56"/>
      <c r="P941" s="56"/>
      <c r="Q941" s="56"/>
      <c r="R941" s="56"/>
      <c r="S941" s="56"/>
      <c r="T941" s="33"/>
    </row>
    <row r="942" spans="1:20" ht="15.75" customHeight="1" x14ac:dyDescent="0.3">
      <c r="A942" s="33"/>
      <c r="B942" s="33"/>
      <c r="C942" s="33"/>
      <c r="D942" s="54"/>
      <c r="E942" s="33"/>
      <c r="F942" s="33"/>
      <c r="G942" s="55"/>
      <c r="H942" s="33"/>
      <c r="I942" s="33"/>
      <c r="J942" s="55"/>
      <c r="K942" s="56"/>
      <c r="L942" s="56"/>
      <c r="M942" s="56"/>
      <c r="N942" s="56"/>
      <c r="O942" s="56"/>
      <c r="P942" s="56"/>
      <c r="Q942" s="56"/>
      <c r="R942" s="56"/>
      <c r="S942" s="56"/>
      <c r="T942" s="33"/>
    </row>
    <row r="943" spans="1:20" ht="15.75" customHeight="1" x14ac:dyDescent="0.3">
      <c r="A943" s="33"/>
      <c r="B943" s="33"/>
      <c r="C943" s="33"/>
      <c r="D943" s="54"/>
      <c r="E943" s="33"/>
      <c r="F943" s="33"/>
      <c r="G943" s="55"/>
      <c r="H943" s="33"/>
      <c r="I943" s="33"/>
      <c r="J943" s="55"/>
      <c r="K943" s="56"/>
      <c r="L943" s="56"/>
      <c r="M943" s="56"/>
      <c r="N943" s="56"/>
      <c r="O943" s="56"/>
      <c r="P943" s="56"/>
      <c r="Q943" s="56"/>
      <c r="R943" s="56"/>
      <c r="S943" s="56"/>
      <c r="T943" s="33"/>
    </row>
    <row r="944" spans="1:20" ht="15.75" customHeight="1" x14ac:dyDescent="0.3">
      <c r="A944" s="33"/>
      <c r="B944" s="33"/>
      <c r="C944" s="33"/>
      <c r="D944" s="54"/>
      <c r="E944" s="33"/>
      <c r="F944" s="33"/>
      <c r="G944" s="55"/>
      <c r="H944" s="33"/>
      <c r="I944" s="33"/>
      <c r="J944" s="55"/>
      <c r="K944" s="56"/>
      <c r="L944" s="56"/>
      <c r="M944" s="56"/>
      <c r="N944" s="56"/>
      <c r="O944" s="56"/>
      <c r="P944" s="56"/>
      <c r="Q944" s="56"/>
      <c r="R944" s="56"/>
      <c r="S944" s="56"/>
      <c r="T944" s="33"/>
    </row>
    <row r="945" spans="1:20" ht="15.75" customHeight="1" x14ac:dyDescent="0.3">
      <c r="A945" s="33"/>
      <c r="B945" s="33"/>
      <c r="C945" s="33"/>
      <c r="D945" s="54"/>
      <c r="E945" s="33"/>
      <c r="F945" s="33"/>
      <c r="G945" s="55"/>
      <c r="H945" s="33"/>
      <c r="I945" s="33"/>
      <c r="J945" s="55"/>
      <c r="K945" s="56"/>
      <c r="L945" s="56"/>
      <c r="M945" s="56"/>
      <c r="N945" s="56"/>
      <c r="O945" s="56"/>
      <c r="P945" s="56"/>
      <c r="Q945" s="56"/>
      <c r="R945" s="56"/>
      <c r="S945" s="56"/>
      <c r="T945" s="33"/>
    </row>
    <row r="946" spans="1:20" ht="15.75" customHeight="1" x14ac:dyDescent="0.3">
      <c r="A946" s="33"/>
      <c r="B946" s="33"/>
      <c r="C946" s="33"/>
      <c r="D946" s="54"/>
      <c r="E946" s="33"/>
      <c r="F946" s="33"/>
      <c r="G946" s="55"/>
      <c r="H946" s="33"/>
      <c r="I946" s="33"/>
      <c r="J946" s="55"/>
      <c r="K946" s="56"/>
      <c r="L946" s="56"/>
      <c r="M946" s="56"/>
      <c r="N946" s="56"/>
      <c r="O946" s="56"/>
      <c r="P946" s="56"/>
      <c r="Q946" s="56"/>
      <c r="R946" s="56"/>
      <c r="S946" s="56"/>
      <c r="T946" s="33"/>
    </row>
    <row r="947" spans="1:20" ht="15.75" customHeight="1" x14ac:dyDescent="0.3">
      <c r="A947" s="33"/>
      <c r="B947" s="33"/>
      <c r="C947" s="33"/>
      <c r="D947" s="54"/>
      <c r="E947" s="33"/>
      <c r="F947" s="33"/>
      <c r="G947" s="55"/>
      <c r="H947" s="33"/>
      <c r="I947" s="33"/>
      <c r="J947" s="55"/>
      <c r="K947" s="56"/>
      <c r="L947" s="56"/>
      <c r="M947" s="56"/>
      <c r="N947" s="56"/>
      <c r="O947" s="56"/>
      <c r="P947" s="56"/>
      <c r="Q947" s="56"/>
      <c r="R947" s="56"/>
      <c r="S947" s="56"/>
      <c r="T947" s="33"/>
    </row>
    <row r="948" spans="1:20" ht="15.75" customHeight="1" x14ac:dyDescent="0.3">
      <c r="A948" s="33"/>
      <c r="B948" s="33"/>
      <c r="C948" s="33"/>
      <c r="D948" s="54"/>
      <c r="E948" s="33"/>
      <c r="F948" s="33"/>
      <c r="G948" s="55"/>
      <c r="H948" s="33"/>
      <c r="I948" s="33"/>
      <c r="J948" s="55"/>
      <c r="K948" s="56"/>
      <c r="L948" s="56"/>
      <c r="M948" s="56"/>
      <c r="N948" s="56"/>
      <c r="O948" s="56"/>
      <c r="P948" s="56"/>
      <c r="Q948" s="56"/>
      <c r="R948" s="56"/>
      <c r="S948" s="56"/>
      <c r="T948" s="33"/>
    </row>
    <row r="949" spans="1:20" ht="15.75" customHeight="1" x14ac:dyDescent="0.3">
      <c r="A949" s="33"/>
      <c r="B949" s="33"/>
      <c r="C949" s="33"/>
      <c r="D949" s="54"/>
      <c r="E949" s="33"/>
      <c r="F949" s="33"/>
      <c r="G949" s="55"/>
      <c r="H949" s="33"/>
      <c r="I949" s="33"/>
      <c r="J949" s="55"/>
      <c r="K949" s="56"/>
      <c r="L949" s="56"/>
      <c r="M949" s="56"/>
      <c r="N949" s="56"/>
      <c r="O949" s="56"/>
      <c r="P949" s="56"/>
      <c r="Q949" s="56"/>
      <c r="R949" s="56"/>
      <c r="S949" s="56"/>
      <c r="T949" s="33"/>
    </row>
    <row r="950" spans="1:20" ht="15.75" customHeight="1" x14ac:dyDescent="0.3">
      <c r="A950" s="33"/>
      <c r="B950" s="33"/>
      <c r="C950" s="33"/>
      <c r="D950" s="54"/>
      <c r="E950" s="33"/>
      <c r="F950" s="33"/>
      <c r="G950" s="55"/>
      <c r="H950" s="33"/>
      <c r="I950" s="33"/>
      <c r="J950" s="55"/>
      <c r="K950" s="56"/>
      <c r="L950" s="56"/>
      <c r="M950" s="56"/>
      <c r="N950" s="56"/>
      <c r="O950" s="56"/>
      <c r="P950" s="56"/>
      <c r="Q950" s="56"/>
      <c r="R950" s="56"/>
      <c r="S950" s="56"/>
      <c r="T950" s="33"/>
    </row>
    <row r="951" spans="1:20" ht="15.75" customHeight="1" x14ac:dyDescent="0.3">
      <c r="A951" s="33"/>
      <c r="B951" s="33"/>
      <c r="C951" s="33"/>
      <c r="D951" s="54"/>
      <c r="E951" s="33"/>
      <c r="F951" s="33"/>
      <c r="G951" s="55"/>
      <c r="H951" s="33"/>
      <c r="I951" s="33"/>
      <c r="J951" s="55"/>
      <c r="K951" s="56"/>
      <c r="L951" s="56"/>
      <c r="M951" s="56"/>
      <c r="N951" s="56"/>
      <c r="O951" s="56"/>
      <c r="P951" s="56"/>
      <c r="Q951" s="56"/>
      <c r="R951" s="56"/>
      <c r="S951" s="56"/>
      <c r="T951" s="33"/>
    </row>
    <row r="952" spans="1:20" ht="15.75" customHeight="1" x14ac:dyDescent="0.3">
      <c r="A952" s="33"/>
      <c r="B952" s="33"/>
      <c r="C952" s="33"/>
      <c r="D952" s="54"/>
      <c r="E952" s="33"/>
      <c r="F952" s="33"/>
      <c r="G952" s="55"/>
      <c r="H952" s="33"/>
      <c r="I952" s="33"/>
      <c r="J952" s="55"/>
      <c r="K952" s="56"/>
      <c r="L952" s="56"/>
      <c r="M952" s="56"/>
      <c r="N952" s="56"/>
      <c r="O952" s="56"/>
      <c r="P952" s="56"/>
      <c r="Q952" s="56"/>
      <c r="R952" s="56"/>
      <c r="S952" s="56"/>
      <c r="T952" s="33"/>
    </row>
    <row r="953" spans="1:20" ht="15.75" customHeight="1" x14ac:dyDescent="0.3">
      <c r="A953" s="33"/>
      <c r="B953" s="33"/>
      <c r="C953" s="33"/>
      <c r="D953" s="54"/>
      <c r="E953" s="33"/>
      <c r="F953" s="33"/>
      <c r="G953" s="55"/>
      <c r="H953" s="33"/>
      <c r="I953" s="33"/>
      <c r="J953" s="55"/>
      <c r="K953" s="56"/>
      <c r="L953" s="56"/>
      <c r="M953" s="56"/>
      <c r="N953" s="56"/>
      <c r="O953" s="56"/>
      <c r="P953" s="56"/>
      <c r="Q953" s="56"/>
      <c r="R953" s="56"/>
      <c r="S953" s="56"/>
      <c r="T953" s="33"/>
    </row>
    <row r="954" spans="1:20" ht="15.75" customHeight="1" x14ac:dyDescent="0.3">
      <c r="A954" s="33"/>
      <c r="B954" s="33"/>
      <c r="C954" s="33"/>
      <c r="D954" s="54"/>
      <c r="E954" s="33"/>
      <c r="F954" s="33"/>
      <c r="G954" s="55"/>
      <c r="H954" s="33"/>
      <c r="I954" s="33"/>
      <c r="J954" s="55"/>
      <c r="K954" s="56"/>
      <c r="L954" s="56"/>
      <c r="M954" s="56"/>
      <c r="N954" s="56"/>
      <c r="O954" s="56"/>
      <c r="P954" s="56"/>
      <c r="Q954" s="56"/>
      <c r="R954" s="56"/>
      <c r="S954" s="56"/>
      <c r="T954" s="33"/>
    </row>
    <row r="955" spans="1:20" ht="15.75" customHeight="1" x14ac:dyDescent="0.3">
      <c r="A955" s="33"/>
      <c r="B955" s="33"/>
      <c r="C955" s="33"/>
      <c r="D955" s="54"/>
      <c r="E955" s="33"/>
      <c r="F955" s="33"/>
      <c r="G955" s="55"/>
      <c r="H955" s="33"/>
      <c r="I955" s="33"/>
      <c r="J955" s="55"/>
      <c r="K955" s="56"/>
      <c r="L955" s="56"/>
      <c r="M955" s="56"/>
      <c r="N955" s="56"/>
      <c r="O955" s="56"/>
      <c r="P955" s="56"/>
      <c r="Q955" s="56"/>
      <c r="R955" s="56"/>
      <c r="S955" s="56"/>
      <c r="T955" s="33"/>
    </row>
    <row r="956" spans="1:20" ht="15.75" customHeight="1" x14ac:dyDescent="0.3">
      <c r="A956" s="33"/>
      <c r="B956" s="33"/>
      <c r="C956" s="33"/>
      <c r="D956" s="54"/>
      <c r="E956" s="33"/>
      <c r="F956" s="33"/>
      <c r="G956" s="55"/>
      <c r="H956" s="33"/>
      <c r="I956" s="33"/>
      <c r="J956" s="55"/>
      <c r="K956" s="56"/>
      <c r="L956" s="56"/>
      <c r="M956" s="56"/>
      <c r="N956" s="56"/>
      <c r="O956" s="56"/>
      <c r="P956" s="56"/>
      <c r="Q956" s="56"/>
      <c r="R956" s="56"/>
      <c r="S956" s="56"/>
      <c r="T956" s="33"/>
    </row>
    <row r="957" spans="1:20" ht="15.75" customHeight="1" x14ac:dyDescent="0.3">
      <c r="A957" s="33"/>
      <c r="B957" s="33"/>
      <c r="C957" s="33"/>
      <c r="D957" s="54"/>
      <c r="E957" s="33"/>
      <c r="F957" s="33"/>
      <c r="G957" s="55"/>
      <c r="H957" s="33"/>
      <c r="I957" s="33"/>
      <c r="J957" s="55"/>
      <c r="K957" s="56"/>
      <c r="L957" s="56"/>
      <c r="M957" s="56"/>
      <c r="N957" s="56"/>
      <c r="O957" s="56"/>
      <c r="P957" s="56"/>
      <c r="Q957" s="56"/>
      <c r="R957" s="56"/>
      <c r="S957" s="56"/>
      <c r="T957" s="33"/>
    </row>
    <row r="958" spans="1:20" ht="15.75" customHeight="1" x14ac:dyDescent="0.3">
      <c r="A958" s="33"/>
      <c r="B958" s="33"/>
      <c r="C958" s="33"/>
      <c r="D958" s="54"/>
      <c r="E958" s="33"/>
      <c r="F958" s="33"/>
      <c r="G958" s="55"/>
      <c r="H958" s="33"/>
      <c r="I958" s="33"/>
      <c r="J958" s="55"/>
      <c r="K958" s="56"/>
      <c r="L958" s="56"/>
      <c r="M958" s="56"/>
      <c r="N958" s="56"/>
      <c r="O958" s="56"/>
      <c r="P958" s="56"/>
      <c r="Q958" s="56"/>
      <c r="R958" s="56"/>
      <c r="S958" s="56"/>
      <c r="T958" s="33"/>
    </row>
    <row r="959" spans="1:20" ht="15.75" customHeight="1" x14ac:dyDescent="0.3">
      <c r="A959" s="33"/>
      <c r="B959" s="33"/>
      <c r="C959" s="33"/>
      <c r="D959" s="54"/>
      <c r="E959" s="33"/>
      <c r="F959" s="33"/>
      <c r="G959" s="55"/>
      <c r="H959" s="33"/>
      <c r="I959" s="33"/>
      <c r="J959" s="55"/>
      <c r="K959" s="56"/>
      <c r="L959" s="56"/>
      <c r="M959" s="56"/>
      <c r="N959" s="56"/>
      <c r="O959" s="56"/>
      <c r="P959" s="56"/>
      <c r="Q959" s="56"/>
      <c r="R959" s="56"/>
      <c r="S959" s="56"/>
      <c r="T959" s="33"/>
    </row>
    <row r="960" spans="1:20" ht="15.75" customHeight="1" x14ac:dyDescent="0.3">
      <c r="A960" s="33"/>
      <c r="B960" s="33"/>
      <c r="C960" s="33"/>
      <c r="D960" s="54"/>
      <c r="E960" s="33"/>
      <c r="F960" s="33"/>
      <c r="G960" s="55"/>
      <c r="H960" s="33"/>
      <c r="I960" s="33"/>
      <c r="J960" s="55"/>
      <c r="K960" s="56"/>
      <c r="L960" s="56"/>
      <c r="M960" s="56"/>
      <c r="N960" s="56"/>
      <c r="O960" s="56"/>
      <c r="P960" s="56"/>
      <c r="Q960" s="56"/>
      <c r="R960" s="56"/>
      <c r="S960" s="56"/>
      <c r="T960" s="33"/>
    </row>
    <row r="961" spans="1:20" ht="15.75" customHeight="1" x14ac:dyDescent="0.3">
      <c r="A961" s="33"/>
      <c r="B961" s="33"/>
      <c r="C961" s="33"/>
      <c r="D961" s="54"/>
      <c r="E961" s="33"/>
      <c r="F961" s="33"/>
      <c r="G961" s="55"/>
      <c r="H961" s="33"/>
      <c r="I961" s="33"/>
      <c r="J961" s="55"/>
      <c r="K961" s="56"/>
      <c r="L961" s="56"/>
      <c r="M961" s="56"/>
      <c r="N961" s="56"/>
      <c r="O961" s="56"/>
      <c r="P961" s="56"/>
      <c r="Q961" s="56"/>
      <c r="R961" s="56"/>
      <c r="S961" s="56"/>
      <c r="T961" s="33"/>
    </row>
    <row r="962" spans="1:20" ht="15.75" customHeight="1" x14ac:dyDescent="0.3">
      <c r="A962" s="33"/>
      <c r="B962" s="33"/>
      <c r="C962" s="33"/>
      <c r="D962" s="54"/>
      <c r="E962" s="33"/>
      <c r="F962" s="33"/>
      <c r="G962" s="55"/>
      <c r="H962" s="33"/>
      <c r="I962" s="33"/>
      <c r="J962" s="55"/>
      <c r="K962" s="56"/>
      <c r="L962" s="56"/>
      <c r="M962" s="56"/>
      <c r="N962" s="56"/>
      <c r="O962" s="56"/>
      <c r="P962" s="56"/>
      <c r="Q962" s="56"/>
      <c r="R962" s="56"/>
      <c r="S962" s="56"/>
      <c r="T962" s="33"/>
    </row>
    <row r="963" spans="1:20" ht="15.75" customHeight="1" x14ac:dyDescent="0.3">
      <c r="A963" s="33"/>
      <c r="B963" s="33"/>
      <c r="C963" s="33"/>
      <c r="D963" s="54"/>
      <c r="E963" s="33"/>
      <c r="F963" s="33"/>
      <c r="G963" s="55"/>
      <c r="H963" s="33"/>
      <c r="I963" s="33"/>
      <c r="J963" s="55"/>
      <c r="K963" s="56"/>
      <c r="L963" s="56"/>
      <c r="M963" s="56"/>
      <c r="N963" s="56"/>
      <c r="O963" s="56"/>
      <c r="P963" s="56"/>
      <c r="Q963" s="56"/>
      <c r="R963" s="56"/>
      <c r="S963" s="56"/>
      <c r="T963" s="33"/>
    </row>
    <row r="964" spans="1:20" ht="15.75" customHeight="1" x14ac:dyDescent="0.3">
      <c r="A964" s="33"/>
      <c r="B964" s="33"/>
      <c r="C964" s="33"/>
      <c r="D964" s="54"/>
      <c r="E964" s="33"/>
      <c r="F964" s="33"/>
      <c r="G964" s="55"/>
      <c r="H964" s="33"/>
      <c r="I964" s="33"/>
      <c r="J964" s="55"/>
      <c r="K964" s="56"/>
      <c r="L964" s="56"/>
      <c r="M964" s="56"/>
      <c r="N964" s="56"/>
      <c r="O964" s="56"/>
      <c r="P964" s="56"/>
      <c r="Q964" s="56"/>
      <c r="R964" s="56"/>
      <c r="S964" s="56"/>
      <c r="T964" s="33"/>
    </row>
    <row r="965" spans="1:20" ht="15.75" customHeight="1" x14ac:dyDescent="0.3">
      <c r="A965" s="33"/>
      <c r="B965" s="33"/>
      <c r="C965" s="33"/>
      <c r="D965" s="54"/>
      <c r="E965" s="33"/>
      <c r="F965" s="33"/>
      <c r="G965" s="55"/>
      <c r="H965" s="33"/>
      <c r="I965" s="33"/>
      <c r="J965" s="55"/>
      <c r="K965" s="56"/>
      <c r="L965" s="56"/>
      <c r="M965" s="56"/>
      <c r="N965" s="56"/>
      <c r="O965" s="56"/>
      <c r="P965" s="56"/>
      <c r="Q965" s="56"/>
      <c r="R965" s="56"/>
      <c r="S965" s="56"/>
      <c r="T965" s="33"/>
    </row>
    <row r="966" spans="1:20" ht="15.75" customHeight="1" x14ac:dyDescent="0.3">
      <c r="A966" s="33"/>
      <c r="B966" s="33"/>
      <c r="C966" s="33"/>
      <c r="D966" s="54"/>
      <c r="E966" s="33"/>
      <c r="F966" s="33"/>
      <c r="G966" s="55"/>
      <c r="H966" s="33"/>
      <c r="I966" s="33"/>
      <c r="J966" s="55"/>
      <c r="K966" s="56"/>
      <c r="L966" s="56"/>
      <c r="M966" s="56"/>
      <c r="N966" s="56"/>
      <c r="O966" s="56"/>
      <c r="P966" s="56"/>
      <c r="Q966" s="56"/>
      <c r="R966" s="56"/>
      <c r="S966" s="56"/>
      <c r="T966" s="33"/>
    </row>
    <row r="967" spans="1:20" ht="15.75" customHeight="1" x14ac:dyDescent="0.3">
      <c r="A967" s="33"/>
      <c r="B967" s="33"/>
      <c r="C967" s="33"/>
      <c r="D967" s="54"/>
      <c r="E967" s="33"/>
      <c r="F967" s="33"/>
      <c r="G967" s="55"/>
      <c r="H967" s="33"/>
      <c r="I967" s="33"/>
      <c r="J967" s="55"/>
      <c r="K967" s="56"/>
      <c r="L967" s="56"/>
      <c r="M967" s="56"/>
      <c r="N967" s="56"/>
      <c r="O967" s="56"/>
      <c r="P967" s="56"/>
      <c r="Q967" s="56"/>
      <c r="R967" s="56"/>
      <c r="S967" s="56"/>
      <c r="T967" s="33"/>
    </row>
    <row r="968" spans="1:20" ht="15.75" customHeight="1" x14ac:dyDescent="0.3">
      <c r="A968" s="33"/>
      <c r="B968" s="33"/>
      <c r="C968" s="33"/>
      <c r="D968" s="54"/>
      <c r="E968" s="33"/>
      <c r="F968" s="33"/>
      <c r="G968" s="55"/>
      <c r="H968" s="33"/>
      <c r="I968" s="33"/>
      <c r="J968" s="55"/>
      <c r="K968" s="56"/>
      <c r="L968" s="56"/>
      <c r="M968" s="56"/>
      <c r="N968" s="56"/>
      <c r="O968" s="56"/>
      <c r="P968" s="56"/>
      <c r="Q968" s="56"/>
      <c r="R968" s="56"/>
      <c r="S968" s="56"/>
      <c r="T968" s="33"/>
    </row>
    <row r="969" spans="1:20" ht="15.75" customHeight="1" x14ac:dyDescent="0.3">
      <c r="A969" s="33"/>
      <c r="B969" s="33"/>
      <c r="C969" s="33"/>
      <c r="D969" s="54"/>
      <c r="E969" s="33"/>
      <c r="F969" s="33"/>
      <c r="G969" s="55"/>
      <c r="H969" s="33"/>
      <c r="I969" s="33"/>
      <c r="J969" s="55"/>
      <c r="K969" s="56"/>
      <c r="L969" s="56"/>
      <c r="M969" s="56"/>
      <c r="N969" s="56"/>
      <c r="O969" s="56"/>
      <c r="P969" s="56"/>
      <c r="Q969" s="56"/>
      <c r="R969" s="56"/>
      <c r="S969" s="56"/>
      <c r="T969" s="33"/>
    </row>
    <row r="970" spans="1:20" ht="15.75" customHeight="1" x14ac:dyDescent="0.3">
      <c r="A970" s="33"/>
      <c r="B970" s="33"/>
      <c r="C970" s="33"/>
      <c r="D970" s="54"/>
      <c r="E970" s="33"/>
      <c r="F970" s="33"/>
      <c r="G970" s="55"/>
      <c r="H970" s="33"/>
      <c r="I970" s="33"/>
      <c r="J970" s="55"/>
      <c r="K970" s="56"/>
      <c r="L970" s="56"/>
      <c r="M970" s="56"/>
      <c r="N970" s="56"/>
      <c r="O970" s="56"/>
      <c r="P970" s="56"/>
      <c r="Q970" s="56"/>
      <c r="R970" s="56"/>
      <c r="S970" s="56"/>
      <c r="T970" s="33"/>
    </row>
    <row r="971" spans="1:20" ht="15.75" customHeight="1" x14ac:dyDescent="0.3">
      <c r="A971" s="33"/>
      <c r="B971" s="33"/>
      <c r="C971" s="33"/>
      <c r="D971" s="54"/>
      <c r="E971" s="33"/>
      <c r="F971" s="33"/>
      <c r="G971" s="55"/>
      <c r="H971" s="33"/>
      <c r="I971" s="33"/>
      <c r="J971" s="55"/>
      <c r="K971" s="56"/>
      <c r="L971" s="56"/>
      <c r="M971" s="56"/>
      <c r="N971" s="56"/>
      <c r="O971" s="56"/>
      <c r="P971" s="56"/>
      <c r="Q971" s="56"/>
      <c r="R971" s="56"/>
      <c r="S971" s="56"/>
      <c r="T971" s="33"/>
    </row>
    <row r="972" spans="1:20" ht="15.75" customHeight="1" x14ac:dyDescent="0.3">
      <c r="A972" s="33"/>
      <c r="B972" s="33"/>
      <c r="C972" s="33"/>
      <c r="D972" s="54"/>
      <c r="E972" s="33"/>
      <c r="F972" s="33"/>
      <c r="G972" s="55"/>
      <c r="H972" s="33"/>
      <c r="I972" s="33"/>
      <c r="J972" s="55"/>
      <c r="K972" s="56"/>
      <c r="L972" s="56"/>
      <c r="M972" s="56"/>
      <c r="N972" s="56"/>
      <c r="O972" s="56"/>
      <c r="P972" s="56"/>
      <c r="Q972" s="56"/>
      <c r="R972" s="56"/>
      <c r="S972" s="56"/>
      <c r="T972" s="33"/>
    </row>
    <row r="973" spans="1:20" ht="15.75" customHeight="1" x14ac:dyDescent="0.3">
      <c r="A973" s="33"/>
      <c r="B973" s="33"/>
      <c r="C973" s="33"/>
      <c r="D973" s="54"/>
      <c r="E973" s="33"/>
      <c r="F973" s="33"/>
      <c r="G973" s="55"/>
      <c r="H973" s="33"/>
      <c r="I973" s="33"/>
      <c r="J973" s="55"/>
      <c r="K973" s="56"/>
      <c r="L973" s="56"/>
      <c r="M973" s="56"/>
      <c r="N973" s="56"/>
      <c r="O973" s="56"/>
      <c r="P973" s="56"/>
      <c r="Q973" s="56"/>
      <c r="R973" s="56"/>
      <c r="S973" s="56"/>
      <c r="T973" s="33"/>
    </row>
    <row r="974" spans="1:20" ht="15.75" customHeight="1" x14ac:dyDescent="0.3">
      <c r="A974" s="33"/>
      <c r="B974" s="33"/>
      <c r="C974" s="33"/>
      <c r="D974" s="54"/>
      <c r="E974" s="33"/>
      <c r="F974" s="33"/>
      <c r="G974" s="55"/>
      <c r="H974" s="33"/>
      <c r="I974" s="33"/>
      <c r="J974" s="55"/>
      <c r="K974" s="56"/>
      <c r="L974" s="56"/>
      <c r="M974" s="56"/>
      <c r="N974" s="56"/>
      <c r="O974" s="56"/>
      <c r="P974" s="56"/>
      <c r="Q974" s="56"/>
      <c r="R974" s="56"/>
      <c r="S974" s="56"/>
      <c r="T974" s="33"/>
    </row>
    <row r="975" spans="1:20" ht="15.75" customHeight="1" x14ac:dyDescent="0.3">
      <c r="A975" s="33"/>
      <c r="B975" s="33"/>
      <c r="C975" s="33"/>
      <c r="D975" s="54"/>
      <c r="E975" s="33"/>
      <c r="F975" s="33"/>
      <c r="G975" s="55"/>
      <c r="H975" s="33"/>
      <c r="I975" s="33"/>
      <c r="J975" s="55"/>
      <c r="K975" s="56"/>
      <c r="L975" s="56"/>
      <c r="M975" s="56"/>
      <c r="N975" s="56"/>
      <c r="O975" s="56"/>
      <c r="P975" s="56"/>
      <c r="Q975" s="56"/>
      <c r="R975" s="56"/>
      <c r="S975" s="56"/>
      <c r="T975" s="33"/>
    </row>
    <row r="976" spans="1:20" ht="15.75" customHeight="1" x14ac:dyDescent="0.3">
      <c r="A976" s="33"/>
      <c r="B976" s="33"/>
      <c r="C976" s="33"/>
      <c r="D976" s="54"/>
      <c r="E976" s="33"/>
      <c r="F976" s="33"/>
      <c r="G976" s="55"/>
      <c r="H976" s="33"/>
      <c r="I976" s="33"/>
      <c r="J976" s="55"/>
      <c r="K976" s="56"/>
      <c r="L976" s="56"/>
      <c r="M976" s="56"/>
      <c r="N976" s="56"/>
      <c r="O976" s="56"/>
      <c r="P976" s="56"/>
      <c r="Q976" s="56"/>
      <c r="R976" s="56"/>
      <c r="S976" s="56"/>
      <c r="T976" s="33"/>
    </row>
    <row r="977" spans="1:20" ht="15.75" customHeight="1" x14ac:dyDescent="0.3">
      <c r="A977" s="33"/>
      <c r="B977" s="33"/>
      <c r="C977" s="33"/>
      <c r="D977" s="54"/>
      <c r="E977" s="33"/>
      <c r="F977" s="33"/>
      <c r="G977" s="55"/>
      <c r="H977" s="33"/>
      <c r="I977" s="33"/>
      <c r="J977" s="55"/>
      <c r="K977" s="56"/>
      <c r="L977" s="56"/>
      <c r="M977" s="56"/>
      <c r="N977" s="56"/>
      <c r="O977" s="56"/>
      <c r="P977" s="56"/>
      <c r="Q977" s="56"/>
      <c r="R977" s="56"/>
      <c r="S977" s="56"/>
      <c r="T977" s="33"/>
    </row>
    <row r="978" spans="1:20" ht="15.75" customHeight="1" x14ac:dyDescent="0.3">
      <c r="A978" s="33"/>
      <c r="B978" s="33"/>
      <c r="C978" s="33"/>
      <c r="D978" s="54"/>
      <c r="E978" s="33"/>
      <c r="F978" s="33"/>
      <c r="G978" s="55"/>
      <c r="H978" s="33"/>
      <c r="I978" s="33"/>
      <c r="J978" s="55"/>
      <c r="K978" s="56"/>
      <c r="L978" s="56"/>
      <c r="M978" s="56"/>
      <c r="N978" s="56"/>
      <c r="O978" s="56"/>
      <c r="P978" s="56"/>
      <c r="Q978" s="56"/>
      <c r="R978" s="56"/>
      <c r="S978" s="56"/>
      <c r="T978" s="33"/>
    </row>
    <row r="979" spans="1:20" ht="15.75" customHeight="1" x14ac:dyDescent="0.3">
      <c r="A979" s="33"/>
      <c r="B979" s="33"/>
      <c r="C979" s="33"/>
      <c r="D979" s="54"/>
      <c r="E979" s="33"/>
      <c r="F979" s="33"/>
      <c r="G979" s="55"/>
      <c r="H979" s="33"/>
      <c r="I979" s="33"/>
      <c r="J979" s="55"/>
      <c r="K979" s="56"/>
      <c r="L979" s="56"/>
      <c r="M979" s="56"/>
      <c r="N979" s="56"/>
      <c r="O979" s="56"/>
      <c r="P979" s="56"/>
      <c r="Q979" s="56"/>
      <c r="R979" s="56"/>
      <c r="S979" s="56"/>
      <c r="T979" s="33"/>
    </row>
    <row r="980" spans="1:20" ht="15.75" customHeight="1" x14ac:dyDescent="0.3">
      <c r="A980" s="33"/>
      <c r="B980" s="33"/>
      <c r="C980" s="33"/>
      <c r="D980" s="54"/>
      <c r="E980" s="33"/>
      <c r="F980" s="33"/>
      <c r="G980" s="55"/>
      <c r="H980" s="33"/>
      <c r="I980" s="33"/>
      <c r="J980" s="55"/>
      <c r="K980" s="56"/>
      <c r="L980" s="56"/>
      <c r="M980" s="56"/>
      <c r="N980" s="56"/>
      <c r="O980" s="56"/>
      <c r="P980" s="56"/>
      <c r="Q980" s="56"/>
      <c r="R980" s="56"/>
      <c r="S980" s="56"/>
      <c r="T980" s="33"/>
    </row>
    <row r="981" spans="1:20" ht="15.75" customHeight="1" x14ac:dyDescent="0.3">
      <c r="A981" s="33"/>
      <c r="B981" s="33"/>
      <c r="C981" s="33"/>
      <c r="D981" s="54"/>
      <c r="E981" s="33"/>
      <c r="F981" s="33"/>
      <c r="G981" s="55"/>
      <c r="H981" s="33"/>
      <c r="I981" s="33"/>
      <c r="J981" s="55"/>
      <c r="K981" s="56"/>
      <c r="L981" s="56"/>
      <c r="M981" s="56"/>
      <c r="N981" s="56"/>
      <c r="O981" s="56"/>
      <c r="P981" s="56"/>
      <c r="Q981" s="56"/>
      <c r="R981" s="56"/>
      <c r="S981" s="56"/>
      <c r="T981" s="33"/>
    </row>
    <row r="982" spans="1:20" ht="15.75" customHeight="1" x14ac:dyDescent="0.3">
      <c r="A982" s="33"/>
      <c r="B982" s="33"/>
      <c r="C982" s="33"/>
      <c r="D982" s="54"/>
      <c r="E982" s="33"/>
      <c r="F982" s="33"/>
      <c r="G982" s="55"/>
      <c r="H982" s="33"/>
      <c r="I982" s="33"/>
      <c r="J982" s="55"/>
      <c r="K982" s="56"/>
      <c r="L982" s="56"/>
      <c r="M982" s="56"/>
      <c r="N982" s="56"/>
      <c r="O982" s="56"/>
      <c r="P982" s="56"/>
      <c r="Q982" s="56"/>
      <c r="R982" s="56"/>
      <c r="S982" s="56"/>
      <c r="T982" s="33"/>
    </row>
    <row r="983" spans="1:20" ht="15.75" customHeight="1" x14ac:dyDescent="0.3">
      <c r="A983" s="33"/>
      <c r="B983" s="33"/>
      <c r="C983" s="33"/>
      <c r="D983" s="54"/>
      <c r="E983" s="33"/>
      <c r="F983" s="33"/>
      <c r="G983" s="55"/>
      <c r="H983" s="33"/>
      <c r="I983" s="33"/>
      <c r="J983" s="55"/>
      <c r="K983" s="56"/>
      <c r="L983" s="56"/>
      <c r="M983" s="56"/>
      <c r="N983" s="56"/>
      <c r="O983" s="56"/>
      <c r="P983" s="56"/>
      <c r="Q983" s="56"/>
      <c r="R983" s="56"/>
      <c r="S983" s="56"/>
      <c r="T983" s="33"/>
    </row>
    <row r="984" spans="1:20" ht="15.75" customHeight="1" x14ac:dyDescent="0.3">
      <c r="A984" s="33"/>
      <c r="B984" s="33"/>
      <c r="C984" s="33"/>
      <c r="D984" s="54"/>
      <c r="E984" s="33"/>
      <c r="F984" s="33"/>
      <c r="G984" s="55"/>
      <c r="H984" s="33"/>
      <c r="I984" s="33"/>
      <c r="J984" s="55"/>
      <c r="K984" s="56"/>
      <c r="L984" s="56"/>
      <c r="M984" s="56"/>
      <c r="N984" s="56"/>
      <c r="O984" s="56"/>
      <c r="P984" s="56"/>
      <c r="Q984" s="56"/>
      <c r="R984" s="56"/>
      <c r="S984" s="56"/>
      <c r="T984" s="33"/>
    </row>
    <row r="985" spans="1:20" ht="15.75" customHeight="1" x14ac:dyDescent="0.3">
      <c r="A985" s="33"/>
      <c r="B985" s="33"/>
      <c r="C985" s="33"/>
      <c r="D985" s="54"/>
      <c r="E985" s="33"/>
      <c r="F985" s="33"/>
      <c r="G985" s="55"/>
      <c r="H985" s="33"/>
      <c r="I985" s="33"/>
      <c r="J985" s="55"/>
      <c r="K985" s="56"/>
      <c r="L985" s="56"/>
      <c r="M985" s="56"/>
      <c r="N985" s="56"/>
      <c r="O985" s="56"/>
      <c r="P985" s="56"/>
      <c r="Q985" s="56"/>
      <c r="R985" s="56"/>
      <c r="S985" s="56"/>
      <c r="T985" s="33"/>
    </row>
    <row r="986" spans="1:20" ht="15.75" customHeight="1" x14ac:dyDescent="0.3">
      <c r="A986" s="33"/>
      <c r="B986" s="33"/>
      <c r="C986" s="33"/>
      <c r="D986" s="54"/>
      <c r="E986" s="33"/>
      <c r="F986" s="33"/>
      <c r="G986" s="55"/>
      <c r="H986" s="33"/>
      <c r="I986" s="33"/>
      <c r="J986" s="55"/>
      <c r="K986" s="56"/>
      <c r="L986" s="56"/>
      <c r="M986" s="56"/>
      <c r="N986" s="56"/>
      <c r="O986" s="56"/>
      <c r="P986" s="56"/>
      <c r="Q986" s="56"/>
      <c r="R986" s="56"/>
      <c r="S986" s="56"/>
      <c r="T986" s="33"/>
    </row>
    <row r="987" spans="1:20" ht="15.75" customHeight="1" x14ac:dyDescent="0.3">
      <c r="A987" s="33"/>
      <c r="B987" s="33"/>
      <c r="C987" s="33"/>
      <c r="D987" s="54"/>
      <c r="E987" s="33"/>
      <c r="F987" s="33"/>
      <c r="G987" s="55"/>
      <c r="H987" s="33"/>
      <c r="I987" s="33"/>
      <c r="J987" s="55"/>
      <c r="K987" s="56"/>
      <c r="L987" s="56"/>
      <c r="M987" s="56"/>
      <c r="N987" s="56"/>
      <c r="O987" s="56"/>
      <c r="P987" s="56"/>
      <c r="Q987" s="56"/>
      <c r="R987" s="56"/>
      <c r="S987" s="56"/>
      <c r="T987" s="33"/>
    </row>
    <row r="988" spans="1:20" ht="15.75" customHeight="1" x14ac:dyDescent="0.3">
      <c r="A988" s="33"/>
      <c r="B988" s="33"/>
      <c r="C988" s="33"/>
      <c r="D988" s="54"/>
      <c r="E988" s="33"/>
      <c r="F988" s="33"/>
      <c r="G988" s="55"/>
      <c r="H988" s="33"/>
      <c r="I988" s="33"/>
      <c r="J988" s="55"/>
      <c r="K988" s="56"/>
      <c r="L988" s="56"/>
      <c r="M988" s="56"/>
      <c r="N988" s="56"/>
      <c r="O988" s="56"/>
      <c r="P988" s="56"/>
      <c r="Q988" s="56"/>
      <c r="R988" s="56"/>
      <c r="S988" s="56"/>
      <c r="T988" s="33"/>
    </row>
    <row r="989" spans="1:20" ht="15.75" customHeight="1" x14ac:dyDescent="0.3">
      <c r="A989" s="33"/>
      <c r="B989" s="33"/>
      <c r="C989" s="33"/>
      <c r="D989" s="54"/>
      <c r="E989" s="33"/>
      <c r="F989" s="33"/>
      <c r="G989" s="55"/>
      <c r="H989" s="33"/>
      <c r="I989" s="33"/>
      <c r="J989" s="55"/>
      <c r="K989" s="56"/>
      <c r="L989" s="56"/>
      <c r="M989" s="56"/>
      <c r="N989" s="56"/>
      <c r="O989" s="56"/>
      <c r="P989" s="56"/>
      <c r="Q989" s="56"/>
      <c r="R989" s="56"/>
      <c r="S989" s="56"/>
      <c r="T989" s="33"/>
    </row>
    <row r="990" spans="1:20" ht="15.75" customHeight="1" x14ac:dyDescent="0.3">
      <c r="A990" s="33"/>
      <c r="B990" s="33"/>
      <c r="C990" s="33"/>
      <c r="D990" s="54"/>
      <c r="E990" s="33"/>
      <c r="F990" s="33"/>
      <c r="G990" s="55"/>
      <c r="H990" s="33"/>
      <c r="I990" s="33"/>
      <c r="J990" s="55"/>
      <c r="K990" s="56"/>
      <c r="L990" s="56"/>
      <c r="M990" s="56"/>
      <c r="N990" s="56"/>
      <c r="O990" s="56"/>
      <c r="P990" s="56"/>
      <c r="Q990" s="56"/>
      <c r="R990" s="56"/>
      <c r="S990" s="56"/>
      <c r="T990" s="33"/>
    </row>
    <row r="991" spans="1:20" ht="15.75" customHeight="1" x14ac:dyDescent="0.3">
      <c r="A991" s="33"/>
      <c r="B991" s="33"/>
      <c r="C991" s="33"/>
      <c r="D991" s="54"/>
      <c r="E991" s="33"/>
      <c r="F991" s="33"/>
      <c r="G991" s="55"/>
      <c r="H991" s="33"/>
      <c r="I991" s="33"/>
      <c r="J991" s="55"/>
      <c r="K991" s="56"/>
      <c r="L991" s="56"/>
      <c r="M991" s="56"/>
      <c r="N991" s="56"/>
      <c r="O991" s="56"/>
      <c r="P991" s="56"/>
      <c r="Q991" s="56"/>
      <c r="R991" s="56"/>
      <c r="S991" s="56"/>
      <c r="T991" s="33"/>
    </row>
    <row r="992" spans="1:20" ht="15.75" customHeight="1" x14ac:dyDescent="0.3">
      <c r="A992" s="33"/>
      <c r="B992" s="33"/>
      <c r="C992" s="33"/>
      <c r="D992" s="54"/>
      <c r="E992" s="33"/>
      <c r="F992" s="33"/>
      <c r="G992" s="55"/>
      <c r="H992" s="33"/>
      <c r="I992" s="33"/>
      <c r="J992" s="55"/>
      <c r="K992" s="56"/>
      <c r="L992" s="56"/>
      <c r="M992" s="56"/>
      <c r="N992" s="56"/>
      <c r="O992" s="56"/>
      <c r="P992" s="56"/>
      <c r="Q992" s="56"/>
      <c r="R992" s="56"/>
      <c r="S992" s="56"/>
      <c r="T992" s="33"/>
    </row>
    <row r="993" spans="1:20" ht="15.75" customHeight="1" x14ac:dyDescent="0.3">
      <c r="A993" s="33"/>
      <c r="B993" s="33"/>
      <c r="C993" s="33"/>
      <c r="D993" s="54"/>
      <c r="E993" s="33"/>
      <c r="F993" s="33"/>
      <c r="G993" s="55"/>
      <c r="H993" s="33"/>
      <c r="I993" s="33"/>
      <c r="J993" s="55"/>
      <c r="K993" s="56"/>
      <c r="L993" s="56"/>
      <c r="M993" s="56"/>
      <c r="N993" s="56"/>
      <c r="O993" s="56"/>
      <c r="P993" s="56"/>
      <c r="Q993" s="56"/>
      <c r="R993" s="56"/>
      <c r="S993" s="56"/>
      <c r="T993" s="33"/>
    </row>
    <row r="994" spans="1:20" ht="15.75" customHeight="1" x14ac:dyDescent="0.3">
      <c r="A994" s="33"/>
      <c r="B994" s="33"/>
      <c r="C994" s="33"/>
      <c r="D994" s="54"/>
      <c r="E994" s="33"/>
      <c r="F994" s="33"/>
      <c r="G994" s="55"/>
      <c r="H994" s="33"/>
      <c r="I994" s="33"/>
      <c r="J994" s="55"/>
      <c r="K994" s="56"/>
      <c r="L994" s="56"/>
      <c r="M994" s="56"/>
      <c r="N994" s="56"/>
      <c r="O994" s="56"/>
      <c r="P994" s="56"/>
      <c r="Q994" s="56"/>
      <c r="R994" s="56"/>
      <c r="S994" s="56"/>
      <c r="T994" s="33"/>
    </row>
    <row r="995" spans="1:20" ht="15.75" customHeight="1" x14ac:dyDescent="0.3">
      <c r="A995" s="33"/>
      <c r="B995" s="33"/>
      <c r="C995" s="33"/>
      <c r="D995" s="54"/>
      <c r="E995" s="33"/>
      <c r="F995" s="33"/>
      <c r="G995" s="55"/>
      <c r="H995" s="33"/>
      <c r="I995" s="33"/>
      <c r="J995" s="55"/>
      <c r="K995" s="56"/>
      <c r="L995" s="56"/>
      <c r="M995" s="56"/>
      <c r="N995" s="56"/>
      <c r="O995" s="56"/>
      <c r="P995" s="56"/>
      <c r="Q995" s="56"/>
      <c r="R995" s="56"/>
      <c r="S995" s="56"/>
      <c r="T995" s="33"/>
    </row>
    <row r="996" spans="1:20" ht="15.75" customHeight="1" x14ac:dyDescent="0.3">
      <c r="A996" s="33"/>
      <c r="B996" s="33"/>
      <c r="C996" s="33"/>
      <c r="D996" s="54"/>
      <c r="E996" s="33"/>
      <c r="F996" s="33"/>
      <c r="G996" s="55"/>
      <c r="H996" s="33"/>
      <c r="I996" s="33"/>
      <c r="J996" s="55"/>
      <c r="K996" s="56"/>
      <c r="L996" s="56"/>
      <c r="M996" s="56"/>
      <c r="N996" s="56"/>
      <c r="O996" s="56"/>
      <c r="P996" s="56"/>
      <c r="Q996" s="56"/>
      <c r="R996" s="56"/>
      <c r="S996" s="56"/>
      <c r="T996" s="33"/>
    </row>
    <row r="997" spans="1:20" ht="15.75" customHeight="1" x14ac:dyDescent="0.3">
      <c r="A997" s="33"/>
      <c r="B997" s="33"/>
      <c r="C997" s="33"/>
      <c r="D997" s="54"/>
      <c r="E997" s="33"/>
      <c r="F997" s="33"/>
      <c r="G997" s="55"/>
      <c r="H997" s="33"/>
      <c r="I997" s="33"/>
      <c r="J997" s="55"/>
      <c r="K997" s="56"/>
      <c r="L997" s="56"/>
      <c r="M997" s="56"/>
      <c r="N997" s="56"/>
      <c r="O997" s="56"/>
      <c r="P997" s="56"/>
      <c r="Q997" s="56"/>
      <c r="R997" s="56"/>
      <c r="S997" s="56"/>
      <c r="T997" s="33"/>
    </row>
    <row r="998" spans="1:20" ht="15.75" customHeight="1" x14ac:dyDescent="0.3">
      <c r="A998" s="33"/>
      <c r="B998" s="33"/>
      <c r="C998" s="33"/>
      <c r="D998" s="54"/>
      <c r="E998" s="33"/>
      <c r="F998" s="33"/>
      <c r="G998" s="55"/>
      <c r="H998" s="33"/>
      <c r="I998" s="33"/>
      <c r="J998" s="55"/>
      <c r="K998" s="56"/>
      <c r="L998" s="56"/>
      <c r="M998" s="56"/>
      <c r="N998" s="56"/>
      <c r="O998" s="56"/>
      <c r="P998" s="56"/>
      <c r="Q998" s="56"/>
      <c r="R998" s="56"/>
      <c r="S998" s="56"/>
      <c r="T998" s="33"/>
    </row>
    <row r="999" spans="1:20" ht="15.75" customHeight="1" x14ac:dyDescent="0.3">
      <c r="A999" s="33"/>
      <c r="B999" s="33"/>
      <c r="C999" s="33"/>
      <c r="D999" s="54"/>
      <c r="E999" s="33"/>
      <c r="F999" s="33"/>
      <c r="G999" s="55"/>
      <c r="H999" s="33"/>
      <c r="I999" s="33"/>
      <c r="J999" s="55"/>
      <c r="K999" s="56"/>
      <c r="L999" s="56"/>
      <c r="M999" s="56"/>
      <c r="N999" s="56"/>
      <c r="O999" s="56"/>
      <c r="P999" s="56"/>
      <c r="Q999" s="56"/>
      <c r="R999" s="56"/>
      <c r="S999" s="56"/>
      <c r="T999" s="33"/>
    </row>
    <row r="1000" spans="1:20" ht="15.75" customHeight="1" x14ac:dyDescent="0.3">
      <c r="A1000" s="33"/>
      <c r="B1000" s="33"/>
      <c r="C1000" s="33"/>
      <c r="D1000" s="54"/>
      <c r="E1000" s="33"/>
      <c r="F1000" s="33"/>
      <c r="G1000" s="55"/>
      <c r="H1000" s="33"/>
      <c r="I1000" s="33"/>
      <c r="J1000" s="55"/>
      <c r="K1000" s="56"/>
      <c r="L1000" s="56"/>
      <c r="M1000" s="56"/>
      <c r="N1000" s="56"/>
      <c r="O1000" s="56"/>
      <c r="P1000" s="56"/>
      <c r="Q1000" s="56"/>
      <c r="R1000" s="56"/>
      <c r="S1000" s="56"/>
      <c r="T1000" s="33"/>
    </row>
    <row r="1001" spans="1:20" ht="15.75" customHeight="1" x14ac:dyDescent="0.3">
      <c r="A1001" s="33"/>
      <c r="B1001" s="33"/>
      <c r="C1001" s="33"/>
      <c r="D1001" s="54"/>
      <c r="E1001" s="33"/>
      <c r="F1001" s="33"/>
      <c r="G1001" s="55"/>
      <c r="H1001" s="33"/>
      <c r="I1001" s="33"/>
      <c r="J1001" s="55"/>
      <c r="K1001" s="56"/>
      <c r="L1001" s="56"/>
      <c r="M1001" s="56"/>
      <c r="N1001" s="56"/>
      <c r="O1001" s="56"/>
      <c r="P1001" s="56"/>
      <c r="Q1001" s="56"/>
      <c r="R1001" s="56"/>
      <c r="S1001" s="56"/>
      <c r="T1001" s="33"/>
    </row>
    <row r="1002" spans="1:20" ht="15.75" customHeight="1" x14ac:dyDescent="0.3">
      <c r="A1002" s="33"/>
      <c r="B1002" s="33"/>
      <c r="C1002" s="33"/>
      <c r="D1002" s="54"/>
      <c r="E1002" s="33"/>
      <c r="F1002" s="33"/>
      <c r="G1002" s="55"/>
      <c r="H1002" s="33"/>
      <c r="I1002" s="33"/>
      <c r="J1002" s="55"/>
      <c r="K1002" s="56"/>
      <c r="L1002" s="56"/>
      <c r="M1002" s="56"/>
      <c r="N1002" s="56"/>
      <c r="O1002" s="56"/>
      <c r="P1002" s="56"/>
      <c r="Q1002" s="56"/>
      <c r="R1002" s="56"/>
      <c r="S1002" s="56"/>
      <c r="T1002" s="33"/>
    </row>
    <row r="1003" spans="1:20" ht="15.75" customHeight="1" x14ac:dyDescent="0.3">
      <c r="A1003" s="33"/>
      <c r="B1003" s="33"/>
      <c r="C1003" s="33"/>
      <c r="D1003" s="54"/>
      <c r="E1003" s="33"/>
      <c r="F1003" s="33"/>
      <c r="G1003" s="55"/>
      <c r="H1003" s="33"/>
      <c r="I1003" s="33"/>
      <c r="J1003" s="55"/>
      <c r="K1003" s="56"/>
      <c r="L1003" s="56"/>
      <c r="M1003" s="56"/>
      <c r="N1003" s="56"/>
      <c r="O1003" s="56"/>
      <c r="P1003" s="56"/>
      <c r="Q1003" s="56"/>
      <c r="R1003" s="56"/>
      <c r="S1003" s="56"/>
      <c r="T1003" s="33"/>
    </row>
    <row r="1004" spans="1:20" ht="15.75" customHeight="1" x14ac:dyDescent="0.3">
      <c r="A1004" s="33"/>
      <c r="B1004" s="33"/>
      <c r="C1004" s="33"/>
      <c r="D1004" s="54"/>
      <c r="E1004" s="33"/>
      <c r="F1004" s="33"/>
      <c r="G1004" s="55"/>
      <c r="H1004" s="33"/>
      <c r="I1004" s="33"/>
      <c r="J1004" s="55"/>
      <c r="K1004" s="56"/>
      <c r="L1004" s="56"/>
      <c r="M1004" s="56"/>
      <c r="N1004" s="56"/>
      <c r="O1004" s="56"/>
      <c r="P1004" s="56"/>
      <c r="Q1004" s="56"/>
      <c r="R1004" s="56"/>
      <c r="S1004" s="56"/>
      <c r="T1004" s="33"/>
    </row>
    <row r="1005" spans="1:20" ht="15.75" customHeight="1" x14ac:dyDescent="0.3">
      <c r="A1005" s="33"/>
      <c r="B1005" s="33"/>
      <c r="C1005" s="33"/>
      <c r="D1005" s="54"/>
      <c r="E1005" s="33"/>
      <c r="F1005" s="33"/>
      <c r="G1005" s="55"/>
      <c r="H1005" s="33"/>
      <c r="I1005" s="33"/>
      <c r="J1005" s="55"/>
      <c r="K1005" s="56"/>
      <c r="L1005" s="56"/>
      <c r="M1005" s="56"/>
      <c r="N1005" s="56"/>
      <c r="O1005" s="56"/>
      <c r="P1005" s="56"/>
      <c r="Q1005" s="56"/>
      <c r="R1005" s="56"/>
      <c r="S1005" s="56"/>
      <c r="T1005" s="33"/>
    </row>
    <row r="1006" spans="1:20" ht="15.75" customHeight="1" x14ac:dyDescent="0.3">
      <c r="A1006" s="33"/>
      <c r="B1006" s="33"/>
      <c r="C1006" s="33"/>
      <c r="D1006" s="54"/>
      <c r="E1006" s="33"/>
      <c r="F1006" s="33"/>
      <c r="G1006" s="55"/>
      <c r="H1006" s="33"/>
      <c r="I1006" s="33"/>
      <c r="J1006" s="55"/>
      <c r="K1006" s="56"/>
      <c r="L1006" s="56"/>
      <c r="M1006" s="56"/>
      <c r="N1006" s="56"/>
      <c r="O1006" s="56"/>
      <c r="P1006" s="56"/>
      <c r="Q1006" s="56"/>
      <c r="R1006" s="56"/>
      <c r="S1006" s="56"/>
      <c r="T1006" s="33"/>
    </row>
    <row r="1007" spans="1:20" ht="15.75" customHeight="1" x14ac:dyDescent="0.3">
      <c r="A1007" s="33"/>
      <c r="B1007" s="33"/>
      <c r="C1007" s="33"/>
      <c r="D1007" s="54"/>
      <c r="E1007" s="33"/>
      <c r="F1007" s="33"/>
      <c r="G1007" s="55"/>
      <c r="H1007" s="33"/>
      <c r="I1007" s="33"/>
      <c r="J1007" s="55"/>
      <c r="K1007" s="56"/>
      <c r="L1007" s="56"/>
      <c r="M1007" s="56"/>
      <c r="N1007" s="56"/>
      <c r="O1007" s="56"/>
      <c r="P1007" s="56"/>
      <c r="Q1007" s="56"/>
      <c r="R1007" s="56"/>
      <c r="S1007" s="56"/>
      <c r="T1007" s="33"/>
    </row>
    <row r="1008" spans="1:20" ht="15.75" customHeight="1" x14ac:dyDescent="0.3">
      <c r="A1008" s="33"/>
      <c r="B1008" s="33"/>
      <c r="C1008" s="33"/>
      <c r="D1008" s="54"/>
      <c r="E1008" s="33"/>
      <c r="F1008" s="33"/>
      <c r="G1008" s="55"/>
      <c r="H1008" s="33"/>
      <c r="I1008" s="33"/>
      <c r="J1008" s="55"/>
      <c r="K1008" s="56"/>
      <c r="L1008" s="56"/>
      <c r="M1008" s="56"/>
      <c r="N1008" s="56"/>
      <c r="O1008" s="56"/>
      <c r="P1008" s="56"/>
      <c r="Q1008" s="56"/>
      <c r="R1008" s="56"/>
      <c r="S1008" s="56"/>
      <c r="T1008" s="33"/>
    </row>
    <row r="1009" spans="1:20" ht="15.75" customHeight="1" x14ac:dyDescent="0.3">
      <c r="A1009" s="33"/>
      <c r="B1009" s="33"/>
      <c r="C1009" s="33"/>
      <c r="D1009" s="54"/>
      <c r="E1009" s="33"/>
      <c r="F1009" s="33"/>
      <c r="G1009" s="55"/>
      <c r="H1009" s="33"/>
      <c r="I1009" s="33"/>
      <c r="J1009" s="55"/>
      <c r="K1009" s="56"/>
      <c r="L1009" s="56"/>
      <c r="M1009" s="56"/>
      <c r="N1009" s="56"/>
      <c r="O1009" s="56"/>
      <c r="P1009" s="56"/>
      <c r="Q1009" s="56"/>
      <c r="R1009" s="56"/>
      <c r="S1009" s="56"/>
      <c r="T1009" s="33"/>
    </row>
    <row r="1010" spans="1:20" ht="15.75" customHeight="1" x14ac:dyDescent="0.3">
      <c r="A1010" s="33"/>
      <c r="B1010" s="33"/>
      <c r="C1010" s="33"/>
      <c r="D1010" s="54"/>
      <c r="E1010" s="33"/>
      <c r="F1010" s="33"/>
      <c r="G1010" s="55"/>
      <c r="H1010" s="33"/>
      <c r="I1010" s="33"/>
      <c r="J1010" s="55"/>
      <c r="K1010" s="56"/>
      <c r="L1010" s="56"/>
      <c r="M1010" s="56"/>
      <c r="N1010" s="56"/>
      <c r="O1010" s="56"/>
      <c r="P1010" s="56"/>
      <c r="Q1010" s="56"/>
      <c r="R1010" s="56"/>
      <c r="S1010" s="56"/>
      <c r="T1010" s="33"/>
    </row>
    <row r="1011" spans="1:20" ht="15.75" customHeight="1" x14ac:dyDescent="0.3">
      <c r="A1011" s="33"/>
      <c r="B1011" s="33"/>
      <c r="C1011" s="33"/>
      <c r="D1011" s="54"/>
      <c r="E1011" s="33"/>
      <c r="F1011" s="33"/>
      <c r="G1011" s="55"/>
      <c r="H1011" s="33"/>
      <c r="I1011" s="33"/>
      <c r="J1011" s="55"/>
      <c r="K1011" s="56"/>
      <c r="L1011" s="56"/>
      <c r="M1011" s="56"/>
      <c r="N1011" s="56"/>
      <c r="O1011" s="56"/>
      <c r="P1011" s="56"/>
      <c r="Q1011" s="56"/>
      <c r="R1011" s="56"/>
      <c r="S1011" s="56"/>
      <c r="T1011" s="33"/>
    </row>
    <row r="1012" spans="1:20" ht="15.75" customHeight="1" x14ac:dyDescent="0.3">
      <c r="A1012" s="33"/>
      <c r="B1012" s="33"/>
      <c r="C1012" s="33"/>
      <c r="D1012" s="54"/>
      <c r="E1012" s="33"/>
      <c r="F1012" s="33"/>
      <c r="G1012" s="55"/>
      <c r="H1012" s="33"/>
      <c r="I1012" s="33"/>
      <c r="J1012" s="55"/>
      <c r="K1012" s="56"/>
      <c r="L1012" s="56"/>
      <c r="M1012" s="56"/>
      <c r="N1012" s="56"/>
      <c r="O1012" s="56"/>
      <c r="P1012" s="56"/>
      <c r="Q1012" s="56"/>
      <c r="R1012" s="56"/>
      <c r="S1012" s="56"/>
      <c r="T1012" s="33"/>
    </row>
    <row r="1013" spans="1:20" ht="15.75" customHeight="1" x14ac:dyDescent="0.3">
      <c r="A1013" s="33"/>
      <c r="B1013" s="33"/>
      <c r="C1013" s="33"/>
      <c r="D1013" s="54"/>
      <c r="E1013" s="33"/>
      <c r="F1013" s="33"/>
      <c r="G1013" s="55"/>
      <c r="H1013" s="33"/>
      <c r="I1013" s="33"/>
      <c r="J1013" s="55"/>
      <c r="K1013" s="56"/>
      <c r="L1013" s="56"/>
      <c r="M1013" s="56"/>
      <c r="N1013" s="56"/>
      <c r="O1013" s="56"/>
      <c r="P1013" s="56"/>
      <c r="Q1013" s="56"/>
      <c r="R1013" s="56"/>
      <c r="S1013" s="56"/>
      <c r="T1013" s="33"/>
    </row>
    <row r="1014" spans="1:20" ht="15.75" customHeight="1" x14ac:dyDescent="0.3">
      <c r="A1014" s="33"/>
      <c r="B1014" s="33"/>
      <c r="C1014" s="33"/>
      <c r="D1014" s="54"/>
      <c r="E1014" s="33"/>
      <c r="F1014" s="33"/>
      <c r="G1014" s="55"/>
      <c r="H1014" s="33"/>
      <c r="I1014" s="33"/>
      <c r="J1014" s="55"/>
      <c r="K1014" s="56"/>
      <c r="L1014" s="56"/>
      <c r="M1014" s="56"/>
      <c r="N1014" s="56"/>
      <c r="O1014" s="56"/>
      <c r="P1014" s="56"/>
      <c r="Q1014" s="56"/>
      <c r="R1014" s="56"/>
      <c r="S1014" s="56"/>
      <c r="T1014" s="33"/>
    </row>
    <row r="1015" spans="1:20" ht="15.75" customHeight="1" x14ac:dyDescent="0.3">
      <c r="A1015" s="33"/>
      <c r="B1015" s="33"/>
      <c r="C1015" s="33"/>
      <c r="D1015" s="54"/>
      <c r="E1015" s="33"/>
      <c r="F1015" s="33"/>
      <c r="G1015" s="55"/>
      <c r="H1015" s="33"/>
      <c r="I1015" s="33"/>
      <c r="J1015" s="55"/>
      <c r="K1015" s="56"/>
      <c r="L1015" s="56"/>
      <c r="M1015" s="56"/>
      <c r="N1015" s="56"/>
      <c r="O1015" s="56"/>
      <c r="P1015" s="56"/>
      <c r="Q1015" s="56"/>
      <c r="R1015" s="56"/>
      <c r="S1015" s="56"/>
      <c r="T1015" s="33"/>
    </row>
    <row r="1016" spans="1:20" ht="15.75" customHeight="1" x14ac:dyDescent="0.3">
      <c r="A1016" s="33"/>
      <c r="B1016" s="33"/>
      <c r="C1016" s="33"/>
      <c r="D1016" s="54"/>
      <c r="E1016" s="33"/>
      <c r="F1016" s="33"/>
      <c r="G1016" s="55"/>
      <c r="H1016" s="33"/>
      <c r="I1016" s="33"/>
      <c r="J1016" s="55"/>
      <c r="K1016" s="56"/>
      <c r="L1016" s="56"/>
      <c r="M1016" s="56"/>
      <c r="N1016" s="56"/>
      <c r="O1016" s="56"/>
      <c r="P1016" s="56"/>
      <c r="Q1016" s="56"/>
      <c r="R1016" s="56"/>
      <c r="S1016" s="56"/>
      <c r="T1016" s="33"/>
    </row>
    <row r="1017" spans="1:20" ht="15.75" customHeight="1" x14ac:dyDescent="0.3">
      <c r="A1017" s="33"/>
      <c r="B1017" s="33"/>
      <c r="C1017" s="33"/>
      <c r="D1017" s="54"/>
      <c r="E1017" s="33"/>
      <c r="F1017" s="33"/>
      <c r="G1017" s="55"/>
      <c r="H1017" s="33"/>
      <c r="I1017" s="33"/>
      <c r="J1017" s="55"/>
      <c r="K1017" s="56"/>
      <c r="L1017" s="56"/>
      <c r="M1017" s="56"/>
      <c r="N1017" s="56"/>
      <c r="O1017" s="56"/>
      <c r="P1017" s="56"/>
      <c r="Q1017" s="56"/>
      <c r="R1017" s="56"/>
      <c r="S1017" s="56"/>
      <c r="T1017" s="33"/>
    </row>
    <row r="1018" spans="1:20" ht="15.75" customHeight="1" x14ac:dyDescent="0.3">
      <c r="A1018" s="33"/>
      <c r="B1018" s="33"/>
      <c r="C1018" s="33"/>
      <c r="D1018" s="54"/>
      <c r="E1018" s="33"/>
      <c r="F1018" s="33"/>
      <c r="G1018" s="55"/>
      <c r="H1018" s="33"/>
      <c r="I1018" s="33"/>
      <c r="J1018" s="55"/>
      <c r="K1018" s="56"/>
      <c r="L1018" s="56"/>
      <c r="M1018" s="56"/>
      <c r="N1018" s="56"/>
      <c r="O1018" s="56"/>
      <c r="P1018" s="56"/>
      <c r="Q1018" s="56"/>
      <c r="R1018" s="56"/>
      <c r="S1018" s="56"/>
      <c r="T1018" s="33"/>
    </row>
    <row r="1019" spans="1:20" ht="15.75" customHeight="1" x14ac:dyDescent="0.3">
      <c r="A1019" s="33"/>
      <c r="B1019" s="33"/>
      <c r="C1019" s="33"/>
      <c r="D1019" s="54"/>
      <c r="E1019" s="33"/>
      <c r="F1019" s="33"/>
      <c r="G1019" s="55"/>
      <c r="H1019" s="33"/>
      <c r="I1019" s="33"/>
      <c r="J1019" s="55"/>
      <c r="K1019" s="56"/>
      <c r="L1019" s="56"/>
      <c r="M1019" s="56"/>
      <c r="N1019" s="56"/>
      <c r="O1019" s="56"/>
      <c r="P1019" s="56"/>
      <c r="Q1019" s="56"/>
      <c r="R1019" s="56"/>
      <c r="S1019" s="56"/>
      <c r="T1019" s="33"/>
    </row>
    <row r="1020" spans="1:20" ht="15.75" customHeight="1" x14ac:dyDescent="0.3">
      <c r="A1020" s="33"/>
      <c r="B1020" s="33"/>
      <c r="C1020" s="33"/>
      <c r="D1020" s="54"/>
      <c r="E1020" s="33"/>
      <c r="F1020" s="33"/>
      <c r="G1020" s="55"/>
      <c r="H1020" s="33"/>
      <c r="I1020" s="33"/>
      <c r="J1020" s="55"/>
      <c r="K1020" s="56"/>
      <c r="L1020" s="56"/>
      <c r="M1020" s="56"/>
      <c r="N1020" s="56"/>
      <c r="O1020" s="56"/>
      <c r="P1020" s="56"/>
      <c r="Q1020" s="56"/>
      <c r="R1020" s="56"/>
      <c r="S1020" s="56"/>
      <c r="T1020" s="33"/>
    </row>
    <row r="1021" spans="1:20" ht="15.75" customHeight="1" x14ac:dyDescent="0.3">
      <c r="A1021" s="33"/>
      <c r="B1021" s="33"/>
      <c r="C1021" s="33"/>
      <c r="D1021" s="54"/>
      <c r="E1021" s="33"/>
      <c r="F1021" s="33"/>
      <c r="G1021" s="55"/>
      <c r="H1021" s="33"/>
      <c r="I1021" s="33"/>
      <c r="J1021" s="55"/>
      <c r="K1021" s="56"/>
      <c r="L1021" s="56"/>
      <c r="M1021" s="56"/>
      <c r="N1021" s="56"/>
      <c r="O1021" s="56"/>
      <c r="P1021" s="56"/>
      <c r="Q1021" s="56"/>
      <c r="R1021" s="56"/>
      <c r="S1021" s="56"/>
      <c r="T1021" s="33"/>
    </row>
    <row r="1022" spans="1:20" ht="15.75" customHeight="1" x14ac:dyDescent="0.3">
      <c r="A1022" s="33"/>
      <c r="B1022" s="33"/>
      <c r="C1022" s="33"/>
      <c r="D1022" s="54"/>
      <c r="E1022" s="33"/>
      <c r="F1022" s="33"/>
      <c r="G1022" s="55"/>
      <c r="H1022" s="33"/>
      <c r="I1022" s="33"/>
      <c r="J1022" s="55"/>
      <c r="K1022" s="56"/>
      <c r="L1022" s="56"/>
      <c r="M1022" s="56"/>
      <c r="N1022" s="56"/>
      <c r="O1022" s="56"/>
      <c r="P1022" s="56"/>
      <c r="Q1022" s="56"/>
      <c r="R1022" s="56"/>
      <c r="S1022" s="56"/>
      <c r="T1022" s="33"/>
    </row>
    <row r="1023" spans="1:20" ht="15.75" customHeight="1" x14ac:dyDescent="0.3">
      <c r="A1023" s="33"/>
      <c r="B1023" s="33"/>
      <c r="C1023" s="33"/>
      <c r="D1023" s="54"/>
      <c r="E1023" s="33"/>
      <c r="F1023" s="33"/>
      <c r="G1023" s="55"/>
      <c r="H1023" s="33"/>
      <c r="I1023" s="33"/>
      <c r="J1023" s="55"/>
      <c r="K1023" s="56"/>
      <c r="L1023" s="56"/>
      <c r="M1023" s="56"/>
      <c r="N1023" s="56"/>
      <c r="O1023" s="56"/>
      <c r="P1023" s="56"/>
      <c r="Q1023" s="56"/>
      <c r="R1023" s="56"/>
      <c r="S1023" s="56"/>
      <c r="T1023" s="33"/>
    </row>
    <row r="1024" spans="1:20" ht="15.75" customHeight="1" x14ac:dyDescent="0.3">
      <c r="A1024" s="33"/>
      <c r="B1024" s="33"/>
      <c r="C1024" s="33"/>
      <c r="D1024" s="54"/>
      <c r="E1024" s="33"/>
      <c r="F1024" s="33"/>
      <c r="G1024" s="55"/>
      <c r="H1024" s="33"/>
      <c r="I1024" s="33"/>
      <c r="J1024" s="55"/>
      <c r="K1024" s="56"/>
      <c r="L1024" s="56"/>
      <c r="M1024" s="56"/>
      <c r="N1024" s="56"/>
      <c r="O1024" s="56"/>
      <c r="P1024" s="56"/>
      <c r="Q1024" s="56"/>
      <c r="R1024" s="56"/>
      <c r="S1024" s="56"/>
      <c r="T1024" s="33"/>
    </row>
    <row r="1025" spans="1:20" ht="15.75" customHeight="1" x14ac:dyDescent="0.3">
      <c r="A1025" s="33"/>
      <c r="B1025" s="33"/>
      <c r="C1025" s="33"/>
      <c r="D1025" s="54"/>
      <c r="E1025" s="33"/>
      <c r="F1025" s="33"/>
      <c r="G1025" s="55"/>
      <c r="H1025" s="33"/>
      <c r="I1025" s="33"/>
      <c r="J1025" s="55"/>
      <c r="K1025" s="56"/>
      <c r="L1025" s="56"/>
      <c r="M1025" s="56"/>
      <c r="N1025" s="56"/>
      <c r="O1025" s="56"/>
      <c r="P1025" s="56"/>
      <c r="Q1025" s="56"/>
      <c r="R1025" s="56"/>
      <c r="S1025" s="56"/>
      <c r="T1025" s="33"/>
    </row>
    <row r="1026" spans="1:20" ht="15.75" customHeight="1" x14ac:dyDescent="0.3">
      <c r="A1026" s="33"/>
      <c r="B1026" s="33"/>
      <c r="C1026" s="33"/>
      <c r="D1026" s="54"/>
      <c r="E1026" s="33"/>
      <c r="F1026" s="33"/>
      <c r="G1026" s="55"/>
      <c r="H1026" s="33"/>
      <c r="I1026" s="33"/>
      <c r="J1026" s="55"/>
      <c r="K1026" s="56"/>
      <c r="L1026" s="56"/>
      <c r="M1026" s="56"/>
      <c r="N1026" s="56"/>
      <c r="O1026" s="56"/>
      <c r="P1026" s="56"/>
      <c r="Q1026" s="56"/>
      <c r="R1026" s="56"/>
      <c r="S1026" s="56"/>
      <c r="T1026" s="33"/>
    </row>
    <row r="1027" spans="1:20" ht="15.75" customHeight="1" x14ac:dyDescent="0.3">
      <c r="A1027" s="33"/>
      <c r="B1027" s="33"/>
      <c r="C1027" s="33"/>
      <c r="D1027" s="54"/>
      <c r="E1027" s="33"/>
      <c r="F1027" s="33"/>
      <c r="G1027" s="55"/>
      <c r="H1027" s="33"/>
      <c r="I1027" s="33"/>
      <c r="J1027" s="55"/>
      <c r="K1027" s="56"/>
      <c r="L1027" s="56"/>
      <c r="M1027" s="56"/>
      <c r="N1027" s="56"/>
      <c r="O1027" s="56"/>
      <c r="P1027" s="56"/>
      <c r="Q1027" s="56"/>
      <c r="R1027" s="56"/>
      <c r="S1027" s="56"/>
      <c r="T1027" s="33"/>
    </row>
    <row r="1028" spans="1:20" ht="15.75" customHeight="1" x14ac:dyDescent="0.3">
      <c r="A1028" s="33"/>
      <c r="B1028" s="33"/>
      <c r="C1028" s="33"/>
      <c r="D1028" s="54"/>
      <c r="E1028" s="33"/>
      <c r="F1028" s="33"/>
      <c r="G1028" s="55"/>
      <c r="H1028" s="33"/>
      <c r="I1028" s="33"/>
      <c r="J1028" s="55"/>
      <c r="K1028" s="56"/>
      <c r="L1028" s="56"/>
      <c r="M1028" s="56"/>
      <c r="N1028" s="56"/>
      <c r="O1028" s="56"/>
      <c r="P1028" s="56"/>
      <c r="Q1028" s="56"/>
      <c r="R1028" s="56"/>
      <c r="S1028" s="56"/>
      <c r="T1028" s="33"/>
    </row>
  </sheetData>
  <mergeCells count="18">
    <mergeCell ref="A68:A71"/>
    <mergeCell ref="B68:B71"/>
    <mergeCell ref="A72:A74"/>
    <mergeCell ref="B72:B74"/>
    <mergeCell ref="A24:A36"/>
    <mergeCell ref="B24:B36"/>
    <mergeCell ref="A52:A64"/>
    <mergeCell ref="B52:B64"/>
    <mergeCell ref="A65:A67"/>
    <mergeCell ref="B65:B67"/>
    <mergeCell ref="A3:A23"/>
    <mergeCell ref="B3:B23"/>
    <mergeCell ref="A37:A39"/>
    <mergeCell ref="B37:B39"/>
    <mergeCell ref="B42:B51"/>
    <mergeCell ref="A42:A51"/>
    <mergeCell ref="A40:A41"/>
    <mergeCell ref="B40:B41"/>
  </mergeCells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6FF9-D61F-42FA-8A7E-CBBAF6EECED1}">
  <sheetPr>
    <tabColor theme="1" tint="4.9989318521683403E-2"/>
  </sheetPr>
  <dimension ref="A1:G59"/>
  <sheetViews>
    <sheetView workbookViewId="0">
      <selection activeCell="G14" sqref="G14"/>
    </sheetView>
  </sheetViews>
  <sheetFormatPr baseColWidth="10" defaultRowHeight="13.8" x14ac:dyDescent="0.3"/>
  <cols>
    <col min="1" max="1" width="51.33203125" style="1" bestFit="1" customWidth="1"/>
    <col min="2" max="3" width="25.77734375" style="3" customWidth="1"/>
    <col min="4" max="6" width="6.33203125" style="1" customWidth="1"/>
    <col min="7" max="7" width="27.109375" style="1" bestFit="1" customWidth="1"/>
    <col min="8" max="16384" width="11.5546875" style="1"/>
  </cols>
  <sheetData>
    <row r="1" spans="1:7" s="14" customFormat="1" ht="29.4" customHeight="1" x14ac:dyDescent="0.3">
      <c r="A1" s="14" t="s">
        <v>100</v>
      </c>
      <c r="B1" s="14" t="s">
        <v>174</v>
      </c>
      <c r="C1" s="14" t="s">
        <v>0</v>
      </c>
      <c r="G1" s="14" t="s">
        <v>108</v>
      </c>
    </row>
    <row r="2" spans="1:7" x14ac:dyDescent="0.3">
      <c r="A2" s="1" t="s">
        <v>19</v>
      </c>
      <c r="B2" s="3" t="s">
        <v>150</v>
      </c>
      <c r="C2" s="3" t="s">
        <v>18</v>
      </c>
      <c r="G2" s="199" t="s">
        <v>3244</v>
      </c>
    </row>
    <row r="3" spans="1:7" x14ac:dyDescent="0.3">
      <c r="A3" s="1" t="s">
        <v>177</v>
      </c>
      <c r="B3" s="3" t="s">
        <v>22</v>
      </c>
      <c r="C3" s="3" t="s">
        <v>23</v>
      </c>
      <c r="G3" s="228" t="s">
        <v>3249</v>
      </c>
    </row>
    <row r="4" spans="1:7" x14ac:dyDescent="0.3">
      <c r="A4" s="1" t="s">
        <v>125</v>
      </c>
      <c r="B4" s="3" t="s">
        <v>22</v>
      </c>
      <c r="C4" s="3" t="s">
        <v>24</v>
      </c>
      <c r="G4" s="199" t="s">
        <v>1522</v>
      </c>
    </row>
    <row r="5" spans="1:7" x14ac:dyDescent="0.3">
      <c r="A5" s="1" t="s">
        <v>143</v>
      </c>
      <c r="B5" s="3" t="s">
        <v>22</v>
      </c>
      <c r="C5" s="3" t="s">
        <v>26</v>
      </c>
      <c r="G5" s="199" t="s">
        <v>133</v>
      </c>
    </row>
    <row r="6" spans="1:7" x14ac:dyDescent="0.3">
      <c r="A6" s="1" t="s">
        <v>110</v>
      </c>
      <c r="B6" s="3" t="s">
        <v>22</v>
      </c>
      <c r="C6" s="3" t="s">
        <v>27</v>
      </c>
      <c r="G6" s="33" t="s">
        <v>176</v>
      </c>
    </row>
    <row r="7" spans="1:7" x14ac:dyDescent="0.3">
      <c r="A7" s="1" t="s">
        <v>115</v>
      </c>
      <c r="B7" s="3" t="s">
        <v>22</v>
      </c>
      <c r="C7" s="3" t="s">
        <v>29</v>
      </c>
      <c r="G7" s="34" t="s">
        <v>225</v>
      </c>
    </row>
    <row r="8" spans="1:7" x14ac:dyDescent="0.3">
      <c r="A8" s="1" t="s">
        <v>151</v>
      </c>
      <c r="B8" s="3" t="s">
        <v>22</v>
      </c>
      <c r="C8" s="3" t="s">
        <v>31</v>
      </c>
      <c r="G8" s="77" t="s">
        <v>137</v>
      </c>
    </row>
    <row r="9" spans="1:7" x14ac:dyDescent="0.3">
      <c r="A9" s="1" t="s">
        <v>114</v>
      </c>
      <c r="B9" s="3" t="s">
        <v>22</v>
      </c>
      <c r="C9" s="3" t="s">
        <v>33</v>
      </c>
      <c r="G9" s="227" t="s">
        <v>3251</v>
      </c>
    </row>
    <row r="10" spans="1:7" x14ac:dyDescent="0.3">
      <c r="A10" s="1" t="s">
        <v>152</v>
      </c>
      <c r="B10" s="3" t="s">
        <v>22</v>
      </c>
      <c r="C10" s="3" t="s">
        <v>35</v>
      </c>
      <c r="G10" s="227" t="s">
        <v>3252</v>
      </c>
    </row>
    <row r="11" spans="1:7" x14ac:dyDescent="0.3">
      <c r="A11" s="1" t="s">
        <v>128</v>
      </c>
      <c r="B11" s="3" t="s">
        <v>22</v>
      </c>
      <c r="C11" s="3" t="s">
        <v>36</v>
      </c>
      <c r="G11" s="227" t="s">
        <v>3248</v>
      </c>
    </row>
    <row r="12" spans="1:7" x14ac:dyDescent="0.3">
      <c r="A12" s="1" t="s">
        <v>134</v>
      </c>
      <c r="B12" s="3" t="s">
        <v>22</v>
      </c>
      <c r="C12" s="3" t="s">
        <v>37</v>
      </c>
      <c r="G12" s="227" t="s">
        <v>3250</v>
      </c>
    </row>
    <row r="13" spans="1:7" x14ac:dyDescent="0.3">
      <c r="A13" s="1" t="s">
        <v>121</v>
      </c>
      <c r="B13" s="3" t="s">
        <v>22</v>
      </c>
      <c r="C13" s="3" t="s">
        <v>39</v>
      </c>
      <c r="G13" s="230" t="s">
        <v>1265</v>
      </c>
    </row>
    <row r="14" spans="1:7" x14ac:dyDescent="0.3">
      <c r="A14" s="1" t="s">
        <v>153</v>
      </c>
      <c r="B14" s="3" t="s">
        <v>22</v>
      </c>
      <c r="C14" s="3" t="s">
        <v>41</v>
      </c>
      <c r="G14" s="227" t="s">
        <v>3253</v>
      </c>
    </row>
    <row r="15" spans="1:7" x14ac:dyDescent="0.3">
      <c r="A15" s="1" t="s">
        <v>154</v>
      </c>
      <c r="B15" s="3" t="s">
        <v>22</v>
      </c>
      <c r="C15" s="3" t="s">
        <v>42</v>
      </c>
      <c r="G15" s="227" t="s">
        <v>3253</v>
      </c>
    </row>
    <row r="16" spans="1:7" x14ac:dyDescent="0.3">
      <c r="A16" s="1" t="s">
        <v>155</v>
      </c>
      <c r="B16" s="3" t="s">
        <v>22</v>
      </c>
      <c r="C16" s="3" t="s">
        <v>43</v>
      </c>
      <c r="G16" s="230" t="s">
        <v>3253</v>
      </c>
    </row>
    <row r="17" spans="1:7" x14ac:dyDescent="0.3">
      <c r="A17" s="1" t="s">
        <v>178</v>
      </c>
      <c r="B17" s="3" t="s">
        <v>22</v>
      </c>
      <c r="C17" s="3" t="s">
        <v>44</v>
      </c>
      <c r="G17" s="199"/>
    </row>
    <row r="18" spans="1:7" x14ac:dyDescent="0.3">
      <c r="A18" s="1" t="s">
        <v>156</v>
      </c>
      <c r="B18" s="3" t="s">
        <v>22</v>
      </c>
      <c r="C18" s="3" t="s">
        <v>45</v>
      </c>
      <c r="G18" s="199"/>
    </row>
    <row r="19" spans="1:7" x14ac:dyDescent="0.3">
      <c r="A19" s="1" t="s">
        <v>157</v>
      </c>
      <c r="B19" s="3" t="s">
        <v>22</v>
      </c>
      <c r="C19" s="3" t="s">
        <v>46</v>
      </c>
      <c r="G19" s="199"/>
    </row>
    <row r="20" spans="1:7" x14ac:dyDescent="0.3">
      <c r="A20" s="1" t="s">
        <v>158</v>
      </c>
      <c r="B20" s="3" t="s">
        <v>22</v>
      </c>
      <c r="C20" s="3" t="s">
        <v>47</v>
      </c>
    </row>
    <row r="21" spans="1:7" x14ac:dyDescent="0.3">
      <c r="A21" s="1" t="s">
        <v>159</v>
      </c>
      <c r="B21" s="3" t="s">
        <v>49</v>
      </c>
      <c r="C21" s="3" t="s">
        <v>50</v>
      </c>
    </row>
    <row r="22" spans="1:7" x14ac:dyDescent="0.3">
      <c r="A22" s="1" t="s">
        <v>113</v>
      </c>
      <c r="B22" s="3" t="s">
        <v>49</v>
      </c>
      <c r="C22" s="3" t="s">
        <v>52</v>
      </c>
    </row>
    <row r="23" spans="1:7" x14ac:dyDescent="0.3">
      <c r="A23" s="1" t="s">
        <v>160</v>
      </c>
      <c r="B23" s="3" t="s">
        <v>49</v>
      </c>
      <c r="C23" s="3" t="s">
        <v>53</v>
      </c>
    </row>
    <row r="24" spans="1:7" x14ac:dyDescent="0.3">
      <c r="A24" s="1" t="s">
        <v>117</v>
      </c>
      <c r="B24" s="77" t="s">
        <v>49</v>
      </c>
      <c r="C24" s="3" t="s">
        <v>423</v>
      </c>
    </row>
    <row r="25" spans="1:7" x14ac:dyDescent="0.3">
      <c r="A25" s="1" t="s">
        <v>162</v>
      </c>
      <c r="B25" s="3" t="s">
        <v>49</v>
      </c>
      <c r="C25" s="3" t="s">
        <v>55</v>
      </c>
    </row>
    <row r="26" spans="1:7" x14ac:dyDescent="0.3">
      <c r="A26" s="1" t="s">
        <v>145</v>
      </c>
      <c r="B26" s="3" t="s">
        <v>49</v>
      </c>
      <c r="C26" s="3" t="s">
        <v>56</v>
      </c>
    </row>
    <row r="27" spans="1:7" x14ac:dyDescent="0.3">
      <c r="A27" s="1" t="s">
        <v>163</v>
      </c>
      <c r="B27" s="3" t="s">
        <v>49</v>
      </c>
      <c r="C27" s="3" t="s">
        <v>57</v>
      </c>
    </row>
    <row r="28" spans="1:7" x14ac:dyDescent="0.3">
      <c r="A28" s="1" t="s">
        <v>165</v>
      </c>
      <c r="B28" s="3" t="s">
        <v>49</v>
      </c>
      <c r="C28" s="3" t="s">
        <v>164</v>
      </c>
    </row>
    <row r="29" spans="1:7" x14ac:dyDescent="0.3">
      <c r="A29" s="1" t="s">
        <v>111</v>
      </c>
      <c r="B29" s="3" t="s">
        <v>49</v>
      </c>
      <c r="C29" s="3" t="s">
        <v>112</v>
      </c>
    </row>
    <row r="30" spans="1:7" x14ac:dyDescent="0.3">
      <c r="A30" s="1" t="s">
        <v>141</v>
      </c>
      <c r="B30" s="3" t="s">
        <v>49</v>
      </c>
      <c r="C30" s="3" t="s">
        <v>131</v>
      </c>
    </row>
    <row r="31" spans="1:7" x14ac:dyDescent="0.3">
      <c r="A31" s="32" t="s">
        <v>224</v>
      </c>
      <c r="B31" s="34" t="s">
        <v>61</v>
      </c>
      <c r="C31" s="3" t="s">
        <v>62</v>
      </c>
    </row>
    <row r="32" spans="1:7" x14ac:dyDescent="0.3">
      <c r="A32" s="1" t="s">
        <v>130</v>
      </c>
      <c r="B32" s="34" t="s">
        <v>61</v>
      </c>
      <c r="C32" s="178" t="s">
        <v>64</v>
      </c>
    </row>
    <row r="33" spans="1:3" x14ac:dyDescent="0.3">
      <c r="A33" s="1" t="s">
        <v>196</v>
      </c>
      <c r="B33" s="3" t="s">
        <v>137</v>
      </c>
      <c r="C33" s="3" t="s">
        <v>66</v>
      </c>
    </row>
    <row r="34" spans="1:3" x14ac:dyDescent="0.3">
      <c r="A34" s="1" t="s">
        <v>109</v>
      </c>
      <c r="B34" s="3" t="s">
        <v>138</v>
      </c>
      <c r="C34" s="3" t="s">
        <v>69</v>
      </c>
    </row>
    <row r="35" spans="1:3" x14ac:dyDescent="0.3">
      <c r="A35" s="1" t="s">
        <v>140</v>
      </c>
      <c r="B35" s="3" t="s">
        <v>138</v>
      </c>
      <c r="C35" s="3" t="s">
        <v>70</v>
      </c>
    </row>
    <row r="36" spans="1:3" x14ac:dyDescent="0.3">
      <c r="A36" s="1" t="s">
        <v>166</v>
      </c>
      <c r="B36" s="3" t="s">
        <v>138</v>
      </c>
      <c r="C36" s="3" t="s">
        <v>71</v>
      </c>
    </row>
    <row r="37" spans="1:3" x14ac:dyDescent="0.3">
      <c r="A37" s="1" t="s">
        <v>167</v>
      </c>
      <c r="B37" s="3" t="s">
        <v>138</v>
      </c>
      <c r="C37" s="3" t="s">
        <v>72</v>
      </c>
    </row>
    <row r="38" spans="1:3" x14ac:dyDescent="0.3">
      <c r="A38" s="1" t="s">
        <v>161</v>
      </c>
      <c r="B38" s="3" t="s">
        <v>138</v>
      </c>
      <c r="C38" s="3" t="s">
        <v>54</v>
      </c>
    </row>
    <row r="39" spans="1:3" x14ac:dyDescent="0.3">
      <c r="A39" s="1" t="s">
        <v>221</v>
      </c>
      <c r="B39" s="3" t="s">
        <v>138</v>
      </c>
      <c r="C39" s="3" t="s">
        <v>73</v>
      </c>
    </row>
    <row r="40" spans="1:3" x14ac:dyDescent="0.3">
      <c r="A40" s="1" t="s">
        <v>144</v>
      </c>
      <c r="B40" s="3" t="s">
        <v>138</v>
      </c>
      <c r="C40" s="3" t="s">
        <v>211</v>
      </c>
    </row>
    <row r="41" spans="1:3" x14ac:dyDescent="0.3">
      <c r="A41" s="83" t="s">
        <v>424</v>
      </c>
      <c r="B41" s="3" t="s">
        <v>138</v>
      </c>
      <c r="C41" s="3" t="s">
        <v>212</v>
      </c>
    </row>
    <row r="42" spans="1:3" x14ac:dyDescent="0.3">
      <c r="A42" s="1" t="s">
        <v>126</v>
      </c>
      <c r="B42" s="3" t="s">
        <v>75</v>
      </c>
      <c r="C42" s="3" t="s">
        <v>127</v>
      </c>
    </row>
    <row r="43" spans="1:3" x14ac:dyDescent="0.3">
      <c r="A43" s="1" t="s">
        <v>168</v>
      </c>
      <c r="B43" s="3" t="s">
        <v>75</v>
      </c>
      <c r="C43" s="3" t="s">
        <v>122</v>
      </c>
    </row>
    <row r="44" spans="1:3" x14ac:dyDescent="0.3">
      <c r="A44" s="1" t="s">
        <v>123</v>
      </c>
      <c r="B44" s="3" t="s">
        <v>75</v>
      </c>
      <c r="C44" s="3" t="s">
        <v>124</v>
      </c>
    </row>
    <row r="45" spans="1:3" x14ac:dyDescent="0.3">
      <c r="A45" s="1" t="s">
        <v>147</v>
      </c>
      <c r="B45" s="3" t="s">
        <v>75</v>
      </c>
      <c r="C45" s="3" t="s">
        <v>129</v>
      </c>
    </row>
    <row r="46" spans="1:3" x14ac:dyDescent="0.3">
      <c r="A46" s="1" t="s">
        <v>139</v>
      </c>
      <c r="B46" s="3" t="s">
        <v>75</v>
      </c>
      <c r="C46" s="3" t="s">
        <v>132</v>
      </c>
    </row>
    <row r="47" spans="1:3" x14ac:dyDescent="0.3">
      <c r="A47" s="1" t="s">
        <v>169</v>
      </c>
      <c r="B47" s="3" t="s">
        <v>75</v>
      </c>
      <c r="C47" s="3" t="s">
        <v>76</v>
      </c>
    </row>
    <row r="48" spans="1:3" x14ac:dyDescent="0.3">
      <c r="A48" s="1" t="s">
        <v>142</v>
      </c>
      <c r="B48" s="3" t="s">
        <v>75</v>
      </c>
      <c r="C48" s="3" t="s">
        <v>78</v>
      </c>
    </row>
    <row r="49" spans="1:3" x14ac:dyDescent="0.3">
      <c r="A49" s="1" t="s">
        <v>170</v>
      </c>
      <c r="B49" s="3" t="s">
        <v>75</v>
      </c>
      <c r="C49" s="3" t="s">
        <v>79</v>
      </c>
    </row>
    <row r="50" spans="1:3" x14ac:dyDescent="0.3">
      <c r="A50" s="1" t="s">
        <v>201</v>
      </c>
      <c r="B50" s="3" t="s">
        <v>75</v>
      </c>
      <c r="C50" s="3" t="s">
        <v>80</v>
      </c>
    </row>
    <row r="51" spans="1:3" x14ac:dyDescent="0.3">
      <c r="A51" s="1" t="s">
        <v>202</v>
      </c>
      <c r="B51" s="3" t="s">
        <v>75</v>
      </c>
      <c r="C51" s="3" t="s">
        <v>81</v>
      </c>
    </row>
    <row r="52" spans="1:3" x14ac:dyDescent="0.3">
      <c r="A52" s="1" t="s">
        <v>148</v>
      </c>
      <c r="B52" s="3" t="s">
        <v>84</v>
      </c>
      <c r="C52" s="3" t="s">
        <v>85</v>
      </c>
    </row>
    <row r="53" spans="1:3" x14ac:dyDescent="0.3">
      <c r="A53" s="1" t="s">
        <v>135</v>
      </c>
      <c r="B53" s="3" t="s">
        <v>84</v>
      </c>
      <c r="C53" s="3" t="s">
        <v>87</v>
      </c>
    </row>
    <row r="54" spans="1:3" x14ac:dyDescent="0.3">
      <c r="A54" s="1" t="s">
        <v>222</v>
      </c>
      <c r="B54" s="3" t="s">
        <v>90</v>
      </c>
      <c r="C54" s="3" t="s">
        <v>136</v>
      </c>
    </row>
    <row r="55" spans="1:3" x14ac:dyDescent="0.3">
      <c r="A55" s="1" t="s">
        <v>223</v>
      </c>
      <c r="B55" s="3" t="s">
        <v>90</v>
      </c>
      <c r="C55" s="3" t="s">
        <v>119</v>
      </c>
    </row>
    <row r="56" spans="1:3" x14ac:dyDescent="0.3">
      <c r="A56" s="1" t="s">
        <v>172</v>
      </c>
      <c r="B56" s="3" t="s">
        <v>90</v>
      </c>
      <c r="C56" s="3" t="s">
        <v>171</v>
      </c>
    </row>
    <row r="57" spans="1:3" x14ac:dyDescent="0.3">
      <c r="A57" s="1" t="s">
        <v>146</v>
      </c>
      <c r="B57" s="3" t="s">
        <v>92</v>
      </c>
      <c r="C57" s="3" t="s">
        <v>93</v>
      </c>
    </row>
    <row r="58" spans="1:3" x14ac:dyDescent="0.3">
      <c r="A58" s="1" t="s">
        <v>173</v>
      </c>
      <c r="B58" s="3" t="s">
        <v>92</v>
      </c>
      <c r="C58" s="3" t="s">
        <v>95</v>
      </c>
    </row>
    <row r="59" spans="1:3" x14ac:dyDescent="0.3">
      <c r="A59" s="1" t="s">
        <v>120</v>
      </c>
      <c r="B59" s="3" t="s">
        <v>92</v>
      </c>
      <c r="C59" s="3" t="s">
        <v>97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 tint="4.9989318521683403E-2"/>
    <outlinePr summaryBelow="0" summaryRight="0"/>
  </sheetPr>
  <dimension ref="A1:Q642"/>
  <sheetViews>
    <sheetView tabSelected="1" zoomScaleNormal="100" workbookViewId="0">
      <pane ySplit="1" topLeftCell="A2" activePane="bottomLeft" state="frozen"/>
      <selection pane="bottomLeft" activeCell="E19" sqref="E19"/>
    </sheetView>
  </sheetViews>
  <sheetFormatPr baseColWidth="10" defaultColWidth="12.6640625" defaultRowHeight="15" customHeight="1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7.5546875" style="83" customWidth="1"/>
    <col min="8" max="8" width="17.5546875" style="97" customWidth="1"/>
    <col min="9" max="9" width="17.77734375" style="97" bestFit="1" customWidth="1"/>
    <col min="10" max="10" width="20.88671875" style="83" bestFit="1" customWidth="1"/>
    <col min="11" max="11" width="14.77734375" style="98" customWidth="1"/>
    <col min="12" max="12" width="11.21875" style="99" bestFit="1" customWidth="1"/>
    <col min="13" max="13" width="12.6640625" style="182"/>
    <col min="14" max="14" width="23.4414062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204" customFormat="1" ht="28.2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81" t="s">
        <v>104</v>
      </c>
      <c r="N1" s="12" t="s">
        <v>105</v>
      </c>
    </row>
    <row r="2" spans="1:17" ht="14.4" x14ac:dyDescent="0.3">
      <c r="A2" s="16" t="s">
        <v>228</v>
      </c>
      <c r="B2" s="16" t="s">
        <v>229</v>
      </c>
      <c r="C2" s="28" t="s">
        <v>168</v>
      </c>
      <c r="D2" s="28" t="str">
        <f>IFERROR(VLOOKUP($C2,CUENTAS[],2,0),"")</f>
        <v>ACTIVOS FIJOS</v>
      </c>
      <c r="E2" s="28" t="str">
        <f>IFERROR(VLOOKUP($C2,CUENTAS[],3,0),"")</f>
        <v>MDE2025-007B</v>
      </c>
      <c r="F2" s="86">
        <v>1580</v>
      </c>
      <c r="G2" s="86">
        <v>0</v>
      </c>
      <c r="H2" s="74">
        <v>1580</v>
      </c>
      <c r="I2" s="200" t="str">
        <f>IFERROR(IF(F2+G2&lt;&gt;H2,"REVISAR","CORRECTO"),"")</f>
        <v>CORRECTO</v>
      </c>
      <c r="J2" s="202" t="s">
        <v>3244</v>
      </c>
      <c r="K2" s="69" t="s">
        <v>356</v>
      </c>
      <c r="L2" s="84" t="s">
        <v>227</v>
      </c>
      <c r="M2" s="85">
        <v>45659</v>
      </c>
      <c r="N2" s="75" t="s">
        <v>368</v>
      </c>
      <c r="P2" s="89"/>
      <c r="Q2" s="89"/>
    </row>
    <row r="3" spans="1:17" ht="14.4" x14ac:dyDescent="0.3">
      <c r="A3" s="16" t="s">
        <v>230</v>
      </c>
      <c r="B3" s="16" t="s">
        <v>231</v>
      </c>
      <c r="C3" s="28" t="s">
        <v>222</v>
      </c>
      <c r="D3" s="28" t="str">
        <f>IFERROR(VLOOKUP($C3,CUENTAS[],2,0),"")</f>
        <v>MANTENIMIENTO</v>
      </c>
      <c r="E3" s="28" t="str">
        <f>IFERROR(VLOOKUP($C3,CUENTAS[],3,0),"")</f>
        <v>MDE2025-009A</v>
      </c>
      <c r="F3" s="86">
        <v>3799.14</v>
      </c>
      <c r="G3" s="86">
        <v>607.86</v>
      </c>
      <c r="H3" s="74">
        <v>4407</v>
      </c>
      <c r="I3" s="200" t="str">
        <f t="shared" ref="I3:I66" si="0">+IF(F3+G3&lt;&gt;H3,"REVISAR","CORRECTO")</f>
        <v>CORRECTO</v>
      </c>
      <c r="J3" s="202" t="s">
        <v>3244</v>
      </c>
      <c r="K3" s="69" t="s">
        <v>357</v>
      </c>
      <c r="L3" s="84" t="s">
        <v>227</v>
      </c>
      <c r="M3" s="85">
        <v>45659</v>
      </c>
      <c r="N3" s="75" t="s">
        <v>369</v>
      </c>
      <c r="P3" s="89"/>
      <c r="Q3" s="89"/>
    </row>
    <row r="4" spans="1:17" ht="14.4" x14ac:dyDescent="0.3">
      <c r="A4" s="16" t="s">
        <v>232</v>
      </c>
      <c r="B4" s="16" t="s">
        <v>233</v>
      </c>
      <c r="C4" s="28" t="s">
        <v>130</v>
      </c>
      <c r="D4" s="28" t="str">
        <f>IFERROR(VLOOKUP($C4,CUENTAS[],2,0),"")</f>
        <v>MATERIALES</v>
      </c>
      <c r="E4" s="28" t="str">
        <f>IFERROR(VLOOKUP($C4,CUENTAS[],3,0),"")</f>
        <v>MDE2025-004A</v>
      </c>
      <c r="F4" s="86">
        <v>30000</v>
      </c>
      <c r="G4" s="86">
        <v>0</v>
      </c>
      <c r="H4" s="74">
        <v>30000</v>
      </c>
      <c r="I4" s="200" t="str">
        <f t="shared" si="0"/>
        <v>CORRECTO</v>
      </c>
      <c r="J4" s="202" t="s">
        <v>3244</v>
      </c>
      <c r="K4" s="69" t="s">
        <v>357</v>
      </c>
      <c r="L4" s="84" t="s">
        <v>227</v>
      </c>
      <c r="M4" s="85">
        <v>45659</v>
      </c>
      <c r="N4" s="75" t="s">
        <v>370</v>
      </c>
      <c r="P4" s="89"/>
      <c r="Q4" s="89"/>
    </row>
    <row r="5" spans="1:17" ht="14.4" x14ac:dyDescent="0.3">
      <c r="A5" s="16" t="s">
        <v>234</v>
      </c>
      <c r="B5" s="16" t="s">
        <v>235</v>
      </c>
      <c r="C5" s="28" t="s">
        <v>114</v>
      </c>
      <c r="D5" s="28" t="str">
        <f>IFERROR(VLOOKUP($C5,CUENTAS[],2,0),"")</f>
        <v>GASTOS FIJOS</v>
      </c>
      <c r="E5" s="28" t="str">
        <f>IFERROR(VLOOKUP($C5,CUENTAS[],3,0),"")</f>
        <v>MDE2025-002G</v>
      </c>
      <c r="F5" s="86">
        <v>1379.31</v>
      </c>
      <c r="G5" s="86">
        <v>220.69</v>
      </c>
      <c r="H5" s="74">
        <v>1600</v>
      </c>
      <c r="I5" s="200" t="str">
        <f t="shared" si="0"/>
        <v>CORRECTO</v>
      </c>
      <c r="J5" s="202" t="s">
        <v>3244</v>
      </c>
      <c r="K5" s="69" t="s">
        <v>358</v>
      </c>
      <c r="L5" s="84" t="s">
        <v>227</v>
      </c>
      <c r="M5" s="90">
        <v>45659</v>
      </c>
      <c r="N5" s="75" t="s">
        <v>226</v>
      </c>
      <c r="P5" s="89"/>
      <c r="Q5" s="89"/>
    </row>
    <row r="6" spans="1:17" ht="14.4" x14ac:dyDescent="0.3">
      <c r="A6" s="16" t="s">
        <v>236</v>
      </c>
      <c r="B6" s="16" t="s">
        <v>237</v>
      </c>
      <c r="C6" s="28" t="s">
        <v>201</v>
      </c>
      <c r="D6" s="28" t="str">
        <f>IFERROR(VLOOKUP($C6,CUENTAS[],2,0),"")</f>
        <v>ACTIVOS FIJOS</v>
      </c>
      <c r="E6" s="28" t="str">
        <f>IFERROR(VLOOKUP($C6,CUENTAS[],3,0),"")</f>
        <v>MDE2025-007I</v>
      </c>
      <c r="F6" s="86">
        <v>3500</v>
      </c>
      <c r="G6" s="86">
        <v>0</v>
      </c>
      <c r="H6" s="74">
        <v>3500</v>
      </c>
      <c r="I6" s="200" t="str">
        <f t="shared" si="0"/>
        <v>CORRECTO</v>
      </c>
      <c r="J6" s="202" t="s">
        <v>3244</v>
      </c>
      <c r="K6" s="69" t="s">
        <v>359</v>
      </c>
      <c r="L6" s="84" t="s">
        <v>227</v>
      </c>
      <c r="M6" s="85">
        <v>45660</v>
      </c>
      <c r="N6" s="75" t="s">
        <v>371</v>
      </c>
      <c r="P6" s="89"/>
      <c r="Q6" s="89"/>
    </row>
    <row r="7" spans="1:17" ht="14.4" x14ac:dyDescent="0.3">
      <c r="A7" s="16" t="s">
        <v>238</v>
      </c>
      <c r="B7" s="16" t="s">
        <v>239</v>
      </c>
      <c r="C7" s="28" t="s">
        <v>201</v>
      </c>
      <c r="D7" s="28" t="str">
        <f>IFERROR(VLOOKUP($C7,CUENTAS[],2,0),"")</f>
        <v>ACTIVOS FIJOS</v>
      </c>
      <c r="E7" s="28" t="str">
        <f>IFERROR(VLOOKUP($C7,CUENTAS[],3,0),"")</f>
        <v>MDE2025-007I</v>
      </c>
      <c r="F7" s="86">
        <v>3200</v>
      </c>
      <c r="G7" s="86">
        <v>0</v>
      </c>
      <c r="H7" s="74">
        <v>3200</v>
      </c>
      <c r="I7" s="200" t="str">
        <f t="shared" si="0"/>
        <v>CORRECTO</v>
      </c>
      <c r="J7" s="202" t="s">
        <v>3244</v>
      </c>
      <c r="K7" s="69" t="s">
        <v>359</v>
      </c>
      <c r="L7" s="84" t="s">
        <v>227</v>
      </c>
      <c r="M7" s="85">
        <v>45660</v>
      </c>
      <c r="N7" s="75" t="s">
        <v>371</v>
      </c>
      <c r="P7" s="89"/>
      <c r="Q7" s="89"/>
    </row>
    <row r="8" spans="1:17" ht="14.4" x14ac:dyDescent="0.3">
      <c r="A8" s="16" t="s">
        <v>240</v>
      </c>
      <c r="B8" s="16" t="s">
        <v>241</v>
      </c>
      <c r="C8" s="28" t="s">
        <v>201</v>
      </c>
      <c r="D8" s="28" t="str">
        <f>IFERROR(VLOOKUP($C8,CUENTAS[],2,0),"")</f>
        <v>ACTIVOS FIJOS</v>
      </c>
      <c r="E8" s="28" t="str">
        <f>IFERROR(VLOOKUP($C8,CUENTAS[],3,0),"")</f>
        <v>MDE2025-007I</v>
      </c>
      <c r="F8" s="86">
        <v>5000</v>
      </c>
      <c r="G8" s="86">
        <v>0</v>
      </c>
      <c r="H8" s="74">
        <v>5000</v>
      </c>
      <c r="I8" s="200" t="str">
        <f t="shared" si="0"/>
        <v>CORRECTO</v>
      </c>
      <c r="J8" s="202" t="s">
        <v>3244</v>
      </c>
      <c r="K8" s="69" t="s">
        <v>360</v>
      </c>
      <c r="L8" s="84" t="s">
        <v>227</v>
      </c>
      <c r="M8" s="85">
        <v>45660</v>
      </c>
      <c r="N8" s="75" t="s">
        <v>371</v>
      </c>
      <c r="P8" s="89"/>
      <c r="Q8" s="89"/>
    </row>
    <row r="9" spans="1:17" ht="14.4" x14ac:dyDescent="0.3">
      <c r="A9" s="16" t="s">
        <v>234</v>
      </c>
      <c r="B9" s="16" t="s">
        <v>235</v>
      </c>
      <c r="C9" s="28" t="s">
        <v>114</v>
      </c>
      <c r="D9" s="28" t="str">
        <f>IFERROR(VLOOKUP($C9,CUENTAS[],2,0),"")</f>
        <v>GASTOS FIJOS</v>
      </c>
      <c r="E9" s="28" t="str">
        <f>IFERROR(VLOOKUP($C9,CUENTAS[],3,0),"")</f>
        <v>MDE2025-002G</v>
      </c>
      <c r="F9" s="86">
        <v>120</v>
      </c>
      <c r="G9" s="86">
        <v>0</v>
      </c>
      <c r="H9" s="74">
        <v>120</v>
      </c>
      <c r="I9" s="200" t="str">
        <f t="shared" si="0"/>
        <v>CORRECTO</v>
      </c>
      <c r="J9" s="202" t="s">
        <v>3244</v>
      </c>
      <c r="K9" s="69" t="s">
        <v>358</v>
      </c>
      <c r="L9" s="84" t="s">
        <v>227</v>
      </c>
      <c r="M9" s="90">
        <v>45660</v>
      </c>
      <c r="N9" s="75" t="s">
        <v>372</v>
      </c>
      <c r="P9" s="89"/>
      <c r="Q9" s="89"/>
    </row>
    <row r="10" spans="1:17" ht="14.4" x14ac:dyDescent="0.3">
      <c r="A10" s="16" t="s">
        <v>242</v>
      </c>
      <c r="B10" s="16" t="s">
        <v>243</v>
      </c>
      <c r="C10" s="28" t="s">
        <v>114</v>
      </c>
      <c r="D10" s="28" t="str">
        <f>IFERROR(VLOOKUP($C10,CUENTAS[],2,0),"")</f>
        <v>GASTOS FIJOS</v>
      </c>
      <c r="E10" s="28" t="str">
        <f>IFERROR(VLOOKUP($C10,CUENTAS[],3,0),"")</f>
        <v>MDE2025-002G</v>
      </c>
      <c r="F10" s="86">
        <v>689.66</v>
      </c>
      <c r="G10" s="86">
        <v>110.34</v>
      </c>
      <c r="H10" s="74">
        <v>800</v>
      </c>
      <c r="I10" s="200" t="str">
        <f t="shared" si="0"/>
        <v>CORRECTO</v>
      </c>
      <c r="J10" s="202" t="s">
        <v>3244</v>
      </c>
      <c r="K10" s="69" t="s">
        <v>358</v>
      </c>
      <c r="L10" s="84" t="s">
        <v>227</v>
      </c>
      <c r="M10" s="90">
        <v>45664</v>
      </c>
      <c r="N10" s="75" t="s">
        <v>373</v>
      </c>
      <c r="P10" s="89"/>
      <c r="Q10" s="89"/>
    </row>
    <row r="11" spans="1:17" ht="14.4" x14ac:dyDescent="0.3">
      <c r="A11" s="16" t="s">
        <v>244</v>
      </c>
      <c r="B11" s="16" t="s">
        <v>245</v>
      </c>
      <c r="C11" s="28" t="s">
        <v>223</v>
      </c>
      <c r="D11" s="28" t="str">
        <f>IFERROR(VLOOKUP($C11,CUENTAS[],2,0),"")</f>
        <v>MANTENIMIENTO</v>
      </c>
      <c r="E11" s="28" t="str">
        <f>IFERROR(VLOOKUP($C11,CUENTAS[],3,0),"")</f>
        <v>MDE2025-009B</v>
      </c>
      <c r="F11" s="86">
        <v>700</v>
      </c>
      <c r="G11" s="86">
        <v>0</v>
      </c>
      <c r="H11" s="74">
        <v>700</v>
      </c>
      <c r="I11" s="200" t="str">
        <f t="shared" si="0"/>
        <v>CORRECTO</v>
      </c>
      <c r="J11" s="202" t="s">
        <v>3244</v>
      </c>
      <c r="K11" s="69" t="s">
        <v>360</v>
      </c>
      <c r="L11" s="84" t="s">
        <v>227</v>
      </c>
      <c r="M11" s="85">
        <v>45665</v>
      </c>
      <c r="N11" s="75" t="s">
        <v>371</v>
      </c>
      <c r="P11" s="89"/>
      <c r="Q11" s="89"/>
    </row>
    <row r="12" spans="1:17" ht="14.4" x14ac:dyDescent="0.3">
      <c r="A12" s="16" t="s">
        <v>246</v>
      </c>
      <c r="B12" s="16" t="s">
        <v>247</v>
      </c>
      <c r="C12" s="28" t="s">
        <v>19</v>
      </c>
      <c r="D12" s="28" t="str">
        <f>IFERROR(VLOOKUP($C12,CUENTAS[],2,0),"")</f>
        <v>DISEÑOS</v>
      </c>
      <c r="E12" s="28" t="str">
        <f>IFERROR(VLOOKUP($C12,CUENTAS[],3,0),"")</f>
        <v>MDE2025-001</v>
      </c>
      <c r="F12" s="86">
        <v>6900</v>
      </c>
      <c r="G12" s="86">
        <v>281.52</v>
      </c>
      <c r="H12" s="74">
        <v>7181.52</v>
      </c>
      <c r="I12" s="200" t="str">
        <f t="shared" si="0"/>
        <v>CORRECTO</v>
      </c>
      <c r="J12" s="202" t="s">
        <v>3244</v>
      </c>
      <c r="K12" s="69" t="s">
        <v>361</v>
      </c>
      <c r="L12" s="84" t="s">
        <v>227</v>
      </c>
      <c r="M12" s="85">
        <v>45665</v>
      </c>
      <c r="N12" s="75" t="s">
        <v>374</v>
      </c>
      <c r="P12" s="89"/>
      <c r="Q12" s="89"/>
    </row>
    <row r="13" spans="1:17" ht="14.4" x14ac:dyDescent="0.3">
      <c r="A13" s="16" t="s">
        <v>248</v>
      </c>
      <c r="B13" s="16" t="s">
        <v>249</v>
      </c>
      <c r="C13" s="28" t="s">
        <v>109</v>
      </c>
      <c r="D13" s="28" t="str">
        <f>IFERROR(VLOOKUP($C13,CUENTAS[],2,0),"")</f>
        <v>LOGÍSTICA</v>
      </c>
      <c r="E13" s="28" t="str">
        <f>IFERROR(VLOOKUP($C13,CUENTAS[],3,0),"")</f>
        <v>MDE2025-006A</v>
      </c>
      <c r="F13" s="86">
        <v>4100</v>
      </c>
      <c r="G13" s="86">
        <v>656</v>
      </c>
      <c r="H13" s="74">
        <v>4756</v>
      </c>
      <c r="I13" s="200" t="str">
        <f t="shared" si="0"/>
        <v>CORRECTO</v>
      </c>
      <c r="J13" s="202" t="s">
        <v>3244</v>
      </c>
      <c r="K13" s="69" t="s">
        <v>362</v>
      </c>
      <c r="L13" s="84" t="s">
        <v>227</v>
      </c>
      <c r="M13" s="85">
        <v>45665</v>
      </c>
      <c r="N13" s="75" t="s">
        <v>375</v>
      </c>
      <c r="P13" s="89"/>
      <c r="Q13" s="89"/>
    </row>
    <row r="14" spans="1:17" ht="14.4" x14ac:dyDescent="0.3">
      <c r="A14" s="16" t="s">
        <v>250</v>
      </c>
      <c r="B14" s="16" t="s">
        <v>251</v>
      </c>
      <c r="C14" s="28" t="s">
        <v>110</v>
      </c>
      <c r="D14" s="28" t="str">
        <f>IFERROR(VLOOKUP($C14,CUENTAS[],2,0),"")</f>
        <v>GASTOS FIJOS</v>
      </c>
      <c r="E14" s="28" t="str">
        <f>IFERROR(VLOOKUP($C14,CUENTAS[],3,0),"")</f>
        <v>MDE2025-002D</v>
      </c>
      <c r="F14" s="86">
        <v>80000</v>
      </c>
      <c r="G14" s="86">
        <v>0</v>
      </c>
      <c r="H14" s="74">
        <v>80000</v>
      </c>
      <c r="I14" s="200" t="str">
        <f t="shared" si="0"/>
        <v>CORRECTO</v>
      </c>
      <c r="J14" s="202" t="s">
        <v>3244</v>
      </c>
      <c r="K14" s="69" t="s">
        <v>363</v>
      </c>
      <c r="L14" s="84" t="s">
        <v>227</v>
      </c>
      <c r="M14" s="85">
        <v>45665</v>
      </c>
      <c r="N14" s="75" t="s">
        <v>371</v>
      </c>
      <c r="P14" s="89"/>
      <c r="Q14" s="89"/>
    </row>
    <row r="15" spans="1:17" ht="14.4" x14ac:dyDescent="0.3">
      <c r="A15" s="16" t="s">
        <v>230</v>
      </c>
      <c r="B15" s="16" t="s">
        <v>252</v>
      </c>
      <c r="C15" s="28" t="s">
        <v>110</v>
      </c>
      <c r="D15" s="28" t="str">
        <f>IFERROR(VLOOKUP($C15,CUENTAS[],2,0),"")</f>
        <v>GASTOS FIJOS</v>
      </c>
      <c r="E15" s="28" t="str">
        <f>IFERROR(VLOOKUP($C15,CUENTAS[],3,0),"")</f>
        <v>MDE2025-002D</v>
      </c>
      <c r="F15" s="86">
        <v>7327.59</v>
      </c>
      <c r="G15" s="86">
        <v>1172.4100000000001</v>
      </c>
      <c r="H15" s="74">
        <v>8500</v>
      </c>
      <c r="I15" s="200" t="str">
        <f t="shared" si="0"/>
        <v>CORRECTO</v>
      </c>
      <c r="J15" s="202" t="s">
        <v>3244</v>
      </c>
      <c r="K15" s="69" t="s">
        <v>363</v>
      </c>
      <c r="L15" s="84" t="s">
        <v>227</v>
      </c>
      <c r="M15" s="85">
        <v>45665</v>
      </c>
      <c r="N15" s="75" t="s">
        <v>376</v>
      </c>
      <c r="P15" s="89"/>
      <c r="Q15" s="89"/>
    </row>
    <row r="16" spans="1:17" ht="14.4" x14ac:dyDescent="0.3">
      <c r="A16" s="16" t="s">
        <v>236</v>
      </c>
      <c r="B16" s="16" t="s">
        <v>253</v>
      </c>
      <c r="C16" s="28" t="s">
        <v>201</v>
      </c>
      <c r="D16" s="28" t="str">
        <f>IFERROR(VLOOKUP($C16,CUENTAS[],2,0),"")</f>
        <v>ACTIVOS FIJOS</v>
      </c>
      <c r="E16" s="28" t="str">
        <f>IFERROR(VLOOKUP($C16,CUENTAS[],3,0),"")</f>
        <v>MDE2025-007I</v>
      </c>
      <c r="F16" s="86">
        <v>400</v>
      </c>
      <c r="G16" s="86">
        <v>0</v>
      </c>
      <c r="H16" s="74">
        <v>400</v>
      </c>
      <c r="I16" s="200" t="str">
        <f t="shared" si="0"/>
        <v>CORRECTO</v>
      </c>
      <c r="J16" s="202" t="s">
        <v>3244</v>
      </c>
      <c r="K16" s="69" t="s">
        <v>364</v>
      </c>
      <c r="L16" s="84" t="s">
        <v>227</v>
      </c>
      <c r="M16" s="85">
        <v>45665</v>
      </c>
      <c r="N16" s="75" t="s">
        <v>371</v>
      </c>
      <c r="P16" s="89"/>
      <c r="Q16" s="89"/>
    </row>
    <row r="17" spans="1:17" ht="14.4" x14ac:dyDescent="0.3">
      <c r="A17" s="16" t="s">
        <v>254</v>
      </c>
      <c r="B17" s="16" t="s">
        <v>255</v>
      </c>
      <c r="C17" s="28" t="s">
        <v>126</v>
      </c>
      <c r="D17" s="28" t="str">
        <f>IFERROR(VLOOKUP($C17,CUENTAS[],2,0),"")</f>
        <v>ACTIVOS FIJOS</v>
      </c>
      <c r="E17" s="28" t="str">
        <f>IFERROR(VLOOKUP($C17,CUENTAS[],3,0),"")</f>
        <v>MDE2025-007A</v>
      </c>
      <c r="F17" s="86">
        <v>398800</v>
      </c>
      <c r="G17" s="86">
        <v>0</v>
      </c>
      <c r="H17" s="74">
        <v>398800</v>
      </c>
      <c r="I17" s="200" t="str">
        <f t="shared" si="0"/>
        <v>CORRECTO</v>
      </c>
      <c r="J17" s="202" t="s">
        <v>3244</v>
      </c>
      <c r="K17" s="69" t="s">
        <v>360</v>
      </c>
      <c r="L17" s="84" t="s">
        <v>227</v>
      </c>
      <c r="M17" s="85">
        <v>45667</v>
      </c>
      <c r="N17" s="75" t="s">
        <v>371</v>
      </c>
      <c r="P17" s="89"/>
      <c r="Q17" s="89"/>
    </row>
    <row r="18" spans="1:17" ht="14.4" x14ac:dyDescent="0.3">
      <c r="A18" s="16" t="s">
        <v>256</v>
      </c>
      <c r="B18" s="16" t="s">
        <v>257</v>
      </c>
      <c r="C18" s="28" t="s">
        <v>123</v>
      </c>
      <c r="D18" s="28" t="str">
        <f>IFERROR(VLOOKUP($C18,CUENTAS[],2,0),"")</f>
        <v>ACTIVOS FIJOS</v>
      </c>
      <c r="E18" s="28" t="str">
        <f>IFERROR(VLOOKUP($C18,CUENTAS[],3,0),"")</f>
        <v>MDE2025-007C</v>
      </c>
      <c r="F18" s="86">
        <v>2308.9899999999998</v>
      </c>
      <c r="G18" s="86">
        <v>0</v>
      </c>
      <c r="H18" s="74">
        <v>2308.9899999999998</v>
      </c>
      <c r="I18" s="200" t="str">
        <f t="shared" si="0"/>
        <v>CORRECTO</v>
      </c>
      <c r="J18" s="202" t="s">
        <v>3244</v>
      </c>
      <c r="K18" s="69" t="s">
        <v>357</v>
      </c>
      <c r="L18" s="84" t="s">
        <v>227</v>
      </c>
      <c r="M18" s="85">
        <v>45667</v>
      </c>
      <c r="N18" s="75" t="s">
        <v>226</v>
      </c>
      <c r="P18" s="89"/>
      <c r="Q18" s="89"/>
    </row>
    <row r="19" spans="1:17" ht="14.4" x14ac:dyDescent="0.3">
      <c r="A19" s="16" t="s">
        <v>258</v>
      </c>
      <c r="B19" s="16" t="s">
        <v>259</v>
      </c>
      <c r="C19" s="28" t="s">
        <v>153</v>
      </c>
      <c r="D19" s="28" t="str">
        <f>IFERROR(VLOOKUP($C19,CUENTAS[],2,0),"")</f>
        <v>GASTOS FIJOS</v>
      </c>
      <c r="E19" s="28" t="str">
        <f>IFERROR(VLOOKUP($C19,CUENTAS[],3,0),"")</f>
        <v>MDE2025-002L</v>
      </c>
      <c r="F19" s="86">
        <v>39860</v>
      </c>
      <c r="G19" s="86">
        <v>0</v>
      </c>
      <c r="H19" s="74">
        <v>39860</v>
      </c>
      <c r="I19" s="200" t="str">
        <f t="shared" si="0"/>
        <v>CORRECTO</v>
      </c>
      <c r="J19" s="202" t="s">
        <v>3244</v>
      </c>
      <c r="K19" s="69" t="s">
        <v>364</v>
      </c>
      <c r="L19" s="84" t="s">
        <v>227</v>
      </c>
      <c r="M19" s="91">
        <v>45667</v>
      </c>
      <c r="N19" s="75" t="s">
        <v>371</v>
      </c>
      <c r="P19" s="89"/>
      <c r="Q19" s="89"/>
    </row>
    <row r="20" spans="1:17" ht="14.4" x14ac:dyDescent="0.3">
      <c r="A20" s="16" t="s">
        <v>260</v>
      </c>
      <c r="B20" s="16" t="s">
        <v>261</v>
      </c>
      <c r="C20" s="28" t="s">
        <v>201</v>
      </c>
      <c r="D20" s="28" t="str">
        <f>IFERROR(VLOOKUP($C20,CUENTAS[],2,0),"")</f>
        <v>ACTIVOS FIJOS</v>
      </c>
      <c r="E20" s="28" t="str">
        <f>IFERROR(VLOOKUP($C20,CUENTAS[],3,0),"")</f>
        <v>MDE2025-007I</v>
      </c>
      <c r="F20" s="86">
        <v>4950</v>
      </c>
      <c r="G20" s="86">
        <v>0</v>
      </c>
      <c r="H20" s="74">
        <v>4950</v>
      </c>
      <c r="I20" s="200" t="str">
        <f t="shared" si="0"/>
        <v>CORRECTO</v>
      </c>
      <c r="J20" s="202" t="s">
        <v>3244</v>
      </c>
      <c r="K20" s="69" t="s">
        <v>357</v>
      </c>
      <c r="L20" s="84" t="s">
        <v>227</v>
      </c>
      <c r="M20" s="85">
        <v>45667</v>
      </c>
      <c r="N20" s="75" t="s">
        <v>371</v>
      </c>
      <c r="P20" s="89"/>
      <c r="Q20" s="89"/>
    </row>
    <row r="21" spans="1:17" ht="14.4" x14ac:dyDescent="0.3">
      <c r="A21" s="16" t="s">
        <v>262</v>
      </c>
      <c r="B21" s="16" t="s">
        <v>263</v>
      </c>
      <c r="C21" s="28" t="s">
        <v>223</v>
      </c>
      <c r="D21" s="28" t="str">
        <f>IFERROR(VLOOKUP($C21,CUENTAS[],2,0),"")</f>
        <v>MANTENIMIENTO</v>
      </c>
      <c r="E21" s="28" t="str">
        <f>IFERROR(VLOOKUP($C21,CUENTAS[],3,0),"")</f>
        <v>MDE2025-009B</v>
      </c>
      <c r="F21" s="86">
        <v>1250</v>
      </c>
      <c r="G21" s="86">
        <v>0</v>
      </c>
      <c r="H21" s="74">
        <v>1250</v>
      </c>
      <c r="I21" s="200" t="str">
        <f t="shared" si="0"/>
        <v>CORRECTO</v>
      </c>
      <c r="J21" s="202" t="s">
        <v>3244</v>
      </c>
      <c r="K21" s="69" t="s">
        <v>360</v>
      </c>
      <c r="L21" s="84" t="s">
        <v>227</v>
      </c>
      <c r="M21" s="85">
        <v>45667</v>
      </c>
      <c r="N21" s="75" t="s">
        <v>371</v>
      </c>
      <c r="P21" s="89"/>
      <c r="Q21" s="89"/>
    </row>
    <row r="22" spans="1:17" ht="14.4" x14ac:dyDescent="0.3">
      <c r="A22" s="16" t="s">
        <v>264</v>
      </c>
      <c r="B22" s="16" t="s">
        <v>263</v>
      </c>
      <c r="C22" s="28" t="s">
        <v>223</v>
      </c>
      <c r="D22" s="28" t="str">
        <f>IFERROR(VLOOKUP($C22,CUENTAS[],2,0),"")</f>
        <v>MANTENIMIENTO</v>
      </c>
      <c r="E22" s="28" t="str">
        <f>IFERROR(VLOOKUP($C22,CUENTAS[],3,0),"")</f>
        <v>MDE2025-009B</v>
      </c>
      <c r="F22" s="86">
        <v>1250</v>
      </c>
      <c r="G22" s="86">
        <v>0</v>
      </c>
      <c r="H22" s="74">
        <v>1250</v>
      </c>
      <c r="I22" s="200" t="str">
        <f t="shared" si="0"/>
        <v>CORRECTO</v>
      </c>
      <c r="J22" s="202" t="s">
        <v>3244</v>
      </c>
      <c r="K22" s="69" t="s">
        <v>360</v>
      </c>
      <c r="L22" s="84" t="s">
        <v>227</v>
      </c>
      <c r="M22" s="85">
        <v>45667</v>
      </c>
      <c r="N22" s="75" t="s">
        <v>371</v>
      </c>
      <c r="P22" s="89"/>
      <c r="Q22" s="89"/>
    </row>
    <row r="23" spans="1:17" ht="14.4" x14ac:dyDescent="0.3">
      <c r="A23" s="16" t="s">
        <v>265</v>
      </c>
      <c r="B23" s="16" t="s">
        <v>263</v>
      </c>
      <c r="C23" s="28" t="s">
        <v>223</v>
      </c>
      <c r="D23" s="28" t="str">
        <f>IFERROR(VLOOKUP($C23,CUENTAS[],2,0),"")</f>
        <v>MANTENIMIENTO</v>
      </c>
      <c r="E23" s="28" t="str">
        <f>IFERROR(VLOOKUP($C23,CUENTAS[],3,0),"")</f>
        <v>MDE2025-009B</v>
      </c>
      <c r="F23" s="86">
        <v>1250</v>
      </c>
      <c r="G23" s="86">
        <v>0</v>
      </c>
      <c r="H23" s="74">
        <v>1250</v>
      </c>
      <c r="I23" s="200" t="str">
        <f t="shared" si="0"/>
        <v>CORRECTO</v>
      </c>
      <c r="J23" s="202" t="s">
        <v>3244</v>
      </c>
      <c r="K23" s="69" t="s">
        <v>360</v>
      </c>
      <c r="L23" s="84" t="s">
        <v>227</v>
      </c>
      <c r="M23" s="85">
        <v>45667</v>
      </c>
      <c r="N23" s="75" t="s">
        <v>371</v>
      </c>
      <c r="P23" s="89"/>
      <c r="Q23" s="89"/>
    </row>
    <row r="24" spans="1:17" ht="14.4" x14ac:dyDescent="0.3">
      <c r="A24" s="16" t="s">
        <v>266</v>
      </c>
      <c r="B24" s="16" t="s">
        <v>263</v>
      </c>
      <c r="C24" s="28" t="s">
        <v>223</v>
      </c>
      <c r="D24" s="28" t="str">
        <f>IFERROR(VLOOKUP($C24,CUENTAS[],2,0),"")</f>
        <v>MANTENIMIENTO</v>
      </c>
      <c r="E24" s="28" t="str">
        <f>IFERROR(VLOOKUP($C24,CUENTAS[],3,0),"")</f>
        <v>MDE2025-009B</v>
      </c>
      <c r="F24" s="86">
        <v>1250</v>
      </c>
      <c r="G24" s="86">
        <v>0</v>
      </c>
      <c r="H24" s="74">
        <v>1250</v>
      </c>
      <c r="I24" s="200" t="str">
        <f t="shared" si="0"/>
        <v>CORRECTO</v>
      </c>
      <c r="J24" s="202" t="s">
        <v>3244</v>
      </c>
      <c r="K24" s="69" t="s">
        <v>360</v>
      </c>
      <c r="L24" s="84" t="s">
        <v>227</v>
      </c>
      <c r="M24" s="85">
        <v>45667</v>
      </c>
      <c r="N24" s="75" t="s">
        <v>371</v>
      </c>
      <c r="P24" s="89"/>
      <c r="Q24" s="89"/>
    </row>
    <row r="25" spans="1:17" ht="14.4" x14ac:dyDescent="0.3">
      <c r="A25" s="16" t="s">
        <v>267</v>
      </c>
      <c r="B25" s="16" t="s">
        <v>268</v>
      </c>
      <c r="C25" s="28" t="s">
        <v>166</v>
      </c>
      <c r="D25" s="28" t="str">
        <f>IFERROR(VLOOKUP($C25,CUENTAS[],2,0),"")</f>
        <v>LOGÍSTICA</v>
      </c>
      <c r="E25" s="28" t="str">
        <f>IFERROR(VLOOKUP($C25,CUENTAS[],3,0),"")</f>
        <v>MDE2025-006C</v>
      </c>
      <c r="F25" s="86">
        <v>54575.25</v>
      </c>
      <c r="G25" s="86">
        <v>0</v>
      </c>
      <c r="H25" s="74">
        <v>54575.25</v>
      </c>
      <c r="I25" s="200" t="str">
        <f t="shared" si="0"/>
        <v>CORRECTO</v>
      </c>
      <c r="J25" s="202" t="s">
        <v>3244</v>
      </c>
      <c r="K25" s="69" t="s">
        <v>362</v>
      </c>
      <c r="L25" s="84" t="s">
        <v>227</v>
      </c>
      <c r="M25" s="85">
        <v>45667</v>
      </c>
      <c r="N25" s="75" t="s">
        <v>377</v>
      </c>
      <c r="P25" s="89"/>
      <c r="Q25" s="89"/>
    </row>
    <row r="26" spans="1:17" ht="14.4" x14ac:dyDescent="0.3">
      <c r="A26" s="16" t="s">
        <v>236</v>
      </c>
      <c r="B26" s="16" t="s">
        <v>269</v>
      </c>
      <c r="C26" s="28" t="s">
        <v>201</v>
      </c>
      <c r="D26" s="28" t="str">
        <f>IFERROR(VLOOKUP($C26,CUENTAS[],2,0),"")</f>
        <v>ACTIVOS FIJOS</v>
      </c>
      <c r="E26" s="28" t="str">
        <f>IFERROR(VLOOKUP($C26,CUENTAS[],3,0),"")</f>
        <v>MDE2025-007I</v>
      </c>
      <c r="F26" s="86">
        <v>3500</v>
      </c>
      <c r="G26" s="86">
        <v>0</v>
      </c>
      <c r="H26" s="74">
        <v>3500</v>
      </c>
      <c r="I26" s="200" t="str">
        <f t="shared" si="0"/>
        <v>CORRECTO</v>
      </c>
      <c r="J26" s="202" t="s">
        <v>3244</v>
      </c>
      <c r="K26" s="69" t="s">
        <v>359</v>
      </c>
      <c r="L26" s="84" t="s">
        <v>227</v>
      </c>
      <c r="M26" s="85">
        <v>45667</v>
      </c>
      <c r="N26" s="75" t="s">
        <v>371</v>
      </c>
      <c r="P26" s="89"/>
      <c r="Q26" s="89"/>
    </row>
    <row r="27" spans="1:17" ht="14.4" x14ac:dyDescent="0.3">
      <c r="A27" s="16" t="s">
        <v>238</v>
      </c>
      <c r="B27" s="16" t="s">
        <v>269</v>
      </c>
      <c r="C27" s="28" t="s">
        <v>201</v>
      </c>
      <c r="D27" s="28" t="str">
        <f>IFERROR(VLOOKUP($C27,CUENTAS[],2,0),"")</f>
        <v>ACTIVOS FIJOS</v>
      </c>
      <c r="E27" s="28" t="str">
        <f>IFERROR(VLOOKUP($C27,CUENTAS[],3,0),"")</f>
        <v>MDE2025-007I</v>
      </c>
      <c r="F27" s="86">
        <v>3200</v>
      </c>
      <c r="G27" s="86">
        <v>0</v>
      </c>
      <c r="H27" s="74">
        <v>3200</v>
      </c>
      <c r="I27" s="200" t="str">
        <f t="shared" si="0"/>
        <v>CORRECTO</v>
      </c>
      <c r="J27" s="202" t="s">
        <v>3244</v>
      </c>
      <c r="K27" s="69" t="s">
        <v>359</v>
      </c>
      <c r="L27" s="84" t="s">
        <v>227</v>
      </c>
      <c r="M27" s="85">
        <v>45667</v>
      </c>
      <c r="N27" s="75" t="s">
        <v>371</v>
      </c>
      <c r="P27" s="89"/>
      <c r="Q27" s="89"/>
    </row>
    <row r="28" spans="1:17" ht="14.4" x14ac:dyDescent="0.3">
      <c r="A28" s="16" t="s">
        <v>270</v>
      </c>
      <c r="B28" s="16" t="s">
        <v>271</v>
      </c>
      <c r="C28" s="28" t="s">
        <v>201</v>
      </c>
      <c r="D28" s="28" t="str">
        <f>IFERROR(VLOOKUP($C28,CUENTAS[],2,0),"")</f>
        <v>ACTIVOS FIJOS</v>
      </c>
      <c r="E28" s="28" t="str">
        <f>IFERROR(VLOOKUP($C28,CUENTAS[],3,0),"")</f>
        <v>MDE2025-007I</v>
      </c>
      <c r="F28" s="86">
        <v>8690</v>
      </c>
      <c r="G28" s="86">
        <v>0</v>
      </c>
      <c r="H28" s="74">
        <v>8690</v>
      </c>
      <c r="I28" s="200" t="str">
        <f t="shared" si="0"/>
        <v>CORRECTO</v>
      </c>
      <c r="J28" s="202" t="s">
        <v>3244</v>
      </c>
      <c r="K28" s="69" t="s">
        <v>360</v>
      </c>
      <c r="L28" s="84" t="s">
        <v>227</v>
      </c>
      <c r="M28" s="85">
        <v>45667</v>
      </c>
      <c r="N28" s="75" t="s">
        <v>371</v>
      </c>
      <c r="P28" s="89"/>
      <c r="Q28" s="89"/>
    </row>
    <row r="29" spans="1:17" ht="14.4" x14ac:dyDescent="0.3">
      <c r="A29" s="16" t="s">
        <v>242</v>
      </c>
      <c r="B29" s="16" t="s">
        <v>243</v>
      </c>
      <c r="C29" s="28" t="s">
        <v>114</v>
      </c>
      <c r="D29" s="28" t="str">
        <f>IFERROR(VLOOKUP($C29,CUENTAS[],2,0),"")</f>
        <v>GASTOS FIJOS</v>
      </c>
      <c r="E29" s="28" t="str">
        <f>IFERROR(VLOOKUP($C29,CUENTAS[],3,0),"")</f>
        <v>MDE2025-002G</v>
      </c>
      <c r="F29" s="86">
        <v>1379.31</v>
      </c>
      <c r="G29" s="86">
        <v>220.69</v>
      </c>
      <c r="H29" s="74">
        <v>1600</v>
      </c>
      <c r="I29" s="200" t="str">
        <f t="shared" si="0"/>
        <v>CORRECTO</v>
      </c>
      <c r="J29" s="202" t="s">
        <v>3244</v>
      </c>
      <c r="K29" s="69" t="s">
        <v>358</v>
      </c>
      <c r="L29" s="84" t="s">
        <v>227</v>
      </c>
      <c r="M29" s="90">
        <v>45667</v>
      </c>
      <c r="N29" s="75" t="s">
        <v>373</v>
      </c>
      <c r="P29" s="89"/>
      <c r="Q29" s="89"/>
    </row>
    <row r="30" spans="1:17" ht="14.4" x14ac:dyDescent="0.3">
      <c r="A30" s="16" t="s">
        <v>242</v>
      </c>
      <c r="B30" s="16" t="s">
        <v>243</v>
      </c>
      <c r="C30" s="28" t="s">
        <v>114</v>
      </c>
      <c r="D30" s="28" t="str">
        <f>IFERROR(VLOOKUP($C30,CUENTAS[],2,0),"")</f>
        <v>GASTOS FIJOS</v>
      </c>
      <c r="E30" s="28" t="str">
        <f>IFERROR(VLOOKUP($C30,CUENTAS[],3,0),"")</f>
        <v>MDE2025-002G</v>
      </c>
      <c r="F30" s="86">
        <v>775.86</v>
      </c>
      <c r="G30" s="86">
        <v>124.14</v>
      </c>
      <c r="H30" s="74">
        <v>900</v>
      </c>
      <c r="I30" s="200" t="str">
        <f t="shared" si="0"/>
        <v>CORRECTO</v>
      </c>
      <c r="J30" s="202" t="s">
        <v>3244</v>
      </c>
      <c r="K30" s="69" t="s">
        <v>358</v>
      </c>
      <c r="L30" s="84" t="s">
        <v>227</v>
      </c>
      <c r="M30" s="90">
        <v>45671</v>
      </c>
      <c r="N30" s="75" t="s">
        <v>373</v>
      </c>
      <c r="P30" s="89"/>
      <c r="Q30" s="89"/>
    </row>
    <row r="31" spans="1:17" ht="14.4" x14ac:dyDescent="0.3">
      <c r="A31" s="16" t="s">
        <v>272</v>
      </c>
      <c r="B31" s="16" t="s">
        <v>273</v>
      </c>
      <c r="C31" s="28" t="s">
        <v>140</v>
      </c>
      <c r="D31" s="28" t="str">
        <f>IFERROR(VLOOKUP($C31,CUENTAS[],2,0),"")</f>
        <v>LOGÍSTICA</v>
      </c>
      <c r="E31" s="28" t="str">
        <f>IFERROR(VLOOKUP($C31,CUENTAS[],3,0),"")</f>
        <v>MDE2025-006B</v>
      </c>
      <c r="F31" s="86">
        <v>2565</v>
      </c>
      <c r="G31" s="86">
        <v>0</v>
      </c>
      <c r="H31" s="74">
        <v>2565</v>
      </c>
      <c r="I31" s="200" t="str">
        <f t="shared" si="0"/>
        <v>CORRECTO</v>
      </c>
      <c r="J31" s="202" t="s">
        <v>3244</v>
      </c>
      <c r="K31" s="69" t="s">
        <v>362</v>
      </c>
      <c r="L31" s="84" t="s">
        <v>227</v>
      </c>
      <c r="M31" s="85">
        <v>45671</v>
      </c>
      <c r="N31" s="75" t="s">
        <v>368</v>
      </c>
      <c r="P31" s="89"/>
      <c r="Q31" s="89"/>
    </row>
    <row r="32" spans="1:17" ht="14.4" x14ac:dyDescent="0.3">
      <c r="A32" s="16" t="s">
        <v>272</v>
      </c>
      <c r="B32" s="16" t="s">
        <v>274</v>
      </c>
      <c r="C32" s="28" t="s">
        <v>140</v>
      </c>
      <c r="D32" s="28" t="str">
        <f>IFERROR(VLOOKUP($C32,CUENTAS[],2,0),"")</f>
        <v>LOGÍSTICA</v>
      </c>
      <c r="E32" s="28" t="str">
        <f>IFERROR(VLOOKUP($C32,CUENTAS[],3,0),"")</f>
        <v>MDE2025-006B</v>
      </c>
      <c r="F32" s="86">
        <v>12120</v>
      </c>
      <c r="G32" s="86">
        <v>0</v>
      </c>
      <c r="H32" s="74">
        <v>12120</v>
      </c>
      <c r="I32" s="200" t="str">
        <f t="shared" si="0"/>
        <v>CORRECTO</v>
      </c>
      <c r="J32" s="202" t="s">
        <v>3244</v>
      </c>
      <c r="K32" s="69" t="s">
        <v>362</v>
      </c>
      <c r="L32" s="84" t="s">
        <v>227</v>
      </c>
      <c r="M32" s="85">
        <v>45671</v>
      </c>
      <c r="N32" s="75" t="s">
        <v>368</v>
      </c>
      <c r="P32" s="89"/>
      <c r="Q32" s="89"/>
    </row>
    <row r="33" spans="1:17" ht="14.4" x14ac:dyDescent="0.3">
      <c r="A33" s="16" t="s">
        <v>275</v>
      </c>
      <c r="B33" s="16" t="s">
        <v>276</v>
      </c>
      <c r="C33" s="28" t="s">
        <v>121</v>
      </c>
      <c r="D33" s="28" t="str">
        <f>IFERROR(VLOOKUP($C33,CUENTAS[],2,0),"")</f>
        <v>GASTOS FIJOS</v>
      </c>
      <c r="E33" s="28" t="str">
        <f>IFERROR(VLOOKUP($C33,CUENTAS[],3,0),"")</f>
        <v>MDE2025-002K</v>
      </c>
      <c r="F33" s="86">
        <v>15525</v>
      </c>
      <c r="G33" s="86">
        <v>2484</v>
      </c>
      <c r="H33" s="74">
        <v>18009</v>
      </c>
      <c r="I33" s="200" t="str">
        <f t="shared" si="0"/>
        <v>CORRECTO</v>
      </c>
      <c r="J33" s="202" t="s">
        <v>3244</v>
      </c>
      <c r="K33" s="69" t="s">
        <v>359</v>
      </c>
      <c r="L33" s="84" t="s">
        <v>227</v>
      </c>
      <c r="M33" s="85">
        <v>45672</v>
      </c>
      <c r="N33" s="75" t="s">
        <v>378</v>
      </c>
      <c r="P33" s="89"/>
      <c r="Q33" s="89"/>
    </row>
    <row r="34" spans="1:17" ht="14.4" x14ac:dyDescent="0.3">
      <c r="A34" s="16" t="s">
        <v>277</v>
      </c>
      <c r="B34" s="16" t="s">
        <v>278</v>
      </c>
      <c r="C34" s="28" t="s">
        <v>201</v>
      </c>
      <c r="D34" s="28" t="str">
        <f>IFERROR(VLOOKUP($C34,CUENTAS[],2,0),"")</f>
        <v>ACTIVOS FIJOS</v>
      </c>
      <c r="E34" s="28" t="str">
        <f>IFERROR(VLOOKUP($C34,CUENTAS[],3,0),"")</f>
        <v>MDE2025-007I</v>
      </c>
      <c r="F34" s="86">
        <v>21225</v>
      </c>
      <c r="G34" s="86">
        <v>0</v>
      </c>
      <c r="H34" s="74">
        <v>21225</v>
      </c>
      <c r="I34" s="200" t="str">
        <f t="shared" si="0"/>
        <v>CORRECTO</v>
      </c>
      <c r="J34" s="202" t="s">
        <v>3244</v>
      </c>
      <c r="K34" s="69" t="s">
        <v>357</v>
      </c>
      <c r="L34" s="84" t="s">
        <v>227</v>
      </c>
      <c r="M34" s="85">
        <v>45672</v>
      </c>
      <c r="N34" s="75" t="s">
        <v>371</v>
      </c>
      <c r="P34" s="89"/>
      <c r="Q34" s="89"/>
    </row>
    <row r="35" spans="1:17" ht="14.4" x14ac:dyDescent="0.3">
      <c r="A35" s="16" t="s">
        <v>279</v>
      </c>
      <c r="B35" s="16" t="s">
        <v>280</v>
      </c>
      <c r="C35" s="28" t="s">
        <v>143</v>
      </c>
      <c r="D35" s="28" t="str">
        <f>IFERROR(VLOOKUP($C35,CUENTAS[],2,0),"")</f>
        <v>GASTOS FIJOS</v>
      </c>
      <c r="E35" s="28" t="str">
        <f>IFERROR(VLOOKUP($C35,CUENTAS[],3,0),"")</f>
        <v>MDE2025-002C</v>
      </c>
      <c r="F35" s="86">
        <v>4903</v>
      </c>
      <c r="G35" s="86">
        <v>0</v>
      </c>
      <c r="H35" s="74">
        <v>4903</v>
      </c>
      <c r="I35" s="200" t="str">
        <f t="shared" si="0"/>
        <v>CORRECTO</v>
      </c>
      <c r="J35" s="202" t="s">
        <v>3244</v>
      </c>
      <c r="K35" s="69" t="s">
        <v>363</v>
      </c>
      <c r="L35" s="84" t="s">
        <v>227</v>
      </c>
      <c r="M35" s="85">
        <v>45672</v>
      </c>
      <c r="N35" s="75" t="s">
        <v>368</v>
      </c>
      <c r="P35" s="89"/>
      <c r="Q35" s="89"/>
    </row>
    <row r="36" spans="1:17" ht="14.4" x14ac:dyDescent="0.3">
      <c r="A36" s="16" t="s">
        <v>281</v>
      </c>
      <c r="B36" s="16" t="s">
        <v>282</v>
      </c>
      <c r="C36" s="28" t="s">
        <v>128</v>
      </c>
      <c r="D36" s="28" t="str">
        <f>IFERROR(VLOOKUP($C36,CUENTAS[],2,0),"")</f>
        <v>GASTOS FIJOS</v>
      </c>
      <c r="E36" s="28" t="str">
        <f>IFERROR(VLOOKUP($C36,CUENTAS[],3,0),"")</f>
        <v>MDE2025-002I</v>
      </c>
      <c r="F36" s="86">
        <v>8000</v>
      </c>
      <c r="G36" s="86">
        <v>0</v>
      </c>
      <c r="H36" s="74">
        <v>8000</v>
      </c>
      <c r="I36" s="200" t="str">
        <f t="shared" si="0"/>
        <v>CORRECTO</v>
      </c>
      <c r="J36" s="202" t="s">
        <v>3244</v>
      </c>
      <c r="K36" s="69" t="s">
        <v>363</v>
      </c>
      <c r="L36" s="84" t="s">
        <v>227</v>
      </c>
      <c r="M36" s="85">
        <v>45672</v>
      </c>
      <c r="N36" s="75" t="s">
        <v>371</v>
      </c>
      <c r="P36" s="89"/>
      <c r="Q36" s="89"/>
    </row>
    <row r="37" spans="1:17" ht="14.4" x14ac:dyDescent="0.3">
      <c r="A37" s="16" t="s">
        <v>283</v>
      </c>
      <c r="B37" s="16">
        <v>2372615</v>
      </c>
      <c r="C37" s="28" t="s">
        <v>120</v>
      </c>
      <c r="D37" s="28" t="str">
        <f>IFERROR(VLOOKUP($C37,CUENTAS[],2,0),"")</f>
        <v>TOKA</v>
      </c>
      <c r="E37" s="28" t="str">
        <f>IFERROR(VLOOKUP($C37,CUENTAS[],3,0),"")</f>
        <v>TOK2025-001C</v>
      </c>
      <c r="F37" s="86">
        <v>348</v>
      </c>
      <c r="G37" s="86">
        <v>0</v>
      </c>
      <c r="H37" s="74">
        <v>348</v>
      </c>
      <c r="I37" s="200" t="str">
        <f t="shared" si="0"/>
        <v>CORRECTO</v>
      </c>
      <c r="J37" s="202" t="s">
        <v>3244</v>
      </c>
      <c r="K37" s="69" t="s">
        <v>363</v>
      </c>
      <c r="L37" s="84" t="s">
        <v>227</v>
      </c>
      <c r="M37" s="85">
        <v>45672</v>
      </c>
      <c r="N37" s="75" t="s">
        <v>105</v>
      </c>
      <c r="P37" s="89"/>
      <c r="Q37" s="89"/>
    </row>
    <row r="38" spans="1:17" ht="14.4" x14ac:dyDescent="0.3">
      <c r="A38" s="16" t="s">
        <v>242</v>
      </c>
      <c r="B38" s="16" t="s">
        <v>243</v>
      </c>
      <c r="C38" s="28" t="s">
        <v>114</v>
      </c>
      <c r="D38" s="28" t="str">
        <f>IFERROR(VLOOKUP($C38,CUENTAS[],2,0),"")</f>
        <v>GASTOS FIJOS</v>
      </c>
      <c r="E38" s="28" t="str">
        <f>IFERROR(VLOOKUP($C38,CUENTAS[],3,0),"")</f>
        <v>MDE2025-002G</v>
      </c>
      <c r="F38" s="86">
        <v>172.41</v>
      </c>
      <c r="G38" s="86">
        <v>27.59</v>
      </c>
      <c r="H38" s="74">
        <v>200</v>
      </c>
      <c r="I38" s="200" t="str">
        <f t="shared" si="0"/>
        <v>CORRECTO</v>
      </c>
      <c r="J38" s="202" t="s">
        <v>3244</v>
      </c>
      <c r="K38" s="69" t="s">
        <v>358</v>
      </c>
      <c r="L38" s="84" t="s">
        <v>227</v>
      </c>
      <c r="M38" s="90">
        <v>45672</v>
      </c>
      <c r="N38" s="75" t="s">
        <v>373</v>
      </c>
      <c r="P38" s="89"/>
      <c r="Q38" s="89"/>
    </row>
    <row r="39" spans="1:17" ht="14.4" x14ac:dyDescent="0.3">
      <c r="A39" s="16" t="s">
        <v>284</v>
      </c>
      <c r="B39" s="16" t="s">
        <v>285</v>
      </c>
      <c r="C39" s="28" t="s">
        <v>222</v>
      </c>
      <c r="D39" s="28" t="str">
        <f>IFERROR(VLOOKUP($C39,CUENTAS[],2,0),"")</f>
        <v>MANTENIMIENTO</v>
      </c>
      <c r="E39" s="28" t="str">
        <f>IFERROR(VLOOKUP($C39,CUENTAS[],3,0),"")</f>
        <v>MDE2025-009A</v>
      </c>
      <c r="F39" s="86">
        <v>340</v>
      </c>
      <c r="G39" s="86">
        <v>0</v>
      </c>
      <c r="H39" s="74">
        <v>340</v>
      </c>
      <c r="I39" s="200" t="str">
        <f t="shared" si="0"/>
        <v>CORRECTO</v>
      </c>
      <c r="J39" s="202" t="s">
        <v>3244</v>
      </c>
      <c r="K39" s="69" t="s">
        <v>359</v>
      </c>
      <c r="L39" s="84" t="s">
        <v>227</v>
      </c>
      <c r="M39" s="85">
        <v>45673</v>
      </c>
      <c r="N39" s="75" t="s">
        <v>368</v>
      </c>
      <c r="P39" s="89"/>
      <c r="Q39" s="89"/>
    </row>
    <row r="40" spans="1:17" ht="14.4" x14ac:dyDescent="0.3">
      <c r="A40" s="16" t="s">
        <v>272</v>
      </c>
      <c r="B40" s="16" t="s">
        <v>286</v>
      </c>
      <c r="C40" s="28" t="s">
        <v>140</v>
      </c>
      <c r="D40" s="28" t="str">
        <f>IFERROR(VLOOKUP($C40,CUENTAS[],2,0),"")</f>
        <v>LOGÍSTICA</v>
      </c>
      <c r="E40" s="28" t="str">
        <f>IFERROR(VLOOKUP($C40,CUENTAS[],3,0),"")</f>
        <v>MDE2025-006B</v>
      </c>
      <c r="F40" s="86">
        <v>6051</v>
      </c>
      <c r="G40" s="86">
        <v>0</v>
      </c>
      <c r="H40" s="74">
        <v>6051</v>
      </c>
      <c r="I40" s="200" t="str">
        <f t="shared" si="0"/>
        <v>CORRECTO</v>
      </c>
      <c r="J40" s="202" t="s">
        <v>3244</v>
      </c>
      <c r="K40" s="69" t="s">
        <v>362</v>
      </c>
      <c r="L40" s="84" t="s">
        <v>227</v>
      </c>
      <c r="M40" s="92">
        <v>45674</v>
      </c>
      <c r="N40" s="75" t="s">
        <v>368</v>
      </c>
      <c r="P40" s="89"/>
      <c r="Q40" s="89"/>
    </row>
    <row r="41" spans="1:17" ht="14.4" x14ac:dyDescent="0.3">
      <c r="A41" s="16" t="s">
        <v>272</v>
      </c>
      <c r="B41" s="16" t="s">
        <v>287</v>
      </c>
      <c r="C41" s="28" t="s">
        <v>140</v>
      </c>
      <c r="D41" s="28" t="str">
        <f>IFERROR(VLOOKUP($C41,CUENTAS[],2,0),"")</f>
        <v>LOGÍSTICA</v>
      </c>
      <c r="E41" s="28" t="str">
        <f>IFERROR(VLOOKUP($C41,CUENTAS[],3,0),"")</f>
        <v>MDE2025-006B</v>
      </c>
      <c r="F41" s="86">
        <v>917</v>
      </c>
      <c r="G41" s="86">
        <v>0</v>
      </c>
      <c r="H41" s="74">
        <v>917</v>
      </c>
      <c r="I41" s="200" t="str">
        <f t="shared" si="0"/>
        <v>CORRECTO</v>
      </c>
      <c r="J41" s="202" t="s">
        <v>3244</v>
      </c>
      <c r="K41" s="69" t="s">
        <v>362</v>
      </c>
      <c r="L41" s="84" t="s">
        <v>227</v>
      </c>
      <c r="M41" s="92">
        <v>45674</v>
      </c>
      <c r="N41" s="75" t="s">
        <v>368</v>
      </c>
      <c r="P41" s="89"/>
      <c r="Q41" s="89"/>
    </row>
    <row r="42" spans="1:17" ht="14.4" x14ac:dyDescent="0.3">
      <c r="A42" s="16" t="s">
        <v>288</v>
      </c>
      <c r="B42" s="16" t="s">
        <v>289</v>
      </c>
      <c r="C42" s="28" t="s">
        <v>160</v>
      </c>
      <c r="D42" s="28" t="str">
        <f>IFERROR(VLOOKUP($C42,CUENTAS[],2,0),"")</f>
        <v>GASTOS VARIOS</v>
      </c>
      <c r="E42" s="28" t="str">
        <f>IFERROR(VLOOKUP($C42,CUENTAS[],3,0),"")</f>
        <v>MDE2025-003C</v>
      </c>
      <c r="F42" s="86">
        <v>1598</v>
      </c>
      <c r="G42" s="86">
        <v>0</v>
      </c>
      <c r="H42" s="74">
        <v>1598</v>
      </c>
      <c r="I42" s="200" t="str">
        <f t="shared" si="0"/>
        <v>CORRECTO</v>
      </c>
      <c r="J42" s="202" t="s">
        <v>3244</v>
      </c>
      <c r="K42" s="69" t="s">
        <v>363</v>
      </c>
      <c r="L42" s="84" t="s">
        <v>227</v>
      </c>
      <c r="M42" s="85">
        <v>45673</v>
      </c>
      <c r="N42" s="75" t="s">
        <v>371</v>
      </c>
      <c r="P42" s="89"/>
      <c r="Q42" s="89"/>
    </row>
    <row r="43" spans="1:17" ht="14.4" x14ac:dyDescent="0.3">
      <c r="A43" s="16" t="s">
        <v>290</v>
      </c>
      <c r="B43" s="16" t="s">
        <v>291</v>
      </c>
      <c r="C43" s="28" t="s">
        <v>222</v>
      </c>
      <c r="D43" s="28" t="str">
        <f>IFERROR(VLOOKUP($C43,CUENTAS[],2,0),"")</f>
        <v>MANTENIMIENTO</v>
      </c>
      <c r="E43" s="28" t="str">
        <f>IFERROR(VLOOKUP($C43,CUENTAS[],3,0),"")</f>
        <v>MDE2025-009A</v>
      </c>
      <c r="F43" s="86">
        <v>279.32</v>
      </c>
      <c r="G43" s="86">
        <v>44.69</v>
      </c>
      <c r="H43" s="74">
        <v>324.01</v>
      </c>
      <c r="I43" s="200" t="str">
        <f t="shared" si="0"/>
        <v>CORRECTO</v>
      </c>
      <c r="J43" s="202" t="s">
        <v>3244</v>
      </c>
      <c r="K43" s="69" t="s">
        <v>357</v>
      </c>
      <c r="L43" s="84" t="s">
        <v>227</v>
      </c>
      <c r="M43" s="85">
        <v>45673</v>
      </c>
      <c r="N43" s="75">
        <v>64358</v>
      </c>
      <c r="P43" s="89"/>
      <c r="Q43" s="89"/>
    </row>
    <row r="44" spans="1:17" ht="14.4" x14ac:dyDescent="0.3">
      <c r="A44" s="16" t="s">
        <v>284</v>
      </c>
      <c r="B44" s="16" t="s">
        <v>292</v>
      </c>
      <c r="C44" s="28" t="s">
        <v>222</v>
      </c>
      <c r="D44" s="28" t="str">
        <f>IFERROR(VLOOKUP($C44,CUENTAS[],2,0),"")</f>
        <v>MANTENIMIENTO</v>
      </c>
      <c r="E44" s="28" t="str">
        <f>IFERROR(VLOOKUP($C44,CUENTAS[],3,0),"")</f>
        <v>MDE2025-009A</v>
      </c>
      <c r="F44" s="86">
        <v>580</v>
      </c>
      <c r="G44" s="86">
        <v>0</v>
      </c>
      <c r="H44" s="74">
        <v>580</v>
      </c>
      <c r="I44" s="200" t="str">
        <f t="shared" si="0"/>
        <v>CORRECTO</v>
      </c>
      <c r="J44" s="202" t="s">
        <v>3244</v>
      </c>
      <c r="K44" s="69" t="s">
        <v>359</v>
      </c>
      <c r="L44" s="84" t="s">
        <v>227</v>
      </c>
      <c r="M44" s="85">
        <v>45673</v>
      </c>
      <c r="N44" s="75" t="s">
        <v>368</v>
      </c>
      <c r="P44" s="89"/>
      <c r="Q44" s="89"/>
    </row>
    <row r="45" spans="1:17" ht="14.4" x14ac:dyDescent="0.3">
      <c r="A45" s="16" t="s">
        <v>284</v>
      </c>
      <c r="B45" s="16" t="s">
        <v>293</v>
      </c>
      <c r="C45" s="28" t="s">
        <v>222</v>
      </c>
      <c r="D45" s="28" t="str">
        <f>IFERROR(VLOOKUP($C45,CUENTAS[],2,0),"")</f>
        <v>MANTENIMIENTO</v>
      </c>
      <c r="E45" s="28" t="str">
        <f>IFERROR(VLOOKUP($C45,CUENTAS[],3,0),"")</f>
        <v>MDE2025-009A</v>
      </c>
      <c r="F45" s="86">
        <v>3024.83</v>
      </c>
      <c r="G45" s="86">
        <v>483.97</v>
      </c>
      <c r="H45" s="74">
        <v>3508.8</v>
      </c>
      <c r="I45" s="200" t="str">
        <f t="shared" si="0"/>
        <v>CORRECTO</v>
      </c>
      <c r="J45" s="202" t="s">
        <v>3244</v>
      </c>
      <c r="K45" s="69" t="s">
        <v>359</v>
      </c>
      <c r="L45" s="84" t="s">
        <v>227</v>
      </c>
      <c r="M45" s="85">
        <v>45673</v>
      </c>
      <c r="N45" s="75" t="s">
        <v>379</v>
      </c>
      <c r="P45" s="89"/>
      <c r="Q45" s="89"/>
    </row>
    <row r="46" spans="1:17" ht="14.4" x14ac:dyDescent="0.3">
      <c r="A46" s="16" t="s">
        <v>290</v>
      </c>
      <c r="B46" s="16" t="s">
        <v>294</v>
      </c>
      <c r="C46" s="28" t="s">
        <v>222</v>
      </c>
      <c r="D46" s="28" t="str">
        <f>IFERROR(VLOOKUP($C46,CUENTAS[],2,0),"")</f>
        <v>MANTENIMIENTO</v>
      </c>
      <c r="E46" s="28" t="str">
        <f>IFERROR(VLOOKUP($C46,CUENTAS[],3,0),"")</f>
        <v>MDE2025-009A</v>
      </c>
      <c r="F46" s="86">
        <v>301.72000000000003</v>
      </c>
      <c r="G46" s="86">
        <v>48.28</v>
      </c>
      <c r="H46" s="74">
        <v>350</v>
      </c>
      <c r="I46" s="200" t="str">
        <f t="shared" si="0"/>
        <v>CORRECTO</v>
      </c>
      <c r="J46" s="202" t="s">
        <v>3244</v>
      </c>
      <c r="K46" s="69" t="s">
        <v>357</v>
      </c>
      <c r="L46" s="84" t="s">
        <v>227</v>
      </c>
      <c r="M46" s="85">
        <v>45673</v>
      </c>
      <c r="N46" s="75">
        <v>13314</v>
      </c>
      <c r="P46" s="89"/>
      <c r="Q46" s="89"/>
    </row>
    <row r="47" spans="1:17" ht="14.4" x14ac:dyDescent="0.3">
      <c r="A47" s="16" t="s">
        <v>228</v>
      </c>
      <c r="B47" s="16" t="s">
        <v>295</v>
      </c>
      <c r="C47" s="28" t="s">
        <v>223</v>
      </c>
      <c r="D47" s="28" t="str">
        <f>IFERROR(VLOOKUP($C47,CUENTAS[],2,0),"")</f>
        <v>MANTENIMIENTO</v>
      </c>
      <c r="E47" s="28" t="str">
        <f>IFERROR(VLOOKUP($C47,CUENTAS[],3,0),"")</f>
        <v>MDE2025-009B</v>
      </c>
      <c r="F47" s="86">
        <v>4000</v>
      </c>
      <c r="G47" s="86">
        <v>0</v>
      </c>
      <c r="H47" s="74">
        <v>4000</v>
      </c>
      <c r="I47" s="200" t="str">
        <f t="shared" si="0"/>
        <v>CORRECTO</v>
      </c>
      <c r="J47" s="202" t="s">
        <v>3244</v>
      </c>
      <c r="K47" s="69" t="s">
        <v>361</v>
      </c>
      <c r="L47" s="84" t="s">
        <v>227</v>
      </c>
      <c r="M47" s="85">
        <v>45673</v>
      </c>
      <c r="N47" s="75" t="s">
        <v>371</v>
      </c>
      <c r="P47" s="89"/>
      <c r="Q47" s="89"/>
    </row>
    <row r="48" spans="1:17" ht="14.4" x14ac:dyDescent="0.3">
      <c r="A48" s="16" t="s">
        <v>228</v>
      </c>
      <c r="B48" s="16" t="s">
        <v>296</v>
      </c>
      <c r="C48" s="28" t="s">
        <v>223</v>
      </c>
      <c r="D48" s="28" t="str">
        <f>IFERROR(VLOOKUP($C48,CUENTAS[],2,0),"")</f>
        <v>MANTENIMIENTO</v>
      </c>
      <c r="E48" s="28" t="str">
        <f>IFERROR(VLOOKUP($C48,CUENTAS[],3,0),"")</f>
        <v>MDE2025-009B</v>
      </c>
      <c r="F48" s="86">
        <v>10000</v>
      </c>
      <c r="G48" s="86">
        <v>0</v>
      </c>
      <c r="H48" s="74">
        <v>10000</v>
      </c>
      <c r="I48" s="200" t="str">
        <f t="shared" si="0"/>
        <v>CORRECTO</v>
      </c>
      <c r="J48" s="202" t="s">
        <v>3244</v>
      </c>
      <c r="K48" s="69" t="s">
        <v>361</v>
      </c>
      <c r="L48" s="84" t="s">
        <v>227</v>
      </c>
      <c r="M48" s="85">
        <v>45673</v>
      </c>
      <c r="N48" s="75" t="s">
        <v>371</v>
      </c>
      <c r="P48" s="89"/>
      <c r="Q48" s="89"/>
    </row>
    <row r="49" spans="1:17" ht="14.4" x14ac:dyDescent="0.3">
      <c r="A49" s="16" t="s">
        <v>240</v>
      </c>
      <c r="B49" s="16" t="s">
        <v>297</v>
      </c>
      <c r="C49" s="28" t="s">
        <v>201</v>
      </c>
      <c r="D49" s="28" t="str">
        <f>IFERROR(VLOOKUP($C49,CUENTAS[],2,0),"")</f>
        <v>ACTIVOS FIJOS</v>
      </c>
      <c r="E49" s="28" t="str">
        <f>IFERROR(VLOOKUP($C49,CUENTAS[],3,0),"")</f>
        <v>MDE2025-007I</v>
      </c>
      <c r="F49" s="86">
        <v>20000</v>
      </c>
      <c r="G49" s="86">
        <v>0</v>
      </c>
      <c r="H49" s="74">
        <v>20000</v>
      </c>
      <c r="I49" s="200" t="str">
        <f t="shared" si="0"/>
        <v>CORRECTO</v>
      </c>
      <c r="J49" s="202" t="s">
        <v>3244</v>
      </c>
      <c r="K49" s="69" t="s">
        <v>360</v>
      </c>
      <c r="L49" s="84" t="s">
        <v>227</v>
      </c>
      <c r="M49" s="85">
        <v>45673</v>
      </c>
      <c r="N49" s="75" t="s">
        <v>371</v>
      </c>
      <c r="P49" s="89"/>
      <c r="Q49" s="89"/>
    </row>
    <row r="50" spans="1:17" ht="14.4" x14ac:dyDescent="0.3">
      <c r="A50" s="16" t="s">
        <v>244</v>
      </c>
      <c r="B50" s="16" t="s">
        <v>298</v>
      </c>
      <c r="C50" s="28" t="s">
        <v>201</v>
      </c>
      <c r="D50" s="28" t="str">
        <f>IFERROR(VLOOKUP($C50,CUENTAS[],2,0),"")</f>
        <v>ACTIVOS FIJOS</v>
      </c>
      <c r="E50" s="28" t="str">
        <f>IFERROR(VLOOKUP($C50,CUENTAS[],3,0),"")</f>
        <v>MDE2025-007I</v>
      </c>
      <c r="F50" s="86">
        <v>2000</v>
      </c>
      <c r="G50" s="86">
        <v>0</v>
      </c>
      <c r="H50" s="74">
        <v>2000</v>
      </c>
      <c r="I50" s="200" t="str">
        <f t="shared" si="0"/>
        <v>CORRECTO</v>
      </c>
      <c r="J50" s="202" t="s">
        <v>3244</v>
      </c>
      <c r="K50" s="69" t="s">
        <v>360</v>
      </c>
      <c r="L50" s="84" t="s">
        <v>227</v>
      </c>
      <c r="M50" s="85">
        <v>45673</v>
      </c>
      <c r="N50" s="75" t="s">
        <v>371</v>
      </c>
      <c r="P50" s="89"/>
      <c r="Q50" s="89"/>
    </row>
    <row r="51" spans="1:17" ht="14.4" x14ac:dyDescent="0.3">
      <c r="A51" s="16" t="s">
        <v>242</v>
      </c>
      <c r="B51" s="16" t="s">
        <v>243</v>
      </c>
      <c r="C51" s="28" t="s">
        <v>114</v>
      </c>
      <c r="D51" s="28" t="str">
        <f>IFERROR(VLOOKUP($C51,CUENTAS[],2,0),"")</f>
        <v>GASTOS FIJOS</v>
      </c>
      <c r="E51" s="28" t="str">
        <f>IFERROR(VLOOKUP($C51,CUENTAS[],3,0),"")</f>
        <v>MDE2025-002G</v>
      </c>
      <c r="F51" s="86">
        <v>1863.84</v>
      </c>
      <c r="G51" s="86">
        <v>298.22000000000003</v>
      </c>
      <c r="H51" s="74">
        <v>2162.06</v>
      </c>
      <c r="I51" s="200" t="str">
        <f t="shared" si="0"/>
        <v>CORRECTO</v>
      </c>
      <c r="J51" s="202" t="s">
        <v>3244</v>
      </c>
      <c r="K51" s="69" t="s">
        <v>358</v>
      </c>
      <c r="L51" s="84" t="s">
        <v>227</v>
      </c>
      <c r="M51" s="90">
        <v>45673</v>
      </c>
      <c r="N51" s="75" t="s">
        <v>373</v>
      </c>
      <c r="P51" s="89"/>
      <c r="Q51" s="89"/>
    </row>
    <row r="52" spans="1:17" ht="14.4" x14ac:dyDescent="0.3">
      <c r="A52" s="16" t="s">
        <v>299</v>
      </c>
      <c r="B52" s="16" t="s">
        <v>300</v>
      </c>
      <c r="C52" s="28" t="s">
        <v>139</v>
      </c>
      <c r="D52" s="28" t="str">
        <f>IFERROR(VLOOKUP($C52,CUENTAS[],2,0),"")</f>
        <v>ACTIVOS FIJOS</v>
      </c>
      <c r="E52" s="28" t="str">
        <f>IFERROR(VLOOKUP($C52,CUENTAS[],3,0),"")</f>
        <v>MDE2025-007E</v>
      </c>
      <c r="F52" s="86">
        <v>7543.1</v>
      </c>
      <c r="G52" s="86">
        <v>1206.9000000000001</v>
      </c>
      <c r="H52" s="74">
        <v>8750</v>
      </c>
      <c r="I52" s="200" t="str">
        <f t="shared" si="0"/>
        <v>CORRECTO</v>
      </c>
      <c r="J52" s="202" t="s">
        <v>3244</v>
      </c>
      <c r="K52" s="69" t="s">
        <v>364</v>
      </c>
      <c r="L52" s="84" t="s">
        <v>227</v>
      </c>
      <c r="M52" s="85">
        <v>45674</v>
      </c>
      <c r="N52" s="75" t="s">
        <v>380</v>
      </c>
      <c r="P52" s="89"/>
      <c r="Q52" s="89"/>
    </row>
    <row r="53" spans="1:17" ht="14.4" x14ac:dyDescent="0.3">
      <c r="A53" s="16" t="s">
        <v>301</v>
      </c>
      <c r="B53" s="16" t="s">
        <v>302</v>
      </c>
      <c r="C53" s="28" t="s">
        <v>222</v>
      </c>
      <c r="D53" s="28" t="str">
        <f>IFERROR(VLOOKUP($C53,CUENTAS[],2,0),"")</f>
        <v>MANTENIMIENTO</v>
      </c>
      <c r="E53" s="28" t="str">
        <f>IFERROR(VLOOKUP($C53,CUENTAS[],3,0),"")</f>
        <v>MDE2025-009A</v>
      </c>
      <c r="F53" s="86">
        <v>188.79</v>
      </c>
      <c r="G53" s="86">
        <v>30.21</v>
      </c>
      <c r="H53" s="74">
        <v>219</v>
      </c>
      <c r="I53" s="200" t="str">
        <f t="shared" si="0"/>
        <v>CORRECTO</v>
      </c>
      <c r="J53" s="202" t="s">
        <v>3244</v>
      </c>
      <c r="K53" s="69" t="s">
        <v>364</v>
      </c>
      <c r="L53" s="84" t="s">
        <v>227</v>
      </c>
      <c r="M53" s="85">
        <v>45674</v>
      </c>
      <c r="N53" s="75" t="s">
        <v>381</v>
      </c>
      <c r="P53" s="89"/>
      <c r="Q53" s="89"/>
    </row>
    <row r="54" spans="1:17" ht="14.4" x14ac:dyDescent="0.3">
      <c r="A54" s="16" t="s">
        <v>301</v>
      </c>
      <c r="B54" s="16" t="s">
        <v>303</v>
      </c>
      <c r="C54" s="28" t="s">
        <v>222</v>
      </c>
      <c r="D54" s="28" t="str">
        <f>IFERROR(VLOOKUP($C54,CUENTAS[],2,0),"")</f>
        <v>MANTENIMIENTO</v>
      </c>
      <c r="E54" s="28" t="str">
        <f>IFERROR(VLOOKUP($C54,CUENTAS[],3,0),"")</f>
        <v>MDE2025-009A</v>
      </c>
      <c r="F54" s="86">
        <v>688.8</v>
      </c>
      <c r="G54" s="86">
        <v>110.2</v>
      </c>
      <c r="H54" s="74">
        <v>799</v>
      </c>
      <c r="I54" s="200" t="str">
        <f t="shared" si="0"/>
        <v>CORRECTO</v>
      </c>
      <c r="J54" s="202" t="s">
        <v>3244</v>
      </c>
      <c r="K54" s="69" t="s">
        <v>364</v>
      </c>
      <c r="L54" s="84" t="s">
        <v>227</v>
      </c>
      <c r="M54" s="85">
        <v>45674</v>
      </c>
      <c r="N54" s="75" t="s">
        <v>382</v>
      </c>
      <c r="P54" s="89"/>
      <c r="Q54" s="89"/>
    </row>
    <row r="55" spans="1:17" ht="14.4" x14ac:dyDescent="0.3">
      <c r="A55" s="16" t="s">
        <v>236</v>
      </c>
      <c r="B55" s="16" t="s">
        <v>269</v>
      </c>
      <c r="C55" s="28" t="s">
        <v>201</v>
      </c>
      <c r="D55" s="28" t="str">
        <f>IFERROR(VLOOKUP($C55,CUENTAS[],2,0),"")</f>
        <v>ACTIVOS FIJOS</v>
      </c>
      <c r="E55" s="28" t="str">
        <f>IFERROR(VLOOKUP($C55,CUENTAS[],3,0),"")</f>
        <v>MDE2025-007I</v>
      </c>
      <c r="F55" s="86">
        <v>3500</v>
      </c>
      <c r="G55" s="86">
        <v>0</v>
      </c>
      <c r="H55" s="74">
        <v>3500</v>
      </c>
      <c r="I55" s="200" t="str">
        <f t="shared" si="0"/>
        <v>CORRECTO</v>
      </c>
      <c r="J55" s="202" t="s">
        <v>3244</v>
      </c>
      <c r="K55" s="69" t="s">
        <v>363</v>
      </c>
      <c r="L55" s="84" t="s">
        <v>227</v>
      </c>
      <c r="M55" s="85">
        <v>45674</v>
      </c>
      <c r="N55" s="75" t="s">
        <v>371</v>
      </c>
      <c r="P55" s="89"/>
      <c r="Q55" s="89"/>
    </row>
    <row r="56" spans="1:17" ht="14.4" x14ac:dyDescent="0.3">
      <c r="A56" s="16" t="s">
        <v>238</v>
      </c>
      <c r="B56" s="16" t="s">
        <v>269</v>
      </c>
      <c r="C56" s="28" t="s">
        <v>201</v>
      </c>
      <c r="D56" s="28" t="str">
        <f>IFERROR(VLOOKUP($C56,CUENTAS[],2,0),"")</f>
        <v>ACTIVOS FIJOS</v>
      </c>
      <c r="E56" s="28" t="str">
        <f>IFERROR(VLOOKUP($C56,CUENTAS[],3,0),"")</f>
        <v>MDE2025-007I</v>
      </c>
      <c r="F56" s="86">
        <v>3200</v>
      </c>
      <c r="G56" s="86">
        <v>0</v>
      </c>
      <c r="H56" s="74">
        <v>3200</v>
      </c>
      <c r="I56" s="200" t="str">
        <f t="shared" si="0"/>
        <v>CORRECTO</v>
      </c>
      <c r="J56" s="202" t="s">
        <v>3244</v>
      </c>
      <c r="K56" s="69" t="s">
        <v>363</v>
      </c>
      <c r="L56" s="84" t="s">
        <v>227</v>
      </c>
      <c r="M56" s="85">
        <v>45674</v>
      </c>
      <c r="N56" s="75" t="s">
        <v>371</v>
      </c>
      <c r="P56" s="89"/>
      <c r="Q56" s="89"/>
    </row>
    <row r="57" spans="1:17" ht="14.4" x14ac:dyDescent="0.3">
      <c r="A57" s="16" t="s">
        <v>262</v>
      </c>
      <c r="B57" s="16" t="s">
        <v>304</v>
      </c>
      <c r="C57" s="28" t="s">
        <v>111</v>
      </c>
      <c r="D57" s="28" t="str">
        <f>IFERROR(VLOOKUP($C57,CUENTAS[],2,0),"")</f>
        <v>GASTOS VARIOS</v>
      </c>
      <c r="E57" s="28" t="str">
        <f>IFERROR(VLOOKUP($C57,CUENTAS[],3,0),"")</f>
        <v>MDE2025-003K</v>
      </c>
      <c r="F57" s="86">
        <v>10000</v>
      </c>
      <c r="G57" s="86">
        <v>0</v>
      </c>
      <c r="H57" s="74">
        <v>10000</v>
      </c>
      <c r="I57" s="200" t="str">
        <f t="shared" si="0"/>
        <v>CORRECTO</v>
      </c>
      <c r="J57" s="202" t="s">
        <v>3244</v>
      </c>
      <c r="K57" s="69" t="s">
        <v>360</v>
      </c>
      <c r="L57" s="84" t="s">
        <v>227</v>
      </c>
      <c r="M57" s="91">
        <v>45674</v>
      </c>
      <c r="N57" s="75" t="s">
        <v>371</v>
      </c>
      <c r="P57" s="89"/>
      <c r="Q57" s="89"/>
    </row>
    <row r="58" spans="1:17" ht="14.4" x14ac:dyDescent="0.3">
      <c r="A58" s="16" t="s">
        <v>264</v>
      </c>
      <c r="B58" s="16" t="s">
        <v>304</v>
      </c>
      <c r="C58" s="28" t="s">
        <v>111</v>
      </c>
      <c r="D58" s="28" t="str">
        <f>IFERROR(VLOOKUP($C58,CUENTAS[],2,0),"")</f>
        <v>GASTOS VARIOS</v>
      </c>
      <c r="E58" s="28" t="str">
        <f>IFERROR(VLOOKUP($C58,CUENTAS[],3,0),"")</f>
        <v>MDE2025-003K</v>
      </c>
      <c r="F58" s="86">
        <v>10000</v>
      </c>
      <c r="G58" s="86">
        <v>0</v>
      </c>
      <c r="H58" s="74">
        <v>10000</v>
      </c>
      <c r="I58" s="200" t="str">
        <f t="shared" si="0"/>
        <v>CORRECTO</v>
      </c>
      <c r="J58" s="202" t="s">
        <v>3244</v>
      </c>
      <c r="K58" s="69" t="s">
        <v>360</v>
      </c>
      <c r="L58" s="84" t="s">
        <v>227</v>
      </c>
      <c r="M58" s="91">
        <v>45674</v>
      </c>
      <c r="N58" s="75" t="s">
        <v>371</v>
      </c>
      <c r="P58" s="89"/>
      <c r="Q58" s="89"/>
    </row>
    <row r="59" spans="1:17" ht="14.4" x14ac:dyDescent="0.3">
      <c r="A59" s="16" t="s">
        <v>265</v>
      </c>
      <c r="B59" s="16" t="s">
        <v>304</v>
      </c>
      <c r="C59" s="28" t="s">
        <v>111</v>
      </c>
      <c r="D59" s="28" t="str">
        <f>IFERROR(VLOOKUP($C59,CUENTAS[],2,0),"")</f>
        <v>GASTOS VARIOS</v>
      </c>
      <c r="E59" s="28" t="str">
        <f>IFERROR(VLOOKUP($C59,CUENTAS[],3,0),"")</f>
        <v>MDE2025-003K</v>
      </c>
      <c r="F59" s="86">
        <v>10000</v>
      </c>
      <c r="G59" s="86">
        <v>0</v>
      </c>
      <c r="H59" s="74">
        <v>10000</v>
      </c>
      <c r="I59" s="200" t="str">
        <f t="shared" si="0"/>
        <v>CORRECTO</v>
      </c>
      <c r="J59" s="202" t="s">
        <v>3244</v>
      </c>
      <c r="K59" s="69" t="s">
        <v>360</v>
      </c>
      <c r="L59" s="84" t="s">
        <v>227</v>
      </c>
      <c r="M59" s="91">
        <v>45674</v>
      </c>
      <c r="N59" s="75" t="s">
        <v>371</v>
      </c>
      <c r="P59" s="89"/>
      <c r="Q59" s="89"/>
    </row>
    <row r="60" spans="1:17" ht="14.4" x14ac:dyDescent="0.3">
      <c r="A60" s="16" t="s">
        <v>266</v>
      </c>
      <c r="B60" s="16" t="s">
        <v>304</v>
      </c>
      <c r="C60" s="28" t="s">
        <v>111</v>
      </c>
      <c r="D60" s="28" t="str">
        <f>IFERROR(VLOOKUP($C60,CUENTAS[],2,0),"")</f>
        <v>GASTOS VARIOS</v>
      </c>
      <c r="E60" s="28" t="str">
        <f>IFERROR(VLOOKUP($C60,CUENTAS[],3,0),"")</f>
        <v>MDE2025-003K</v>
      </c>
      <c r="F60" s="86">
        <v>10000</v>
      </c>
      <c r="G60" s="86">
        <v>0</v>
      </c>
      <c r="H60" s="74">
        <v>10000</v>
      </c>
      <c r="I60" s="200" t="str">
        <f t="shared" si="0"/>
        <v>CORRECTO</v>
      </c>
      <c r="J60" s="202" t="s">
        <v>3244</v>
      </c>
      <c r="K60" s="69" t="s">
        <v>360</v>
      </c>
      <c r="L60" s="84" t="s">
        <v>227</v>
      </c>
      <c r="M60" s="91">
        <v>45674</v>
      </c>
      <c r="N60" s="75" t="s">
        <v>371</v>
      </c>
      <c r="P60" s="89"/>
      <c r="Q60" s="89"/>
    </row>
    <row r="61" spans="1:17" ht="14.4" x14ac:dyDescent="0.3">
      <c r="A61" s="16" t="s">
        <v>242</v>
      </c>
      <c r="B61" s="16" t="s">
        <v>243</v>
      </c>
      <c r="C61" s="28" t="s">
        <v>114</v>
      </c>
      <c r="D61" s="28" t="str">
        <f>IFERROR(VLOOKUP($C61,CUENTAS[],2,0),"")</f>
        <v>GASTOS FIJOS</v>
      </c>
      <c r="E61" s="28" t="str">
        <f>IFERROR(VLOOKUP($C61,CUENTAS[],3,0),"")</f>
        <v>MDE2025-002G</v>
      </c>
      <c r="F61" s="86">
        <v>129.31</v>
      </c>
      <c r="G61" s="86">
        <v>20.69</v>
      </c>
      <c r="H61" s="74">
        <v>150</v>
      </c>
      <c r="I61" s="200" t="str">
        <f t="shared" si="0"/>
        <v>CORRECTO</v>
      </c>
      <c r="J61" s="202" t="s">
        <v>3244</v>
      </c>
      <c r="K61" s="69" t="s">
        <v>358</v>
      </c>
      <c r="L61" s="84" t="s">
        <v>227</v>
      </c>
      <c r="M61" s="90">
        <v>45674</v>
      </c>
      <c r="N61" s="75" t="s">
        <v>373</v>
      </c>
      <c r="P61" s="89"/>
      <c r="Q61" s="89"/>
    </row>
    <row r="62" spans="1:17" ht="14.4" x14ac:dyDescent="0.3">
      <c r="A62" s="16" t="s">
        <v>228</v>
      </c>
      <c r="B62" s="16" t="s">
        <v>305</v>
      </c>
      <c r="C62" s="28" t="s">
        <v>222</v>
      </c>
      <c r="D62" s="28" t="str">
        <f>IFERROR(VLOOKUP($C62,CUENTAS[],2,0),"")</f>
        <v>MANTENIMIENTO</v>
      </c>
      <c r="E62" s="28" t="str">
        <f>IFERROR(VLOOKUP($C62,CUENTAS[],3,0),"")</f>
        <v>MDE2025-009A</v>
      </c>
      <c r="F62" s="86">
        <v>9000</v>
      </c>
      <c r="G62" s="86">
        <v>0</v>
      </c>
      <c r="H62" s="74">
        <v>9000</v>
      </c>
      <c r="I62" s="200" t="str">
        <f t="shared" si="0"/>
        <v>CORRECTO</v>
      </c>
      <c r="J62" s="202" t="s">
        <v>3244</v>
      </c>
      <c r="K62" s="69" t="s">
        <v>363</v>
      </c>
      <c r="L62" s="84" t="s">
        <v>227</v>
      </c>
      <c r="M62" s="85">
        <v>45678</v>
      </c>
      <c r="N62" s="75" t="s">
        <v>368</v>
      </c>
      <c r="P62" s="89"/>
      <c r="Q62" s="89"/>
    </row>
    <row r="63" spans="1:17" ht="14.4" x14ac:dyDescent="0.3">
      <c r="A63" s="16" t="s">
        <v>232</v>
      </c>
      <c r="B63" s="16" t="s">
        <v>306</v>
      </c>
      <c r="C63" s="28" t="s">
        <v>224</v>
      </c>
      <c r="D63" s="28" t="str">
        <f>IFERROR(VLOOKUP($C63,CUENTAS[],2,0),"")</f>
        <v>MATERIALES</v>
      </c>
      <c r="E63" s="28" t="str">
        <f>IFERROR(VLOOKUP($C63,CUENTAS[],3,0),"")</f>
        <v>MDE2025-004</v>
      </c>
      <c r="F63" s="86">
        <v>124382.66</v>
      </c>
      <c r="G63" s="86">
        <v>19901.23</v>
      </c>
      <c r="H63" s="74">
        <v>144283.89000000001</v>
      </c>
      <c r="I63" s="200" t="str">
        <f t="shared" si="0"/>
        <v>CORRECTO</v>
      </c>
      <c r="J63" s="202" t="s">
        <v>3244</v>
      </c>
      <c r="K63" s="69" t="s">
        <v>357</v>
      </c>
      <c r="L63" s="84" t="s">
        <v>227</v>
      </c>
      <c r="M63" s="85">
        <v>45678</v>
      </c>
      <c r="N63" s="75" t="s">
        <v>383</v>
      </c>
      <c r="P63" s="89"/>
      <c r="Q63" s="89"/>
    </row>
    <row r="64" spans="1:17" ht="14.4" x14ac:dyDescent="0.3">
      <c r="A64" s="16" t="s">
        <v>307</v>
      </c>
      <c r="B64" s="16" t="s">
        <v>308</v>
      </c>
      <c r="C64" s="28" t="s">
        <v>224</v>
      </c>
      <c r="D64" s="28" t="str">
        <f>IFERROR(VLOOKUP($C64,CUENTAS[],2,0),"")</f>
        <v>MATERIALES</v>
      </c>
      <c r="E64" s="28" t="str">
        <f>IFERROR(VLOOKUP($C64,CUENTAS[],3,0),"")</f>
        <v>MDE2025-004</v>
      </c>
      <c r="F64" s="86">
        <v>36241.379999999997</v>
      </c>
      <c r="G64" s="86">
        <v>5798.62</v>
      </c>
      <c r="H64" s="74">
        <v>42040</v>
      </c>
      <c r="I64" s="200" t="str">
        <f t="shared" si="0"/>
        <v>CORRECTO</v>
      </c>
      <c r="J64" s="202" t="s">
        <v>3244</v>
      </c>
      <c r="K64" s="69" t="s">
        <v>357</v>
      </c>
      <c r="L64" s="84" t="s">
        <v>227</v>
      </c>
      <c r="M64" s="85">
        <v>45678</v>
      </c>
      <c r="N64" s="75" t="s">
        <v>384</v>
      </c>
      <c r="P64" s="89"/>
      <c r="Q64" s="89"/>
    </row>
    <row r="65" spans="1:17" ht="14.4" x14ac:dyDescent="0.3">
      <c r="A65" s="16" t="s">
        <v>307</v>
      </c>
      <c r="B65" s="16" t="s">
        <v>309</v>
      </c>
      <c r="C65" s="28" t="s">
        <v>224</v>
      </c>
      <c r="D65" s="28" t="str">
        <f>IFERROR(VLOOKUP($C65,CUENTAS[],2,0),"")</f>
        <v>MATERIALES</v>
      </c>
      <c r="E65" s="28" t="str">
        <f>IFERROR(VLOOKUP($C65,CUENTAS[],3,0),"")</f>
        <v>MDE2025-004</v>
      </c>
      <c r="F65" s="86">
        <v>12931.54</v>
      </c>
      <c r="G65" s="86">
        <v>2069.0700000000002</v>
      </c>
      <c r="H65" s="74">
        <v>15000.61</v>
      </c>
      <c r="I65" s="200" t="str">
        <f t="shared" si="0"/>
        <v>CORRECTO</v>
      </c>
      <c r="J65" s="202" t="s">
        <v>3244</v>
      </c>
      <c r="K65" s="69" t="s">
        <v>357</v>
      </c>
      <c r="L65" s="84" t="s">
        <v>227</v>
      </c>
      <c r="M65" s="85">
        <v>45678</v>
      </c>
      <c r="N65" s="75" t="s">
        <v>385</v>
      </c>
      <c r="P65" s="89"/>
      <c r="Q65" s="89"/>
    </row>
    <row r="66" spans="1:17" ht="14.4" x14ac:dyDescent="0.3">
      <c r="A66" s="16" t="s">
        <v>310</v>
      </c>
      <c r="B66" s="16" t="s">
        <v>311</v>
      </c>
      <c r="C66" s="28" t="s">
        <v>224</v>
      </c>
      <c r="D66" s="28" t="str">
        <f>IFERROR(VLOOKUP($C66,CUENTAS[],2,0),"")</f>
        <v>MATERIALES</v>
      </c>
      <c r="E66" s="28" t="str">
        <f>IFERROR(VLOOKUP($C66,CUENTAS[],3,0),"")</f>
        <v>MDE2025-004</v>
      </c>
      <c r="F66" s="86">
        <v>16720.02</v>
      </c>
      <c r="G66" s="86">
        <v>0</v>
      </c>
      <c r="H66" s="74">
        <v>16720.02</v>
      </c>
      <c r="I66" s="200" t="str">
        <f t="shared" si="0"/>
        <v>CORRECTO</v>
      </c>
      <c r="J66" s="202" t="s">
        <v>3244</v>
      </c>
      <c r="K66" s="69" t="s">
        <v>357</v>
      </c>
      <c r="L66" s="84" t="s">
        <v>227</v>
      </c>
      <c r="M66" s="85">
        <v>45678</v>
      </c>
      <c r="N66" s="75" t="s">
        <v>226</v>
      </c>
      <c r="P66" s="89"/>
      <c r="Q66" s="89"/>
    </row>
    <row r="67" spans="1:17" ht="14.4" x14ac:dyDescent="0.3">
      <c r="A67" s="16" t="s">
        <v>267</v>
      </c>
      <c r="B67" s="16" t="s">
        <v>312</v>
      </c>
      <c r="C67" s="28" t="s">
        <v>166</v>
      </c>
      <c r="D67" s="28" t="str">
        <f>IFERROR(VLOOKUP($C67,CUENTAS[],2,0),"")</f>
        <v>LOGÍSTICA</v>
      </c>
      <c r="E67" s="28" t="str">
        <f>IFERROR(VLOOKUP($C67,CUENTAS[],3,0),"")</f>
        <v>MDE2025-006C</v>
      </c>
      <c r="F67" s="86">
        <v>14109</v>
      </c>
      <c r="G67" s="86">
        <v>0</v>
      </c>
      <c r="H67" s="74">
        <v>14109</v>
      </c>
      <c r="I67" s="200" t="str">
        <f t="shared" ref="I67:I130" si="1">+IF(F67+G67&lt;&gt;H67,"REVISAR","CORRECTO")</f>
        <v>CORRECTO</v>
      </c>
      <c r="J67" s="202" t="s">
        <v>3244</v>
      </c>
      <c r="K67" s="69" t="s">
        <v>362</v>
      </c>
      <c r="L67" s="84" t="s">
        <v>227</v>
      </c>
      <c r="M67" s="85">
        <v>45678</v>
      </c>
      <c r="N67" s="75" t="s">
        <v>386</v>
      </c>
      <c r="P67" s="89"/>
      <c r="Q67" s="89"/>
    </row>
    <row r="68" spans="1:17" ht="14.4" x14ac:dyDescent="0.3">
      <c r="A68" s="16" t="s">
        <v>290</v>
      </c>
      <c r="B68" s="16" t="s">
        <v>313</v>
      </c>
      <c r="C68" s="28" t="s">
        <v>224</v>
      </c>
      <c r="D68" s="28" t="str">
        <f>IFERROR(VLOOKUP($C68,CUENTAS[],2,0),"")</f>
        <v>MATERIALES</v>
      </c>
      <c r="E68" s="28" t="str">
        <f>IFERROR(VLOOKUP($C68,CUENTAS[],3,0),"")</f>
        <v>MDE2025-004</v>
      </c>
      <c r="F68" s="86">
        <v>2480</v>
      </c>
      <c r="G68" s="86">
        <v>0</v>
      </c>
      <c r="H68" s="74">
        <v>2480</v>
      </c>
      <c r="I68" s="200" t="str">
        <f t="shared" si="1"/>
        <v>CORRECTO</v>
      </c>
      <c r="J68" s="202" t="s">
        <v>3244</v>
      </c>
      <c r="K68" s="69" t="s">
        <v>357</v>
      </c>
      <c r="L68" s="84" t="s">
        <v>227</v>
      </c>
      <c r="M68" s="85">
        <v>45678</v>
      </c>
      <c r="N68" s="75" t="s">
        <v>387</v>
      </c>
      <c r="P68" s="89"/>
      <c r="Q68" s="89"/>
    </row>
    <row r="69" spans="1:17" ht="14.4" x14ac:dyDescent="0.3">
      <c r="A69" s="16" t="s">
        <v>290</v>
      </c>
      <c r="B69" s="16" t="s">
        <v>314</v>
      </c>
      <c r="C69" s="28" t="s">
        <v>161</v>
      </c>
      <c r="D69" s="28" t="str">
        <f>IFERROR(VLOOKUP($C69,CUENTAS[],2,0),"")</f>
        <v>LOGÍSTICA</v>
      </c>
      <c r="E69" s="28" t="str">
        <f>IFERROR(VLOOKUP($C69,CUENTAS[],3,0),"")</f>
        <v>MDE2025-003E</v>
      </c>
      <c r="F69" s="86">
        <v>141</v>
      </c>
      <c r="G69" s="86">
        <v>0</v>
      </c>
      <c r="H69" s="74">
        <v>141</v>
      </c>
      <c r="I69" s="200" t="str">
        <f t="shared" si="1"/>
        <v>CORRECTO</v>
      </c>
      <c r="J69" s="202" t="s">
        <v>3244</v>
      </c>
      <c r="K69" s="69" t="s">
        <v>357</v>
      </c>
      <c r="L69" s="84" t="s">
        <v>227</v>
      </c>
      <c r="M69" s="85">
        <v>45678</v>
      </c>
      <c r="N69" s="75" t="s">
        <v>387</v>
      </c>
      <c r="P69" s="89"/>
      <c r="Q69" s="89"/>
    </row>
    <row r="70" spans="1:17" ht="14.4" x14ac:dyDescent="0.3">
      <c r="A70" s="16" t="s">
        <v>277</v>
      </c>
      <c r="B70" s="16" t="s">
        <v>315</v>
      </c>
      <c r="C70" s="28" t="s">
        <v>201</v>
      </c>
      <c r="D70" s="28" t="str">
        <f>IFERROR(VLOOKUP($C70,CUENTAS[],2,0),"")</f>
        <v>ACTIVOS FIJOS</v>
      </c>
      <c r="E70" s="28" t="str">
        <f>IFERROR(VLOOKUP($C70,CUENTAS[],3,0),"")</f>
        <v>MDE2025-007I</v>
      </c>
      <c r="F70" s="86">
        <v>17050</v>
      </c>
      <c r="G70" s="86">
        <v>0</v>
      </c>
      <c r="H70" s="74">
        <v>17050</v>
      </c>
      <c r="I70" s="200" t="str">
        <f t="shared" si="1"/>
        <v>CORRECTO</v>
      </c>
      <c r="J70" s="202" t="s">
        <v>3244</v>
      </c>
      <c r="K70" s="69" t="s">
        <v>357</v>
      </c>
      <c r="L70" s="84" t="s">
        <v>227</v>
      </c>
      <c r="M70" s="85">
        <v>45678</v>
      </c>
      <c r="N70" s="75" t="s">
        <v>226</v>
      </c>
      <c r="P70" s="89"/>
      <c r="Q70" s="89"/>
    </row>
    <row r="71" spans="1:17" ht="14.4" x14ac:dyDescent="0.3">
      <c r="A71" s="16" t="s">
        <v>242</v>
      </c>
      <c r="B71" s="16" t="s">
        <v>243</v>
      </c>
      <c r="C71" s="28" t="s">
        <v>114</v>
      </c>
      <c r="D71" s="28" t="str">
        <f>IFERROR(VLOOKUP($C71,CUENTAS[],2,0),"")</f>
        <v>GASTOS FIJOS</v>
      </c>
      <c r="E71" s="28" t="str">
        <f>IFERROR(VLOOKUP($C71,CUENTAS[],3,0),"")</f>
        <v>MDE2025-002G</v>
      </c>
      <c r="F71" s="86">
        <v>1500</v>
      </c>
      <c r="G71" s="86">
        <v>0</v>
      </c>
      <c r="H71" s="74">
        <v>1500</v>
      </c>
      <c r="I71" s="200" t="str">
        <f t="shared" si="1"/>
        <v>CORRECTO</v>
      </c>
      <c r="J71" s="202" t="s">
        <v>3244</v>
      </c>
      <c r="K71" s="69" t="s">
        <v>358</v>
      </c>
      <c r="L71" s="84" t="s">
        <v>227</v>
      </c>
      <c r="M71" s="90">
        <v>45678</v>
      </c>
      <c r="N71" s="75" t="s">
        <v>373</v>
      </c>
      <c r="P71" s="89"/>
      <c r="Q71" s="89"/>
    </row>
    <row r="72" spans="1:17" ht="14.4" x14ac:dyDescent="0.3">
      <c r="A72" s="16" t="s">
        <v>272</v>
      </c>
      <c r="B72" s="16" t="s">
        <v>316</v>
      </c>
      <c r="C72" s="28" t="s">
        <v>140</v>
      </c>
      <c r="D72" s="28" t="str">
        <f>IFERROR(VLOOKUP($C72,CUENTAS[],2,0),"")</f>
        <v>LOGÍSTICA</v>
      </c>
      <c r="E72" s="28" t="str">
        <f>IFERROR(VLOOKUP($C72,CUENTAS[],3,0),"")</f>
        <v>MDE2025-006B</v>
      </c>
      <c r="F72" s="86">
        <v>4010</v>
      </c>
      <c r="G72" s="86">
        <v>0</v>
      </c>
      <c r="H72" s="74">
        <v>4010</v>
      </c>
      <c r="I72" s="200" t="str">
        <f t="shared" si="1"/>
        <v>CORRECTO</v>
      </c>
      <c r="J72" s="202" t="s">
        <v>3244</v>
      </c>
      <c r="K72" s="69" t="s">
        <v>362</v>
      </c>
      <c r="L72" s="84" t="s">
        <v>227</v>
      </c>
      <c r="M72" s="85">
        <v>45680</v>
      </c>
      <c r="N72" s="75" t="s">
        <v>368</v>
      </c>
      <c r="P72" s="89"/>
      <c r="Q72" s="89"/>
    </row>
    <row r="73" spans="1:17" ht="14.4" x14ac:dyDescent="0.3">
      <c r="A73" s="16" t="s">
        <v>317</v>
      </c>
      <c r="B73" s="16" t="s">
        <v>318</v>
      </c>
      <c r="C73" s="28" t="s">
        <v>166</v>
      </c>
      <c r="D73" s="28" t="str">
        <f>IFERROR(VLOOKUP($C73,CUENTAS[],2,0),"")</f>
        <v>LOGÍSTICA</v>
      </c>
      <c r="E73" s="28" t="str">
        <f>IFERROR(VLOOKUP($C73,CUENTAS[],3,0),"")</f>
        <v>MDE2025-006C</v>
      </c>
      <c r="F73" s="86">
        <v>20550</v>
      </c>
      <c r="G73" s="86">
        <v>3288</v>
      </c>
      <c r="H73" s="74">
        <v>23838</v>
      </c>
      <c r="I73" s="200" t="str">
        <f t="shared" si="1"/>
        <v>CORRECTO</v>
      </c>
      <c r="J73" s="202" t="s">
        <v>3244</v>
      </c>
      <c r="K73" s="69" t="s">
        <v>365</v>
      </c>
      <c r="L73" s="84" t="s">
        <v>227</v>
      </c>
      <c r="M73" s="85">
        <v>45680</v>
      </c>
      <c r="N73" s="75" t="s">
        <v>388</v>
      </c>
      <c r="P73" s="89"/>
      <c r="Q73" s="89"/>
    </row>
    <row r="74" spans="1:17" ht="14.4" x14ac:dyDescent="0.3">
      <c r="A74" s="16" t="s">
        <v>319</v>
      </c>
      <c r="B74" s="16" t="s">
        <v>320</v>
      </c>
      <c r="C74" s="28" t="s">
        <v>167</v>
      </c>
      <c r="D74" s="28" t="str">
        <f>IFERROR(VLOOKUP($C74,CUENTAS[],2,0),"")</f>
        <v>LOGÍSTICA</v>
      </c>
      <c r="E74" s="28" t="str">
        <f>IFERROR(VLOOKUP($C74,CUENTAS[],3,0),"")</f>
        <v>MDE2025-006D</v>
      </c>
      <c r="F74" s="86">
        <v>1500</v>
      </c>
      <c r="G74" s="86">
        <v>0</v>
      </c>
      <c r="H74" s="74">
        <v>1500</v>
      </c>
      <c r="I74" s="200" t="str">
        <f t="shared" si="1"/>
        <v>CORRECTO</v>
      </c>
      <c r="J74" s="202" t="s">
        <v>3244</v>
      </c>
      <c r="K74" s="69" t="s">
        <v>362</v>
      </c>
      <c r="L74" s="84" t="s">
        <v>227</v>
      </c>
      <c r="M74" s="85">
        <v>45680</v>
      </c>
      <c r="N74" s="75" t="s">
        <v>389</v>
      </c>
      <c r="P74" s="89"/>
      <c r="Q74" s="89"/>
    </row>
    <row r="75" spans="1:17" ht="14.4" x14ac:dyDescent="0.3">
      <c r="A75" s="16" t="s">
        <v>232</v>
      </c>
      <c r="B75" s="16" t="s">
        <v>321</v>
      </c>
      <c r="C75" s="28" t="s">
        <v>130</v>
      </c>
      <c r="D75" s="28" t="str">
        <f>IFERROR(VLOOKUP($C75,CUENTAS[],2,0),"")</f>
        <v>MATERIALES</v>
      </c>
      <c r="E75" s="28" t="str">
        <f>IFERROR(VLOOKUP($C75,CUENTAS[],3,0),"")</f>
        <v>MDE2025-004A</v>
      </c>
      <c r="F75" s="86">
        <v>193935.97</v>
      </c>
      <c r="G75" s="86">
        <v>0</v>
      </c>
      <c r="H75" s="74">
        <v>193935.97</v>
      </c>
      <c r="I75" s="200" t="str">
        <f t="shared" si="1"/>
        <v>CORRECTO</v>
      </c>
      <c r="J75" s="202" t="s">
        <v>3244</v>
      </c>
      <c r="K75" s="69" t="s">
        <v>357</v>
      </c>
      <c r="L75" s="84" t="s">
        <v>227</v>
      </c>
      <c r="M75" s="85">
        <v>45680</v>
      </c>
      <c r="N75" s="75" t="s">
        <v>390</v>
      </c>
      <c r="P75" s="89"/>
      <c r="Q75" s="89"/>
    </row>
    <row r="76" spans="1:17" ht="14.4" x14ac:dyDescent="0.3">
      <c r="A76" s="16" t="s">
        <v>244</v>
      </c>
      <c r="B76" s="16" t="s">
        <v>298</v>
      </c>
      <c r="C76" s="28" t="s">
        <v>201</v>
      </c>
      <c r="D76" s="28" t="str">
        <f>IFERROR(VLOOKUP($C76,CUENTAS[],2,0),"")</f>
        <v>ACTIVOS FIJOS</v>
      </c>
      <c r="E76" s="28" t="str">
        <f>IFERROR(VLOOKUP($C76,CUENTAS[],3,0),"")</f>
        <v>MDE2025-007I</v>
      </c>
      <c r="F76" s="86">
        <v>1000</v>
      </c>
      <c r="G76" s="86">
        <v>0</v>
      </c>
      <c r="H76" s="74">
        <v>1000</v>
      </c>
      <c r="I76" s="200" t="str">
        <f t="shared" si="1"/>
        <v>CORRECTO</v>
      </c>
      <c r="J76" s="202" t="s">
        <v>3244</v>
      </c>
      <c r="K76" s="69" t="s">
        <v>360</v>
      </c>
      <c r="L76" s="84" t="s">
        <v>227</v>
      </c>
      <c r="M76" s="85">
        <v>45680</v>
      </c>
      <c r="N76" s="75" t="s">
        <v>371</v>
      </c>
      <c r="P76" s="89"/>
      <c r="Q76" s="89"/>
    </row>
    <row r="77" spans="1:17" ht="14.4" x14ac:dyDescent="0.3">
      <c r="A77" s="16" t="s">
        <v>242</v>
      </c>
      <c r="B77" s="16" t="s">
        <v>243</v>
      </c>
      <c r="C77" s="28" t="s">
        <v>114</v>
      </c>
      <c r="D77" s="28" t="str">
        <f>IFERROR(VLOOKUP($C77,CUENTAS[],2,0),"")</f>
        <v>GASTOS FIJOS</v>
      </c>
      <c r="E77" s="28" t="str">
        <f>IFERROR(VLOOKUP($C77,CUENTAS[],3,0),"")</f>
        <v>MDE2025-002G</v>
      </c>
      <c r="F77" s="86">
        <v>1379.31</v>
      </c>
      <c r="G77" s="86">
        <v>220.69</v>
      </c>
      <c r="H77" s="74">
        <v>1600</v>
      </c>
      <c r="I77" s="200" t="str">
        <f t="shared" si="1"/>
        <v>CORRECTO</v>
      </c>
      <c r="J77" s="202" t="s">
        <v>3244</v>
      </c>
      <c r="K77" s="69" t="s">
        <v>358</v>
      </c>
      <c r="L77" s="84" t="s">
        <v>227</v>
      </c>
      <c r="M77" s="90">
        <v>45680</v>
      </c>
      <c r="N77" s="75" t="s">
        <v>373</v>
      </c>
      <c r="P77" s="89"/>
      <c r="Q77" s="89"/>
    </row>
    <row r="78" spans="1:17" ht="14.4" x14ac:dyDescent="0.3">
      <c r="A78" s="16" t="s">
        <v>236</v>
      </c>
      <c r="B78" s="16" t="s">
        <v>269</v>
      </c>
      <c r="C78" s="28" t="s">
        <v>201</v>
      </c>
      <c r="D78" s="28" t="str">
        <f>IFERROR(VLOOKUP($C78,CUENTAS[],2,0),"")</f>
        <v>ACTIVOS FIJOS</v>
      </c>
      <c r="E78" s="28" t="str">
        <f>IFERROR(VLOOKUP($C78,CUENTAS[],3,0),"")</f>
        <v>MDE2025-007I</v>
      </c>
      <c r="F78" s="86">
        <v>3500</v>
      </c>
      <c r="G78" s="86">
        <v>0</v>
      </c>
      <c r="H78" s="74">
        <v>3500</v>
      </c>
      <c r="I78" s="200" t="str">
        <f t="shared" si="1"/>
        <v>CORRECTO</v>
      </c>
      <c r="J78" s="202" t="s">
        <v>3244</v>
      </c>
      <c r="K78" s="69" t="s">
        <v>365</v>
      </c>
      <c r="L78" s="84" t="s">
        <v>227</v>
      </c>
      <c r="M78" s="85">
        <v>45681</v>
      </c>
      <c r="N78" s="75" t="s">
        <v>371</v>
      </c>
      <c r="P78" s="89"/>
      <c r="Q78" s="89"/>
    </row>
    <row r="79" spans="1:17" ht="14.4" x14ac:dyDescent="0.3">
      <c r="A79" s="16" t="s">
        <v>238</v>
      </c>
      <c r="B79" s="16" t="s">
        <v>269</v>
      </c>
      <c r="C79" s="28" t="s">
        <v>201</v>
      </c>
      <c r="D79" s="28" t="str">
        <f>IFERROR(VLOOKUP($C79,CUENTAS[],2,0),"")</f>
        <v>ACTIVOS FIJOS</v>
      </c>
      <c r="E79" s="28" t="str">
        <f>IFERROR(VLOOKUP($C79,CUENTAS[],3,0),"")</f>
        <v>MDE2025-007I</v>
      </c>
      <c r="F79" s="86">
        <v>3200</v>
      </c>
      <c r="G79" s="86">
        <v>0</v>
      </c>
      <c r="H79" s="74">
        <v>3200</v>
      </c>
      <c r="I79" s="200" t="str">
        <f t="shared" si="1"/>
        <v>CORRECTO</v>
      </c>
      <c r="J79" s="202" t="s">
        <v>3244</v>
      </c>
      <c r="K79" s="69" t="s">
        <v>365</v>
      </c>
      <c r="L79" s="84" t="s">
        <v>227</v>
      </c>
      <c r="M79" s="85">
        <v>45681</v>
      </c>
      <c r="N79" s="75" t="s">
        <v>371</v>
      </c>
      <c r="P79" s="89"/>
      <c r="Q79" s="89"/>
    </row>
    <row r="80" spans="1:17" ht="14.4" x14ac:dyDescent="0.3">
      <c r="A80" s="16" t="s">
        <v>228</v>
      </c>
      <c r="B80" s="16" t="s">
        <v>322</v>
      </c>
      <c r="C80" s="28" t="s">
        <v>201</v>
      </c>
      <c r="D80" s="28" t="str">
        <f>IFERROR(VLOOKUP($C80,CUENTAS[],2,0),"")</f>
        <v>ACTIVOS FIJOS</v>
      </c>
      <c r="E80" s="28" t="str">
        <f>IFERROR(VLOOKUP($C80,CUENTAS[],3,0),"")</f>
        <v>MDE2025-007I</v>
      </c>
      <c r="F80" s="86">
        <v>12931.03</v>
      </c>
      <c r="G80" s="86">
        <v>2068.9699999999998</v>
      </c>
      <c r="H80" s="74">
        <v>15000</v>
      </c>
      <c r="I80" s="200" t="str">
        <f t="shared" si="1"/>
        <v>CORRECTO</v>
      </c>
      <c r="J80" s="202" t="s">
        <v>3244</v>
      </c>
      <c r="K80" s="69" t="s">
        <v>363</v>
      </c>
      <c r="L80" s="84" t="s">
        <v>227</v>
      </c>
      <c r="M80" s="85">
        <v>45681</v>
      </c>
      <c r="N80" s="75" t="s">
        <v>226</v>
      </c>
      <c r="P80" s="89"/>
      <c r="Q80" s="89"/>
    </row>
    <row r="81" spans="1:17" ht="14.4" x14ac:dyDescent="0.3">
      <c r="A81" s="16" t="s">
        <v>244</v>
      </c>
      <c r="B81" s="16" t="s">
        <v>323</v>
      </c>
      <c r="C81" s="28" t="s">
        <v>201</v>
      </c>
      <c r="D81" s="28" t="str">
        <f>IFERROR(VLOOKUP($C81,CUENTAS[],2,0),"")</f>
        <v>ACTIVOS FIJOS</v>
      </c>
      <c r="E81" s="28" t="str">
        <f>IFERROR(VLOOKUP($C81,CUENTAS[],3,0),"")</f>
        <v>MDE2025-007I</v>
      </c>
      <c r="F81" s="86">
        <v>3000</v>
      </c>
      <c r="G81" s="86">
        <v>0</v>
      </c>
      <c r="H81" s="74">
        <v>3000</v>
      </c>
      <c r="I81" s="200" t="str">
        <f t="shared" si="1"/>
        <v>CORRECTO</v>
      </c>
      <c r="J81" s="202" t="s">
        <v>3244</v>
      </c>
      <c r="K81" s="69" t="s">
        <v>360</v>
      </c>
      <c r="L81" s="84" t="s">
        <v>227</v>
      </c>
      <c r="M81" s="85">
        <v>45681</v>
      </c>
      <c r="N81" s="75" t="s">
        <v>371</v>
      </c>
      <c r="P81" s="89"/>
      <c r="Q81" s="89"/>
    </row>
    <row r="82" spans="1:17" ht="14.4" x14ac:dyDescent="0.3">
      <c r="A82" s="16" t="s">
        <v>240</v>
      </c>
      <c r="B82" s="16" t="s">
        <v>297</v>
      </c>
      <c r="C82" s="28" t="s">
        <v>201</v>
      </c>
      <c r="D82" s="28" t="str">
        <f>IFERROR(VLOOKUP($C82,CUENTAS[],2,0),"")</f>
        <v>ACTIVOS FIJOS</v>
      </c>
      <c r="E82" s="28" t="str">
        <f>IFERROR(VLOOKUP($C82,CUENTAS[],3,0),"")</f>
        <v>MDE2025-007I</v>
      </c>
      <c r="F82" s="86">
        <v>2500</v>
      </c>
      <c r="G82" s="86">
        <v>0</v>
      </c>
      <c r="H82" s="74">
        <v>2500</v>
      </c>
      <c r="I82" s="200" t="str">
        <f t="shared" si="1"/>
        <v>CORRECTO</v>
      </c>
      <c r="J82" s="202" t="s">
        <v>3244</v>
      </c>
      <c r="K82" s="69" t="s">
        <v>360</v>
      </c>
      <c r="L82" s="84" t="s">
        <v>227</v>
      </c>
      <c r="M82" s="85">
        <v>45681</v>
      </c>
      <c r="N82" s="75" t="s">
        <v>371</v>
      </c>
      <c r="P82" s="89"/>
      <c r="Q82" s="89"/>
    </row>
    <row r="83" spans="1:17" ht="14.4" x14ac:dyDescent="0.3">
      <c r="A83" s="16" t="s">
        <v>250</v>
      </c>
      <c r="B83" s="16" t="s">
        <v>324</v>
      </c>
      <c r="C83" s="28" t="s">
        <v>110</v>
      </c>
      <c r="D83" s="28" t="str">
        <f>IFERROR(VLOOKUP($C83,CUENTAS[],2,0),"")</f>
        <v>GASTOS FIJOS</v>
      </c>
      <c r="E83" s="28" t="str">
        <f>IFERROR(VLOOKUP($C83,CUENTAS[],3,0),"")</f>
        <v>MDE2025-002D</v>
      </c>
      <c r="F83" s="86">
        <v>80000</v>
      </c>
      <c r="G83" s="86">
        <v>0</v>
      </c>
      <c r="H83" s="74">
        <v>80000</v>
      </c>
      <c r="I83" s="200" t="str">
        <f t="shared" si="1"/>
        <v>CORRECTO</v>
      </c>
      <c r="J83" s="202" t="s">
        <v>3244</v>
      </c>
      <c r="K83" s="69" t="s">
        <v>363</v>
      </c>
      <c r="L83" s="84" t="s">
        <v>227</v>
      </c>
      <c r="M83" s="78">
        <v>45686</v>
      </c>
      <c r="N83" s="75" t="s">
        <v>371</v>
      </c>
      <c r="P83" s="89"/>
      <c r="Q83" s="89"/>
    </row>
    <row r="84" spans="1:17" ht="14.4" x14ac:dyDescent="0.3">
      <c r="A84" s="16" t="s">
        <v>325</v>
      </c>
      <c r="B84" s="16" t="s">
        <v>326</v>
      </c>
      <c r="C84" s="28" t="s">
        <v>19</v>
      </c>
      <c r="D84" s="28" t="str">
        <f>IFERROR(VLOOKUP($C84,CUENTAS[],2,0),"")</f>
        <v>DISEÑOS</v>
      </c>
      <c r="E84" s="28" t="str">
        <f>IFERROR(VLOOKUP($C84,CUENTAS[],3,0),"")</f>
        <v>MDE2025-001</v>
      </c>
      <c r="F84" s="86">
        <v>7000</v>
      </c>
      <c r="G84" s="86">
        <v>1120</v>
      </c>
      <c r="H84" s="74">
        <v>8120</v>
      </c>
      <c r="I84" s="200" t="str">
        <f t="shared" si="1"/>
        <v>CORRECTO</v>
      </c>
      <c r="J84" s="202" t="s">
        <v>3244</v>
      </c>
      <c r="K84" s="69" t="s">
        <v>356</v>
      </c>
      <c r="L84" s="84" t="s">
        <v>227</v>
      </c>
      <c r="M84" s="78">
        <v>45686</v>
      </c>
      <c r="N84" s="75" t="s">
        <v>391</v>
      </c>
      <c r="P84" s="89"/>
      <c r="Q84" s="89"/>
    </row>
    <row r="85" spans="1:17" ht="14.4" x14ac:dyDescent="0.3">
      <c r="A85" s="16" t="s">
        <v>248</v>
      </c>
      <c r="B85" s="16" t="s">
        <v>327</v>
      </c>
      <c r="C85" s="28" t="s">
        <v>109</v>
      </c>
      <c r="D85" s="28" t="str">
        <f>IFERROR(VLOOKUP($C85,CUENTAS[],2,0),"")</f>
        <v>LOGÍSTICA</v>
      </c>
      <c r="E85" s="28" t="str">
        <f>IFERROR(VLOOKUP($C85,CUENTAS[],3,0),"")</f>
        <v>MDE2025-006A</v>
      </c>
      <c r="F85" s="86">
        <v>3970</v>
      </c>
      <c r="G85" s="86">
        <v>635.20000000000005</v>
      </c>
      <c r="H85" s="74">
        <v>4605.2</v>
      </c>
      <c r="I85" s="200" t="str">
        <f t="shared" si="1"/>
        <v>CORRECTO</v>
      </c>
      <c r="J85" s="202" t="s">
        <v>3244</v>
      </c>
      <c r="K85" s="69" t="s">
        <v>362</v>
      </c>
      <c r="L85" s="84" t="s">
        <v>227</v>
      </c>
      <c r="M85" s="92">
        <v>45686</v>
      </c>
      <c r="N85" s="75" t="s">
        <v>226</v>
      </c>
      <c r="P85" s="89"/>
      <c r="Q85" s="89"/>
    </row>
    <row r="86" spans="1:17" ht="14.4" x14ac:dyDescent="0.3">
      <c r="A86" s="16" t="s">
        <v>328</v>
      </c>
      <c r="B86" s="16" t="s">
        <v>329</v>
      </c>
      <c r="C86" s="28" t="s">
        <v>167</v>
      </c>
      <c r="D86" s="28" t="str">
        <f>IFERROR(VLOOKUP($C86,CUENTAS[],2,0),"")</f>
        <v>LOGÍSTICA</v>
      </c>
      <c r="E86" s="28" t="str">
        <f>IFERROR(VLOOKUP($C86,CUENTAS[],3,0),"")</f>
        <v>MDE2025-006D</v>
      </c>
      <c r="F86" s="86">
        <v>-25000</v>
      </c>
      <c r="G86" s="86">
        <v>0</v>
      </c>
      <c r="H86" s="74">
        <v>-25000</v>
      </c>
      <c r="I86" s="200" t="str">
        <f t="shared" si="1"/>
        <v>CORRECTO</v>
      </c>
      <c r="J86" s="202" t="s">
        <v>3244</v>
      </c>
      <c r="K86" s="69" t="s">
        <v>362</v>
      </c>
      <c r="L86" s="84" t="s">
        <v>227</v>
      </c>
      <c r="M86" s="93">
        <v>45686</v>
      </c>
      <c r="N86" s="75" t="s">
        <v>496</v>
      </c>
      <c r="P86" s="134" t="s">
        <v>497</v>
      </c>
      <c r="Q86" s="89"/>
    </row>
    <row r="87" spans="1:17" ht="14.4" x14ac:dyDescent="0.3">
      <c r="A87" s="16" t="s">
        <v>275</v>
      </c>
      <c r="B87" s="16" t="s">
        <v>330</v>
      </c>
      <c r="C87" s="28" t="s">
        <v>121</v>
      </c>
      <c r="D87" s="28" t="str">
        <f>IFERROR(VLOOKUP($C87,CUENTAS[],2,0),"")</f>
        <v>GASTOS FIJOS</v>
      </c>
      <c r="E87" s="28" t="str">
        <f>IFERROR(VLOOKUP($C87,CUENTAS[],3,0),"")</f>
        <v>MDE2025-002K</v>
      </c>
      <c r="F87" s="86">
        <v>15525</v>
      </c>
      <c r="G87" s="86">
        <v>2484</v>
      </c>
      <c r="H87" s="74">
        <v>18009</v>
      </c>
      <c r="I87" s="200" t="str">
        <f t="shared" si="1"/>
        <v>CORRECTO</v>
      </c>
      <c r="J87" s="202" t="s">
        <v>3244</v>
      </c>
      <c r="K87" s="69" t="s">
        <v>365</v>
      </c>
      <c r="L87" s="84" t="s">
        <v>227</v>
      </c>
      <c r="M87" s="92">
        <v>45686</v>
      </c>
      <c r="N87" s="75">
        <v>486</v>
      </c>
      <c r="P87" s="89"/>
      <c r="Q87" s="89"/>
    </row>
    <row r="88" spans="1:17" ht="14.4" x14ac:dyDescent="0.3">
      <c r="A88" s="16" t="s">
        <v>283</v>
      </c>
      <c r="B88" s="16">
        <v>2387957</v>
      </c>
      <c r="C88" s="28" t="s">
        <v>173</v>
      </c>
      <c r="D88" s="28" t="str">
        <f>IFERROR(VLOOKUP($C88,CUENTAS[],2,0),"")</f>
        <v>TOKA</v>
      </c>
      <c r="E88" s="28" t="str">
        <f>IFERROR(VLOOKUP($C88,CUENTAS[],3,0),"")</f>
        <v>TOK2025-001B</v>
      </c>
      <c r="F88" s="86">
        <v>400</v>
      </c>
      <c r="G88" s="86">
        <v>64</v>
      </c>
      <c r="H88" s="74">
        <v>464</v>
      </c>
      <c r="I88" s="200" t="str">
        <f t="shared" si="1"/>
        <v>CORRECTO</v>
      </c>
      <c r="J88" s="202" t="s">
        <v>3244</v>
      </c>
      <c r="K88" s="69" t="s">
        <v>363</v>
      </c>
      <c r="L88" s="84" t="s">
        <v>227</v>
      </c>
      <c r="M88" s="78">
        <v>45686</v>
      </c>
      <c r="N88" s="75" t="s">
        <v>105</v>
      </c>
      <c r="P88" s="89"/>
      <c r="Q88" s="89"/>
    </row>
    <row r="89" spans="1:17" ht="14.4" x14ac:dyDescent="0.3">
      <c r="A89" s="16" t="s">
        <v>331</v>
      </c>
      <c r="B89" s="16" t="s">
        <v>332</v>
      </c>
      <c r="C89" s="28" t="s">
        <v>147</v>
      </c>
      <c r="D89" s="28" t="str">
        <f>IFERROR(VLOOKUP($C89,CUENTAS[],2,0),"")</f>
        <v>ACTIVOS FIJOS</v>
      </c>
      <c r="E89" s="28" t="str">
        <f>IFERROR(VLOOKUP($C89,CUENTAS[],3,0),"")</f>
        <v>MDE2025-007D</v>
      </c>
      <c r="F89" s="86">
        <v>11370.69</v>
      </c>
      <c r="G89" s="86">
        <v>1819.31</v>
      </c>
      <c r="H89" s="74">
        <v>13190</v>
      </c>
      <c r="I89" s="200" t="str">
        <f t="shared" si="1"/>
        <v>CORRECTO</v>
      </c>
      <c r="J89" s="202" t="s">
        <v>3244</v>
      </c>
      <c r="K89" s="69" t="s">
        <v>366</v>
      </c>
      <c r="L89" s="84" t="s">
        <v>227</v>
      </c>
      <c r="M89" s="78">
        <v>45686</v>
      </c>
      <c r="N89" s="75" t="s">
        <v>392</v>
      </c>
      <c r="P89" s="89"/>
      <c r="Q89" s="89"/>
    </row>
    <row r="90" spans="1:17" ht="14.4" x14ac:dyDescent="0.3">
      <c r="A90" s="16" t="s">
        <v>290</v>
      </c>
      <c r="B90" s="16" t="s">
        <v>333</v>
      </c>
      <c r="C90" s="28" t="s">
        <v>223</v>
      </c>
      <c r="D90" s="28" t="str">
        <f>IFERROR(VLOOKUP($C90,CUENTAS[],2,0),"")</f>
        <v>MANTENIMIENTO</v>
      </c>
      <c r="E90" s="28" t="str">
        <f>IFERROR(VLOOKUP($C90,CUENTAS[],3,0),"")</f>
        <v>MDE2025-009B</v>
      </c>
      <c r="F90" s="86">
        <v>1015.55</v>
      </c>
      <c r="G90" s="86">
        <v>162.49</v>
      </c>
      <c r="H90" s="74">
        <v>1178.04</v>
      </c>
      <c r="I90" s="200" t="str">
        <f t="shared" si="1"/>
        <v>CORRECTO</v>
      </c>
      <c r="J90" s="202" t="s">
        <v>3244</v>
      </c>
      <c r="K90" s="69" t="s">
        <v>357</v>
      </c>
      <c r="L90" s="84" t="s">
        <v>227</v>
      </c>
      <c r="M90" s="78">
        <v>45686</v>
      </c>
      <c r="N90" s="75" t="s">
        <v>387</v>
      </c>
      <c r="P90" s="89"/>
      <c r="Q90" s="89"/>
    </row>
    <row r="91" spans="1:17" ht="14.4" x14ac:dyDescent="0.3">
      <c r="A91" s="16" t="s">
        <v>334</v>
      </c>
      <c r="B91" s="16" t="s">
        <v>335</v>
      </c>
      <c r="C91" s="28" t="s">
        <v>135</v>
      </c>
      <c r="D91" s="28" t="str">
        <f>IFERROR(VLOOKUP($C91,CUENTAS[],2,0),"")</f>
        <v>EVENTOS INTERNOS</v>
      </c>
      <c r="E91" s="28" t="str">
        <f>IFERROR(VLOOKUP($C91,CUENTAS[],3,0),"")</f>
        <v>MDE2025-008B</v>
      </c>
      <c r="F91" s="86">
        <v>3700</v>
      </c>
      <c r="G91" s="86">
        <v>592</v>
      </c>
      <c r="H91" s="74">
        <v>4292</v>
      </c>
      <c r="I91" s="200" t="str">
        <f t="shared" si="1"/>
        <v>CORRECTO</v>
      </c>
      <c r="J91" s="202" t="s">
        <v>3244</v>
      </c>
      <c r="K91" s="69" t="s">
        <v>367</v>
      </c>
      <c r="L91" s="84" t="s">
        <v>227</v>
      </c>
      <c r="M91" s="78">
        <v>45686</v>
      </c>
      <c r="N91" s="75" t="s">
        <v>393</v>
      </c>
      <c r="P91" s="89"/>
      <c r="Q91" s="89"/>
    </row>
    <row r="92" spans="1:17" ht="14.4" x14ac:dyDescent="0.3">
      <c r="A92" s="16" t="s">
        <v>284</v>
      </c>
      <c r="B92" s="16" t="s">
        <v>336</v>
      </c>
      <c r="C92" s="28" t="s">
        <v>222</v>
      </c>
      <c r="D92" s="28" t="str">
        <f>IFERROR(VLOOKUP($C92,CUENTAS[],2,0),"")</f>
        <v>MANTENIMIENTO</v>
      </c>
      <c r="E92" s="28" t="str">
        <f>IFERROR(VLOOKUP($C92,CUENTAS[],3,0),"")</f>
        <v>MDE2025-009A</v>
      </c>
      <c r="F92" s="86">
        <v>132</v>
      </c>
      <c r="G92" s="86">
        <v>0</v>
      </c>
      <c r="H92" s="74">
        <v>132</v>
      </c>
      <c r="I92" s="200" t="str">
        <f t="shared" si="1"/>
        <v>CORRECTO</v>
      </c>
      <c r="J92" s="202" t="s">
        <v>3244</v>
      </c>
      <c r="K92" s="69" t="s">
        <v>365</v>
      </c>
      <c r="L92" s="84" t="s">
        <v>227</v>
      </c>
      <c r="M92" s="78">
        <v>45686</v>
      </c>
      <c r="N92" s="75" t="s">
        <v>387</v>
      </c>
      <c r="P92" s="89"/>
      <c r="Q92" s="89"/>
    </row>
    <row r="93" spans="1:17" ht="14.4" x14ac:dyDescent="0.3">
      <c r="A93" s="16" t="s">
        <v>228</v>
      </c>
      <c r="B93" s="16" t="s">
        <v>337</v>
      </c>
      <c r="C93" s="28" t="s">
        <v>222</v>
      </c>
      <c r="D93" s="28" t="str">
        <f>IFERROR(VLOOKUP($C93,CUENTAS[],2,0),"")</f>
        <v>MANTENIMIENTO</v>
      </c>
      <c r="E93" s="28" t="str">
        <f>IFERROR(VLOOKUP($C93,CUENTAS[],3,0),"")</f>
        <v>MDE2025-009A</v>
      </c>
      <c r="F93" s="86">
        <v>500</v>
      </c>
      <c r="G93" s="86">
        <v>0</v>
      </c>
      <c r="H93" s="74">
        <v>500</v>
      </c>
      <c r="I93" s="200" t="str">
        <f t="shared" si="1"/>
        <v>CORRECTO</v>
      </c>
      <c r="J93" s="202" t="s">
        <v>3244</v>
      </c>
      <c r="K93" s="69" t="s">
        <v>365</v>
      </c>
      <c r="L93" s="84" t="s">
        <v>227</v>
      </c>
      <c r="M93" s="78">
        <v>45687</v>
      </c>
      <c r="N93" s="75" t="s">
        <v>368</v>
      </c>
      <c r="P93" s="89"/>
      <c r="Q93" s="89"/>
    </row>
    <row r="94" spans="1:17" ht="14.4" x14ac:dyDescent="0.3">
      <c r="A94" s="16" t="s">
        <v>228</v>
      </c>
      <c r="B94" s="16" t="s">
        <v>338</v>
      </c>
      <c r="C94" s="28" t="s">
        <v>201</v>
      </c>
      <c r="D94" s="28" t="str">
        <f>IFERROR(VLOOKUP($C94,CUENTAS[],2,0),"")</f>
        <v>ACTIVOS FIJOS</v>
      </c>
      <c r="E94" s="28" t="str">
        <f>IFERROR(VLOOKUP($C94,CUENTAS[],3,0),"")</f>
        <v>MDE2025-007I</v>
      </c>
      <c r="F94" s="86">
        <v>4820.17</v>
      </c>
      <c r="G94" s="86">
        <v>0</v>
      </c>
      <c r="H94" s="74">
        <v>4820.17</v>
      </c>
      <c r="I94" s="200" t="str">
        <f t="shared" si="1"/>
        <v>CORRECTO</v>
      </c>
      <c r="J94" s="202" t="s">
        <v>3244</v>
      </c>
      <c r="K94" s="69" t="s">
        <v>363</v>
      </c>
      <c r="L94" s="84" t="s">
        <v>227</v>
      </c>
      <c r="M94" s="78">
        <v>45687</v>
      </c>
      <c r="N94" s="75" t="s">
        <v>368</v>
      </c>
      <c r="P94" s="89"/>
      <c r="Q94" s="89"/>
    </row>
    <row r="95" spans="1:17" ht="14.4" x14ac:dyDescent="0.3">
      <c r="A95" s="16" t="s">
        <v>272</v>
      </c>
      <c r="B95" s="16" t="s">
        <v>339</v>
      </c>
      <c r="C95" s="28" t="s">
        <v>140</v>
      </c>
      <c r="D95" s="28" t="str">
        <f>IFERROR(VLOOKUP($C95,CUENTAS[],2,0),"")</f>
        <v>LOGÍSTICA</v>
      </c>
      <c r="E95" s="28" t="str">
        <f>IFERROR(VLOOKUP($C95,CUENTAS[],3,0),"")</f>
        <v>MDE2025-006B</v>
      </c>
      <c r="F95" s="86">
        <v>1445</v>
      </c>
      <c r="G95" s="86">
        <v>0</v>
      </c>
      <c r="H95" s="74">
        <v>1445</v>
      </c>
      <c r="I95" s="200" t="str">
        <f t="shared" si="1"/>
        <v>CORRECTO</v>
      </c>
      <c r="J95" s="202" t="s">
        <v>3244</v>
      </c>
      <c r="K95" s="69" t="s">
        <v>362</v>
      </c>
      <c r="L95" s="84" t="s">
        <v>227</v>
      </c>
      <c r="M95" s="78">
        <v>45692</v>
      </c>
      <c r="N95" s="75" t="s">
        <v>368</v>
      </c>
      <c r="P95" s="89"/>
      <c r="Q95" s="89"/>
    </row>
    <row r="96" spans="1:17" ht="14.4" x14ac:dyDescent="0.3">
      <c r="A96" s="16" t="s">
        <v>230</v>
      </c>
      <c r="B96" s="16" t="s">
        <v>340</v>
      </c>
      <c r="C96" s="28" t="s">
        <v>201</v>
      </c>
      <c r="D96" s="28" t="str">
        <f>IFERROR(VLOOKUP($C96,CUENTAS[],2,0),"")</f>
        <v>ACTIVOS FIJOS</v>
      </c>
      <c r="E96" s="28" t="str">
        <f>IFERROR(VLOOKUP($C96,CUENTAS[],3,0),"")</f>
        <v>MDE2025-007I</v>
      </c>
      <c r="F96" s="86">
        <v>4261</v>
      </c>
      <c r="G96" s="86">
        <v>0</v>
      </c>
      <c r="H96" s="74">
        <v>4261</v>
      </c>
      <c r="I96" s="200" t="str">
        <f t="shared" si="1"/>
        <v>CORRECTO</v>
      </c>
      <c r="J96" s="202" t="s">
        <v>3244</v>
      </c>
      <c r="K96" s="69" t="s">
        <v>357</v>
      </c>
      <c r="L96" s="84" t="s">
        <v>227</v>
      </c>
      <c r="M96" s="78">
        <v>45688</v>
      </c>
      <c r="N96" s="75" t="s">
        <v>394</v>
      </c>
      <c r="P96" s="89"/>
      <c r="Q96" s="89"/>
    </row>
    <row r="97" spans="1:17" ht="14.4" x14ac:dyDescent="0.3">
      <c r="A97" s="16" t="s">
        <v>341</v>
      </c>
      <c r="B97" s="16" t="s">
        <v>342</v>
      </c>
      <c r="C97" s="28" t="s">
        <v>167</v>
      </c>
      <c r="D97" s="28" t="str">
        <f>IFERROR(VLOOKUP($C97,CUENTAS[],2,0),"")</f>
        <v>LOGÍSTICA</v>
      </c>
      <c r="E97" s="28" t="str">
        <f>IFERROR(VLOOKUP($C97,CUENTAS[],3,0),"")</f>
        <v>MDE2025-006D</v>
      </c>
      <c r="F97" s="86">
        <v>199.14</v>
      </c>
      <c r="G97" s="86">
        <v>31.86</v>
      </c>
      <c r="H97" s="74">
        <v>231</v>
      </c>
      <c r="I97" s="200" t="str">
        <f t="shared" si="1"/>
        <v>CORRECTO</v>
      </c>
      <c r="J97" s="202" t="s">
        <v>3244</v>
      </c>
      <c r="K97" s="69" t="s">
        <v>362</v>
      </c>
      <c r="L97" s="84" t="s">
        <v>227</v>
      </c>
      <c r="M97" s="78">
        <v>45688</v>
      </c>
      <c r="N97" s="75" t="s">
        <v>368</v>
      </c>
      <c r="P97" s="89"/>
      <c r="Q97" s="89"/>
    </row>
    <row r="98" spans="1:17" ht="14.4" x14ac:dyDescent="0.3">
      <c r="A98" s="16" t="s">
        <v>236</v>
      </c>
      <c r="B98" s="16" t="s">
        <v>269</v>
      </c>
      <c r="C98" s="28" t="s">
        <v>201</v>
      </c>
      <c r="D98" s="28" t="str">
        <f>IFERROR(VLOOKUP($C98,CUENTAS[],2,0),"")</f>
        <v>ACTIVOS FIJOS</v>
      </c>
      <c r="E98" s="28" t="str">
        <f>IFERROR(VLOOKUP($C98,CUENTAS[],3,0),"")</f>
        <v>MDE2025-007I</v>
      </c>
      <c r="F98" s="86">
        <v>3500</v>
      </c>
      <c r="G98" s="86">
        <v>0</v>
      </c>
      <c r="H98" s="74">
        <v>3500</v>
      </c>
      <c r="I98" s="200" t="str">
        <f t="shared" si="1"/>
        <v>CORRECTO</v>
      </c>
      <c r="J98" s="202" t="s">
        <v>3244</v>
      </c>
      <c r="K98" s="69" t="s">
        <v>363</v>
      </c>
      <c r="L98" s="84" t="s">
        <v>227</v>
      </c>
      <c r="M98" s="92">
        <v>45688</v>
      </c>
      <c r="N98" s="75" t="s">
        <v>371</v>
      </c>
      <c r="P98" s="89"/>
      <c r="Q98" s="89"/>
    </row>
    <row r="99" spans="1:17" ht="14.4" x14ac:dyDescent="0.3">
      <c r="A99" s="16" t="s">
        <v>238</v>
      </c>
      <c r="B99" s="16" t="s">
        <v>269</v>
      </c>
      <c r="C99" s="28" t="s">
        <v>201</v>
      </c>
      <c r="D99" s="28" t="str">
        <f>IFERROR(VLOOKUP($C99,CUENTAS[],2,0),"")</f>
        <v>ACTIVOS FIJOS</v>
      </c>
      <c r="E99" s="28" t="str">
        <f>IFERROR(VLOOKUP($C99,CUENTAS[],3,0),"")</f>
        <v>MDE2025-007I</v>
      </c>
      <c r="F99" s="86">
        <v>3200</v>
      </c>
      <c r="G99" s="86">
        <v>0</v>
      </c>
      <c r="H99" s="74">
        <v>3200</v>
      </c>
      <c r="I99" s="200" t="str">
        <f t="shared" si="1"/>
        <v>CORRECTO</v>
      </c>
      <c r="J99" s="202" t="s">
        <v>3244</v>
      </c>
      <c r="K99" s="69" t="s">
        <v>363</v>
      </c>
      <c r="L99" s="84" t="s">
        <v>227</v>
      </c>
      <c r="M99" s="92">
        <v>45688</v>
      </c>
      <c r="N99" s="75" t="s">
        <v>371</v>
      </c>
      <c r="P99" s="89"/>
      <c r="Q99" s="89"/>
    </row>
    <row r="100" spans="1:17" ht="14.4" x14ac:dyDescent="0.3">
      <c r="A100" s="16" t="s">
        <v>284</v>
      </c>
      <c r="B100" s="16" t="s">
        <v>343</v>
      </c>
      <c r="C100" s="28" t="s">
        <v>222</v>
      </c>
      <c r="D100" s="28" t="str">
        <f>IFERROR(VLOOKUP($C100,CUENTAS[],2,0),"")</f>
        <v>MANTENIMIENTO</v>
      </c>
      <c r="E100" s="28" t="str">
        <f>IFERROR(VLOOKUP($C100,CUENTAS[],3,0),"")</f>
        <v>MDE2025-009A</v>
      </c>
      <c r="F100" s="86">
        <v>370.69</v>
      </c>
      <c r="G100" s="86">
        <v>59.31</v>
      </c>
      <c r="H100" s="74">
        <v>430</v>
      </c>
      <c r="I100" s="200" t="str">
        <f t="shared" si="1"/>
        <v>CORRECTO</v>
      </c>
      <c r="J100" s="202" t="s">
        <v>3244</v>
      </c>
      <c r="K100" s="69" t="s">
        <v>363</v>
      </c>
      <c r="L100" s="84" t="s">
        <v>227</v>
      </c>
      <c r="M100" s="78">
        <v>45688</v>
      </c>
      <c r="N100" s="75">
        <v>2801</v>
      </c>
      <c r="P100" s="89"/>
      <c r="Q100" s="89"/>
    </row>
    <row r="101" spans="1:17" ht="14.4" x14ac:dyDescent="0.3">
      <c r="A101" s="16" t="s">
        <v>344</v>
      </c>
      <c r="B101" s="16" t="s">
        <v>345</v>
      </c>
      <c r="C101" s="28" t="s">
        <v>178</v>
      </c>
      <c r="D101" s="28" t="str">
        <f>IFERROR(VLOOKUP($C101,CUENTAS[],2,0),"")</f>
        <v>GASTOS FIJOS</v>
      </c>
      <c r="E101" s="28" t="str">
        <f>IFERROR(VLOOKUP($C101,CUENTAS[],3,0),"")</f>
        <v>MDE2025-002O</v>
      </c>
      <c r="F101" s="86">
        <v>1869.86</v>
      </c>
      <c r="G101" s="86">
        <v>0</v>
      </c>
      <c r="H101" s="74">
        <v>1869.86</v>
      </c>
      <c r="I101" s="200" t="str">
        <f t="shared" si="1"/>
        <v>CORRECTO</v>
      </c>
      <c r="J101" s="202" t="s">
        <v>3244</v>
      </c>
      <c r="K101" s="69" t="s">
        <v>364</v>
      </c>
      <c r="L101" s="84" t="s">
        <v>227</v>
      </c>
      <c r="M101" s="94">
        <v>45688</v>
      </c>
      <c r="N101" s="75" t="s">
        <v>371</v>
      </c>
      <c r="P101" s="89"/>
      <c r="Q101" s="89"/>
    </row>
    <row r="102" spans="1:17" ht="14.4" x14ac:dyDescent="0.3">
      <c r="A102" s="16" t="s">
        <v>266</v>
      </c>
      <c r="B102" s="16" t="s">
        <v>346</v>
      </c>
      <c r="C102" s="28" t="s">
        <v>111</v>
      </c>
      <c r="D102" s="28" t="str">
        <f>IFERROR(VLOOKUP($C102,CUENTAS[],2,0),"")</f>
        <v>GASTOS VARIOS</v>
      </c>
      <c r="E102" s="28" t="str">
        <f>IFERROR(VLOOKUP($C102,CUENTAS[],3,0),"")</f>
        <v>MDE2025-003K</v>
      </c>
      <c r="F102" s="86">
        <v>8000</v>
      </c>
      <c r="G102" s="86">
        <v>0</v>
      </c>
      <c r="H102" s="74">
        <v>8000</v>
      </c>
      <c r="I102" s="200" t="str">
        <f t="shared" si="1"/>
        <v>CORRECTO</v>
      </c>
      <c r="J102" s="202" t="s">
        <v>3244</v>
      </c>
      <c r="K102" s="69" t="s">
        <v>360</v>
      </c>
      <c r="L102" s="84" t="s">
        <v>227</v>
      </c>
      <c r="M102" s="92">
        <v>45688</v>
      </c>
      <c r="N102" s="75" t="s">
        <v>371</v>
      </c>
      <c r="P102" s="89"/>
      <c r="Q102" s="89"/>
    </row>
    <row r="103" spans="1:17" ht="14.4" x14ac:dyDescent="0.3">
      <c r="A103" s="16" t="s">
        <v>262</v>
      </c>
      <c r="B103" s="16" t="s">
        <v>346</v>
      </c>
      <c r="C103" s="28" t="s">
        <v>111</v>
      </c>
      <c r="D103" s="28" t="str">
        <f>IFERROR(VLOOKUP($C103,CUENTAS[],2,0),"")</f>
        <v>GASTOS VARIOS</v>
      </c>
      <c r="E103" s="28" t="str">
        <f>IFERROR(VLOOKUP($C103,CUENTAS[],3,0),"")</f>
        <v>MDE2025-003K</v>
      </c>
      <c r="F103" s="86">
        <v>8000</v>
      </c>
      <c r="G103" s="86">
        <v>0</v>
      </c>
      <c r="H103" s="74">
        <v>8000</v>
      </c>
      <c r="I103" s="200" t="str">
        <f t="shared" si="1"/>
        <v>CORRECTO</v>
      </c>
      <c r="J103" s="202" t="s">
        <v>3244</v>
      </c>
      <c r="K103" s="69" t="s">
        <v>360</v>
      </c>
      <c r="L103" s="84" t="s">
        <v>227</v>
      </c>
      <c r="M103" s="92">
        <v>45688</v>
      </c>
      <c r="N103" s="75" t="s">
        <v>371</v>
      </c>
      <c r="P103" s="89"/>
      <c r="Q103" s="89"/>
    </row>
    <row r="104" spans="1:17" ht="14.4" x14ac:dyDescent="0.3">
      <c r="A104" s="16" t="s">
        <v>264</v>
      </c>
      <c r="B104" s="16" t="s">
        <v>346</v>
      </c>
      <c r="C104" s="28" t="s">
        <v>111</v>
      </c>
      <c r="D104" s="28" t="str">
        <f>IFERROR(VLOOKUP($C104,CUENTAS[],2,0),"")</f>
        <v>GASTOS VARIOS</v>
      </c>
      <c r="E104" s="28" t="str">
        <f>IFERROR(VLOOKUP($C104,CUENTAS[],3,0),"")</f>
        <v>MDE2025-003K</v>
      </c>
      <c r="F104" s="86">
        <v>8000</v>
      </c>
      <c r="G104" s="86">
        <v>0</v>
      </c>
      <c r="H104" s="74">
        <v>8000</v>
      </c>
      <c r="I104" s="200" t="str">
        <f t="shared" si="1"/>
        <v>CORRECTO</v>
      </c>
      <c r="J104" s="202" t="s">
        <v>3244</v>
      </c>
      <c r="K104" s="69" t="s">
        <v>360</v>
      </c>
      <c r="L104" s="84" t="s">
        <v>227</v>
      </c>
      <c r="M104" s="92">
        <v>45688</v>
      </c>
      <c r="N104" s="75" t="s">
        <v>371</v>
      </c>
      <c r="P104" s="89"/>
      <c r="Q104" s="89"/>
    </row>
    <row r="105" spans="1:17" ht="14.4" x14ac:dyDescent="0.3">
      <c r="A105" s="16" t="s">
        <v>265</v>
      </c>
      <c r="B105" s="16" t="s">
        <v>346</v>
      </c>
      <c r="C105" s="28" t="s">
        <v>111</v>
      </c>
      <c r="D105" s="28" t="str">
        <f>IFERROR(VLOOKUP($C105,CUENTAS[],2,0),"")</f>
        <v>GASTOS VARIOS</v>
      </c>
      <c r="E105" s="28" t="str">
        <f>IFERROR(VLOOKUP($C105,CUENTAS[],3,0),"")</f>
        <v>MDE2025-003K</v>
      </c>
      <c r="F105" s="86">
        <v>8000</v>
      </c>
      <c r="G105" s="86">
        <v>0</v>
      </c>
      <c r="H105" s="74">
        <v>8000</v>
      </c>
      <c r="I105" s="200" t="str">
        <f t="shared" si="1"/>
        <v>CORRECTO</v>
      </c>
      <c r="J105" s="202" t="s">
        <v>3244</v>
      </c>
      <c r="K105" s="69" t="s">
        <v>360</v>
      </c>
      <c r="L105" s="84" t="s">
        <v>227</v>
      </c>
      <c r="M105" s="92">
        <v>45688</v>
      </c>
      <c r="N105" s="75" t="s">
        <v>371</v>
      </c>
      <c r="P105" s="89"/>
      <c r="Q105" s="89"/>
    </row>
    <row r="106" spans="1:17" ht="14.4" x14ac:dyDescent="0.3">
      <c r="A106" s="16" t="s">
        <v>228</v>
      </c>
      <c r="B106" s="16" t="s">
        <v>347</v>
      </c>
      <c r="C106" s="28" t="s">
        <v>201</v>
      </c>
      <c r="D106" s="28" t="str">
        <f>IFERROR(VLOOKUP($C106,CUENTAS[],2,0),"")</f>
        <v>ACTIVOS FIJOS</v>
      </c>
      <c r="E106" s="28" t="str">
        <f>IFERROR(VLOOKUP($C106,CUENTAS[],3,0),"")</f>
        <v>MDE2025-007I</v>
      </c>
      <c r="F106" s="86">
        <v>12056.15</v>
      </c>
      <c r="G106" s="86">
        <v>0</v>
      </c>
      <c r="H106" s="74">
        <v>12056.15</v>
      </c>
      <c r="I106" s="200" t="str">
        <f t="shared" si="1"/>
        <v>CORRECTO</v>
      </c>
      <c r="J106" s="202" t="s">
        <v>3244</v>
      </c>
      <c r="K106" s="69" t="s">
        <v>360</v>
      </c>
      <c r="L106" s="84" t="s">
        <v>227</v>
      </c>
      <c r="M106" s="78">
        <v>45688</v>
      </c>
      <c r="N106" s="75" t="s">
        <v>368</v>
      </c>
      <c r="P106" s="89"/>
      <c r="Q106" s="89"/>
    </row>
    <row r="107" spans="1:17" ht="14.4" x14ac:dyDescent="0.3">
      <c r="A107" s="16" t="s">
        <v>348</v>
      </c>
      <c r="B107" s="16" t="s">
        <v>349</v>
      </c>
      <c r="C107" s="28" t="s">
        <v>147</v>
      </c>
      <c r="D107" s="28" t="str">
        <f>IFERROR(VLOOKUP($C107,CUENTAS[],2,0),"")</f>
        <v>ACTIVOS FIJOS</v>
      </c>
      <c r="E107" s="28" t="str">
        <f>IFERROR(VLOOKUP($C107,CUENTAS[],3,0),"")</f>
        <v>MDE2025-007D</v>
      </c>
      <c r="F107" s="86">
        <v>8000</v>
      </c>
      <c r="G107" s="86">
        <v>0</v>
      </c>
      <c r="H107" s="74">
        <v>8000</v>
      </c>
      <c r="I107" s="200" t="str">
        <f t="shared" si="1"/>
        <v>CORRECTO</v>
      </c>
      <c r="J107" s="202" t="s">
        <v>3244</v>
      </c>
      <c r="K107" s="69" t="s">
        <v>361</v>
      </c>
      <c r="L107" s="84" t="s">
        <v>227</v>
      </c>
      <c r="M107" s="78">
        <v>45688</v>
      </c>
      <c r="N107" s="75" t="s">
        <v>371</v>
      </c>
      <c r="P107" s="89"/>
      <c r="Q107" s="89"/>
    </row>
    <row r="108" spans="1:17" ht="14.4" x14ac:dyDescent="0.3">
      <c r="A108" s="16" t="s">
        <v>272</v>
      </c>
      <c r="B108" s="16" t="s">
        <v>350</v>
      </c>
      <c r="C108" s="28" t="s">
        <v>140</v>
      </c>
      <c r="D108" s="28" t="str">
        <f>IFERROR(VLOOKUP($C108,CUENTAS[],2,0),"")</f>
        <v>LOGÍSTICA</v>
      </c>
      <c r="E108" s="28" t="str">
        <f>IFERROR(VLOOKUP($C108,CUENTAS[],3,0),"")</f>
        <v>MDE2025-006B</v>
      </c>
      <c r="F108" s="87">
        <v>6035</v>
      </c>
      <c r="G108" s="86">
        <v>0</v>
      </c>
      <c r="H108" s="74">
        <v>6035</v>
      </c>
      <c r="I108" s="200" t="str">
        <f t="shared" si="1"/>
        <v>CORRECTO</v>
      </c>
      <c r="J108" s="202" t="s">
        <v>3244</v>
      </c>
      <c r="K108" s="69" t="s">
        <v>362</v>
      </c>
      <c r="L108" s="84" t="s">
        <v>227</v>
      </c>
      <c r="M108" s="78">
        <v>45688</v>
      </c>
      <c r="N108" s="75" t="s">
        <v>368</v>
      </c>
      <c r="P108" s="89"/>
      <c r="Q108" s="89"/>
    </row>
    <row r="109" spans="1:17" ht="14.4" x14ac:dyDescent="0.3">
      <c r="A109" s="16" t="s">
        <v>341</v>
      </c>
      <c r="B109" s="16" t="s">
        <v>351</v>
      </c>
      <c r="C109" s="28" t="s">
        <v>117</v>
      </c>
      <c r="D109" s="28" t="str">
        <f>IFERROR(VLOOKUP($C109,CUENTAS[],2,0),"")</f>
        <v>GASTOS VARIOS</v>
      </c>
      <c r="E109" s="28" t="str">
        <f>IFERROR(VLOOKUP($C109,CUENTAS[],3,0),"")</f>
        <v>MDE2025-003D</v>
      </c>
      <c r="F109" s="86">
        <v>420</v>
      </c>
      <c r="G109" s="86">
        <v>0</v>
      </c>
      <c r="H109" s="74">
        <v>420</v>
      </c>
      <c r="I109" s="200" t="str">
        <f t="shared" si="1"/>
        <v>CORRECTO</v>
      </c>
      <c r="J109" s="202" t="s">
        <v>3244</v>
      </c>
      <c r="K109" s="69" t="s">
        <v>362</v>
      </c>
      <c r="L109" s="84" t="s">
        <v>227</v>
      </c>
      <c r="M109" s="85">
        <v>45667</v>
      </c>
      <c r="N109" s="75" t="s">
        <v>368</v>
      </c>
      <c r="P109" s="89"/>
      <c r="Q109" s="89"/>
    </row>
    <row r="110" spans="1:17" ht="14.4" x14ac:dyDescent="0.3">
      <c r="A110" s="16" t="s">
        <v>341</v>
      </c>
      <c r="B110" s="16" t="s">
        <v>352</v>
      </c>
      <c r="C110" s="28" t="s">
        <v>161</v>
      </c>
      <c r="D110" s="28" t="str">
        <f>IFERROR(VLOOKUP($C110,CUENTAS[],2,0),"")</f>
        <v>LOGÍSTICA</v>
      </c>
      <c r="E110" s="28" t="str">
        <f>IFERROR(VLOOKUP($C110,CUENTAS[],3,0),"")</f>
        <v>MDE2025-003E</v>
      </c>
      <c r="F110" s="86">
        <v>750</v>
      </c>
      <c r="G110" s="86">
        <v>0</v>
      </c>
      <c r="H110" s="74">
        <v>750</v>
      </c>
      <c r="I110" s="200" t="str">
        <f t="shared" si="1"/>
        <v>CORRECTO</v>
      </c>
      <c r="J110" s="202" t="s">
        <v>3244</v>
      </c>
      <c r="K110" s="69" t="s">
        <v>362</v>
      </c>
      <c r="L110" s="84" t="s">
        <v>227</v>
      </c>
      <c r="M110" s="85">
        <v>45672</v>
      </c>
      <c r="N110" s="75" t="s">
        <v>368</v>
      </c>
      <c r="P110" s="89"/>
      <c r="Q110" s="89"/>
    </row>
    <row r="111" spans="1:17" ht="14.4" x14ac:dyDescent="0.3">
      <c r="A111" s="16" t="s">
        <v>341</v>
      </c>
      <c r="B111" s="16" t="s">
        <v>353</v>
      </c>
      <c r="C111" s="28" t="s">
        <v>109</v>
      </c>
      <c r="D111" s="28" t="str">
        <f>IFERROR(VLOOKUP($C111,CUENTAS[],2,0),"")</f>
        <v>LOGÍSTICA</v>
      </c>
      <c r="E111" s="28" t="str">
        <f>IFERROR(VLOOKUP($C111,CUENTAS[],3,0),"")</f>
        <v>MDE2025-006A</v>
      </c>
      <c r="F111" s="86">
        <v>380</v>
      </c>
      <c r="G111" s="86">
        <v>0</v>
      </c>
      <c r="H111" s="74">
        <v>380</v>
      </c>
      <c r="I111" s="200" t="str">
        <f t="shared" si="1"/>
        <v>CORRECTO</v>
      </c>
      <c r="J111" s="202" t="s">
        <v>3244</v>
      </c>
      <c r="K111" s="69" t="s">
        <v>362</v>
      </c>
      <c r="L111" s="84" t="s">
        <v>227</v>
      </c>
      <c r="M111" s="85">
        <v>45315</v>
      </c>
      <c r="N111" s="75" t="s">
        <v>387</v>
      </c>
      <c r="P111" s="89"/>
      <c r="Q111" s="89"/>
    </row>
    <row r="112" spans="1:17" ht="14.4" x14ac:dyDescent="0.3">
      <c r="A112" s="16" t="s">
        <v>354</v>
      </c>
      <c r="B112" s="16" t="s">
        <v>355</v>
      </c>
      <c r="C112" s="28" t="s">
        <v>223</v>
      </c>
      <c r="D112" s="28" t="str">
        <f>IFERROR(VLOOKUP($C112,CUENTAS[],2,0),"")</f>
        <v>MANTENIMIENTO</v>
      </c>
      <c r="E112" s="28" t="str">
        <f>IFERROR(VLOOKUP($C112,CUENTAS[],3,0),"")</f>
        <v>MDE2025-009B</v>
      </c>
      <c r="F112" s="86">
        <v>6000</v>
      </c>
      <c r="G112" s="86">
        <v>0</v>
      </c>
      <c r="H112" s="74">
        <v>6000</v>
      </c>
      <c r="I112" s="200" t="str">
        <f t="shared" si="1"/>
        <v>CORRECTO</v>
      </c>
      <c r="J112" s="202" t="s">
        <v>3244</v>
      </c>
      <c r="K112" s="69" t="s">
        <v>360</v>
      </c>
      <c r="L112" s="84" t="s">
        <v>227</v>
      </c>
      <c r="M112" s="85">
        <v>45660</v>
      </c>
      <c r="N112" s="75" t="s">
        <v>371</v>
      </c>
      <c r="P112" s="89"/>
      <c r="Q112" s="89"/>
    </row>
    <row r="113" spans="1:17" ht="14.4" x14ac:dyDescent="0.3">
      <c r="A113" s="5" t="s">
        <v>228</v>
      </c>
      <c r="B113" s="100" t="s">
        <v>395</v>
      </c>
      <c r="C113" s="28" t="s">
        <v>139</v>
      </c>
      <c r="D113" s="28" t="str">
        <f>IFERROR(VLOOKUP($C113,CUENTAS[],2,0),"")</f>
        <v>ACTIVOS FIJOS</v>
      </c>
      <c r="E113" s="28" t="str">
        <f>IFERROR(VLOOKUP($C113,CUENTAS[],3,0),"")</f>
        <v>MDE2025-007E</v>
      </c>
      <c r="F113" s="102">
        <v>2690.99</v>
      </c>
      <c r="G113" s="103">
        <v>0</v>
      </c>
      <c r="H113" s="128">
        <v>2690.99</v>
      </c>
      <c r="I113" s="200" t="str">
        <f t="shared" si="1"/>
        <v>CORRECTO</v>
      </c>
      <c r="J113" s="202" t="s">
        <v>133</v>
      </c>
      <c r="K113" s="101" t="s">
        <v>361</v>
      </c>
      <c r="L113" s="84" t="s">
        <v>227</v>
      </c>
      <c r="M113" s="78">
        <v>45692</v>
      </c>
      <c r="N113" s="79" t="s">
        <v>368</v>
      </c>
      <c r="P113" s="89"/>
      <c r="Q113" s="89"/>
    </row>
    <row r="114" spans="1:17" ht="14.4" x14ac:dyDescent="0.3">
      <c r="A114" s="5" t="s">
        <v>228</v>
      </c>
      <c r="B114" s="100" t="s">
        <v>396</v>
      </c>
      <c r="C114" s="28" t="s">
        <v>111</v>
      </c>
      <c r="D114" s="28" t="str">
        <f>IFERROR(VLOOKUP($C114,CUENTAS[],2,0),"")</f>
        <v>GASTOS VARIOS</v>
      </c>
      <c r="E114" s="28" t="str">
        <f>IFERROR(VLOOKUP($C114,CUENTAS[],3,0),"")</f>
        <v>MDE2025-003K</v>
      </c>
      <c r="F114" s="102">
        <v>1260.46</v>
      </c>
      <c r="G114" s="103">
        <v>50.42</v>
      </c>
      <c r="H114" s="128">
        <v>1310.88</v>
      </c>
      <c r="I114" s="200" t="str">
        <f t="shared" si="1"/>
        <v>CORRECTO</v>
      </c>
      <c r="J114" s="202" t="s">
        <v>133</v>
      </c>
      <c r="K114" s="101" t="s">
        <v>404</v>
      </c>
      <c r="L114" s="84" t="s">
        <v>227</v>
      </c>
      <c r="M114" s="78">
        <v>45692</v>
      </c>
      <c r="N114" s="79" t="s">
        <v>408</v>
      </c>
      <c r="P114" s="89"/>
      <c r="Q114" s="89"/>
    </row>
    <row r="115" spans="1:17" ht="14.4" x14ac:dyDescent="0.3">
      <c r="A115" s="21" t="s">
        <v>228</v>
      </c>
      <c r="B115" s="104" t="s">
        <v>397</v>
      </c>
      <c r="C115" s="28" t="s">
        <v>151</v>
      </c>
      <c r="D115" s="28" t="str">
        <f>IFERROR(VLOOKUP($C115,CUENTAS[],2,0),"")</f>
        <v>GASTOS FIJOS</v>
      </c>
      <c r="E115" s="28" t="str">
        <f>IFERROR(VLOOKUP($C115,CUENTAS[],3,0),"")</f>
        <v>MDE2025-002F</v>
      </c>
      <c r="F115" s="102">
        <v>120</v>
      </c>
      <c r="G115" s="103">
        <v>0</v>
      </c>
      <c r="H115" s="128">
        <v>120</v>
      </c>
      <c r="I115" s="200" t="str">
        <f t="shared" si="1"/>
        <v>CORRECTO</v>
      </c>
      <c r="J115" s="202" t="s">
        <v>133</v>
      </c>
      <c r="K115" s="101" t="s">
        <v>405</v>
      </c>
      <c r="L115" s="84" t="s">
        <v>227</v>
      </c>
      <c r="M115" s="78">
        <v>45692</v>
      </c>
      <c r="N115" s="80" t="s">
        <v>226</v>
      </c>
      <c r="P115" s="89"/>
      <c r="Q115" s="89"/>
    </row>
    <row r="116" spans="1:17" ht="14.4" x14ac:dyDescent="0.3">
      <c r="A116" s="21" t="s">
        <v>228</v>
      </c>
      <c r="B116" s="104" t="s">
        <v>397</v>
      </c>
      <c r="C116" s="28" t="s">
        <v>151</v>
      </c>
      <c r="D116" s="28" t="str">
        <f>IFERROR(VLOOKUP($C116,CUENTAS[],2,0),"")</f>
        <v>GASTOS FIJOS</v>
      </c>
      <c r="E116" s="28" t="str">
        <f>IFERROR(VLOOKUP($C116,CUENTAS[],3,0),"")</f>
        <v>MDE2025-002F</v>
      </c>
      <c r="F116" s="102">
        <v>4792</v>
      </c>
      <c r="G116" s="103">
        <v>0</v>
      </c>
      <c r="H116" s="128">
        <v>4792</v>
      </c>
      <c r="I116" s="200" t="str">
        <f t="shared" si="1"/>
        <v>CORRECTO</v>
      </c>
      <c r="J116" s="202" t="s">
        <v>133</v>
      </c>
      <c r="K116" s="101" t="s">
        <v>405</v>
      </c>
      <c r="L116" s="84" t="s">
        <v>227</v>
      </c>
      <c r="M116" s="78">
        <v>45692</v>
      </c>
      <c r="N116" s="80" t="s">
        <v>226</v>
      </c>
      <c r="P116" s="89"/>
      <c r="Q116" s="89"/>
    </row>
    <row r="117" spans="1:17" ht="14.4" x14ac:dyDescent="0.3">
      <c r="A117" s="21" t="s">
        <v>228</v>
      </c>
      <c r="B117" s="104" t="s">
        <v>397</v>
      </c>
      <c r="C117" s="28" t="s">
        <v>151</v>
      </c>
      <c r="D117" s="28" t="str">
        <f>IFERROR(VLOOKUP($C117,CUENTAS[],2,0),"")</f>
        <v>GASTOS FIJOS</v>
      </c>
      <c r="E117" s="28" t="str">
        <f>IFERROR(VLOOKUP($C117,CUENTAS[],3,0),"")</f>
        <v>MDE2025-002F</v>
      </c>
      <c r="F117" s="102">
        <v>4792</v>
      </c>
      <c r="G117" s="103">
        <v>0</v>
      </c>
      <c r="H117" s="128">
        <v>4792</v>
      </c>
      <c r="I117" s="200" t="str">
        <f t="shared" si="1"/>
        <v>CORRECTO</v>
      </c>
      <c r="J117" s="202" t="s">
        <v>133</v>
      </c>
      <c r="K117" s="101" t="s">
        <v>405</v>
      </c>
      <c r="L117" s="84" t="s">
        <v>227</v>
      </c>
      <c r="M117" s="78">
        <v>45692</v>
      </c>
      <c r="N117" s="80" t="s">
        <v>226</v>
      </c>
      <c r="P117" s="89"/>
      <c r="Q117" s="89"/>
    </row>
    <row r="118" spans="1:17" ht="14.4" x14ac:dyDescent="0.3">
      <c r="A118" s="21" t="s">
        <v>228</v>
      </c>
      <c r="B118" s="104" t="s">
        <v>397</v>
      </c>
      <c r="C118" s="28" t="s">
        <v>151</v>
      </c>
      <c r="D118" s="28" t="str">
        <f>IFERROR(VLOOKUP($C118,CUENTAS[],2,0),"")</f>
        <v>GASTOS FIJOS</v>
      </c>
      <c r="E118" s="28" t="str">
        <f>IFERROR(VLOOKUP($C118,CUENTAS[],3,0),"")</f>
        <v>MDE2025-002F</v>
      </c>
      <c r="F118" s="102">
        <v>4792</v>
      </c>
      <c r="G118" s="103">
        <v>0</v>
      </c>
      <c r="H118" s="128">
        <v>4792</v>
      </c>
      <c r="I118" s="200" t="str">
        <f t="shared" si="1"/>
        <v>CORRECTO</v>
      </c>
      <c r="J118" s="202" t="s">
        <v>133</v>
      </c>
      <c r="K118" s="101" t="s">
        <v>405</v>
      </c>
      <c r="L118" s="84" t="s">
        <v>227</v>
      </c>
      <c r="M118" s="78">
        <v>45692</v>
      </c>
      <c r="N118" s="80" t="s">
        <v>226</v>
      </c>
      <c r="P118" s="89"/>
      <c r="Q118" s="89"/>
    </row>
    <row r="119" spans="1:17" ht="14.4" x14ac:dyDescent="0.3">
      <c r="A119" s="21" t="s">
        <v>228</v>
      </c>
      <c r="B119" s="104" t="s">
        <v>397</v>
      </c>
      <c r="C119" s="28" t="s">
        <v>151</v>
      </c>
      <c r="D119" s="28" t="str">
        <f>IFERROR(VLOOKUP($C119,CUENTAS[],2,0),"")</f>
        <v>GASTOS FIJOS</v>
      </c>
      <c r="E119" s="28" t="str">
        <f>IFERROR(VLOOKUP($C119,CUENTAS[],3,0),"")</f>
        <v>MDE2025-002F</v>
      </c>
      <c r="F119" s="102">
        <v>4792</v>
      </c>
      <c r="G119" s="103">
        <v>0</v>
      </c>
      <c r="H119" s="128">
        <v>4792</v>
      </c>
      <c r="I119" s="200" t="str">
        <f t="shared" si="1"/>
        <v>CORRECTO</v>
      </c>
      <c r="J119" s="202" t="s">
        <v>133</v>
      </c>
      <c r="K119" s="101" t="s">
        <v>405</v>
      </c>
      <c r="L119" s="84" t="s">
        <v>227</v>
      </c>
      <c r="M119" s="78">
        <v>45692</v>
      </c>
      <c r="N119" s="80" t="s">
        <v>409</v>
      </c>
      <c r="P119" s="89"/>
      <c r="Q119" s="89"/>
    </row>
    <row r="120" spans="1:17" ht="14.4" x14ac:dyDescent="0.3">
      <c r="A120" s="21" t="s">
        <v>228</v>
      </c>
      <c r="B120" s="104" t="s">
        <v>398</v>
      </c>
      <c r="C120" s="28" t="s">
        <v>135</v>
      </c>
      <c r="D120" s="28" t="str">
        <f>IFERROR(VLOOKUP($C120,CUENTAS[],2,0),"")</f>
        <v>EVENTOS INTERNOS</v>
      </c>
      <c r="E120" s="28" t="str">
        <f>IFERROR(VLOOKUP($C120,CUENTAS[],3,0),"")</f>
        <v>MDE2025-008B</v>
      </c>
      <c r="F120" s="102">
        <v>29637.85</v>
      </c>
      <c r="G120" s="103">
        <v>0</v>
      </c>
      <c r="H120" s="128">
        <v>29637.85</v>
      </c>
      <c r="I120" s="200" t="str">
        <f t="shared" si="1"/>
        <v>CORRECTO</v>
      </c>
      <c r="J120" s="202" t="s">
        <v>133</v>
      </c>
      <c r="K120" s="101" t="s">
        <v>361</v>
      </c>
      <c r="L120" s="84" t="s">
        <v>227</v>
      </c>
      <c r="M120" s="78">
        <v>45692</v>
      </c>
      <c r="N120" s="80" t="s">
        <v>226</v>
      </c>
      <c r="P120" s="89"/>
      <c r="Q120" s="89"/>
    </row>
    <row r="121" spans="1:17" ht="14.4" x14ac:dyDescent="0.3">
      <c r="A121" s="21" t="s">
        <v>228</v>
      </c>
      <c r="B121" s="104" t="s">
        <v>398</v>
      </c>
      <c r="C121" s="28" t="s">
        <v>135</v>
      </c>
      <c r="D121" s="28" t="str">
        <f>IFERROR(VLOOKUP($C121,CUENTAS[],2,0),"")</f>
        <v>EVENTOS INTERNOS</v>
      </c>
      <c r="E121" s="28" t="str">
        <f>IFERROR(VLOOKUP($C121,CUENTAS[],3,0),"")</f>
        <v>MDE2025-008B</v>
      </c>
      <c r="F121" s="102">
        <v>8581.0499999999993</v>
      </c>
      <c r="G121" s="103">
        <v>0</v>
      </c>
      <c r="H121" s="128">
        <v>8581.0499999999993</v>
      </c>
      <c r="I121" s="200" t="str">
        <f t="shared" si="1"/>
        <v>CORRECTO</v>
      </c>
      <c r="J121" s="202" t="s">
        <v>133</v>
      </c>
      <c r="K121" s="101" t="s">
        <v>361</v>
      </c>
      <c r="L121" s="84" t="s">
        <v>227</v>
      </c>
      <c r="M121" s="78">
        <v>45692</v>
      </c>
      <c r="N121" s="80" t="s">
        <v>226</v>
      </c>
      <c r="P121" s="89"/>
      <c r="Q121" s="89"/>
    </row>
    <row r="122" spans="1:17" ht="14.4" x14ac:dyDescent="0.3">
      <c r="A122" s="21" t="s">
        <v>228</v>
      </c>
      <c r="B122" s="104" t="s">
        <v>399</v>
      </c>
      <c r="C122" s="28" t="s">
        <v>109</v>
      </c>
      <c r="D122" s="28" t="str">
        <f>IFERROR(VLOOKUP($C122,CUENTAS[],2,0),"")</f>
        <v>LOGÍSTICA</v>
      </c>
      <c r="E122" s="28" t="str">
        <f>IFERROR(VLOOKUP($C122,CUENTAS[],3,0),"")</f>
        <v>MDE2025-006A</v>
      </c>
      <c r="F122" s="102">
        <v>11848.27</v>
      </c>
      <c r="G122" s="103">
        <v>1895.73</v>
      </c>
      <c r="H122" s="128">
        <v>13744</v>
      </c>
      <c r="I122" s="200" t="str">
        <f t="shared" si="1"/>
        <v>CORRECTO</v>
      </c>
      <c r="J122" s="202" t="s">
        <v>133</v>
      </c>
      <c r="K122" s="101" t="s">
        <v>360</v>
      </c>
      <c r="L122" s="84" t="s">
        <v>227</v>
      </c>
      <c r="M122" s="78">
        <v>45692</v>
      </c>
      <c r="N122" s="79">
        <v>289618</v>
      </c>
      <c r="P122" s="89"/>
      <c r="Q122" s="89"/>
    </row>
    <row r="123" spans="1:17" ht="14.4" x14ac:dyDescent="0.3">
      <c r="A123" s="21" t="s">
        <v>228</v>
      </c>
      <c r="B123" s="104" t="s">
        <v>400</v>
      </c>
      <c r="C123" s="28" t="s">
        <v>134</v>
      </c>
      <c r="D123" s="28" t="str">
        <f>IFERROR(VLOOKUP($C123,CUENTAS[],2,0),"")</f>
        <v>GASTOS FIJOS</v>
      </c>
      <c r="E123" s="28" t="str">
        <f>IFERROR(VLOOKUP($C123,CUENTAS[],3,0),"")</f>
        <v>MDE2025-002J</v>
      </c>
      <c r="F123" s="102">
        <v>615.63</v>
      </c>
      <c r="G123" s="103">
        <v>0</v>
      </c>
      <c r="H123" s="128">
        <v>615.63</v>
      </c>
      <c r="I123" s="200" t="str">
        <f t="shared" si="1"/>
        <v>CORRECTO</v>
      </c>
      <c r="J123" s="202" t="s">
        <v>133</v>
      </c>
      <c r="K123" s="101" t="s">
        <v>406</v>
      </c>
      <c r="L123" s="84" t="s">
        <v>227</v>
      </c>
      <c r="M123" s="78">
        <v>45692</v>
      </c>
      <c r="N123" s="79" t="s">
        <v>410</v>
      </c>
      <c r="P123" s="89"/>
      <c r="Q123" s="89"/>
    </row>
    <row r="124" spans="1:17" ht="14.4" x14ac:dyDescent="0.3">
      <c r="A124" s="21" t="s">
        <v>228</v>
      </c>
      <c r="B124" s="104" t="s">
        <v>401</v>
      </c>
      <c r="C124" s="28" t="s">
        <v>151</v>
      </c>
      <c r="D124" s="28" t="str">
        <f>IFERROR(VLOOKUP($C124,CUENTAS[],2,0),"")</f>
        <v>GASTOS FIJOS</v>
      </c>
      <c r="E124" s="28" t="str">
        <f>IFERROR(VLOOKUP($C124,CUENTAS[],3,0),"")</f>
        <v>MDE2025-002F</v>
      </c>
      <c r="F124" s="102">
        <v>3148</v>
      </c>
      <c r="G124" s="103">
        <v>0</v>
      </c>
      <c r="H124" s="128">
        <v>3148</v>
      </c>
      <c r="I124" s="200" t="str">
        <f t="shared" si="1"/>
        <v>CORRECTO</v>
      </c>
      <c r="J124" s="202" t="s">
        <v>133</v>
      </c>
      <c r="K124" s="101" t="s">
        <v>365</v>
      </c>
      <c r="L124" s="84" t="s">
        <v>227</v>
      </c>
      <c r="M124" s="78">
        <v>45692</v>
      </c>
      <c r="N124" s="80" t="s">
        <v>226</v>
      </c>
      <c r="P124" s="89"/>
      <c r="Q124" s="89"/>
    </row>
    <row r="125" spans="1:17" ht="14.4" x14ac:dyDescent="0.3">
      <c r="A125" s="21" t="s">
        <v>228</v>
      </c>
      <c r="B125" s="104" t="s">
        <v>402</v>
      </c>
      <c r="C125" s="28" t="s">
        <v>201</v>
      </c>
      <c r="D125" s="28" t="str">
        <f>IFERROR(VLOOKUP($C125,CUENTAS[],2,0),"")</f>
        <v>ACTIVOS FIJOS</v>
      </c>
      <c r="E125" s="28" t="str">
        <f>IFERROR(VLOOKUP($C125,CUENTAS[],3,0),"")</f>
        <v>MDE2025-007I</v>
      </c>
      <c r="F125" s="102">
        <v>3839.46</v>
      </c>
      <c r="G125" s="103">
        <v>614.30999999999995</v>
      </c>
      <c r="H125" s="128">
        <v>4453.7700000000004</v>
      </c>
      <c r="I125" s="200" t="str">
        <f t="shared" si="1"/>
        <v>CORRECTO</v>
      </c>
      <c r="J125" s="202" t="s">
        <v>133</v>
      </c>
      <c r="K125" s="101" t="s">
        <v>407</v>
      </c>
      <c r="L125" s="84" t="s">
        <v>227</v>
      </c>
      <c r="M125" s="78">
        <v>45722</v>
      </c>
      <c r="N125" s="81" t="s">
        <v>411</v>
      </c>
      <c r="P125" s="89"/>
      <c r="Q125" s="89"/>
    </row>
    <row r="126" spans="1:17" ht="14.4" x14ac:dyDescent="0.3">
      <c r="A126" s="21" t="s">
        <v>228</v>
      </c>
      <c r="B126" s="104" t="s">
        <v>403</v>
      </c>
      <c r="C126" s="28" t="s">
        <v>168</v>
      </c>
      <c r="D126" s="28" t="str">
        <f>IFERROR(VLOOKUP($C126,CUENTAS[],2,0),"")</f>
        <v>ACTIVOS FIJOS</v>
      </c>
      <c r="E126" s="28" t="str">
        <f>IFERROR(VLOOKUP($C126,CUENTAS[],3,0),"")</f>
        <v>MDE2025-007B</v>
      </c>
      <c r="F126" s="102">
        <v>6299</v>
      </c>
      <c r="G126" s="103">
        <v>0</v>
      </c>
      <c r="H126" s="128">
        <v>6299</v>
      </c>
      <c r="I126" s="200" t="str">
        <f t="shared" si="1"/>
        <v>CORRECTO</v>
      </c>
      <c r="J126" s="202" t="s">
        <v>133</v>
      </c>
      <c r="K126" s="101" t="s">
        <v>405</v>
      </c>
      <c r="L126" s="84" t="s">
        <v>227</v>
      </c>
      <c r="M126" s="78">
        <v>45722</v>
      </c>
      <c r="N126" s="82" t="s">
        <v>412</v>
      </c>
      <c r="P126" s="89"/>
      <c r="Q126" s="89"/>
    </row>
    <row r="127" spans="1:17" ht="14.4" x14ac:dyDescent="0.3">
      <c r="A127" s="6" t="s">
        <v>413</v>
      </c>
      <c r="B127" s="109" t="s">
        <v>414</v>
      </c>
      <c r="C127" s="28" t="s">
        <v>117</v>
      </c>
      <c r="D127" s="28" t="str">
        <f>IFERROR(VLOOKUP($C127,CUENTAS[],2,0),"")</f>
        <v>GASTOS VARIOS</v>
      </c>
      <c r="E127" s="28" t="str">
        <f>IFERROR(VLOOKUP($C127,CUENTAS[],3,0),"")</f>
        <v>MDE2025-003D</v>
      </c>
      <c r="F127" s="86">
        <v>346.14</v>
      </c>
      <c r="G127" s="129">
        <v>53.86</v>
      </c>
      <c r="H127" s="126">
        <v>400</v>
      </c>
      <c r="I127" s="200" t="str">
        <f t="shared" si="1"/>
        <v>CORRECTO</v>
      </c>
      <c r="J127" s="203" t="s">
        <v>3245</v>
      </c>
      <c r="K127" s="101" t="s">
        <v>425</v>
      </c>
      <c r="L127" s="95" t="s">
        <v>227</v>
      </c>
      <c r="M127" s="184">
        <v>45673</v>
      </c>
      <c r="N127" s="8" t="s">
        <v>427</v>
      </c>
      <c r="P127" s="89"/>
      <c r="Q127" s="89"/>
    </row>
    <row r="128" spans="1:17" ht="14.4" x14ac:dyDescent="0.3">
      <c r="A128" s="6" t="s">
        <v>415</v>
      </c>
      <c r="B128" s="111" t="s">
        <v>416</v>
      </c>
      <c r="C128" s="28" t="s">
        <v>117</v>
      </c>
      <c r="D128" s="28" t="str">
        <f>IFERROR(VLOOKUP($C128,CUENTAS[],2,0),"")</f>
        <v>GASTOS VARIOS</v>
      </c>
      <c r="E128" s="28" t="str">
        <f>IFERROR(VLOOKUP($C128,CUENTAS[],3,0),"")</f>
        <v>MDE2025-003D</v>
      </c>
      <c r="F128" s="86">
        <v>432.68</v>
      </c>
      <c r="G128" s="129">
        <v>67.319999999999993</v>
      </c>
      <c r="H128" s="127">
        <v>500</v>
      </c>
      <c r="I128" s="200" t="str">
        <f t="shared" si="1"/>
        <v>CORRECTO</v>
      </c>
      <c r="J128" s="203" t="s">
        <v>3245</v>
      </c>
      <c r="K128" s="112" t="s">
        <v>425</v>
      </c>
      <c r="L128" s="95" t="s">
        <v>227</v>
      </c>
      <c r="M128" s="185">
        <v>45664</v>
      </c>
      <c r="N128" s="9" t="s">
        <v>428</v>
      </c>
      <c r="P128" s="89"/>
      <c r="Q128" s="89"/>
    </row>
    <row r="129" spans="1:17" ht="14.4" x14ac:dyDescent="0.3">
      <c r="A129" s="6" t="s">
        <v>417</v>
      </c>
      <c r="B129" s="111" t="s">
        <v>418</v>
      </c>
      <c r="C129" s="28" t="s">
        <v>117</v>
      </c>
      <c r="D129" s="28" t="str">
        <f>IFERROR(VLOOKUP($C129,CUENTAS[],2,0),"")</f>
        <v>GASTOS VARIOS</v>
      </c>
      <c r="E129" s="28" t="str">
        <f>IFERROR(VLOOKUP($C129,CUENTAS[],3,0),"")</f>
        <v>MDE2025-003D</v>
      </c>
      <c r="F129" s="86">
        <v>432.68</v>
      </c>
      <c r="G129" s="129">
        <v>67.319999999999993</v>
      </c>
      <c r="H129" s="127">
        <v>500</v>
      </c>
      <c r="I129" s="200" t="str">
        <f t="shared" si="1"/>
        <v>CORRECTO</v>
      </c>
      <c r="J129" s="203" t="s">
        <v>3245</v>
      </c>
      <c r="K129" s="112" t="s">
        <v>425</v>
      </c>
      <c r="L129" s="95" t="s">
        <v>227</v>
      </c>
      <c r="M129" s="185">
        <v>45680</v>
      </c>
      <c r="N129" s="9" t="s">
        <v>429</v>
      </c>
      <c r="P129" s="89"/>
      <c r="Q129" s="89"/>
    </row>
    <row r="130" spans="1:17" ht="14.4" x14ac:dyDescent="0.3">
      <c r="A130" s="2" t="s">
        <v>419</v>
      </c>
      <c r="B130" s="111" t="s">
        <v>420</v>
      </c>
      <c r="C130" s="28" t="s">
        <v>117</v>
      </c>
      <c r="D130" s="28" t="str">
        <f>IFERROR(VLOOKUP($C130,CUENTAS[],2,0),"")</f>
        <v>GASTOS VARIOS</v>
      </c>
      <c r="E130" s="28" t="str">
        <f>IFERROR(VLOOKUP($C130,CUENTAS[],3,0),"")</f>
        <v>MDE2025-003D</v>
      </c>
      <c r="F130" s="86">
        <v>1000</v>
      </c>
      <c r="G130" s="129">
        <v>0</v>
      </c>
      <c r="H130" s="127">
        <v>1000</v>
      </c>
      <c r="I130" s="200" t="str">
        <f t="shared" si="1"/>
        <v>CORRECTO</v>
      </c>
      <c r="J130" s="203" t="s">
        <v>3245</v>
      </c>
      <c r="K130" s="112" t="s">
        <v>360</v>
      </c>
      <c r="L130" s="95" t="s">
        <v>227</v>
      </c>
      <c r="M130" s="185">
        <v>45680</v>
      </c>
      <c r="N130" s="114" t="s">
        <v>430</v>
      </c>
      <c r="P130" s="89"/>
      <c r="Q130" s="89"/>
    </row>
    <row r="131" spans="1:17" ht="14.4" x14ac:dyDescent="0.3">
      <c r="A131" s="2" t="s">
        <v>421</v>
      </c>
      <c r="B131" s="111" t="s">
        <v>422</v>
      </c>
      <c r="C131" s="28" t="s">
        <v>117</v>
      </c>
      <c r="D131" s="28" t="str">
        <f>IFERROR(VLOOKUP($C131,CUENTAS[],2,0),"")</f>
        <v>GASTOS VARIOS</v>
      </c>
      <c r="E131" s="28" t="str">
        <f>IFERROR(VLOOKUP($C131,CUENTAS[],3,0),"")</f>
        <v>MDE2025-003D</v>
      </c>
      <c r="F131" s="86">
        <v>600</v>
      </c>
      <c r="G131" s="129">
        <v>0</v>
      </c>
      <c r="H131" s="127">
        <v>600</v>
      </c>
      <c r="I131" s="200" t="str">
        <f t="shared" ref="I131:I163" si="2">+IF(F131+G131&lt;&gt;H131,"REVISAR","CORRECTO")</f>
        <v>CORRECTO</v>
      </c>
      <c r="J131" s="203" t="s">
        <v>3245</v>
      </c>
      <c r="K131" s="112" t="s">
        <v>426</v>
      </c>
      <c r="L131" s="95" t="s">
        <v>227</v>
      </c>
      <c r="M131" s="185">
        <v>45687</v>
      </c>
      <c r="N131" s="114" t="s">
        <v>430</v>
      </c>
      <c r="P131" s="89"/>
      <c r="Q131" s="89"/>
    </row>
    <row r="132" spans="1:17" ht="14.25" customHeight="1" x14ac:dyDescent="0.3">
      <c r="A132" s="115" t="s">
        <v>431</v>
      </c>
      <c r="B132" s="115" t="s">
        <v>432</v>
      </c>
      <c r="C132" s="28" t="s">
        <v>160</v>
      </c>
      <c r="D132" s="28" t="str">
        <f>IFERROR(VLOOKUP($C132,CUENTAS[],2,0),"")</f>
        <v>GASTOS VARIOS</v>
      </c>
      <c r="E132" s="28" t="str">
        <f>IFERROR(VLOOKUP($C132,CUENTAS[],3,0),"")</f>
        <v>MDE2025-003C</v>
      </c>
      <c r="F132" s="86">
        <v>86.21</v>
      </c>
      <c r="G132" s="129">
        <v>13.79</v>
      </c>
      <c r="H132" s="130">
        <v>100</v>
      </c>
      <c r="I132" s="200" t="str">
        <f t="shared" si="2"/>
        <v>CORRECTO</v>
      </c>
      <c r="J132" s="202" t="s">
        <v>137</v>
      </c>
      <c r="K132" s="116" t="s">
        <v>363</v>
      </c>
      <c r="L132" s="95" t="s">
        <v>227</v>
      </c>
      <c r="M132" s="159">
        <v>45659</v>
      </c>
      <c r="N132" s="118" t="s">
        <v>430</v>
      </c>
      <c r="P132" s="89"/>
      <c r="Q132" s="89"/>
    </row>
    <row r="133" spans="1:17" ht="14.25" customHeight="1" x14ac:dyDescent="0.3">
      <c r="A133" s="115" t="s">
        <v>433</v>
      </c>
      <c r="B133" s="115" t="s">
        <v>434</v>
      </c>
      <c r="C133" s="28" t="s">
        <v>113</v>
      </c>
      <c r="D133" s="28" t="str">
        <f>IFERROR(VLOOKUP($C133,CUENTAS[],2,0),"")</f>
        <v>GASTOS VARIOS</v>
      </c>
      <c r="E133" s="28" t="str">
        <f>IFERROR(VLOOKUP($C133,CUENTAS[],3,0),"")</f>
        <v>MDE2025-003B</v>
      </c>
      <c r="F133" s="86">
        <v>128</v>
      </c>
      <c r="G133" s="129">
        <v>0</v>
      </c>
      <c r="H133" s="131">
        <v>128</v>
      </c>
      <c r="I133" s="200" t="str">
        <f t="shared" si="2"/>
        <v>CORRECTO</v>
      </c>
      <c r="J133" s="202" t="s">
        <v>137</v>
      </c>
      <c r="K133" s="116" t="s">
        <v>357</v>
      </c>
      <c r="L133" s="95" t="s">
        <v>227</v>
      </c>
      <c r="M133" s="159">
        <v>45659</v>
      </c>
      <c r="N133" s="22" t="s">
        <v>466</v>
      </c>
      <c r="P133" s="89"/>
      <c r="Q133" s="89"/>
    </row>
    <row r="134" spans="1:17" ht="14.25" customHeight="1" x14ac:dyDescent="0.3">
      <c r="A134" s="115" t="s">
        <v>435</v>
      </c>
      <c r="B134" s="115" t="s">
        <v>436</v>
      </c>
      <c r="C134" s="28" t="s">
        <v>161</v>
      </c>
      <c r="D134" s="28" t="str">
        <f>IFERROR(VLOOKUP($C134,CUENTAS[],2,0),"")</f>
        <v>LOGÍSTICA</v>
      </c>
      <c r="E134" s="28" t="str">
        <f>IFERROR(VLOOKUP($C134,CUENTAS[],3,0),"")</f>
        <v>MDE2025-003E</v>
      </c>
      <c r="F134" s="86">
        <v>181.03</v>
      </c>
      <c r="G134" s="129">
        <v>28.97</v>
      </c>
      <c r="H134" s="131">
        <v>210</v>
      </c>
      <c r="I134" s="200" t="str">
        <f t="shared" si="2"/>
        <v>CORRECTO</v>
      </c>
      <c r="J134" s="202" t="s">
        <v>137</v>
      </c>
      <c r="K134" s="116" t="s">
        <v>467</v>
      </c>
      <c r="L134" s="95" t="s">
        <v>227</v>
      </c>
      <c r="M134" s="159">
        <v>45659</v>
      </c>
      <c r="N134" s="22" t="s">
        <v>468</v>
      </c>
      <c r="P134" s="89"/>
      <c r="Q134" s="89"/>
    </row>
    <row r="135" spans="1:17" ht="14.25" customHeight="1" x14ac:dyDescent="0.3">
      <c r="A135" s="115" t="s">
        <v>437</v>
      </c>
      <c r="B135" s="115" t="s">
        <v>438</v>
      </c>
      <c r="C135" s="28" t="s">
        <v>145</v>
      </c>
      <c r="D135" s="28" t="str">
        <f>IFERROR(VLOOKUP($C135,CUENTAS[],2,0),"")</f>
        <v>GASTOS VARIOS</v>
      </c>
      <c r="E135" s="28" t="str">
        <f>IFERROR(VLOOKUP($C135,CUENTAS[],3,0),"")</f>
        <v>MDE2025-003H</v>
      </c>
      <c r="F135" s="86">
        <v>279</v>
      </c>
      <c r="G135" s="129">
        <v>0</v>
      </c>
      <c r="H135" s="131">
        <v>279</v>
      </c>
      <c r="I135" s="200" t="str">
        <f t="shared" si="2"/>
        <v>CORRECTO</v>
      </c>
      <c r="J135" s="202" t="s">
        <v>137</v>
      </c>
      <c r="K135" s="116" t="s">
        <v>363</v>
      </c>
      <c r="L135" s="95" t="s">
        <v>227</v>
      </c>
      <c r="M135" s="159">
        <v>45663</v>
      </c>
      <c r="N135" s="22" t="s">
        <v>469</v>
      </c>
      <c r="P135" s="89"/>
      <c r="Q135" s="89"/>
    </row>
    <row r="136" spans="1:17" ht="14.25" customHeight="1" x14ac:dyDescent="0.3">
      <c r="A136" s="115" t="s">
        <v>439</v>
      </c>
      <c r="B136" s="115" t="s">
        <v>440</v>
      </c>
      <c r="C136" s="28" t="s">
        <v>177</v>
      </c>
      <c r="D136" s="28" t="str">
        <f>IFERROR(VLOOKUP($C136,CUENTAS[],2,0),"")</f>
        <v>GASTOS FIJOS</v>
      </c>
      <c r="E136" s="28" t="str">
        <f>IFERROR(VLOOKUP($C136,CUENTAS[],3,0),"")</f>
        <v>MDE2025-002A</v>
      </c>
      <c r="F136" s="86">
        <v>150</v>
      </c>
      <c r="G136" s="129">
        <v>0</v>
      </c>
      <c r="H136" s="131">
        <v>150</v>
      </c>
      <c r="I136" s="200" t="str">
        <f t="shared" si="2"/>
        <v>CORRECTO</v>
      </c>
      <c r="J136" s="202" t="s">
        <v>137</v>
      </c>
      <c r="K136" s="116" t="s">
        <v>363</v>
      </c>
      <c r="L136" s="95" t="s">
        <v>227</v>
      </c>
      <c r="M136" s="159">
        <v>45664</v>
      </c>
      <c r="N136" s="22" t="s">
        <v>470</v>
      </c>
      <c r="P136" s="89"/>
      <c r="Q136" s="89"/>
    </row>
    <row r="137" spans="1:17" ht="14.25" customHeight="1" x14ac:dyDescent="0.3">
      <c r="A137" s="115" t="s">
        <v>441</v>
      </c>
      <c r="B137" s="115" t="s">
        <v>442</v>
      </c>
      <c r="C137" s="28" t="s">
        <v>222</v>
      </c>
      <c r="D137" s="28" t="str">
        <f>IFERROR(VLOOKUP($C137,CUENTAS[],2,0),"")</f>
        <v>MANTENIMIENTO</v>
      </c>
      <c r="E137" s="28" t="str">
        <f>IFERROR(VLOOKUP($C137,CUENTAS[],3,0),"")</f>
        <v>MDE2025-009A</v>
      </c>
      <c r="F137" s="86">
        <v>120</v>
      </c>
      <c r="G137" s="129">
        <v>0</v>
      </c>
      <c r="H137" s="131">
        <v>120</v>
      </c>
      <c r="I137" s="200" t="str">
        <f t="shared" si="2"/>
        <v>CORRECTO</v>
      </c>
      <c r="J137" s="202" t="s">
        <v>137</v>
      </c>
      <c r="K137" s="116" t="s">
        <v>363</v>
      </c>
      <c r="L137" s="95" t="s">
        <v>227</v>
      </c>
      <c r="M137" s="159">
        <v>45670</v>
      </c>
      <c r="N137" s="22" t="s">
        <v>470</v>
      </c>
      <c r="P137" s="89"/>
      <c r="Q137" s="89"/>
    </row>
    <row r="138" spans="1:17" ht="14.25" customHeight="1" x14ac:dyDescent="0.3">
      <c r="A138" s="115" t="s">
        <v>443</v>
      </c>
      <c r="B138" s="115" t="s">
        <v>444</v>
      </c>
      <c r="C138" s="28" t="s">
        <v>159</v>
      </c>
      <c r="D138" s="28" t="str">
        <f>IFERROR(VLOOKUP($C138,CUENTAS[],2,0),"")</f>
        <v>GASTOS VARIOS</v>
      </c>
      <c r="E138" s="28" t="str">
        <f>IFERROR(VLOOKUP($C138,CUENTAS[],3,0),"")</f>
        <v>MDE2025-003A</v>
      </c>
      <c r="F138" s="86">
        <v>50</v>
      </c>
      <c r="G138" s="129">
        <v>0</v>
      </c>
      <c r="H138" s="131">
        <v>50</v>
      </c>
      <c r="I138" s="200" t="str">
        <f t="shared" si="2"/>
        <v>CORRECTO</v>
      </c>
      <c r="J138" s="202" t="s">
        <v>137</v>
      </c>
      <c r="K138" s="116" t="s">
        <v>363</v>
      </c>
      <c r="L138" s="95" t="s">
        <v>227</v>
      </c>
      <c r="M138" s="159">
        <v>45670</v>
      </c>
      <c r="N138" s="22" t="s">
        <v>470</v>
      </c>
      <c r="P138" s="89"/>
      <c r="Q138" s="89"/>
    </row>
    <row r="139" spans="1:17" ht="14.25" customHeight="1" x14ac:dyDescent="0.3">
      <c r="A139" s="115" t="s">
        <v>439</v>
      </c>
      <c r="B139" s="115" t="s">
        <v>445</v>
      </c>
      <c r="C139" s="28" t="s">
        <v>177</v>
      </c>
      <c r="D139" s="28" t="str">
        <f>IFERROR(VLOOKUP($C139,CUENTAS[],2,0),"")</f>
        <v>GASTOS FIJOS</v>
      </c>
      <c r="E139" s="28" t="str">
        <f>IFERROR(VLOOKUP($C139,CUENTAS[],3,0),"")</f>
        <v>MDE2025-002A</v>
      </c>
      <c r="F139" s="86">
        <v>900</v>
      </c>
      <c r="G139" s="129">
        <v>0</v>
      </c>
      <c r="H139" s="131">
        <v>900</v>
      </c>
      <c r="I139" s="200" t="str">
        <f t="shared" si="2"/>
        <v>CORRECTO</v>
      </c>
      <c r="J139" s="202" t="s">
        <v>137</v>
      </c>
      <c r="K139" s="116" t="s">
        <v>363</v>
      </c>
      <c r="L139" s="95" t="s">
        <v>227</v>
      </c>
      <c r="M139" s="159">
        <v>45671</v>
      </c>
      <c r="N139" s="22" t="s">
        <v>470</v>
      </c>
      <c r="P139" s="89"/>
      <c r="Q139" s="89"/>
    </row>
    <row r="140" spans="1:17" ht="14.25" customHeight="1" x14ac:dyDescent="0.3">
      <c r="A140" s="115" t="s">
        <v>446</v>
      </c>
      <c r="B140" s="115" t="s">
        <v>447</v>
      </c>
      <c r="C140" s="28" t="s">
        <v>115</v>
      </c>
      <c r="D140" s="28" t="str">
        <f>IFERROR(VLOOKUP($C140,CUENTAS[],2,0),"")</f>
        <v>GASTOS FIJOS</v>
      </c>
      <c r="E140" s="28" t="str">
        <f>IFERROR(VLOOKUP($C140,CUENTAS[],3,0),"")</f>
        <v>MDE2025-002E</v>
      </c>
      <c r="F140" s="86">
        <v>508.01</v>
      </c>
      <c r="G140" s="129">
        <v>0</v>
      </c>
      <c r="H140" s="131">
        <v>508.01</v>
      </c>
      <c r="I140" s="200" t="str">
        <f t="shared" si="2"/>
        <v>CORRECTO</v>
      </c>
      <c r="J140" s="202" t="s">
        <v>137</v>
      </c>
      <c r="K140" s="116" t="s">
        <v>363</v>
      </c>
      <c r="L140" s="95" t="s">
        <v>227</v>
      </c>
      <c r="M140" s="159">
        <v>45671</v>
      </c>
      <c r="N140" s="22" t="s">
        <v>471</v>
      </c>
      <c r="P140" s="89"/>
      <c r="Q140" s="89"/>
    </row>
    <row r="141" spans="1:17" ht="14.25" customHeight="1" x14ac:dyDescent="0.3">
      <c r="A141" s="115" t="s">
        <v>448</v>
      </c>
      <c r="B141" s="115" t="s">
        <v>449</v>
      </c>
      <c r="C141" s="28" t="s">
        <v>222</v>
      </c>
      <c r="D141" s="28" t="str">
        <f>IFERROR(VLOOKUP($C141,CUENTAS[],2,0),"")</f>
        <v>MANTENIMIENTO</v>
      </c>
      <c r="E141" s="28" t="str">
        <f>IFERROR(VLOOKUP($C141,CUENTAS[],3,0),"")</f>
        <v>MDE2025-009A</v>
      </c>
      <c r="F141" s="86">
        <v>24</v>
      </c>
      <c r="G141" s="129">
        <v>0</v>
      </c>
      <c r="H141" s="131">
        <v>24</v>
      </c>
      <c r="I141" s="200" t="str">
        <f t="shared" si="2"/>
        <v>CORRECTO</v>
      </c>
      <c r="J141" s="202" t="s">
        <v>137</v>
      </c>
      <c r="K141" s="116" t="s">
        <v>472</v>
      </c>
      <c r="L141" s="95" t="s">
        <v>227</v>
      </c>
      <c r="M141" s="159">
        <v>45672</v>
      </c>
      <c r="N141" s="22" t="s">
        <v>473</v>
      </c>
      <c r="P141" s="89"/>
      <c r="Q141" s="89"/>
    </row>
    <row r="142" spans="1:17" ht="14.25" customHeight="1" x14ac:dyDescent="0.3">
      <c r="A142" s="115" t="s">
        <v>450</v>
      </c>
      <c r="B142" s="115" t="s">
        <v>451</v>
      </c>
      <c r="C142" s="28" t="s">
        <v>222</v>
      </c>
      <c r="D142" s="28" t="str">
        <f>IFERROR(VLOOKUP($C142,CUENTAS[],2,0),"")</f>
        <v>MANTENIMIENTO</v>
      </c>
      <c r="E142" s="28" t="str">
        <f>IFERROR(VLOOKUP($C142,CUENTAS[],3,0),"")</f>
        <v>MDE2025-009A</v>
      </c>
      <c r="F142" s="86">
        <v>17.399999999999999</v>
      </c>
      <c r="G142" s="129">
        <v>0</v>
      </c>
      <c r="H142" s="131">
        <v>17.399999999999999</v>
      </c>
      <c r="I142" s="200" t="str">
        <f t="shared" si="2"/>
        <v>CORRECTO</v>
      </c>
      <c r="J142" s="202" t="s">
        <v>137</v>
      </c>
      <c r="K142" s="116" t="s">
        <v>472</v>
      </c>
      <c r="L142" s="95" t="s">
        <v>227</v>
      </c>
      <c r="M142" s="159">
        <v>45672</v>
      </c>
      <c r="N142" s="22" t="s">
        <v>474</v>
      </c>
      <c r="P142" s="89"/>
      <c r="Q142" s="89"/>
    </row>
    <row r="143" spans="1:17" ht="14.25" customHeight="1" x14ac:dyDescent="0.3">
      <c r="A143" s="115" t="s">
        <v>450</v>
      </c>
      <c r="B143" s="115" t="s">
        <v>452</v>
      </c>
      <c r="C143" s="28" t="s">
        <v>222</v>
      </c>
      <c r="D143" s="28" t="str">
        <f>IFERROR(VLOOKUP($C143,CUENTAS[],2,0),"")</f>
        <v>MANTENIMIENTO</v>
      </c>
      <c r="E143" s="28" t="str">
        <f>IFERROR(VLOOKUP($C143,CUENTAS[],3,0),"")</f>
        <v>MDE2025-009A</v>
      </c>
      <c r="F143" s="86">
        <v>24.68</v>
      </c>
      <c r="G143" s="129">
        <v>0</v>
      </c>
      <c r="H143" s="131">
        <v>24.68</v>
      </c>
      <c r="I143" s="200" t="str">
        <f t="shared" si="2"/>
        <v>CORRECTO</v>
      </c>
      <c r="J143" s="202" t="s">
        <v>137</v>
      </c>
      <c r="K143" s="116" t="s">
        <v>472</v>
      </c>
      <c r="L143" s="95" t="s">
        <v>227</v>
      </c>
      <c r="M143" s="159">
        <v>45672</v>
      </c>
      <c r="N143" s="22" t="s">
        <v>475</v>
      </c>
      <c r="P143" s="89"/>
      <c r="Q143" s="89"/>
    </row>
    <row r="144" spans="1:17" ht="14.25" customHeight="1" x14ac:dyDescent="0.3">
      <c r="A144" s="115" t="s">
        <v>453</v>
      </c>
      <c r="B144" s="115" t="s">
        <v>454</v>
      </c>
      <c r="C144" s="28" t="s">
        <v>125</v>
      </c>
      <c r="D144" s="28" t="str">
        <f>IFERROR(VLOOKUP($C144,CUENTAS[],2,0),"")</f>
        <v>GASTOS FIJOS</v>
      </c>
      <c r="E144" s="28" t="str">
        <f>IFERROR(VLOOKUP($C144,CUENTAS[],3,0),"")</f>
        <v>MDE2025-002B</v>
      </c>
      <c r="F144" s="86">
        <v>475</v>
      </c>
      <c r="G144" s="129">
        <v>0</v>
      </c>
      <c r="H144" s="131">
        <v>475</v>
      </c>
      <c r="I144" s="200" t="str">
        <f t="shared" si="2"/>
        <v>CORRECTO</v>
      </c>
      <c r="J144" s="202" t="s">
        <v>137</v>
      </c>
      <c r="K144" s="116" t="s">
        <v>363</v>
      </c>
      <c r="L144" s="95" t="s">
        <v>227</v>
      </c>
      <c r="M144" s="159">
        <v>45674</v>
      </c>
      <c r="N144" s="22" t="s">
        <v>476</v>
      </c>
      <c r="P144" s="89"/>
      <c r="Q144" s="89"/>
    </row>
    <row r="145" spans="1:17" ht="14.25" customHeight="1" x14ac:dyDescent="0.3">
      <c r="A145" s="115" t="s">
        <v>455</v>
      </c>
      <c r="B145" s="115" t="s">
        <v>456</v>
      </c>
      <c r="C145" s="28" t="s">
        <v>201</v>
      </c>
      <c r="D145" s="28" t="str">
        <f>IFERROR(VLOOKUP($C145,CUENTAS[],2,0),"")</f>
        <v>ACTIVOS FIJOS</v>
      </c>
      <c r="E145" s="28" t="str">
        <f>IFERROR(VLOOKUP($C145,CUENTAS[],3,0),"")</f>
        <v>MDE2025-007I</v>
      </c>
      <c r="F145" s="86">
        <v>6000</v>
      </c>
      <c r="G145" s="129">
        <v>0</v>
      </c>
      <c r="H145" s="131">
        <v>6000</v>
      </c>
      <c r="I145" s="200" t="str">
        <f t="shared" si="2"/>
        <v>CORRECTO</v>
      </c>
      <c r="J145" s="202" t="s">
        <v>137</v>
      </c>
      <c r="K145" s="116" t="s">
        <v>467</v>
      </c>
      <c r="L145" s="95" t="s">
        <v>227</v>
      </c>
      <c r="M145" s="159">
        <v>45674</v>
      </c>
      <c r="N145" s="22" t="s">
        <v>470</v>
      </c>
      <c r="P145" s="89"/>
      <c r="Q145" s="89"/>
    </row>
    <row r="146" spans="1:17" ht="14.25" customHeight="1" x14ac:dyDescent="0.3">
      <c r="A146" s="115" t="s">
        <v>455</v>
      </c>
      <c r="B146" s="115" t="s">
        <v>457</v>
      </c>
      <c r="C146" s="28" t="s">
        <v>201</v>
      </c>
      <c r="D146" s="28" t="str">
        <f>IFERROR(VLOOKUP($C146,CUENTAS[],2,0),"")</f>
        <v>ACTIVOS FIJOS</v>
      </c>
      <c r="E146" s="28" t="str">
        <f>IFERROR(VLOOKUP($C146,CUENTAS[],3,0),"")</f>
        <v>MDE2025-007I</v>
      </c>
      <c r="F146" s="86">
        <v>1000</v>
      </c>
      <c r="G146" s="129">
        <v>0</v>
      </c>
      <c r="H146" s="131">
        <v>1000</v>
      </c>
      <c r="I146" s="200" t="str">
        <f t="shared" si="2"/>
        <v>CORRECTO</v>
      </c>
      <c r="J146" s="202" t="s">
        <v>137</v>
      </c>
      <c r="K146" s="116" t="s">
        <v>363</v>
      </c>
      <c r="L146" s="95" t="s">
        <v>227</v>
      </c>
      <c r="M146" s="159">
        <v>45674</v>
      </c>
      <c r="N146" s="22" t="s">
        <v>470</v>
      </c>
      <c r="P146" s="89"/>
      <c r="Q146" s="89"/>
    </row>
    <row r="147" spans="1:17" ht="14.25" customHeight="1" x14ac:dyDescent="0.3">
      <c r="A147" s="115" t="s">
        <v>439</v>
      </c>
      <c r="B147" s="115" t="s">
        <v>458</v>
      </c>
      <c r="C147" s="28" t="s">
        <v>177</v>
      </c>
      <c r="D147" s="28" t="str">
        <f>IFERROR(VLOOKUP($C147,CUENTAS[],2,0),"")</f>
        <v>GASTOS FIJOS</v>
      </c>
      <c r="E147" s="28" t="str">
        <f>IFERROR(VLOOKUP($C147,CUENTAS[],3,0),"")</f>
        <v>MDE2025-002A</v>
      </c>
      <c r="F147" s="86">
        <v>900</v>
      </c>
      <c r="G147" s="129">
        <v>0</v>
      </c>
      <c r="H147" s="130">
        <v>900</v>
      </c>
      <c r="I147" s="200" t="str">
        <f t="shared" si="2"/>
        <v>CORRECTO</v>
      </c>
      <c r="J147" s="202" t="s">
        <v>137</v>
      </c>
      <c r="K147" s="116" t="s">
        <v>363</v>
      </c>
      <c r="L147" s="95" t="s">
        <v>227</v>
      </c>
      <c r="M147" s="159">
        <v>45677</v>
      </c>
      <c r="N147" s="118" t="s">
        <v>470</v>
      </c>
      <c r="P147" s="89"/>
      <c r="Q147" s="89"/>
    </row>
    <row r="148" spans="1:17" ht="14.25" customHeight="1" x14ac:dyDescent="0.3">
      <c r="A148" s="115" t="s">
        <v>459</v>
      </c>
      <c r="B148" s="119" t="s">
        <v>460</v>
      </c>
      <c r="C148" s="28" t="s">
        <v>222</v>
      </c>
      <c r="D148" s="28" t="str">
        <f>IFERROR(VLOOKUP($C148,CUENTAS[],2,0),"")</f>
        <v>MANTENIMIENTO</v>
      </c>
      <c r="E148" s="28" t="str">
        <f>IFERROR(VLOOKUP($C148,CUENTAS[],3,0),"")</f>
        <v>MDE2025-009A</v>
      </c>
      <c r="F148" s="86">
        <v>305.3</v>
      </c>
      <c r="G148" s="129">
        <v>48.7</v>
      </c>
      <c r="H148" s="130">
        <v>354</v>
      </c>
      <c r="I148" s="200" t="str">
        <f t="shared" si="2"/>
        <v>CORRECTO</v>
      </c>
      <c r="J148" s="202" t="s">
        <v>137</v>
      </c>
      <c r="K148" s="116" t="s">
        <v>363</v>
      </c>
      <c r="L148" s="95" t="s">
        <v>227</v>
      </c>
      <c r="M148" s="159">
        <v>45685</v>
      </c>
      <c r="N148" s="118" t="s">
        <v>477</v>
      </c>
      <c r="P148" s="89"/>
      <c r="Q148" s="89"/>
    </row>
    <row r="149" spans="1:17" ht="14.25" customHeight="1" x14ac:dyDescent="0.3">
      <c r="A149" s="115" t="s">
        <v>461</v>
      </c>
      <c r="B149" s="119" t="s">
        <v>462</v>
      </c>
      <c r="C149" s="28" t="s">
        <v>177</v>
      </c>
      <c r="D149" s="28" t="str">
        <f>IFERROR(VLOOKUP($C149,CUENTAS[],2,0),"")</f>
        <v>GASTOS FIJOS</v>
      </c>
      <c r="E149" s="28" t="str">
        <f>IFERROR(VLOOKUP($C149,CUENTAS[],3,0),"")</f>
        <v>MDE2025-002A</v>
      </c>
      <c r="F149" s="86">
        <v>700</v>
      </c>
      <c r="G149" s="129">
        <v>0</v>
      </c>
      <c r="H149" s="130">
        <v>700</v>
      </c>
      <c r="I149" s="200" t="str">
        <f t="shared" si="2"/>
        <v>CORRECTO</v>
      </c>
      <c r="J149" s="202" t="s">
        <v>137</v>
      </c>
      <c r="K149" s="116" t="s">
        <v>363</v>
      </c>
      <c r="L149" s="95" t="s">
        <v>227</v>
      </c>
      <c r="M149" s="159">
        <v>45688</v>
      </c>
      <c r="N149" s="118" t="s">
        <v>470</v>
      </c>
      <c r="P149" s="89"/>
      <c r="Q149" s="89"/>
    </row>
    <row r="150" spans="1:17" ht="14.4" x14ac:dyDescent="0.3">
      <c r="A150" s="115" t="s">
        <v>463</v>
      </c>
      <c r="B150" s="119" t="s">
        <v>464</v>
      </c>
      <c r="C150" s="28" t="s">
        <v>222</v>
      </c>
      <c r="D150" s="28" t="str">
        <f>IFERROR(VLOOKUP($C150,CUENTAS[],2,0),"")</f>
        <v>MANTENIMIENTO</v>
      </c>
      <c r="E150" s="28" t="str">
        <f>IFERROR(VLOOKUP($C150,CUENTAS[],3,0),"")</f>
        <v>MDE2025-009A</v>
      </c>
      <c r="F150" s="86">
        <v>305</v>
      </c>
      <c r="G150" s="129">
        <v>0</v>
      </c>
      <c r="H150" s="130">
        <v>305</v>
      </c>
      <c r="I150" s="200" t="str">
        <f t="shared" si="2"/>
        <v>CORRECTO</v>
      </c>
      <c r="J150" s="202" t="s">
        <v>137</v>
      </c>
      <c r="K150" s="116" t="s">
        <v>363</v>
      </c>
      <c r="L150" s="95" t="s">
        <v>227</v>
      </c>
      <c r="M150" s="159">
        <v>45686</v>
      </c>
      <c r="N150" s="118" t="s">
        <v>478</v>
      </c>
      <c r="P150" s="89"/>
      <c r="Q150" s="89"/>
    </row>
    <row r="151" spans="1:17" ht="14.4" x14ac:dyDescent="0.3">
      <c r="A151" s="115" t="s">
        <v>450</v>
      </c>
      <c r="B151" s="119" t="s">
        <v>465</v>
      </c>
      <c r="C151" s="28" t="s">
        <v>222</v>
      </c>
      <c r="D151" s="28" t="str">
        <f>IFERROR(VLOOKUP($C151,CUENTAS[],2,0),"")</f>
        <v>MANTENIMIENTO</v>
      </c>
      <c r="E151" s="28" t="str">
        <f>IFERROR(VLOOKUP($C151,CUENTAS[],3,0),"")</f>
        <v>MDE2025-009A</v>
      </c>
      <c r="F151" s="86">
        <v>442.93</v>
      </c>
      <c r="G151" s="129">
        <v>0</v>
      </c>
      <c r="H151" s="131">
        <v>442.93</v>
      </c>
      <c r="I151" s="200" t="str">
        <f t="shared" si="2"/>
        <v>CORRECTO</v>
      </c>
      <c r="J151" s="202" t="s">
        <v>137</v>
      </c>
      <c r="K151" s="116" t="s">
        <v>363</v>
      </c>
      <c r="L151" s="95" t="s">
        <v>227</v>
      </c>
      <c r="M151" s="159">
        <v>45687</v>
      </c>
      <c r="N151" s="23" t="s">
        <v>479</v>
      </c>
      <c r="P151" s="89"/>
      <c r="Q151" s="89"/>
    </row>
    <row r="152" spans="1:17" ht="14.4" x14ac:dyDescent="0.3">
      <c r="A152" s="120" t="s">
        <v>480</v>
      </c>
      <c r="B152" s="120" t="s">
        <v>481</v>
      </c>
      <c r="C152" s="28" t="s">
        <v>153</v>
      </c>
      <c r="D152" s="28" t="str">
        <f>IFERROR(VLOOKUP($C152,CUENTAS[],2,0),"")</f>
        <v>GASTOS FIJOS</v>
      </c>
      <c r="E152" s="28" t="str">
        <f>IFERROR(VLOOKUP($C152,CUENTAS[],3,0),"")</f>
        <v>MDE2025-002L</v>
      </c>
      <c r="F152" s="86">
        <f t="shared" ref="F152:F161" si="3">+H152</f>
        <v>30461.200000000001</v>
      </c>
      <c r="G152" s="129">
        <v>0</v>
      </c>
      <c r="H152" s="132">
        <v>30461.200000000001</v>
      </c>
      <c r="I152" s="200" t="str">
        <f t="shared" si="2"/>
        <v>CORRECTO</v>
      </c>
      <c r="J152" s="202" t="s">
        <v>3244</v>
      </c>
      <c r="K152" s="121" t="s">
        <v>364</v>
      </c>
      <c r="L152" s="95" t="s">
        <v>227</v>
      </c>
      <c r="M152" s="186">
        <v>45684</v>
      </c>
      <c r="N152" s="123" t="s">
        <v>371</v>
      </c>
    </row>
    <row r="153" spans="1:17" ht="14.4" x14ac:dyDescent="0.3">
      <c r="A153" s="120" t="s">
        <v>480</v>
      </c>
      <c r="B153" s="120" t="s">
        <v>482</v>
      </c>
      <c r="C153" s="28" t="s">
        <v>153</v>
      </c>
      <c r="D153" s="28" t="str">
        <f>IFERROR(VLOOKUP($C153,CUENTAS[],2,0),"")</f>
        <v>GASTOS FIJOS</v>
      </c>
      <c r="E153" s="28" t="str">
        <f>IFERROR(VLOOKUP($C153,CUENTAS[],3,0),"")</f>
        <v>MDE2025-002L</v>
      </c>
      <c r="F153" s="86">
        <f t="shared" si="3"/>
        <v>31018.14</v>
      </c>
      <c r="G153" s="129">
        <v>0</v>
      </c>
      <c r="H153" s="132">
        <v>31018.14</v>
      </c>
      <c r="I153" s="200" t="str">
        <f t="shared" si="2"/>
        <v>CORRECTO</v>
      </c>
      <c r="J153" s="202" t="s">
        <v>3244</v>
      </c>
      <c r="K153" s="121" t="s">
        <v>364</v>
      </c>
      <c r="L153" s="95" t="s">
        <v>227</v>
      </c>
      <c r="M153" s="186">
        <v>45677</v>
      </c>
      <c r="N153" s="123" t="s">
        <v>371</v>
      </c>
    </row>
    <row r="154" spans="1:17" ht="14.4" x14ac:dyDescent="0.3">
      <c r="A154" s="120" t="s">
        <v>480</v>
      </c>
      <c r="B154" s="120" t="s">
        <v>483</v>
      </c>
      <c r="C154" s="28" t="s">
        <v>153</v>
      </c>
      <c r="D154" s="28" t="str">
        <f>IFERROR(VLOOKUP($C154,CUENTAS[],2,0),"")</f>
        <v>GASTOS FIJOS</v>
      </c>
      <c r="E154" s="28" t="str">
        <f>IFERROR(VLOOKUP($C154,CUENTAS[],3,0),"")</f>
        <v>MDE2025-002L</v>
      </c>
      <c r="F154" s="86">
        <f t="shared" si="3"/>
        <v>29724.66</v>
      </c>
      <c r="G154" s="129">
        <v>0</v>
      </c>
      <c r="H154" s="132">
        <v>29724.66</v>
      </c>
      <c r="I154" s="200" t="str">
        <f t="shared" si="2"/>
        <v>CORRECTO</v>
      </c>
      <c r="J154" s="202" t="s">
        <v>3244</v>
      </c>
      <c r="K154" s="121" t="s">
        <v>364</v>
      </c>
      <c r="L154" s="95" t="s">
        <v>227</v>
      </c>
      <c r="M154" s="186">
        <v>45670</v>
      </c>
      <c r="N154" s="123" t="s">
        <v>371</v>
      </c>
    </row>
    <row r="155" spans="1:17" ht="14.4" x14ac:dyDescent="0.3">
      <c r="A155" s="120" t="s">
        <v>480</v>
      </c>
      <c r="B155" s="120" t="s">
        <v>484</v>
      </c>
      <c r="C155" s="28" t="s">
        <v>153</v>
      </c>
      <c r="D155" s="28" t="str">
        <f>IFERROR(VLOOKUP($C155,CUENTAS[],2,0),"")</f>
        <v>GASTOS FIJOS</v>
      </c>
      <c r="E155" s="28" t="str">
        <f>IFERROR(VLOOKUP($C155,CUENTAS[],3,0),"")</f>
        <v>MDE2025-002L</v>
      </c>
      <c r="F155" s="86">
        <f t="shared" si="3"/>
        <v>32785.06</v>
      </c>
      <c r="G155" s="129">
        <v>0</v>
      </c>
      <c r="H155" s="132">
        <v>32785.06</v>
      </c>
      <c r="I155" s="200" t="str">
        <f t="shared" si="2"/>
        <v>CORRECTO</v>
      </c>
      <c r="J155" s="202" t="s">
        <v>3244</v>
      </c>
      <c r="K155" s="121" t="s">
        <v>364</v>
      </c>
      <c r="L155" s="95" t="s">
        <v>227</v>
      </c>
      <c r="M155" s="186">
        <v>45670</v>
      </c>
      <c r="N155" s="123" t="s">
        <v>371</v>
      </c>
    </row>
    <row r="156" spans="1:17" ht="14.4" x14ac:dyDescent="0.3">
      <c r="A156" s="120" t="s">
        <v>480</v>
      </c>
      <c r="B156" s="120" t="s">
        <v>485</v>
      </c>
      <c r="C156" s="28" t="s">
        <v>153</v>
      </c>
      <c r="D156" s="28" t="str">
        <f>IFERROR(VLOOKUP($C156,CUENTAS[],2,0),"")</f>
        <v>GASTOS FIJOS</v>
      </c>
      <c r="E156" s="28" t="str">
        <f>IFERROR(VLOOKUP($C156,CUENTAS[],3,0),"")</f>
        <v>MDE2025-002L</v>
      </c>
      <c r="F156" s="86">
        <f t="shared" si="3"/>
        <v>49909.8</v>
      </c>
      <c r="G156" s="129">
        <v>0</v>
      </c>
      <c r="H156" s="132">
        <v>49909.8</v>
      </c>
      <c r="I156" s="200" t="str">
        <f t="shared" si="2"/>
        <v>CORRECTO</v>
      </c>
      <c r="J156" s="202" t="s">
        <v>3244</v>
      </c>
      <c r="K156" s="121" t="s">
        <v>364</v>
      </c>
      <c r="L156" s="95" t="s">
        <v>227</v>
      </c>
      <c r="M156" s="186">
        <v>45672</v>
      </c>
      <c r="N156" s="123" t="s">
        <v>371</v>
      </c>
    </row>
    <row r="157" spans="1:17" ht="14.4" x14ac:dyDescent="0.3">
      <c r="A157" s="120" t="s">
        <v>480</v>
      </c>
      <c r="B157" s="120" t="s">
        <v>486</v>
      </c>
      <c r="C157" s="28" t="s">
        <v>153</v>
      </c>
      <c r="D157" s="28" t="str">
        <f>IFERROR(VLOOKUP($C157,CUENTAS[],2,0),"")</f>
        <v>GASTOS FIJOS</v>
      </c>
      <c r="E157" s="28" t="str">
        <f>IFERROR(VLOOKUP($C157,CUENTAS[],3,0),"")</f>
        <v>MDE2025-002L</v>
      </c>
      <c r="F157" s="86">
        <f t="shared" si="3"/>
        <v>119852.2</v>
      </c>
      <c r="G157" s="129">
        <v>0</v>
      </c>
      <c r="H157" s="132">
        <v>119852.2</v>
      </c>
      <c r="I157" s="200" t="str">
        <f t="shared" si="2"/>
        <v>CORRECTO</v>
      </c>
      <c r="J157" s="202" t="s">
        <v>3244</v>
      </c>
      <c r="K157" s="121" t="s">
        <v>364</v>
      </c>
      <c r="L157" s="95" t="s">
        <v>227</v>
      </c>
      <c r="M157" s="186">
        <v>45672</v>
      </c>
      <c r="N157" s="123" t="s">
        <v>371</v>
      </c>
    </row>
    <row r="158" spans="1:17" ht="14.4" x14ac:dyDescent="0.3">
      <c r="A158" s="120" t="s">
        <v>480</v>
      </c>
      <c r="B158" s="120" t="s">
        <v>487</v>
      </c>
      <c r="C158" s="28" t="s">
        <v>157</v>
      </c>
      <c r="D158" s="28" t="str">
        <f>IFERROR(VLOOKUP($C158,CUENTAS[],2,0),"")</f>
        <v>GASTOS FIJOS</v>
      </c>
      <c r="E158" s="28" t="str">
        <f>IFERROR(VLOOKUP($C158,CUENTAS[],3,0),"")</f>
        <v>MDE2025-002Q</v>
      </c>
      <c r="F158" s="86">
        <f t="shared" si="3"/>
        <v>-1750</v>
      </c>
      <c r="G158" s="129">
        <v>0</v>
      </c>
      <c r="H158" s="132">
        <v>-1750</v>
      </c>
      <c r="I158" s="200" t="str">
        <f t="shared" si="2"/>
        <v>CORRECTO</v>
      </c>
      <c r="J158" s="202" t="s">
        <v>3244</v>
      </c>
      <c r="K158" s="121" t="s">
        <v>364</v>
      </c>
      <c r="L158" s="95" t="s">
        <v>227</v>
      </c>
      <c r="M158" s="186">
        <v>45672</v>
      </c>
      <c r="N158" s="123" t="s">
        <v>371</v>
      </c>
    </row>
    <row r="159" spans="1:17" ht="14.4" x14ac:dyDescent="0.3">
      <c r="A159" s="120" t="s">
        <v>480</v>
      </c>
      <c r="B159" s="120" t="s">
        <v>488</v>
      </c>
      <c r="C159" s="28" t="s">
        <v>153</v>
      </c>
      <c r="D159" s="28" t="str">
        <f>IFERROR(VLOOKUP($C159,CUENTAS[],2,0),"")</f>
        <v>GASTOS FIJOS</v>
      </c>
      <c r="E159" s="28" t="str">
        <f>IFERROR(VLOOKUP($C159,CUENTAS[],3,0),"")</f>
        <v>MDE2025-002L</v>
      </c>
      <c r="F159" s="86">
        <f t="shared" si="3"/>
        <v>49406.52</v>
      </c>
      <c r="G159" s="129">
        <v>0</v>
      </c>
      <c r="H159" s="132">
        <v>49406.52</v>
      </c>
      <c r="I159" s="200" t="str">
        <f t="shared" si="2"/>
        <v>CORRECTO</v>
      </c>
      <c r="J159" s="202" t="s">
        <v>3244</v>
      </c>
      <c r="K159" s="121" t="s">
        <v>364</v>
      </c>
      <c r="L159" s="95" t="s">
        <v>227</v>
      </c>
      <c r="M159" s="186">
        <v>45672</v>
      </c>
      <c r="N159" s="123" t="s">
        <v>371</v>
      </c>
    </row>
    <row r="160" spans="1:17" ht="14.4" x14ac:dyDescent="0.3">
      <c r="A160" s="120" t="s">
        <v>480</v>
      </c>
      <c r="B160" s="120" t="s">
        <v>489</v>
      </c>
      <c r="C160" s="28" t="s">
        <v>153</v>
      </c>
      <c r="D160" s="28" t="str">
        <f>IFERROR(VLOOKUP($C160,CUENTAS[],2,0),"")</f>
        <v>GASTOS FIJOS</v>
      </c>
      <c r="E160" s="28" t="str">
        <f>IFERROR(VLOOKUP($C160,CUENTAS[],3,0),"")</f>
        <v>MDE2025-002L</v>
      </c>
      <c r="F160" s="86">
        <f t="shared" si="3"/>
        <v>133105.48000000001</v>
      </c>
      <c r="G160" s="129">
        <v>0</v>
      </c>
      <c r="H160" s="132">
        <v>133105.48000000001</v>
      </c>
      <c r="I160" s="200" t="str">
        <f t="shared" si="2"/>
        <v>CORRECTO</v>
      </c>
      <c r="J160" s="202" t="s">
        <v>3244</v>
      </c>
      <c r="K160" s="121" t="s">
        <v>364</v>
      </c>
      <c r="L160" s="95" t="s">
        <v>227</v>
      </c>
      <c r="M160" s="186">
        <v>45672</v>
      </c>
      <c r="N160" s="123" t="s">
        <v>371</v>
      </c>
    </row>
    <row r="161" spans="1:16" ht="14.4" x14ac:dyDescent="0.3">
      <c r="A161" s="120" t="s">
        <v>480</v>
      </c>
      <c r="B161" s="120" t="s">
        <v>490</v>
      </c>
      <c r="C161" s="28" t="s">
        <v>157</v>
      </c>
      <c r="D161" s="28" t="str">
        <f>IFERROR(VLOOKUP($C161,CUENTAS[],2,0),"")</f>
        <v>GASTOS FIJOS</v>
      </c>
      <c r="E161" s="28" t="str">
        <f>IFERROR(VLOOKUP($C161,CUENTAS[],3,0),"")</f>
        <v>MDE2025-002Q</v>
      </c>
      <c r="F161" s="86">
        <f t="shared" si="3"/>
        <v>-1750</v>
      </c>
      <c r="G161" s="129">
        <v>0</v>
      </c>
      <c r="H161" s="132">
        <v>-1750</v>
      </c>
      <c r="I161" s="200" t="str">
        <f t="shared" si="2"/>
        <v>CORRECTO</v>
      </c>
      <c r="J161" s="202" t="s">
        <v>3244</v>
      </c>
      <c r="K161" s="121" t="s">
        <v>364</v>
      </c>
      <c r="L161" s="95" t="s">
        <v>227</v>
      </c>
      <c r="M161" s="186">
        <v>45672</v>
      </c>
      <c r="N161" s="123" t="s">
        <v>371</v>
      </c>
    </row>
    <row r="162" spans="1:16" ht="14.4" x14ac:dyDescent="0.3">
      <c r="A162" s="24" t="s">
        <v>491</v>
      </c>
      <c r="B162" s="24" t="s">
        <v>492</v>
      </c>
      <c r="C162" s="28" t="s">
        <v>153</v>
      </c>
      <c r="D162" s="28" t="str">
        <f>IFERROR(VLOOKUP($C162,CUENTAS[],2,0),"")</f>
        <v>GASTOS FIJOS</v>
      </c>
      <c r="E162" s="28" t="str">
        <f>IFERROR(VLOOKUP($C162,CUENTAS[],3,0),"")</f>
        <v>MDE2025-002L</v>
      </c>
      <c r="F162" s="86">
        <v>500</v>
      </c>
      <c r="G162" s="129">
        <v>0</v>
      </c>
      <c r="H162" s="133">
        <v>500</v>
      </c>
      <c r="I162" s="200" t="str">
        <f t="shared" si="2"/>
        <v>CORRECTO</v>
      </c>
      <c r="J162" s="202" t="s">
        <v>3244</v>
      </c>
      <c r="K162" s="121" t="s">
        <v>364</v>
      </c>
      <c r="L162" s="95" t="s">
        <v>227</v>
      </c>
      <c r="M162" s="25">
        <v>45674</v>
      </c>
      <c r="N162" s="26" t="s">
        <v>371</v>
      </c>
    </row>
    <row r="163" spans="1:16" ht="14.4" x14ac:dyDescent="0.3">
      <c r="A163" s="24" t="s">
        <v>493</v>
      </c>
      <c r="B163" s="24" t="s">
        <v>494</v>
      </c>
      <c r="C163" s="28" t="s">
        <v>178</v>
      </c>
      <c r="D163" s="28" t="str">
        <f>IFERROR(VLOOKUP($C163,CUENTAS[],2,0),"")</f>
        <v>GASTOS FIJOS</v>
      </c>
      <c r="E163" s="28" t="str">
        <f>IFERROR(VLOOKUP($C163,CUENTAS[],3,0),"")</f>
        <v>MDE2025-002O</v>
      </c>
      <c r="F163" s="86">
        <v>2082.19</v>
      </c>
      <c r="G163" s="129">
        <v>0</v>
      </c>
      <c r="H163" s="133">
        <v>2082.19</v>
      </c>
      <c r="I163" s="200" t="str">
        <f t="shared" si="2"/>
        <v>CORRECTO</v>
      </c>
      <c r="J163" s="202" t="s">
        <v>3244</v>
      </c>
      <c r="K163" s="121" t="s">
        <v>364</v>
      </c>
      <c r="L163" s="95" t="s">
        <v>227</v>
      </c>
      <c r="M163" s="25">
        <v>45674</v>
      </c>
      <c r="N163" s="27" t="s">
        <v>371</v>
      </c>
    </row>
    <row r="164" spans="1:16" ht="14.4" x14ac:dyDescent="0.3">
      <c r="A164" s="24"/>
      <c r="B164" s="24"/>
      <c r="C164" s="28"/>
      <c r="D164" s="28"/>
      <c r="E164" s="28"/>
      <c r="F164" s="86"/>
      <c r="G164" s="129"/>
      <c r="H164" s="133"/>
      <c r="I164" s="200"/>
      <c r="J164" s="202"/>
      <c r="K164" s="121"/>
      <c r="L164" s="95"/>
      <c r="M164" s="25"/>
      <c r="N164" s="27"/>
    </row>
    <row r="165" spans="1:16" ht="14.4" x14ac:dyDescent="0.3">
      <c r="A165" s="24"/>
      <c r="B165" s="24"/>
      <c r="C165" s="28"/>
      <c r="D165" s="28"/>
      <c r="E165" s="28"/>
      <c r="F165" s="86"/>
      <c r="G165" s="129"/>
      <c r="H165" s="133"/>
      <c r="I165" s="200"/>
      <c r="J165" s="202"/>
      <c r="K165" s="121"/>
      <c r="L165" s="95"/>
      <c r="M165" s="25"/>
      <c r="N165" s="27"/>
    </row>
    <row r="166" spans="1:16" ht="14.4" x14ac:dyDescent="0.3">
      <c r="A166" s="24"/>
      <c r="B166" s="24"/>
      <c r="C166" s="28"/>
      <c r="D166" s="28"/>
      <c r="E166" s="28"/>
      <c r="F166" s="86"/>
      <c r="G166" s="129"/>
      <c r="H166" s="133"/>
      <c r="I166" s="200"/>
      <c r="J166" s="202"/>
      <c r="K166" s="121"/>
      <c r="L166" s="95"/>
      <c r="M166" s="25"/>
      <c r="N166" s="27"/>
    </row>
    <row r="167" spans="1:16" ht="14.4" x14ac:dyDescent="0.3">
      <c r="A167" s="24"/>
      <c r="B167" s="24"/>
      <c r="C167" s="28"/>
      <c r="D167" s="28"/>
      <c r="E167" s="28"/>
      <c r="F167" s="86"/>
      <c r="G167" s="129"/>
      <c r="H167" s="133"/>
      <c r="I167" s="200"/>
      <c r="J167" s="202"/>
      <c r="K167" s="121"/>
      <c r="L167" s="95"/>
      <c r="M167" s="25"/>
      <c r="N167" s="27"/>
    </row>
    <row r="168" spans="1:16" ht="14.4" x14ac:dyDescent="0.3">
      <c r="A168" s="24"/>
      <c r="B168" s="24"/>
      <c r="C168" s="28"/>
      <c r="D168" s="28"/>
      <c r="E168" s="28"/>
      <c r="F168" s="86"/>
      <c r="G168" s="129"/>
      <c r="H168" s="133"/>
      <c r="I168" s="200"/>
      <c r="J168" s="202"/>
      <c r="K168" s="121"/>
      <c r="L168" s="95"/>
      <c r="M168" s="25"/>
      <c r="N168" s="27"/>
    </row>
    <row r="169" spans="1:16" ht="14.4" x14ac:dyDescent="0.3">
      <c r="A169" s="24"/>
      <c r="B169" s="24"/>
      <c r="C169" s="28"/>
      <c r="D169" s="28"/>
      <c r="E169" s="28"/>
      <c r="F169" s="86"/>
      <c r="G169" s="129"/>
      <c r="H169" s="133"/>
      <c r="I169" s="200"/>
      <c r="J169" s="202"/>
      <c r="K169" s="121"/>
      <c r="L169" s="95"/>
      <c r="M169" s="25"/>
      <c r="N169" s="27"/>
    </row>
    <row r="170" spans="1:16" ht="14.4" x14ac:dyDescent="0.3">
      <c r="A170" s="77"/>
      <c r="B170" s="106"/>
      <c r="F170" s="124"/>
      <c r="G170" s="125"/>
      <c r="J170" s="125"/>
      <c r="L170" s="107"/>
      <c r="M170" s="183"/>
      <c r="N170" s="108"/>
    </row>
    <row r="171" spans="1:16" ht="14.4" x14ac:dyDescent="0.3">
      <c r="A171" s="77"/>
      <c r="B171" s="106"/>
      <c r="F171" s="124"/>
      <c r="G171" s="125"/>
      <c r="J171" s="125"/>
      <c r="L171" s="107"/>
      <c r="M171" s="183"/>
      <c r="N171" s="108"/>
    </row>
    <row r="172" spans="1:16" ht="13.8" x14ac:dyDescent="0.3">
      <c r="A172" s="77"/>
      <c r="B172" s="106"/>
      <c r="F172" s="124"/>
      <c r="L172" s="107"/>
      <c r="M172" s="183"/>
      <c r="N172" s="4" t="s">
        <v>106</v>
      </c>
      <c r="O172" s="7">
        <f>+SUM(F:F)</f>
        <v>2086743.4099999992</v>
      </c>
    </row>
    <row r="173" spans="1:16" ht="13.8" x14ac:dyDescent="0.3">
      <c r="A173" s="77"/>
      <c r="B173" s="106"/>
      <c r="F173" s="124"/>
      <c r="L173" s="107"/>
      <c r="M173" s="183"/>
      <c r="N173" s="4" t="s">
        <v>107</v>
      </c>
      <c r="O173" s="7">
        <f>+SUM(G:G)</f>
        <v>51303.569999999992</v>
      </c>
    </row>
    <row r="174" spans="1:16" ht="15.6" x14ac:dyDescent="0.3">
      <c r="A174" s="77"/>
      <c r="B174" s="106"/>
      <c r="F174" s="124"/>
      <c r="L174" s="107"/>
      <c r="M174" s="183"/>
      <c r="N174" s="29" t="s">
        <v>149</v>
      </c>
      <c r="O174" s="7">
        <f>+SUM(H:H)</f>
        <v>2138046.9799999995</v>
      </c>
      <c r="P174" s="31">
        <f>O174-O173-O172</f>
        <v>0</v>
      </c>
    </row>
    <row r="175" spans="1:16" ht="14.4" x14ac:dyDescent="0.3">
      <c r="A175" s="77"/>
      <c r="B175" s="106"/>
      <c r="F175" s="124"/>
      <c r="L175" s="107"/>
      <c r="M175" s="183"/>
      <c r="N175" s="77"/>
      <c r="O175" s="67" t="str">
        <f>IF(P174&lt;&gt;0,"REVISAR CAPTURA","")</f>
        <v/>
      </c>
    </row>
    <row r="176" spans="1:16" ht="14.4" x14ac:dyDescent="0.3">
      <c r="A176" s="77"/>
      <c r="B176" s="106"/>
      <c r="F176" s="124"/>
      <c r="G176" s="125"/>
      <c r="J176" s="125"/>
      <c r="L176" s="107"/>
      <c r="M176" s="183"/>
      <c r="N176" s="108"/>
    </row>
    <row r="177" spans="1:14" ht="14.4" x14ac:dyDescent="0.3">
      <c r="A177" s="77"/>
      <c r="B177" s="106"/>
      <c r="F177" s="124"/>
      <c r="G177" s="125"/>
      <c r="J177" s="125"/>
      <c r="L177" s="107"/>
      <c r="M177" s="183"/>
      <c r="N177" s="108"/>
    </row>
    <row r="178" spans="1:14" ht="14.4" x14ac:dyDescent="0.3">
      <c r="A178" s="77"/>
      <c r="B178" s="106"/>
      <c r="F178" s="124"/>
      <c r="G178" s="125"/>
      <c r="J178" s="125"/>
      <c r="L178" s="107"/>
      <c r="M178" s="183"/>
      <c r="N178" s="108"/>
    </row>
    <row r="179" spans="1:14" ht="14.4" x14ac:dyDescent="0.3">
      <c r="A179" s="77"/>
      <c r="B179" s="106"/>
      <c r="F179" s="124"/>
      <c r="G179" s="125"/>
      <c r="J179" s="125"/>
      <c r="L179" s="107"/>
      <c r="M179" s="183"/>
      <c r="N179" s="108"/>
    </row>
    <row r="180" spans="1:14" ht="14.4" x14ac:dyDescent="0.3">
      <c r="A180" s="77"/>
      <c r="B180" s="106"/>
      <c r="F180" s="124"/>
      <c r="G180" s="125"/>
      <c r="J180" s="125"/>
      <c r="L180" s="107"/>
      <c r="M180" s="183"/>
      <c r="N180" s="108"/>
    </row>
    <row r="181" spans="1:14" ht="14.4" x14ac:dyDescent="0.3">
      <c r="A181" s="77"/>
      <c r="B181" s="106"/>
      <c r="F181" s="124"/>
      <c r="G181" s="125"/>
      <c r="J181" s="125"/>
      <c r="L181" s="107"/>
      <c r="M181" s="183"/>
      <c r="N181" s="108"/>
    </row>
    <row r="182" spans="1:14" ht="14.4" x14ac:dyDescent="0.3">
      <c r="A182" s="77"/>
      <c r="B182" s="106"/>
      <c r="F182" s="124"/>
      <c r="G182" s="125"/>
      <c r="J182" s="125"/>
      <c r="L182" s="107"/>
      <c r="M182" s="183"/>
      <c r="N182" s="108"/>
    </row>
    <row r="183" spans="1:14" ht="14.4" x14ac:dyDescent="0.3">
      <c r="A183" s="77"/>
      <c r="B183" s="106"/>
      <c r="F183" s="124"/>
      <c r="G183" s="125"/>
      <c r="J183" s="125"/>
      <c r="L183" s="107"/>
      <c r="M183" s="183"/>
      <c r="N183" s="108"/>
    </row>
    <row r="184" spans="1:14" ht="14.4" x14ac:dyDescent="0.3">
      <c r="A184" s="77"/>
      <c r="B184" s="106"/>
      <c r="F184" s="124"/>
      <c r="G184" s="125"/>
      <c r="J184" s="125"/>
      <c r="L184" s="107"/>
      <c r="M184" s="183"/>
      <c r="N184" s="108"/>
    </row>
    <row r="185" spans="1:14" ht="14.4" x14ac:dyDescent="0.3">
      <c r="A185" s="77"/>
      <c r="B185" s="106"/>
      <c r="F185" s="124"/>
      <c r="G185" s="125"/>
      <c r="J185" s="125"/>
      <c r="L185" s="107"/>
      <c r="M185" s="183"/>
      <c r="N185" s="108"/>
    </row>
    <row r="186" spans="1:14" ht="14.4" x14ac:dyDescent="0.3">
      <c r="A186" s="77"/>
      <c r="B186" s="106"/>
      <c r="F186" s="124"/>
      <c r="G186" s="125"/>
      <c r="J186" s="125"/>
      <c r="L186" s="107"/>
      <c r="M186" s="183"/>
      <c r="N186" s="108"/>
    </row>
    <row r="187" spans="1:14" ht="14.4" x14ac:dyDescent="0.3">
      <c r="A187" s="77"/>
      <c r="B187" s="106"/>
      <c r="F187" s="124"/>
      <c r="G187" s="125"/>
      <c r="J187" s="125"/>
      <c r="L187" s="107"/>
      <c r="M187" s="183"/>
      <c r="N187" s="108"/>
    </row>
    <row r="188" spans="1:14" ht="14.4" x14ac:dyDescent="0.3">
      <c r="A188" s="77"/>
      <c r="B188" s="106"/>
      <c r="F188" s="124"/>
      <c r="G188" s="125"/>
      <c r="J188" s="125"/>
      <c r="L188" s="107"/>
      <c r="M188" s="183"/>
      <c r="N188" s="108"/>
    </row>
    <row r="189" spans="1:14" ht="14.4" x14ac:dyDescent="0.3">
      <c r="A189" s="77"/>
      <c r="B189" s="106"/>
      <c r="F189" s="124"/>
      <c r="G189" s="125"/>
      <c r="J189" s="125"/>
      <c r="L189" s="107"/>
      <c r="M189" s="183"/>
      <c r="N189" s="108"/>
    </row>
    <row r="190" spans="1:14" ht="14.4" x14ac:dyDescent="0.3">
      <c r="A190" s="77"/>
      <c r="B190" s="106"/>
      <c r="F190" s="124"/>
      <c r="G190" s="125"/>
      <c r="J190" s="125"/>
      <c r="L190" s="107"/>
      <c r="M190" s="183"/>
      <c r="N190" s="108"/>
    </row>
    <row r="191" spans="1:14" ht="14.4" x14ac:dyDescent="0.3">
      <c r="A191" s="77"/>
      <c r="B191" s="106"/>
      <c r="F191" s="124"/>
      <c r="G191" s="125"/>
      <c r="J191" s="125"/>
      <c r="L191" s="107"/>
      <c r="M191" s="183"/>
      <c r="N191" s="108"/>
    </row>
    <row r="192" spans="1:14" ht="14.4" x14ac:dyDescent="0.3">
      <c r="A192" s="77"/>
      <c r="B192" s="106"/>
      <c r="F192" s="124"/>
      <c r="G192" s="125"/>
      <c r="J192" s="125"/>
      <c r="L192" s="107"/>
      <c r="M192" s="183"/>
      <c r="N192" s="108"/>
    </row>
    <row r="193" spans="1:14" ht="14.4" x14ac:dyDescent="0.3">
      <c r="A193" s="77"/>
      <c r="B193" s="106"/>
      <c r="F193" s="124"/>
      <c r="G193" s="125"/>
      <c r="J193" s="125"/>
      <c r="L193" s="107"/>
      <c r="M193" s="183"/>
      <c r="N193" s="108"/>
    </row>
    <row r="194" spans="1:14" ht="14.4" x14ac:dyDescent="0.3">
      <c r="A194" s="77"/>
      <c r="B194" s="106"/>
      <c r="F194" s="124"/>
      <c r="G194" s="125"/>
      <c r="J194" s="125"/>
      <c r="L194" s="107"/>
      <c r="M194" s="183"/>
      <c r="N194" s="108"/>
    </row>
    <row r="195" spans="1:14" ht="14.4" x14ac:dyDescent="0.3">
      <c r="A195" s="77"/>
      <c r="B195" s="106"/>
      <c r="F195" s="124"/>
      <c r="G195" s="125"/>
      <c r="J195" s="125"/>
      <c r="L195" s="107"/>
      <c r="M195" s="183"/>
      <c r="N195" s="108"/>
    </row>
    <row r="196" spans="1:14" ht="14.4" x14ac:dyDescent="0.3">
      <c r="A196" s="77"/>
      <c r="B196" s="106"/>
      <c r="F196" s="124"/>
      <c r="G196" s="125"/>
      <c r="J196" s="125"/>
      <c r="L196" s="107"/>
      <c r="M196" s="183"/>
      <c r="N196" s="108"/>
    </row>
    <row r="197" spans="1:14" ht="14.4" x14ac:dyDescent="0.3">
      <c r="A197" s="77"/>
      <c r="B197" s="106"/>
      <c r="F197" s="124"/>
      <c r="G197" s="125"/>
      <c r="J197" s="125"/>
      <c r="L197" s="107"/>
      <c r="M197" s="183"/>
      <c r="N197" s="108"/>
    </row>
    <row r="198" spans="1:14" ht="14.4" x14ac:dyDescent="0.3">
      <c r="A198" s="77"/>
      <c r="B198" s="106"/>
      <c r="F198" s="124"/>
      <c r="G198" s="125"/>
      <c r="J198" s="125"/>
      <c r="L198" s="107"/>
      <c r="M198" s="183"/>
      <c r="N198" s="108"/>
    </row>
    <row r="199" spans="1:14" ht="14.4" x14ac:dyDescent="0.3">
      <c r="A199" s="77"/>
      <c r="B199" s="106"/>
      <c r="F199" s="124"/>
      <c r="G199" s="125"/>
      <c r="J199" s="125"/>
      <c r="L199" s="107"/>
      <c r="M199" s="183"/>
      <c r="N199" s="108"/>
    </row>
    <row r="200" spans="1:14" ht="14.4" x14ac:dyDescent="0.3">
      <c r="A200" s="77"/>
      <c r="B200" s="106"/>
      <c r="F200" s="124"/>
      <c r="G200" s="125"/>
      <c r="J200" s="125"/>
      <c r="L200" s="107"/>
      <c r="M200" s="183"/>
      <c r="N200" s="108"/>
    </row>
    <row r="201" spans="1:14" ht="14.4" x14ac:dyDescent="0.3">
      <c r="A201" s="77"/>
      <c r="B201" s="106"/>
      <c r="F201" s="124"/>
      <c r="G201" s="125"/>
      <c r="J201" s="125"/>
      <c r="L201" s="107"/>
      <c r="M201" s="183"/>
      <c r="N201" s="108"/>
    </row>
    <row r="202" spans="1:14" ht="14.4" x14ac:dyDescent="0.3">
      <c r="A202" s="77"/>
      <c r="B202" s="106"/>
      <c r="F202" s="124"/>
      <c r="G202" s="125"/>
      <c r="J202" s="125"/>
      <c r="L202" s="107"/>
      <c r="M202" s="183"/>
      <c r="N202" s="108"/>
    </row>
    <row r="203" spans="1:14" ht="14.4" x14ac:dyDescent="0.3">
      <c r="A203" s="77"/>
      <c r="B203" s="106"/>
      <c r="F203" s="124"/>
      <c r="G203" s="125"/>
      <c r="J203" s="125"/>
      <c r="L203" s="107"/>
      <c r="M203" s="183"/>
      <c r="N203" s="108"/>
    </row>
    <row r="204" spans="1:14" ht="14.4" x14ac:dyDescent="0.3">
      <c r="A204" s="77"/>
      <c r="B204" s="106"/>
      <c r="F204" s="124"/>
      <c r="G204" s="125"/>
      <c r="J204" s="125"/>
      <c r="L204" s="107"/>
      <c r="M204" s="183"/>
      <c r="N204" s="108"/>
    </row>
    <row r="205" spans="1:14" ht="14.4" x14ac:dyDescent="0.3">
      <c r="A205" s="77"/>
      <c r="B205" s="106"/>
      <c r="F205" s="124"/>
      <c r="G205" s="125"/>
      <c r="J205" s="125"/>
      <c r="L205" s="107"/>
      <c r="M205" s="183"/>
      <c r="N205" s="108"/>
    </row>
    <row r="206" spans="1:14" ht="14.4" x14ac:dyDescent="0.3">
      <c r="A206" s="77"/>
      <c r="B206" s="106"/>
      <c r="F206" s="124"/>
      <c r="G206" s="125"/>
      <c r="J206" s="125"/>
      <c r="L206" s="107"/>
      <c r="M206" s="183"/>
      <c r="N206" s="108"/>
    </row>
    <row r="207" spans="1:14" ht="14.4" x14ac:dyDescent="0.3">
      <c r="A207" s="77"/>
      <c r="B207" s="106"/>
      <c r="F207" s="124"/>
      <c r="G207" s="125"/>
      <c r="J207" s="125"/>
      <c r="L207" s="107"/>
      <c r="M207" s="183"/>
      <c r="N207" s="108"/>
    </row>
    <row r="208" spans="1:14" ht="14.4" x14ac:dyDescent="0.3">
      <c r="A208" s="77"/>
      <c r="B208" s="106"/>
      <c r="F208" s="124"/>
      <c r="G208" s="125"/>
      <c r="J208" s="125"/>
      <c r="L208" s="107"/>
      <c r="M208" s="183"/>
      <c r="N208" s="108"/>
    </row>
    <row r="209" spans="1:14" ht="14.4" x14ac:dyDescent="0.3">
      <c r="A209" s="77"/>
      <c r="B209" s="106"/>
      <c r="F209" s="124"/>
      <c r="G209" s="125"/>
      <c r="J209" s="125"/>
      <c r="L209" s="107"/>
      <c r="M209" s="183"/>
      <c r="N209" s="108"/>
    </row>
    <row r="210" spans="1:14" ht="14.4" x14ac:dyDescent="0.3">
      <c r="A210" s="77"/>
      <c r="B210" s="106"/>
      <c r="F210" s="124"/>
      <c r="G210" s="125"/>
      <c r="J210" s="125"/>
      <c r="L210" s="107"/>
      <c r="M210" s="183"/>
      <c r="N210" s="108"/>
    </row>
    <row r="211" spans="1:14" ht="14.4" x14ac:dyDescent="0.3">
      <c r="A211" s="77"/>
      <c r="B211" s="106"/>
      <c r="F211" s="124"/>
      <c r="G211" s="125"/>
      <c r="J211" s="125"/>
      <c r="L211" s="107"/>
      <c r="M211" s="183"/>
      <c r="N211" s="108"/>
    </row>
    <row r="212" spans="1:14" ht="14.4" x14ac:dyDescent="0.3">
      <c r="A212" s="77"/>
      <c r="B212" s="106"/>
      <c r="F212" s="124"/>
      <c r="G212" s="125"/>
      <c r="J212" s="125"/>
      <c r="L212" s="107"/>
      <c r="M212" s="183"/>
      <c r="N212" s="108"/>
    </row>
    <row r="213" spans="1:14" ht="14.4" x14ac:dyDescent="0.3">
      <c r="A213" s="77"/>
      <c r="B213" s="106"/>
      <c r="F213" s="124"/>
      <c r="G213" s="125"/>
      <c r="J213" s="125"/>
      <c r="L213" s="107"/>
      <c r="M213" s="183"/>
      <c r="N213" s="108"/>
    </row>
    <row r="214" spans="1:14" ht="14.4" x14ac:dyDescent="0.3">
      <c r="A214" s="77"/>
      <c r="B214" s="106"/>
      <c r="F214" s="124"/>
      <c r="G214" s="125"/>
      <c r="J214" s="125"/>
      <c r="L214" s="107"/>
      <c r="M214" s="183"/>
      <c r="N214" s="108"/>
    </row>
    <row r="215" spans="1:14" ht="14.4" x14ac:dyDescent="0.3">
      <c r="A215" s="77"/>
      <c r="B215" s="106"/>
      <c r="F215" s="124"/>
      <c r="G215" s="125"/>
      <c r="J215" s="125"/>
      <c r="L215" s="107"/>
      <c r="M215" s="183"/>
      <c r="N215" s="108"/>
    </row>
    <row r="216" spans="1:14" ht="14.4" x14ac:dyDescent="0.3">
      <c r="A216" s="77"/>
      <c r="B216" s="106"/>
      <c r="F216" s="124"/>
      <c r="G216" s="125"/>
      <c r="J216" s="125"/>
      <c r="L216" s="107"/>
      <c r="M216" s="183"/>
      <c r="N216" s="108"/>
    </row>
    <row r="217" spans="1:14" ht="14.4" x14ac:dyDescent="0.3">
      <c r="A217" s="77"/>
      <c r="B217" s="106"/>
      <c r="F217" s="124"/>
      <c r="G217" s="125"/>
      <c r="J217" s="125"/>
      <c r="L217" s="107"/>
      <c r="M217" s="183"/>
      <c r="N217" s="108"/>
    </row>
    <row r="218" spans="1:14" ht="14.4" x14ac:dyDescent="0.3">
      <c r="A218" s="77"/>
      <c r="B218" s="106"/>
      <c r="F218" s="124"/>
      <c r="G218" s="125"/>
      <c r="J218" s="125"/>
      <c r="L218" s="107"/>
      <c r="M218" s="183"/>
      <c r="N218" s="108"/>
    </row>
    <row r="219" spans="1:14" ht="14.4" x14ac:dyDescent="0.3">
      <c r="A219" s="77"/>
      <c r="B219" s="106"/>
      <c r="F219" s="124"/>
      <c r="G219" s="125"/>
      <c r="J219" s="125"/>
      <c r="L219" s="107"/>
      <c r="M219" s="183"/>
      <c r="N219" s="108"/>
    </row>
    <row r="220" spans="1:14" ht="14.4" x14ac:dyDescent="0.3">
      <c r="A220" s="77"/>
      <c r="B220" s="106"/>
      <c r="F220" s="124"/>
      <c r="G220" s="125"/>
      <c r="J220" s="125"/>
      <c r="L220" s="107"/>
      <c r="M220" s="183"/>
      <c r="N220" s="108"/>
    </row>
    <row r="221" spans="1:14" ht="14.4" x14ac:dyDescent="0.3">
      <c r="A221" s="77"/>
      <c r="B221" s="106"/>
      <c r="F221" s="124"/>
      <c r="G221" s="125"/>
      <c r="J221" s="125"/>
      <c r="L221" s="107"/>
      <c r="M221" s="183"/>
      <c r="N221" s="108"/>
    </row>
    <row r="222" spans="1:14" ht="14.4" x14ac:dyDescent="0.3">
      <c r="A222" s="77"/>
      <c r="B222" s="106"/>
      <c r="F222" s="124"/>
      <c r="G222" s="125"/>
      <c r="J222" s="125"/>
      <c r="L222" s="107"/>
      <c r="M222" s="183"/>
      <c r="N222" s="108"/>
    </row>
    <row r="223" spans="1:14" ht="14.4" x14ac:dyDescent="0.3">
      <c r="A223" s="77"/>
      <c r="B223" s="106"/>
      <c r="F223" s="124"/>
      <c r="G223" s="125"/>
      <c r="J223" s="125"/>
      <c r="L223" s="107"/>
      <c r="M223" s="183"/>
      <c r="N223" s="108"/>
    </row>
    <row r="224" spans="1:14" ht="14.4" x14ac:dyDescent="0.3">
      <c r="A224" s="77"/>
      <c r="B224" s="106"/>
      <c r="F224" s="124"/>
      <c r="G224" s="125"/>
      <c r="J224" s="125"/>
      <c r="L224" s="107"/>
      <c r="M224" s="183"/>
      <c r="N224" s="108"/>
    </row>
    <row r="225" spans="1:14" ht="14.4" x14ac:dyDescent="0.3">
      <c r="A225" s="77"/>
      <c r="B225" s="106"/>
      <c r="F225" s="124"/>
      <c r="G225" s="125"/>
      <c r="J225" s="125"/>
      <c r="L225" s="107"/>
      <c r="M225" s="183"/>
      <c r="N225" s="108"/>
    </row>
    <row r="226" spans="1:14" ht="14.4" x14ac:dyDescent="0.3">
      <c r="A226" s="77"/>
      <c r="B226" s="106"/>
      <c r="F226" s="124"/>
      <c r="G226" s="125"/>
      <c r="J226" s="125"/>
      <c r="L226" s="107"/>
      <c r="M226" s="183"/>
      <c r="N226" s="108"/>
    </row>
    <row r="227" spans="1:14" ht="14.4" x14ac:dyDescent="0.3">
      <c r="A227" s="77"/>
      <c r="B227" s="106"/>
      <c r="F227" s="124"/>
      <c r="G227" s="125"/>
      <c r="J227" s="125"/>
      <c r="L227" s="107"/>
      <c r="M227" s="183"/>
      <c r="N227" s="108"/>
    </row>
    <row r="228" spans="1:14" ht="14.4" x14ac:dyDescent="0.3">
      <c r="A228" s="77"/>
      <c r="B228" s="106"/>
      <c r="F228" s="124"/>
      <c r="G228" s="125"/>
      <c r="J228" s="125"/>
      <c r="L228" s="107"/>
      <c r="M228" s="183"/>
      <c r="N228" s="108"/>
    </row>
    <row r="229" spans="1:14" ht="14.4" x14ac:dyDescent="0.3">
      <c r="A229" s="77"/>
      <c r="B229" s="106"/>
      <c r="F229" s="124"/>
      <c r="G229" s="125"/>
      <c r="J229" s="125"/>
      <c r="L229" s="107"/>
      <c r="M229" s="183"/>
      <c r="N229" s="108"/>
    </row>
    <row r="230" spans="1:14" ht="14.4" x14ac:dyDescent="0.3">
      <c r="A230" s="77"/>
      <c r="B230" s="106"/>
      <c r="F230" s="124"/>
      <c r="G230" s="125"/>
      <c r="J230" s="125"/>
      <c r="L230" s="107"/>
      <c r="M230" s="183"/>
      <c r="N230" s="108"/>
    </row>
    <row r="231" spans="1:14" ht="14.4" x14ac:dyDescent="0.3">
      <c r="A231" s="77"/>
      <c r="B231" s="106"/>
      <c r="F231" s="124"/>
      <c r="G231" s="125"/>
      <c r="J231" s="125"/>
      <c r="L231" s="107"/>
      <c r="M231" s="183"/>
      <c r="N231" s="108"/>
    </row>
    <row r="232" spans="1:14" ht="14.4" x14ac:dyDescent="0.3">
      <c r="A232" s="77"/>
      <c r="B232" s="106"/>
      <c r="F232" s="124"/>
      <c r="G232" s="125"/>
      <c r="J232" s="125"/>
      <c r="L232" s="107"/>
      <c r="M232" s="183"/>
      <c r="N232" s="108"/>
    </row>
    <row r="233" spans="1:14" ht="14.4" x14ac:dyDescent="0.3">
      <c r="A233" s="77"/>
      <c r="B233" s="106"/>
      <c r="F233" s="124"/>
      <c r="G233" s="125"/>
      <c r="J233" s="125"/>
      <c r="L233" s="107"/>
      <c r="M233" s="183"/>
      <c r="N233" s="108"/>
    </row>
    <row r="234" spans="1:14" ht="14.4" x14ac:dyDescent="0.3">
      <c r="A234" s="77"/>
      <c r="B234" s="106"/>
      <c r="F234" s="124"/>
      <c r="G234" s="125"/>
      <c r="J234" s="125"/>
      <c r="L234" s="107"/>
      <c r="M234" s="183"/>
      <c r="N234" s="108"/>
    </row>
    <row r="235" spans="1:14" ht="14.4" x14ac:dyDescent="0.3">
      <c r="A235" s="77"/>
      <c r="B235" s="106"/>
      <c r="F235" s="124"/>
      <c r="G235" s="125"/>
      <c r="J235" s="125"/>
      <c r="L235" s="107"/>
      <c r="M235" s="183"/>
      <c r="N235" s="108"/>
    </row>
    <row r="236" spans="1:14" ht="14.4" x14ac:dyDescent="0.3">
      <c r="A236" s="77"/>
      <c r="B236" s="106"/>
      <c r="F236" s="124"/>
      <c r="G236" s="125"/>
      <c r="J236" s="125"/>
      <c r="L236" s="107"/>
      <c r="M236" s="183"/>
      <c r="N236" s="108"/>
    </row>
    <row r="237" spans="1:14" ht="14.4" x14ac:dyDescent="0.3">
      <c r="A237" s="77"/>
      <c r="B237" s="106"/>
      <c r="F237" s="124"/>
      <c r="G237" s="125"/>
      <c r="J237" s="125"/>
      <c r="L237" s="107"/>
      <c r="M237" s="183"/>
      <c r="N237" s="108"/>
    </row>
    <row r="238" spans="1:14" ht="14.4" x14ac:dyDescent="0.3">
      <c r="A238" s="77"/>
      <c r="B238" s="106"/>
      <c r="F238" s="124"/>
      <c r="G238" s="125"/>
      <c r="J238" s="125"/>
      <c r="L238" s="107"/>
      <c r="M238" s="183"/>
      <c r="N238" s="108"/>
    </row>
    <row r="239" spans="1:14" ht="14.4" x14ac:dyDescent="0.3">
      <c r="A239" s="77"/>
      <c r="B239" s="106"/>
      <c r="F239" s="124"/>
      <c r="G239" s="125"/>
      <c r="J239" s="125"/>
      <c r="L239" s="107"/>
      <c r="M239" s="183"/>
      <c r="N239" s="108"/>
    </row>
    <row r="240" spans="1:14" ht="14.4" x14ac:dyDescent="0.3">
      <c r="A240" s="77"/>
      <c r="B240" s="106"/>
      <c r="F240" s="124"/>
      <c r="G240" s="125"/>
      <c r="J240" s="125"/>
      <c r="L240" s="107"/>
      <c r="M240" s="183"/>
      <c r="N240" s="108"/>
    </row>
    <row r="241" spans="1:14" ht="14.4" x14ac:dyDescent="0.3">
      <c r="A241" s="77"/>
      <c r="B241" s="106"/>
      <c r="F241" s="124"/>
      <c r="G241" s="125"/>
      <c r="J241" s="125"/>
      <c r="L241" s="107"/>
      <c r="M241" s="183"/>
      <c r="N241" s="108"/>
    </row>
    <row r="242" spans="1:14" ht="14.4" x14ac:dyDescent="0.3">
      <c r="A242" s="77"/>
      <c r="B242" s="106"/>
      <c r="F242" s="124"/>
      <c r="G242" s="125"/>
      <c r="J242" s="125"/>
      <c r="L242" s="107"/>
      <c r="M242" s="183"/>
      <c r="N242" s="108"/>
    </row>
    <row r="243" spans="1:14" ht="14.4" x14ac:dyDescent="0.3">
      <c r="A243" s="77"/>
      <c r="B243" s="106"/>
      <c r="F243" s="124"/>
      <c r="G243" s="125"/>
      <c r="J243" s="125"/>
      <c r="L243" s="107"/>
      <c r="M243" s="183"/>
      <c r="N243" s="108"/>
    </row>
    <row r="244" spans="1:14" ht="14.4" x14ac:dyDescent="0.3">
      <c r="A244" s="77"/>
      <c r="B244" s="106"/>
      <c r="F244" s="124"/>
      <c r="G244" s="125"/>
      <c r="J244" s="125"/>
      <c r="L244" s="107"/>
      <c r="M244" s="183"/>
      <c r="N244" s="108"/>
    </row>
    <row r="245" spans="1:14" ht="14.4" x14ac:dyDescent="0.3">
      <c r="A245" s="77"/>
      <c r="B245" s="106"/>
      <c r="F245" s="124"/>
      <c r="G245" s="125"/>
      <c r="J245" s="125"/>
      <c r="L245" s="107"/>
      <c r="M245" s="183"/>
      <c r="N245" s="108"/>
    </row>
    <row r="246" spans="1:14" ht="14.4" x14ac:dyDescent="0.3">
      <c r="A246" s="77"/>
      <c r="B246" s="106"/>
      <c r="F246" s="124"/>
      <c r="G246" s="125"/>
      <c r="J246" s="125"/>
      <c r="L246" s="107"/>
      <c r="M246" s="183"/>
      <c r="N246" s="108"/>
    </row>
    <row r="247" spans="1:14" ht="14.4" x14ac:dyDescent="0.3">
      <c r="A247" s="77"/>
      <c r="B247" s="106"/>
      <c r="F247" s="124"/>
      <c r="G247" s="125"/>
      <c r="J247" s="125"/>
      <c r="L247" s="107"/>
      <c r="M247" s="183"/>
      <c r="N247" s="108"/>
    </row>
    <row r="248" spans="1:14" ht="14.4" x14ac:dyDescent="0.3">
      <c r="A248" s="77"/>
      <c r="B248" s="106"/>
      <c r="F248" s="124"/>
      <c r="G248" s="125"/>
      <c r="J248" s="125"/>
      <c r="L248" s="107"/>
      <c r="M248" s="183"/>
      <c r="N248" s="108"/>
    </row>
    <row r="249" spans="1:14" ht="14.4" x14ac:dyDescent="0.3">
      <c r="A249" s="77"/>
      <c r="B249" s="106"/>
      <c r="F249" s="124"/>
      <c r="G249" s="125"/>
      <c r="J249" s="125"/>
      <c r="L249" s="107"/>
      <c r="M249" s="183"/>
      <c r="N249" s="108"/>
    </row>
    <row r="250" spans="1:14" ht="14.4" x14ac:dyDescent="0.3">
      <c r="A250" s="77"/>
      <c r="B250" s="106"/>
      <c r="F250" s="124"/>
      <c r="G250" s="125"/>
      <c r="J250" s="125"/>
      <c r="L250" s="107"/>
      <c r="M250" s="183"/>
      <c r="N250" s="108"/>
    </row>
    <row r="251" spans="1:14" ht="14.4" x14ac:dyDescent="0.3">
      <c r="A251" s="77"/>
      <c r="B251" s="106"/>
      <c r="F251" s="124"/>
      <c r="G251" s="125"/>
      <c r="J251" s="125"/>
      <c r="L251" s="107"/>
      <c r="M251" s="183"/>
      <c r="N251" s="108"/>
    </row>
    <row r="252" spans="1:14" ht="14.4" x14ac:dyDescent="0.3">
      <c r="A252" s="77"/>
      <c r="B252" s="106"/>
      <c r="F252" s="124"/>
      <c r="G252" s="125"/>
      <c r="J252" s="125"/>
      <c r="L252" s="107"/>
      <c r="M252" s="183"/>
      <c r="N252" s="108"/>
    </row>
    <row r="253" spans="1:14" ht="14.4" x14ac:dyDescent="0.3">
      <c r="A253" s="77"/>
      <c r="B253" s="106"/>
      <c r="F253" s="124"/>
      <c r="G253" s="125"/>
      <c r="J253" s="125"/>
      <c r="L253" s="107"/>
      <c r="M253" s="183"/>
      <c r="N253" s="108"/>
    </row>
    <row r="254" spans="1:14" ht="14.4" x14ac:dyDescent="0.3">
      <c r="A254" s="77"/>
      <c r="B254" s="106"/>
      <c r="F254" s="124"/>
      <c r="G254" s="125"/>
      <c r="J254" s="125"/>
      <c r="L254" s="107"/>
      <c r="M254" s="183"/>
      <c r="N254" s="108"/>
    </row>
    <row r="255" spans="1:14" ht="14.4" x14ac:dyDescent="0.3">
      <c r="A255" s="77"/>
      <c r="B255" s="106"/>
      <c r="F255" s="124"/>
      <c r="G255" s="125"/>
      <c r="J255" s="125"/>
      <c r="L255" s="107"/>
      <c r="M255" s="183"/>
      <c r="N255" s="108"/>
    </row>
    <row r="256" spans="1:14" ht="14.4" x14ac:dyDescent="0.3">
      <c r="A256" s="77"/>
      <c r="B256" s="106"/>
      <c r="F256" s="124"/>
      <c r="G256" s="125"/>
      <c r="J256" s="125"/>
      <c r="L256" s="107"/>
      <c r="M256" s="183"/>
      <c r="N256" s="108"/>
    </row>
    <row r="257" spans="1:14" ht="14.4" x14ac:dyDescent="0.3">
      <c r="A257" s="77"/>
      <c r="B257" s="106"/>
      <c r="F257" s="124"/>
      <c r="G257" s="125"/>
      <c r="J257" s="125"/>
      <c r="L257" s="107"/>
      <c r="M257" s="183"/>
      <c r="N257" s="108"/>
    </row>
    <row r="258" spans="1:14" ht="14.4" x14ac:dyDescent="0.3">
      <c r="A258" s="77"/>
      <c r="B258" s="106"/>
      <c r="F258" s="124"/>
      <c r="G258" s="125"/>
      <c r="J258" s="125"/>
      <c r="L258" s="107"/>
      <c r="M258" s="183"/>
      <c r="N258" s="108"/>
    </row>
    <row r="259" spans="1:14" ht="14.4" x14ac:dyDescent="0.3">
      <c r="A259" s="77"/>
      <c r="B259" s="106"/>
      <c r="F259" s="124"/>
      <c r="G259" s="125"/>
      <c r="J259" s="125"/>
      <c r="L259" s="107"/>
      <c r="M259" s="183"/>
      <c r="N259" s="108"/>
    </row>
    <row r="260" spans="1:14" ht="14.4" x14ac:dyDescent="0.3">
      <c r="A260" s="77"/>
      <c r="B260" s="106"/>
      <c r="F260" s="124"/>
      <c r="G260" s="125"/>
      <c r="J260" s="125"/>
      <c r="L260" s="107"/>
      <c r="M260" s="183"/>
      <c r="N260" s="108"/>
    </row>
    <row r="261" spans="1:14" ht="14.4" x14ac:dyDescent="0.3">
      <c r="A261" s="77"/>
      <c r="B261" s="106"/>
      <c r="F261" s="124"/>
      <c r="G261" s="125"/>
      <c r="J261" s="125"/>
      <c r="L261" s="107"/>
      <c r="M261" s="183"/>
      <c r="N261" s="108"/>
    </row>
    <row r="262" spans="1:14" ht="14.4" x14ac:dyDescent="0.3">
      <c r="A262" s="77"/>
      <c r="B262" s="106"/>
      <c r="F262" s="124"/>
      <c r="G262" s="125"/>
      <c r="J262" s="125"/>
      <c r="L262" s="107"/>
      <c r="M262" s="183"/>
      <c r="N262" s="108"/>
    </row>
    <row r="263" spans="1:14" ht="14.4" x14ac:dyDescent="0.3">
      <c r="A263" s="77"/>
      <c r="B263" s="106"/>
      <c r="F263" s="124"/>
      <c r="G263" s="125"/>
      <c r="J263" s="125"/>
      <c r="L263" s="107"/>
      <c r="M263" s="183"/>
      <c r="N263" s="108"/>
    </row>
    <row r="264" spans="1:14" ht="14.4" x14ac:dyDescent="0.3">
      <c r="A264" s="77"/>
      <c r="B264" s="106"/>
      <c r="F264" s="124"/>
      <c r="G264" s="125"/>
      <c r="J264" s="125"/>
      <c r="L264" s="107"/>
      <c r="M264" s="183"/>
      <c r="N264" s="108"/>
    </row>
    <row r="265" spans="1:14" ht="14.4" x14ac:dyDescent="0.3">
      <c r="A265" s="77"/>
      <c r="B265" s="106"/>
      <c r="F265" s="124"/>
      <c r="G265" s="125"/>
      <c r="J265" s="125"/>
      <c r="L265" s="107"/>
      <c r="M265" s="183"/>
      <c r="N265" s="108"/>
    </row>
    <row r="266" spans="1:14" ht="14.4" x14ac:dyDescent="0.3">
      <c r="A266" s="77"/>
      <c r="B266" s="106"/>
      <c r="F266" s="124"/>
      <c r="G266" s="125"/>
      <c r="J266" s="125"/>
      <c r="L266" s="107"/>
      <c r="M266" s="183"/>
      <c r="N266" s="108"/>
    </row>
    <row r="267" spans="1:14" ht="14.4" x14ac:dyDescent="0.3">
      <c r="A267" s="77"/>
      <c r="B267" s="106"/>
      <c r="F267" s="124"/>
      <c r="G267" s="125"/>
      <c r="J267" s="125"/>
      <c r="L267" s="107"/>
      <c r="M267" s="183"/>
      <c r="N267" s="108"/>
    </row>
    <row r="268" spans="1:14" ht="14.4" x14ac:dyDescent="0.3">
      <c r="A268" s="77"/>
      <c r="B268" s="106"/>
      <c r="F268" s="124"/>
      <c r="G268" s="125"/>
      <c r="J268" s="125"/>
      <c r="L268" s="107"/>
      <c r="M268" s="183"/>
      <c r="N268" s="108"/>
    </row>
    <row r="269" spans="1:14" ht="14.4" x14ac:dyDescent="0.3">
      <c r="A269" s="77"/>
      <c r="B269" s="106"/>
      <c r="F269" s="124"/>
      <c r="G269" s="125"/>
      <c r="J269" s="125"/>
      <c r="L269" s="107"/>
      <c r="M269" s="183"/>
      <c r="N269" s="108"/>
    </row>
    <row r="270" spans="1:14" ht="14.4" x14ac:dyDescent="0.3">
      <c r="A270" s="77"/>
      <c r="B270" s="106"/>
      <c r="F270" s="124"/>
      <c r="G270" s="125"/>
      <c r="J270" s="125"/>
      <c r="L270" s="107"/>
      <c r="M270" s="183"/>
      <c r="N270" s="108"/>
    </row>
    <row r="271" spans="1:14" ht="14.4" x14ac:dyDescent="0.3">
      <c r="A271" s="77"/>
      <c r="B271" s="106"/>
      <c r="F271" s="124"/>
      <c r="G271" s="125"/>
      <c r="J271" s="125"/>
      <c r="L271" s="107"/>
      <c r="M271" s="183"/>
      <c r="N271" s="108"/>
    </row>
    <row r="272" spans="1:14" ht="14.4" x14ac:dyDescent="0.3">
      <c r="A272" s="77"/>
      <c r="B272" s="106"/>
      <c r="F272" s="124"/>
      <c r="G272" s="125"/>
      <c r="J272" s="125"/>
      <c r="L272" s="107"/>
      <c r="M272" s="183"/>
      <c r="N272" s="108"/>
    </row>
    <row r="273" spans="1:14" ht="14.4" x14ac:dyDescent="0.3">
      <c r="A273" s="77"/>
      <c r="B273" s="106"/>
      <c r="F273" s="124"/>
      <c r="G273" s="125"/>
      <c r="J273" s="125"/>
      <c r="L273" s="107"/>
      <c r="M273" s="183"/>
      <c r="N273" s="108"/>
    </row>
    <row r="274" spans="1:14" ht="14.4" x14ac:dyDescent="0.3">
      <c r="A274" s="77"/>
      <c r="B274" s="106"/>
      <c r="F274" s="124"/>
      <c r="G274" s="125"/>
      <c r="J274" s="125"/>
      <c r="L274" s="107"/>
      <c r="M274" s="183"/>
      <c r="N274" s="108"/>
    </row>
    <row r="275" spans="1:14" ht="14.4" x14ac:dyDescent="0.3">
      <c r="A275" s="77"/>
      <c r="B275" s="106"/>
      <c r="F275" s="124"/>
      <c r="G275" s="125"/>
      <c r="J275" s="125"/>
      <c r="L275" s="107"/>
      <c r="M275" s="183"/>
      <c r="N275" s="108"/>
    </row>
    <row r="276" spans="1:14" ht="14.4" x14ac:dyDescent="0.3">
      <c r="A276" s="77"/>
      <c r="B276" s="106"/>
      <c r="F276" s="124"/>
      <c r="G276" s="125"/>
      <c r="J276" s="125"/>
      <c r="L276" s="107"/>
      <c r="M276" s="183"/>
      <c r="N276" s="108"/>
    </row>
    <row r="277" spans="1:14" ht="14.4" x14ac:dyDescent="0.3">
      <c r="A277" s="77"/>
      <c r="B277" s="106"/>
      <c r="F277" s="124"/>
      <c r="G277" s="125"/>
      <c r="J277" s="125"/>
      <c r="L277" s="107"/>
      <c r="M277" s="183"/>
      <c r="N277" s="108"/>
    </row>
    <row r="278" spans="1:14" ht="14.4" x14ac:dyDescent="0.3">
      <c r="A278" s="77"/>
      <c r="B278" s="106"/>
      <c r="F278" s="124"/>
      <c r="G278" s="125"/>
      <c r="J278" s="125"/>
      <c r="L278" s="107"/>
      <c r="M278" s="183"/>
      <c r="N278" s="108"/>
    </row>
    <row r="279" spans="1:14" ht="14.4" x14ac:dyDescent="0.3">
      <c r="A279" s="77"/>
      <c r="B279" s="106"/>
      <c r="F279" s="124"/>
      <c r="G279" s="125"/>
      <c r="J279" s="125"/>
      <c r="L279" s="107"/>
      <c r="M279" s="183"/>
      <c r="N279" s="108"/>
    </row>
    <row r="280" spans="1:14" ht="14.4" x14ac:dyDescent="0.3">
      <c r="A280" s="77"/>
      <c r="B280" s="106"/>
      <c r="F280" s="124"/>
      <c r="G280" s="125"/>
      <c r="J280" s="125"/>
      <c r="L280" s="107"/>
      <c r="M280" s="183"/>
      <c r="N280" s="108"/>
    </row>
    <row r="281" spans="1:14" ht="14.4" x14ac:dyDescent="0.3">
      <c r="A281" s="77"/>
      <c r="B281" s="106"/>
      <c r="F281" s="124"/>
      <c r="G281" s="125"/>
      <c r="J281" s="125"/>
      <c r="L281" s="107"/>
      <c r="M281" s="183"/>
      <c r="N281" s="108"/>
    </row>
    <row r="282" spans="1:14" ht="14.4" x14ac:dyDescent="0.3">
      <c r="A282" s="77"/>
      <c r="B282" s="106"/>
      <c r="F282" s="124"/>
      <c r="G282" s="125"/>
      <c r="J282" s="125"/>
      <c r="L282" s="107"/>
      <c r="M282" s="183"/>
      <c r="N282" s="108"/>
    </row>
    <row r="283" spans="1:14" ht="14.4" x14ac:dyDescent="0.3">
      <c r="A283" s="77"/>
      <c r="B283" s="106"/>
      <c r="F283" s="124"/>
      <c r="G283" s="125"/>
      <c r="J283" s="125"/>
      <c r="L283" s="107"/>
      <c r="M283" s="183"/>
      <c r="N283" s="108"/>
    </row>
    <row r="284" spans="1:14" ht="14.4" x14ac:dyDescent="0.3">
      <c r="A284" s="77"/>
      <c r="B284" s="106"/>
      <c r="F284" s="124"/>
      <c r="G284" s="125"/>
      <c r="J284" s="125"/>
      <c r="L284" s="107"/>
      <c r="M284" s="183"/>
      <c r="N284" s="108"/>
    </row>
    <row r="285" spans="1:14" ht="14.4" x14ac:dyDescent="0.3">
      <c r="A285" s="77"/>
      <c r="B285" s="106"/>
      <c r="F285" s="124"/>
      <c r="G285" s="125"/>
      <c r="J285" s="125"/>
      <c r="L285" s="107"/>
      <c r="M285" s="183"/>
      <c r="N285" s="108"/>
    </row>
    <row r="286" spans="1:14" ht="14.4" x14ac:dyDescent="0.3">
      <c r="A286" s="77"/>
      <c r="B286" s="106"/>
      <c r="F286" s="124"/>
      <c r="G286" s="125"/>
      <c r="J286" s="125"/>
      <c r="L286" s="107"/>
      <c r="M286" s="183"/>
      <c r="N286" s="108"/>
    </row>
    <row r="287" spans="1:14" ht="14.4" x14ac:dyDescent="0.3">
      <c r="A287" s="77"/>
      <c r="B287" s="106"/>
      <c r="F287" s="124"/>
      <c r="G287" s="125"/>
      <c r="J287" s="125"/>
      <c r="L287" s="107"/>
      <c r="M287" s="183"/>
      <c r="N287" s="108"/>
    </row>
    <row r="288" spans="1:14" ht="14.4" x14ac:dyDescent="0.3">
      <c r="A288" s="77"/>
      <c r="B288" s="106"/>
      <c r="F288" s="124"/>
      <c r="G288" s="125"/>
      <c r="J288" s="125"/>
      <c r="L288" s="107"/>
      <c r="M288" s="183"/>
      <c r="N288" s="108"/>
    </row>
    <row r="289" spans="1:14" ht="14.4" x14ac:dyDescent="0.3">
      <c r="A289" s="77"/>
      <c r="B289" s="106"/>
      <c r="F289" s="124"/>
      <c r="G289" s="125"/>
      <c r="J289" s="125"/>
      <c r="L289" s="107"/>
      <c r="M289" s="183"/>
      <c r="N289" s="108"/>
    </row>
    <row r="290" spans="1:14" ht="14.4" x14ac:dyDescent="0.3">
      <c r="A290" s="77"/>
      <c r="B290" s="106"/>
      <c r="F290" s="124"/>
      <c r="G290" s="125"/>
      <c r="J290" s="125"/>
      <c r="L290" s="107"/>
      <c r="M290" s="183"/>
      <c r="N290" s="108"/>
    </row>
    <row r="291" spans="1:14" ht="14.4" x14ac:dyDescent="0.3">
      <c r="A291" s="77"/>
      <c r="B291" s="106"/>
      <c r="F291" s="124"/>
      <c r="G291" s="125"/>
      <c r="J291" s="125"/>
      <c r="L291" s="107"/>
      <c r="M291" s="183"/>
      <c r="N291" s="108"/>
    </row>
    <row r="292" spans="1:14" ht="14.4" x14ac:dyDescent="0.3">
      <c r="A292" s="77"/>
      <c r="B292" s="106"/>
      <c r="F292" s="124"/>
      <c r="G292" s="125"/>
      <c r="J292" s="125"/>
      <c r="L292" s="107"/>
      <c r="M292" s="183"/>
      <c r="N292" s="108"/>
    </row>
    <row r="293" spans="1:14" ht="14.4" x14ac:dyDescent="0.3">
      <c r="A293" s="77"/>
      <c r="B293" s="106"/>
      <c r="F293" s="124"/>
      <c r="G293" s="125"/>
      <c r="J293" s="125"/>
      <c r="L293" s="107"/>
      <c r="M293" s="183"/>
      <c r="N293" s="108"/>
    </row>
    <row r="294" spans="1:14" ht="14.4" x14ac:dyDescent="0.3">
      <c r="A294" s="77"/>
      <c r="B294" s="106"/>
      <c r="F294" s="124"/>
      <c r="G294" s="125"/>
      <c r="J294" s="125"/>
      <c r="L294" s="107"/>
      <c r="M294" s="183"/>
      <c r="N294" s="108"/>
    </row>
    <row r="295" spans="1:14" ht="14.4" x14ac:dyDescent="0.3">
      <c r="A295" s="77"/>
      <c r="B295" s="106"/>
      <c r="F295" s="124"/>
      <c r="G295" s="125"/>
      <c r="J295" s="125"/>
      <c r="L295" s="107"/>
      <c r="M295" s="183"/>
      <c r="N295" s="108"/>
    </row>
    <row r="296" spans="1:14" ht="14.4" x14ac:dyDescent="0.3">
      <c r="A296" s="77"/>
      <c r="B296" s="106"/>
      <c r="F296" s="124"/>
      <c r="G296" s="125"/>
      <c r="J296" s="125"/>
      <c r="L296" s="107"/>
      <c r="M296" s="183"/>
      <c r="N296" s="108"/>
    </row>
    <row r="297" spans="1:14" ht="14.4" x14ac:dyDescent="0.3">
      <c r="A297" s="77"/>
      <c r="B297" s="106"/>
      <c r="F297" s="124"/>
      <c r="G297" s="125"/>
      <c r="J297" s="125"/>
      <c r="L297" s="107"/>
      <c r="M297" s="183"/>
      <c r="N297" s="108"/>
    </row>
    <row r="298" spans="1:14" ht="14.4" x14ac:dyDescent="0.3">
      <c r="A298" s="77"/>
      <c r="B298" s="106"/>
      <c r="F298" s="124"/>
      <c r="G298" s="125"/>
      <c r="J298" s="125"/>
      <c r="L298" s="107"/>
      <c r="M298" s="183"/>
      <c r="N298" s="108"/>
    </row>
    <row r="299" spans="1:14" ht="14.4" x14ac:dyDescent="0.3">
      <c r="A299" s="77"/>
      <c r="B299" s="106"/>
      <c r="F299" s="124"/>
      <c r="G299" s="125"/>
      <c r="J299" s="125"/>
      <c r="L299" s="107"/>
      <c r="M299" s="183"/>
      <c r="N299" s="108"/>
    </row>
    <row r="300" spans="1:14" ht="14.4" x14ac:dyDescent="0.3">
      <c r="A300" s="77"/>
      <c r="B300" s="106"/>
      <c r="F300" s="124"/>
      <c r="G300" s="125"/>
      <c r="J300" s="125"/>
      <c r="L300" s="107"/>
      <c r="M300" s="183"/>
      <c r="N300" s="108"/>
    </row>
    <row r="301" spans="1:14" ht="14.4" x14ac:dyDescent="0.3">
      <c r="A301" s="77"/>
      <c r="B301" s="106"/>
      <c r="F301" s="124"/>
      <c r="G301" s="125"/>
      <c r="J301" s="125"/>
      <c r="L301" s="107"/>
      <c r="M301" s="183"/>
      <c r="N301" s="108"/>
    </row>
    <row r="302" spans="1:14" ht="14.4" x14ac:dyDescent="0.3">
      <c r="A302" s="77"/>
      <c r="B302" s="106"/>
      <c r="F302" s="124"/>
      <c r="G302" s="125"/>
      <c r="J302" s="125"/>
      <c r="L302" s="107"/>
      <c r="M302" s="183"/>
      <c r="N302" s="108"/>
    </row>
    <row r="303" spans="1:14" ht="14.4" x14ac:dyDescent="0.3">
      <c r="A303" s="77"/>
      <c r="B303" s="106"/>
      <c r="F303" s="124"/>
      <c r="G303" s="125"/>
      <c r="J303" s="125"/>
      <c r="L303" s="107"/>
      <c r="M303" s="183"/>
      <c r="N303" s="108"/>
    </row>
    <row r="304" spans="1:14" ht="14.4" x14ac:dyDescent="0.3">
      <c r="A304" s="77"/>
      <c r="B304" s="106"/>
      <c r="F304" s="124"/>
      <c r="G304" s="125"/>
      <c r="J304" s="125"/>
      <c r="L304" s="107"/>
      <c r="M304" s="183"/>
      <c r="N304" s="108"/>
    </row>
    <row r="305" spans="1:14" ht="14.4" x14ac:dyDescent="0.3">
      <c r="A305" s="77"/>
      <c r="B305" s="106"/>
      <c r="F305" s="124"/>
      <c r="G305" s="125"/>
      <c r="J305" s="125"/>
      <c r="L305" s="107"/>
      <c r="M305" s="183"/>
      <c r="N305" s="108"/>
    </row>
    <row r="306" spans="1:14" ht="14.4" x14ac:dyDescent="0.3">
      <c r="A306" s="77"/>
      <c r="B306" s="106"/>
      <c r="F306" s="124"/>
      <c r="G306" s="125"/>
      <c r="J306" s="125"/>
      <c r="L306" s="107"/>
      <c r="M306" s="183"/>
      <c r="N306" s="108"/>
    </row>
    <row r="307" spans="1:14" ht="14.4" x14ac:dyDescent="0.3">
      <c r="A307" s="77"/>
      <c r="B307" s="106"/>
      <c r="F307" s="124"/>
      <c r="G307" s="125"/>
      <c r="J307" s="125"/>
      <c r="L307" s="107"/>
      <c r="M307" s="183"/>
      <c r="N307" s="108"/>
    </row>
    <row r="308" spans="1:14" ht="14.4" x14ac:dyDescent="0.3">
      <c r="A308" s="77"/>
      <c r="B308" s="106"/>
      <c r="F308" s="124"/>
      <c r="G308" s="125"/>
      <c r="J308" s="125"/>
      <c r="L308" s="107"/>
      <c r="M308" s="183"/>
      <c r="N308" s="108"/>
    </row>
    <row r="309" spans="1:14" ht="14.4" x14ac:dyDescent="0.3">
      <c r="A309" s="77"/>
      <c r="B309" s="106"/>
      <c r="F309" s="124"/>
      <c r="G309" s="125"/>
      <c r="J309" s="125"/>
      <c r="L309" s="107"/>
      <c r="M309" s="183"/>
      <c r="N309" s="108"/>
    </row>
    <row r="310" spans="1:14" ht="14.4" x14ac:dyDescent="0.3">
      <c r="A310" s="77"/>
      <c r="B310" s="106"/>
      <c r="F310" s="124"/>
      <c r="G310" s="125"/>
      <c r="J310" s="125"/>
      <c r="L310" s="107"/>
      <c r="M310" s="183"/>
      <c r="N310" s="108"/>
    </row>
    <row r="311" spans="1:14" ht="14.4" x14ac:dyDescent="0.3">
      <c r="A311" s="77"/>
      <c r="B311" s="106"/>
      <c r="F311" s="124"/>
      <c r="G311" s="125"/>
      <c r="J311" s="125"/>
      <c r="L311" s="107"/>
      <c r="M311" s="183"/>
      <c r="N311" s="108"/>
    </row>
    <row r="312" spans="1:14" ht="14.4" x14ac:dyDescent="0.3">
      <c r="A312" s="77"/>
      <c r="B312" s="106"/>
      <c r="F312" s="124"/>
      <c r="G312" s="125"/>
      <c r="J312" s="125"/>
      <c r="L312" s="107"/>
      <c r="M312" s="183"/>
      <c r="N312" s="108"/>
    </row>
    <row r="313" spans="1:14" ht="14.4" x14ac:dyDescent="0.3">
      <c r="A313" s="77"/>
      <c r="B313" s="106"/>
      <c r="F313" s="124"/>
      <c r="G313" s="125"/>
      <c r="J313" s="125"/>
      <c r="L313" s="107"/>
      <c r="M313" s="183"/>
      <c r="N313" s="108"/>
    </row>
    <row r="314" spans="1:14" ht="14.4" x14ac:dyDescent="0.3">
      <c r="A314" s="77"/>
      <c r="B314" s="106"/>
      <c r="F314" s="124"/>
      <c r="G314" s="125"/>
      <c r="J314" s="125"/>
      <c r="L314" s="107"/>
      <c r="M314" s="183"/>
      <c r="N314" s="108"/>
    </row>
    <row r="315" spans="1:14" ht="14.4" x14ac:dyDescent="0.3">
      <c r="A315" s="77"/>
      <c r="B315" s="106"/>
      <c r="F315" s="124"/>
      <c r="G315" s="125"/>
      <c r="J315" s="125"/>
      <c r="L315" s="107"/>
      <c r="M315" s="183"/>
      <c r="N315" s="108"/>
    </row>
    <row r="316" spans="1:14" ht="14.4" x14ac:dyDescent="0.3">
      <c r="A316" s="77"/>
      <c r="B316" s="106"/>
      <c r="F316" s="124"/>
      <c r="G316" s="125"/>
      <c r="J316" s="125"/>
      <c r="L316" s="107"/>
      <c r="M316" s="183"/>
      <c r="N316" s="108"/>
    </row>
    <row r="317" spans="1:14" ht="14.4" x14ac:dyDescent="0.3">
      <c r="A317" s="77"/>
      <c r="B317" s="106"/>
      <c r="F317" s="124"/>
      <c r="G317" s="125"/>
      <c r="J317" s="125"/>
      <c r="L317" s="107"/>
      <c r="M317" s="183"/>
      <c r="N317" s="108"/>
    </row>
    <row r="318" spans="1:14" ht="14.4" x14ac:dyDescent="0.3">
      <c r="A318" s="77"/>
      <c r="B318" s="106"/>
      <c r="F318" s="124"/>
      <c r="G318" s="125"/>
      <c r="J318" s="125"/>
      <c r="L318" s="107"/>
      <c r="M318" s="183"/>
      <c r="N318" s="108"/>
    </row>
    <row r="319" spans="1:14" ht="14.4" x14ac:dyDescent="0.3">
      <c r="A319" s="77"/>
      <c r="B319" s="106"/>
      <c r="F319" s="124"/>
      <c r="G319" s="125"/>
      <c r="J319" s="125"/>
      <c r="L319" s="107"/>
      <c r="M319" s="183"/>
      <c r="N319" s="108"/>
    </row>
    <row r="320" spans="1:14" ht="14.4" x14ac:dyDescent="0.3">
      <c r="A320" s="77"/>
      <c r="B320" s="106"/>
      <c r="F320" s="124"/>
      <c r="G320" s="125"/>
      <c r="J320" s="125"/>
      <c r="L320" s="107"/>
      <c r="M320" s="183"/>
      <c r="N320" s="108"/>
    </row>
    <row r="321" spans="1:14" ht="14.4" x14ac:dyDescent="0.3">
      <c r="A321" s="77"/>
      <c r="B321" s="106"/>
      <c r="F321" s="124"/>
      <c r="G321" s="125"/>
      <c r="J321" s="125"/>
      <c r="L321" s="107"/>
      <c r="M321" s="183"/>
      <c r="N321" s="108"/>
    </row>
    <row r="322" spans="1:14" ht="14.4" x14ac:dyDescent="0.3">
      <c r="A322" s="77"/>
      <c r="B322" s="106"/>
      <c r="F322" s="124"/>
      <c r="G322" s="125"/>
      <c r="J322" s="125"/>
      <c r="L322" s="107"/>
      <c r="M322" s="183"/>
      <c r="N322" s="108"/>
    </row>
    <row r="323" spans="1:14" ht="14.4" x14ac:dyDescent="0.3">
      <c r="A323" s="77"/>
      <c r="B323" s="106"/>
      <c r="F323" s="124"/>
      <c r="G323" s="125"/>
      <c r="J323" s="125"/>
      <c r="L323" s="107"/>
      <c r="M323" s="183"/>
      <c r="N323" s="108"/>
    </row>
    <row r="324" spans="1:14" ht="14.4" x14ac:dyDescent="0.3">
      <c r="A324" s="77"/>
      <c r="B324" s="106"/>
      <c r="F324" s="124"/>
      <c r="G324" s="125"/>
      <c r="J324" s="125"/>
      <c r="L324" s="107"/>
      <c r="M324" s="183"/>
      <c r="N324" s="108"/>
    </row>
    <row r="325" spans="1:14" ht="14.4" x14ac:dyDescent="0.3">
      <c r="A325" s="77"/>
      <c r="B325" s="106"/>
      <c r="F325" s="124"/>
      <c r="G325" s="125"/>
      <c r="J325" s="125"/>
      <c r="L325" s="107"/>
      <c r="M325" s="183"/>
      <c r="N325" s="108"/>
    </row>
    <row r="326" spans="1:14" ht="14.4" x14ac:dyDescent="0.3">
      <c r="A326" s="77"/>
      <c r="B326" s="106"/>
      <c r="F326" s="124"/>
      <c r="G326" s="125"/>
      <c r="J326" s="125"/>
      <c r="L326" s="107"/>
      <c r="M326" s="183"/>
      <c r="N326" s="108"/>
    </row>
    <row r="327" spans="1:14" ht="14.4" x14ac:dyDescent="0.3">
      <c r="A327" s="77"/>
      <c r="B327" s="106"/>
      <c r="F327" s="124"/>
      <c r="G327" s="125"/>
      <c r="J327" s="125"/>
      <c r="L327" s="107"/>
      <c r="M327" s="183"/>
      <c r="N327" s="108"/>
    </row>
    <row r="328" spans="1:14" ht="14.4" x14ac:dyDescent="0.3">
      <c r="A328" s="77"/>
      <c r="B328" s="106"/>
      <c r="F328" s="124"/>
      <c r="G328" s="125"/>
      <c r="J328" s="125"/>
      <c r="L328" s="107"/>
      <c r="M328" s="183"/>
      <c r="N328" s="108"/>
    </row>
    <row r="329" spans="1:14" ht="14.4" x14ac:dyDescent="0.3">
      <c r="A329" s="77"/>
      <c r="B329" s="106"/>
      <c r="F329" s="124"/>
      <c r="G329" s="125"/>
      <c r="J329" s="125"/>
      <c r="L329" s="107"/>
      <c r="M329" s="183"/>
      <c r="N329" s="108"/>
    </row>
    <row r="330" spans="1:14" ht="14.4" x14ac:dyDescent="0.3">
      <c r="A330" s="77"/>
      <c r="B330" s="106"/>
      <c r="F330" s="124"/>
      <c r="G330" s="125"/>
      <c r="J330" s="125"/>
      <c r="L330" s="107"/>
      <c r="M330" s="183"/>
      <c r="N330" s="108"/>
    </row>
    <row r="331" spans="1:14" ht="14.4" x14ac:dyDescent="0.3">
      <c r="A331" s="77"/>
      <c r="B331" s="106"/>
      <c r="F331" s="124"/>
      <c r="G331" s="125"/>
      <c r="J331" s="125"/>
      <c r="L331" s="107"/>
      <c r="M331" s="183"/>
      <c r="N331" s="108"/>
    </row>
    <row r="332" spans="1:14" ht="14.4" x14ac:dyDescent="0.3">
      <c r="A332" s="77"/>
      <c r="B332" s="106"/>
      <c r="F332" s="124"/>
      <c r="G332" s="125"/>
      <c r="J332" s="125"/>
      <c r="L332" s="107"/>
      <c r="M332" s="183"/>
      <c r="N332" s="108"/>
    </row>
    <row r="333" spans="1:14" ht="14.4" x14ac:dyDescent="0.3">
      <c r="A333" s="77"/>
      <c r="B333" s="106"/>
      <c r="F333" s="124"/>
      <c r="G333" s="125"/>
      <c r="J333" s="125"/>
      <c r="L333" s="107"/>
      <c r="M333" s="183"/>
      <c r="N333" s="108"/>
    </row>
    <row r="334" spans="1:14" ht="14.4" x14ac:dyDescent="0.3">
      <c r="A334" s="77"/>
      <c r="B334" s="106"/>
      <c r="F334" s="124"/>
      <c r="G334" s="125"/>
      <c r="J334" s="125"/>
      <c r="L334" s="107"/>
      <c r="M334" s="183"/>
      <c r="N334" s="108"/>
    </row>
    <row r="335" spans="1:14" ht="14.4" x14ac:dyDescent="0.3">
      <c r="A335" s="77"/>
      <c r="B335" s="106"/>
      <c r="F335" s="124"/>
      <c r="G335" s="125"/>
      <c r="J335" s="125"/>
      <c r="L335" s="107"/>
      <c r="M335" s="183"/>
      <c r="N335" s="108"/>
    </row>
    <row r="336" spans="1:14" ht="14.4" x14ac:dyDescent="0.3">
      <c r="A336" s="77"/>
      <c r="B336" s="106"/>
      <c r="F336" s="124"/>
      <c r="G336" s="125"/>
      <c r="J336" s="125"/>
      <c r="L336" s="107"/>
      <c r="M336" s="183"/>
      <c r="N336" s="108"/>
    </row>
    <row r="337" spans="1:14" ht="14.4" x14ac:dyDescent="0.3">
      <c r="A337" s="77"/>
      <c r="B337" s="106"/>
      <c r="F337" s="124"/>
      <c r="G337" s="125"/>
      <c r="J337" s="125"/>
      <c r="L337" s="107"/>
      <c r="M337" s="183"/>
      <c r="N337" s="108"/>
    </row>
    <row r="338" spans="1:14" ht="14.4" x14ac:dyDescent="0.3">
      <c r="A338" s="77"/>
      <c r="B338" s="106"/>
      <c r="F338" s="124"/>
      <c r="G338" s="125"/>
      <c r="J338" s="125"/>
      <c r="L338" s="107"/>
      <c r="M338" s="183"/>
      <c r="N338" s="108"/>
    </row>
    <row r="339" spans="1:14" ht="14.4" x14ac:dyDescent="0.3">
      <c r="A339" s="77"/>
      <c r="B339" s="106"/>
      <c r="F339" s="124"/>
      <c r="G339" s="125"/>
      <c r="J339" s="125"/>
      <c r="L339" s="107"/>
      <c r="M339" s="183"/>
      <c r="N339" s="108"/>
    </row>
    <row r="340" spans="1:14" ht="14.4" x14ac:dyDescent="0.3">
      <c r="A340" s="77"/>
      <c r="B340" s="106"/>
      <c r="F340" s="124"/>
      <c r="G340" s="125"/>
      <c r="J340" s="125"/>
      <c r="L340" s="107"/>
      <c r="M340" s="183"/>
      <c r="N340" s="108"/>
    </row>
    <row r="341" spans="1:14" ht="14.4" x14ac:dyDescent="0.3">
      <c r="A341" s="77"/>
      <c r="B341" s="106"/>
      <c r="F341" s="124"/>
      <c r="G341" s="125"/>
      <c r="J341" s="125"/>
      <c r="L341" s="107"/>
      <c r="M341" s="183"/>
      <c r="N341" s="108"/>
    </row>
    <row r="342" spans="1:14" ht="14.4" x14ac:dyDescent="0.3">
      <c r="A342" s="77"/>
      <c r="B342" s="106"/>
      <c r="F342" s="124"/>
      <c r="G342" s="125"/>
      <c r="J342" s="125"/>
      <c r="L342" s="107"/>
      <c r="M342" s="183"/>
      <c r="N342" s="108"/>
    </row>
    <row r="343" spans="1:14" ht="14.4" x14ac:dyDescent="0.3">
      <c r="A343" s="77"/>
      <c r="B343" s="106"/>
      <c r="F343" s="124"/>
      <c r="G343" s="125"/>
      <c r="J343" s="125"/>
      <c r="L343" s="107"/>
      <c r="M343" s="183"/>
      <c r="N343" s="108"/>
    </row>
    <row r="344" spans="1:14" ht="14.4" x14ac:dyDescent="0.3">
      <c r="A344" s="77"/>
      <c r="B344" s="106"/>
      <c r="F344" s="124"/>
      <c r="G344" s="125"/>
      <c r="J344" s="125"/>
      <c r="L344" s="107"/>
      <c r="M344" s="183"/>
      <c r="N344" s="108"/>
    </row>
    <row r="345" spans="1:14" ht="14.4" x14ac:dyDescent="0.3">
      <c r="A345" s="77"/>
      <c r="B345" s="106"/>
      <c r="F345" s="124"/>
      <c r="G345" s="125"/>
      <c r="J345" s="125"/>
      <c r="L345" s="107"/>
      <c r="M345" s="183"/>
      <c r="N345" s="108"/>
    </row>
    <row r="346" spans="1:14" ht="14.4" x14ac:dyDescent="0.3">
      <c r="A346" s="77"/>
      <c r="B346" s="106"/>
      <c r="F346" s="124"/>
      <c r="G346" s="125"/>
      <c r="J346" s="125"/>
      <c r="L346" s="107"/>
      <c r="M346" s="183"/>
      <c r="N346" s="108"/>
    </row>
    <row r="347" spans="1:14" ht="14.4" x14ac:dyDescent="0.3">
      <c r="A347" s="77"/>
      <c r="B347" s="106"/>
      <c r="F347" s="124"/>
      <c r="G347" s="125"/>
      <c r="J347" s="125"/>
      <c r="L347" s="107"/>
      <c r="M347" s="183"/>
      <c r="N347" s="108"/>
    </row>
    <row r="348" spans="1:14" ht="14.4" x14ac:dyDescent="0.3">
      <c r="A348" s="77"/>
      <c r="B348" s="106"/>
      <c r="F348" s="124"/>
      <c r="G348" s="125"/>
      <c r="J348" s="125"/>
      <c r="L348" s="107"/>
      <c r="M348" s="183"/>
      <c r="N348" s="108"/>
    </row>
    <row r="349" spans="1:14" ht="14.4" x14ac:dyDescent="0.3">
      <c r="A349" s="77"/>
      <c r="B349" s="106"/>
      <c r="F349" s="124"/>
      <c r="G349" s="125"/>
      <c r="J349" s="125"/>
      <c r="L349" s="107"/>
      <c r="M349" s="183"/>
      <c r="N349" s="108"/>
    </row>
    <row r="350" spans="1:14" ht="14.4" x14ac:dyDescent="0.3">
      <c r="A350" s="77"/>
      <c r="B350" s="106"/>
      <c r="F350" s="124"/>
      <c r="G350" s="125"/>
      <c r="J350" s="125"/>
      <c r="L350" s="107"/>
      <c r="M350" s="183"/>
      <c r="N350" s="108"/>
    </row>
    <row r="351" spans="1:14" ht="14.4" x14ac:dyDescent="0.3">
      <c r="A351" s="77"/>
      <c r="B351" s="106"/>
      <c r="F351" s="124"/>
      <c r="G351" s="125"/>
      <c r="J351" s="125"/>
      <c r="L351" s="107"/>
      <c r="M351" s="183"/>
      <c r="N351" s="108"/>
    </row>
    <row r="352" spans="1:14" ht="14.4" x14ac:dyDescent="0.3">
      <c r="A352" s="77"/>
      <c r="B352" s="106"/>
      <c r="F352" s="124"/>
      <c r="G352" s="125"/>
      <c r="J352" s="125"/>
      <c r="L352" s="107"/>
      <c r="M352" s="183"/>
      <c r="N352" s="108"/>
    </row>
    <row r="353" spans="1:14" ht="14.4" x14ac:dyDescent="0.3">
      <c r="A353" s="77"/>
      <c r="B353" s="106"/>
      <c r="F353" s="124"/>
      <c r="G353" s="125"/>
      <c r="J353" s="125"/>
      <c r="L353" s="107"/>
      <c r="M353" s="183"/>
      <c r="N353" s="108"/>
    </row>
    <row r="354" spans="1:14" ht="14.4" x14ac:dyDescent="0.3">
      <c r="A354" s="77"/>
      <c r="B354" s="106"/>
      <c r="F354" s="124"/>
      <c r="G354" s="125"/>
      <c r="J354" s="125"/>
      <c r="L354" s="107"/>
      <c r="M354" s="183"/>
      <c r="N354" s="108"/>
    </row>
    <row r="355" spans="1:14" ht="14.4" x14ac:dyDescent="0.3">
      <c r="A355" s="77"/>
      <c r="B355" s="106"/>
      <c r="F355" s="124"/>
      <c r="G355" s="125"/>
      <c r="J355" s="125"/>
      <c r="L355" s="107"/>
      <c r="M355" s="183"/>
      <c r="N355" s="108"/>
    </row>
    <row r="356" spans="1:14" ht="14.4" x14ac:dyDescent="0.3">
      <c r="A356" s="77"/>
      <c r="B356" s="106"/>
      <c r="F356" s="124"/>
      <c r="G356" s="125"/>
      <c r="J356" s="125"/>
      <c r="L356" s="107"/>
      <c r="M356" s="183"/>
      <c r="N356" s="108"/>
    </row>
    <row r="357" spans="1:14" ht="14.4" x14ac:dyDescent="0.3">
      <c r="A357" s="77"/>
      <c r="B357" s="106"/>
      <c r="F357" s="124"/>
      <c r="G357" s="125"/>
      <c r="J357" s="125"/>
      <c r="L357" s="107"/>
      <c r="M357" s="183"/>
      <c r="N357" s="108"/>
    </row>
    <row r="358" spans="1:14" ht="14.4" x14ac:dyDescent="0.3">
      <c r="A358" s="77"/>
      <c r="B358" s="106"/>
      <c r="F358" s="124"/>
      <c r="G358" s="125"/>
      <c r="J358" s="125"/>
      <c r="L358" s="107"/>
      <c r="M358" s="183"/>
      <c r="N358" s="108"/>
    </row>
    <row r="359" spans="1:14" ht="14.4" x14ac:dyDescent="0.3">
      <c r="A359" s="77"/>
      <c r="B359" s="106"/>
      <c r="F359" s="124"/>
      <c r="G359" s="125"/>
      <c r="J359" s="125"/>
      <c r="L359" s="107"/>
      <c r="M359" s="183"/>
      <c r="N359" s="108"/>
    </row>
    <row r="360" spans="1:14" ht="14.4" x14ac:dyDescent="0.3">
      <c r="A360" s="77"/>
      <c r="B360" s="106"/>
      <c r="F360" s="124"/>
      <c r="G360" s="125"/>
      <c r="J360" s="125"/>
      <c r="L360" s="107"/>
      <c r="M360" s="183"/>
      <c r="N360" s="108"/>
    </row>
    <row r="361" spans="1:14" ht="14.4" x14ac:dyDescent="0.3">
      <c r="A361" s="77"/>
      <c r="B361" s="106"/>
      <c r="F361" s="124"/>
      <c r="G361" s="125"/>
      <c r="J361" s="125"/>
      <c r="L361" s="107"/>
      <c r="M361" s="183"/>
      <c r="N361" s="108"/>
    </row>
    <row r="362" spans="1:14" ht="14.4" x14ac:dyDescent="0.3">
      <c r="A362" s="77"/>
      <c r="B362" s="106"/>
      <c r="F362" s="124"/>
      <c r="G362" s="125"/>
      <c r="J362" s="125"/>
      <c r="L362" s="107"/>
      <c r="M362" s="183"/>
      <c r="N362" s="108"/>
    </row>
    <row r="363" spans="1:14" ht="14.4" x14ac:dyDescent="0.3">
      <c r="A363" s="77"/>
      <c r="B363" s="106"/>
      <c r="F363" s="124"/>
      <c r="G363" s="125"/>
      <c r="J363" s="125"/>
      <c r="L363" s="107"/>
      <c r="M363" s="183"/>
      <c r="N363" s="108"/>
    </row>
    <row r="364" spans="1:14" ht="14.4" x14ac:dyDescent="0.3">
      <c r="A364" s="77"/>
      <c r="B364" s="106"/>
      <c r="F364" s="124"/>
      <c r="G364" s="125"/>
      <c r="J364" s="125"/>
      <c r="L364" s="107"/>
      <c r="M364" s="183"/>
      <c r="N364" s="108"/>
    </row>
    <row r="365" spans="1:14" ht="14.4" x14ac:dyDescent="0.3">
      <c r="A365" s="77"/>
      <c r="B365" s="106"/>
      <c r="F365" s="124"/>
      <c r="G365" s="125"/>
      <c r="J365" s="125"/>
      <c r="L365" s="107"/>
      <c r="M365" s="183"/>
      <c r="N365" s="108"/>
    </row>
    <row r="366" spans="1:14" ht="14.4" x14ac:dyDescent="0.3">
      <c r="A366" s="77"/>
      <c r="B366" s="106"/>
      <c r="F366" s="124"/>
      <c r="G366" s="125"/>
      <c r="J366" s="125"/>
      <c r="L366" s="107"/>
      <c r="M366" s="183"/>
      <c r="N366" s="108"/>
    </row>
    <row r="367" spans="1:14" ht="14.4" x14ac:dyDescent="0.3">
      <c r="A367" s="77"/>
      <c r="B367" s="106"/>
      <c r="F367" s="124"/>
      <c r="G367" s="125"/>
      <c r="J367" s="125"/>
      <c r="L367" s="107"/>
      <c r="M367" s="183"/>
      <c r="N367" s="108"/>
    </row>
    <row r="368" spans="1:14" ht="14.4" x14ac:dyDescent="0.3">
      <c r="A368" s="77"/>
      <c r="B368" s="106"/>
      <c r="F368" s="124"/>
      <c r="G368" s="125"/>
      <c r="J368" s="125"/>
      <c r="L368" s="107"/>
      <c r="M368" s="183"/>
      <c r="N368" s="108"/>
    </row>
    <row r="369" spans="1:14" ht="14.4" x14ac:dyDescent="0.3">
      <c r="A369" s="77"/>
      <c r="B369" s="106"/>
      <c r="F369" s="124"/>
      <c r="G369" s="125"/>
      <c r="J369" s="125"/>
      <c r="L369" s="107"/>
      <c r="M369" s="183"/>
      <c r="N369" s="108"/>
    </row>
    <row r="370" spans="1:14" ht="14.4" x14ac:dyDescent="0.3">
      <c r="A370" s="77"/>
      <c r="B370" s="106"/>
      <c r="F370" s="124"/>
      <c r="G370" s="125"/>
      <c r="J370" s="125"/>
      <c r="L370" s="107"/>
      <c r="M370" s="183"/>
      <c r="N370" s="108"/>
    </row>
    <row r="371" spans="1:14" ht="14.4" x14ac:dyDescent="0.3">
      <c r="A371" s="77"/>
      <c r="B371" s="106"/>
      <c r="F371" s="124"/>
      <c r="G371" s="125"/>
      <c r="J371" s="125"/>
      <c r="L371" s="107"/>
      <c r="M371" s="183"/>
      <c r="N371" s="108"/>
    </row>
    <row r="372" spans="1:14" ht="14.4" x14ac:dyDescent="0.3">
      <c r="A372" s="77"/>
      <c r="B372" s="106"/>
      <c r="F372" s="124"/>
      <c r="G372" s="125"/>
      <c r="J372" s="125"/>
      <c r="L372" s="107"/>
      <c r="M372" s="183"/>
      <c r="N372" s="108"/>
    </row>
    <row r="373" spans="1:14" ht="14.4" x14ac:dyDescent="0.3">
      <c r="A373" s="77"/>
      <c r="B373" s="106"/>
      <c r="F373" s="124"/>
      <c r="G373" s="125"/>
      <c r="J373" s="125"/>
      <c r="L373" s="107"/>
      <c r="M373" s="183"/>
      <c r="N373" s="108"/>
    </row>
    <row r="374" spans="1:14" ht="14.4" x14ac:dyDescent="0.3">
      <c r="A374" s="77"/>
      <c r="B374" s="106"/>
      <c r="F374" s="124"/>
      <c r="G374" s="125"/>
      <c r="J374" s="125"/>
      <c r="L374" s="107"/>
      <c r="M374" s="183"/>
      <c r="N374" s="108"/>
    </row>
    <row r="375" spans="1:14" ht="14.4" x14ac:dyDescent="0.3">
      <c r="A375" s="77"/>
      <c r="B375" s="106"/>
      <c r="F375" s="124"/>
      <c r="G375" s="125"/>
      <c r="J375" s="125"/>
      <c r="L375" s="107"/>
      <c r="M375" s="183"/>
      <c r="N375" s="108"/>
    </row>
    <row r="376" spans="1:14" ht="14.4" x14ac:dyDescent="0.3">
      <c r="A376" s="77"/>
      <c r="B376" s="106"/>
      <c r="F376" s="124"/>
      <c r="G376" s="125"/>
      <c r="J376" s="125"/>
      <c r="L376" s="107"/>
      <c r="M376" s="183"/>
      <c r="N376" s="108"/>
    </row>
    <row r="377" spans="1:14" ht="14.4" x14ac:dyDescent="0.3">
      <c r="A377" s="77"/>
      <c r="B377" s="106"/>
      <c r="F377" s="124"/>
      <c r="G377" s="125"/>
      <c r="J377" s="125"/>
      <c r="L377" s="107"/>
      <c r="M377" s="183"/>
      <c r="N377" s="108"/>
    </row>
    <row r="378" spans="1:14" ht="14.4" x14ac:dyDescent="0.3">
      <c r="A378" s="77"/>
      <c r="B378" s="106"/>
      <c r="F378" s="124"/>
      <c r="G378" s="125"/>
      <c r="J378" s="125"/>
      <c r="L378" s="107"/>
      <c r="M378" s="183"/>
      <c r="N378" s="108"/>
    </row>
    <row r="379" spans="1:14" ht="14.4" x14ac:dyDescent="0.3">
      <c r="A379" s="77"/>
      <c r="B379" s="106"/>
      <c r="F379" s="124"/>
      <c r="G379" s="125"/>
      <c r="J379" s="125"/>
      <c r="L379" s="107"/>
      <c r="M379" s="183"/>
      <c r="N379" s="108"/>
    </row>
    <row r="380" spans="1:14" ht="14.4" x14ac:dyDescent="0.3">
      <c r="A380" s="77"/>
      <c r="B380" s="106"/>
      <c r="F380" s="124"/>
      <c r="G380" s="125"/>
      <c r="J380" s="125"/>
      <c r="L380" s="107"/>
      <c r="M380" s="183"/>
      <c r="N380" s="108"/>
    </row>
    <row r="381" spans="1:14" ht="14.4" x14ac:dyDescent="0.3">
      <c r="A381" s="77"/>
      <c r="B381" s="106"/>
      <c r="F381" s="124"/>
      <c r="G381" s="125"/>
      <c r="J381" s="125"/>
      <c r="L381" s="107"/>
      <c r="M381" s="183"/>
      <c r="N381" s="108"/>
    </row>
    <row r="382" spans="1:14" ht="14.4" x14ac:dyDescent="0.3">
      <c r="A382" s="77"/>
      <c r="B382" s="106"/>
      <c r="F382" s="124"/>
      <c r="G382" s="125"/>
      <c r="J382" s="125"/>
      <c r="L382" s="107"/>
      <c r="M382" s="183"/>
      <c r="N382" s="108"/>
    </row>
    <row r="383" spans="1:14" ht="14.4" x14ac:dyDescent="0.3">
      <c r="A383" s="77"/>
      <c r="B383" s="106"/>
      <c r="F383" s="124"/>
      <c r="G383" s="125"/>
      <c r="J383" s="125"/>
      <c r="L383" s="107"/>
      <c r="M383" s="183"/>
      <c r="N383" s="108"/>
    </row>
    <row r="384" spans="1:14" ht="14.4" x14ac:dyDescent="0.3">
      <c r="A384" s="77"/>
      <c r="B384" s="106"/>
      <c r="F384" s="124"/>
      <c r="G384" s="125"/>
      <c r="J384" s="125"/>
      <c r="L384" s="107"/>
      <c r="M384" s="183"/>
      <c r="N384" s="108"/>
    </row>
    <row r="385" spans="1:14" ht="14.4" x14ac:dyDescent="0.3">
      <c r="A385" s="77"/>
      <c r="B385" s="106"/>
      <c r="F385" s="124"/>
      <c r="G385" s="125"/>
      <c r="J385" s="125"/>
      <c r="L385" s="107"/>
      <c r="M385" s="183"/>
      <c r="N385" s="108"/>
    </row>
    <row r="386" spans="1:14" ht="14.4" x14ac:dyDescent="0.3">
      <c r="A386" s="77"/>
      <c r="B386" s="106"/>
      <c r="F386" s="124"/>
      <c r="G386" s="125"/>
      <c r="J386" s="125"/>
      <c r="L386" s="107"/>
      <c r="M386" s="183"/>
      <c r="N386" s="108"/>
    </row>
    <row r="387" spans="1:14" ht="14.4" x14ac:dyDescent="0.3">
      <c r="A387" s="77"/>
      <c r="B387" s="106"/>
      <c r="F387" s="124"/>
      <c r="G387" s="125"/>
      <c r="J387" s="125"/>
      <c r="L387" s="107"/>
      <c r="M387" s="183"/>
      <c r="N387" s="108"/>
    </row>
    <row r="388" spans="1:14" ht="14.4" x14ac:dyDescent="0.3">
      <c r="A388" s="77"/>
      <c r="B388" s="106"/>
      <c r="F388" s="124"/>
      <c r="G388" s="125"/>
      <c r="J388" s="125"/>
      <c r="L388" s="107"/>
      <c r="M388" s="183"/>
      <c r="N388" s="108"/>
    </row>
    <row r="389" spans="1:14" ht="14.4" x14ac:dyDescent="0.3">
      <c r="A389" s="77"/>
      <c r="B389" s="106"/>
      <c r="F389" s="124"/>
      <c r="G389" s="125"/>
      <c r="J389" s="125"/>
      <c r="L389" s="107"/>
      <c r="M389" s="183"/>
      <c r="N389" s="108"/>
    </row>
    <row r="390" spans="1:14" ht="14.4" x14ac:dyDescent="0.3">
      <c r="A390" s="77"/>
      <c r="B390" s="106"/>
      <c r="F390" s="124"/>
      <c r="G390" s="125"/>
      <c r="J390" s="125"/>
      <c r="L390" s="107"/>
      <c r="M390" s="183"/>
      <c r="N390" s="108"/>
    </row>
    <row r="391" spans="1:14" ht="14.4" x14ac:dyDescent="0.3">
      <c r="A391" s="77"/>
      <c r="B391" s="106"/>
      <c r="F391" s="124"/>
      <c r="G391" s="125"/>
      <c r="J391" s="125"/>
      <c r="L391" s="107"/>
      <c r="M391" s="183"/>
      <c r="N391" s="108"/>
    </row>
    <row r="392" spans="1:14" ht="14.4" x14ac:dyDescent="0.3">
      <c r="A392" s="77"/>
      <c r="B392" s="106"/>
      <c r="F392" s="124"/>
      <c r="G392" s="125"/>
      <c r="J392" s="125"/>
      <c r="L392" s="107"/>
      <c r="M392" s="183"/>
      <c r="N392" s="108"/>
    </row>
    <row r="393" spans="1:14" ht="14.4" x14ac:dyDescent="0.3">
      <c r="A393" s="77"/>
      <c r="B393" s="106"/>
      <c r="F393" s="124"/>
      <c r="G393" s="125"/>
      <c r="J393" s="125"/>
      <c r="L393" s="107"/>
      <c r="M393" s="183"/>
      <c r="N393" s="108"/>
    </row>
    <row r="394" spans="1:14" ht="14.4" x14ac:dyDescent="0.3">
      <c r="A394" s="77"/>
      <c r="B394" s="106"/>
      <c r="F394" s="124"/>
      <c r="G394" s="125"/>
      <c r="J394" s="125"/>
      <c r="L394" s="107"/>
      <c r="M394" s="183"/>
      <c r="N394" s="108"/>
    </row>
    <row r="395" spans="1:14" ht="14.4" x14ac:dyDescent="0.3">
      <c r="A395" s="77"/>
      <c r="B395" s="106"/>
      <c r="F395" s="124"/>
      <c r="G395" s="125"/>
      <c r="J395" s="125"/>
      <c r="L395" s="107"/>
      <c r="M395" s="183"/>
      <c r="N395" s="108"/>
    </row>
    <row r="396" spans="1:14" ht="14.4" x14ac:dyDescent="0.3">
      <c r="A396" s="77"/>
      <c r="B396" s="106"/>
      <c r="F396" s="124"/>
      <c r="G396" s="125"/>
      <c r="J396" s="125"/>
      <c r="L396" s="107"/>
      <c r="M396" s="183"/>
      <c r="N396" s="108"/>
    </row>
    <row r="397" spans="1:14" ht="14.4" x14ac:dyDescent="0.3">
      <c r="A397" s="77"/>
      <c r="B397" s="106"/>
      <c r="F397" s="124"/>
      <c r="G397" s="125"/>
      <c r="J397" s="125"/>
      <c r="L397" s="107"/>
      <c r="M397" s="183"/>
      <c r="N397" s="108"/>
    </row>
    <row r="398" spans="1:14" ht="14.4" x14ac:dyDescent="0.3">
      <c r="A398" s="77"/>
      <c r="B398" s="106"/>
      <c r="F398" s="124"/>
      <c r="G398" s="125"/>
      <c r="J398" s="125"/>
      <c r="L398" s="107"/>
      <c r="M398" s="183"/>
      <c r="N398" s="108"/>
    </row>
    <row r="399" spans="1:14" ht="14.4" x14ac:dyDescent="0.3">
      <c r="A399" s="77"/>
      <c r="B399" s="106"/>
      <c r="F399" s="124"/>
      <c r="G399" s="125"/>
      <c r="J399" s="125"/>
      <c r="L399" s="107"/>
      <c r="M399" s="183"/>
      <c r="N399" s="108"/>
    </row>
    <row r="400" spans="1:14" ht="14.4" x14ac:dyDescent="0.3">
      <c r="A400" s="77"/>
      <c r="B400" s="106"/>
      <c r="F400" s="124"/>
      <c r="G400" s="125"/>
      <c r="J400" s="125"/>
      <c r="L400" s="107"/>
      <c r="M400" s="183"/>
      <c r="N400" s="108"/>
    </row>
    <row r="401" spans="1:14" ht="14.4" x14ac:dyDescent="0.3">
      <c r="A401" s="77"/>
      <c r="B401" s="106"/>
      <c r="F401" s="124"/>
      <c r="G401" s="125"/>
      <c r="J401" s="125"/>
      <c r="L401" s="107"/>
      <c r="M401" s="183"/>
      <c r="N401" s="108"/>
    </row>
    <row r="402" spans="1:14" ht="14.4" x14ac:dyDescent="0.3">
      <c r="A402" s="77"/>
      <c r="B402" s="106"/>
      <c r="F402" s="124"/>
      <c r="G402" s="125"/>
      <c r="J402" s="125"/>
      <c r="L402" s="107"/>
      <c r="M402" s="183"/>
      <c r="N402" s="108"/>
    </row>
    <row r="403" spans="1:14" ht="14.4" x14ac:dyDescent="0.3">
      <c r="A403" s="77"/>
      <c r="B403" s="106"/>
      <c r="F403" s="124"/>
      <c r="G403" s="125"/>
      <c r="J403" s="125"/>
      <c r="L403" s="107"/>
      <c r="M403" s="183"/>
      <c r="N403" s="108"/>
    </row>
    <row r="404" spans="1:14" ht="14.4" x14ac:dyDescent="0.3">
      <c r="A404" s="77"/>
      <c r="B404" s="106"/>
      <c r="F404" s="124"/>
      <c r="G404" s="125"/>
      <c r="J404" s="125"/>
      <c r="L404" s="107"/>
      <c r="M404" s="183"/>
      <c r="N404" s="108"/>
    </row>
    <row r="405" spans="1:14" ht="14.4" x14ac:dyDescent="0.3">
      <c r="A405" s="77"/>
      <c r="B405" s="106"/>
      <c r="F405" s="124"/>
      <c r="G405" s="125"/>
      <c r="J405" s="125"/>
      <c r="L405" s="107"/>
      <c r="M405" s="183"/>
      <c r="N405" s="108"/>
    </row>
    <row r="406" spans="1:14" ht="14.4" x14ac:dyDescent="0.3">
      <c r="A406" s="77"/>
      <c r="B406" s="106"/>
      <c r="F406" s="124"/>
      <c r="G406" s="125"/>
      <c r="J406" s="125"/>
      <c r="L406" s="107"/>
      <c r="M406" s="183"/>
      <c r="N406" s="108"/>
    </row>
    <row r="407" spans="1:14" ht="14.4" x14ac:dyDescent="0.3">
      <c r="A407" s="77"/>
      <c r="B407" s="106"/>
      <c r="F407" s="124"/>
      <c r="G407" s="125"/>
      <c r="J407" s="125"/>
      <c r="L407" s="107"/>
      <c r="M407" s="183"/>
      <c r="N407" s="108"/>
    </row>
    <row r="408" spans="1:14" ht="14.4" x14ac:dyDescent="0.3">
      <c r="A408" s="77"/>
      <c r="B408" s="106"/>
      <c r="F408" s="124"/>
      <c r="G408" s="125"/>
      <c r="J408" s="125"/>
      <c r="L408" s="107"/>
      <c r="M408" s="183"/>
      <c r="N408" s="108"/>
    </row>
    <row r="409" spans="1:14" ht="14.4" x14ac:dyDescent="0.3">
      <c r="A409" s="77"/>
      <c r="B409" s="106"/>
      <c r="F409" s="124"/>
      <c r="G409" s="125"/>
      <c r="J409" s="125"/>
      <c r="L409" s="107"/>
      <c r="M409" s="183"/>
      <c r="N409" s="108"/>
    </row>
    <row r="410" spans="1:14" ht="14.4" x14ac:dyDescent="0.3">
      <c r="A410" s="77"/>
      <c r="B410" s="106"/>
      <c r="F410" s="124"/>
      <c r="G410" s="125"/>
      <c r="J410" s="125"/>
      <c r="L410" s="107"/>
      <c r="M410" s="183"/>
      <c r="N410" s="108"/>
    </row>
    <row r="411" spans="1:14" ht="14.4" x14ac:dyDescent="0.3">
      <c r="A411" s="77"/>
      <c r="B411" s="106"/>
      <c r="F411" s="124"/>
      <c r="G411" s="125"/>
      <c r="J411" s="125"/>
      <c r="L411" s="107"/>
      <c r="M411" s="183"/>
      <c r="N411" s="108"/>
    </row>
    <row r="412" spans="1:14" ht="14.4" x14ac:dyDescent="0.3">
      <c r="A412" s="77"/>
      <c r="B412" s="106"/>
      <c r="F412" s="124"/>
      <c r="G412" s="125"/>
      <c r="J412" s="125"/>
      <c r="L412" s="107"/>
      <c r="M412" s="183"/>
      <c r="N412" s="108"/>
    </row>
    <row r="413" spans="1:14" ht="14.4" x14ac:dyDescent="0.3">
      <c r="A413" s="77"/>
      <c r="B413" s="106"/>
      <c r="F413" s="124"/>
      <c r="G413" s="125"/>
      <c r="J413" s="125"/>
      <c r="L413" s="107"/>
      <c r="M413" s="183"/>
      <c r="N413" s="108"/>
    </row>
    <row r="414" spans="1:14" ht="14.4" x14ac:dyDescent="0.3">
      <c r="A414" s="77"/>
      <c r="B414" s="106"/>
      <c r="F414" s="124"/>
      <c r="G414" s="125"/>
      <c r="J414" s="125"/>
      <c r="L414" s="107"/>
      <c r="M414" s="183"/>
      <c r="N414" s="108"/>
    </row>
    <row r="415" spans="1:14" ht="14.4" x14ac:dyDescent="0.3">
      <c r="A415" s="77"/>
      <c r="B415" s="106"/>
      <c r="F415" s="124"/>
      <c r="G415" s="125"/>
      <c r="J415" s="125"/>
      <c r="L415" s="107"/>
      <c r="M415" s="183"/>
      <c r="N415" s="108"/>
    </row>
    <row r="416" spans="1:14" ht="14.4" x14ac:dyDescent="0.3">
      <c r="A416" s="77"/>
      <c r="B416" s="106"/>
      <c r="F416" s="124"/>
      <c r="G416" s="125"/>
      <c r="J416" s="125"/>
      <c r="L416" s="107"/>
      <c r="M416" s="183"/>
      <c r="N416" s="108"/>
    </row>
    <row r="417" spans="1:14" ht="14.4" x14ac:dyDescent="0.3">
      <c r="A417" s="77"/>
      <c r="B417" s="106"/>
      <c r="F417" s="124"/>
      <c r="G417" s="125"/>
      <c r="J417" s="125"/>
      <c r="L417" s="107"/>
      <c r="M417" s="183"/>
      <c r="N417" s="108"/>
    </row>
    <row r="418" spans="1:14" ht="14.4" x14ac:dyDescent="0.3">
      <c r="A418" s="77"/>
      <c r="B418" s="106"/>
      <c r="F418" s="124"/>
      <c r="G418" s="125"/>
      <c r="J418" s="125"/>
      <c r="L418" s="107"/>
      <c r="M418" s="183"/>
      <c r="N418" s="108"/>
    </row>
    <row r="419" spans="1:14" ht="14.4" x14ac:dyDescent="0.3">
      <c r="A419" s="77"/>
      <c r="B419" s="106"/>
      <c r="F419" s="124"/>
      <c r="G419" s="125"/>
      <c r="J419" s="125"/>
      <c r="L419" s="107"/>
      <c r="M419" s="183"/>
      <c r="N419" s="108"/>
    </row>
    <row r="420" spans="1:14" ht="14.4" x14ac:dyDescent="0.3">
      <c r="A420" s="77"/>
      <c r="B420" s="106"/>
      <c r="F420" s="124"/>
      <c r="G420" s="125"/>
      <c r="J420" s="125"/>
      <c r="L420" s="107"/>
      <c r="M420" s="183"/>
      <c r="N420" s="108"/>
    </row>
    <row r="421" spans="1:14" ht="14.4" x14ac:dyDescent="0.3">
      <c r="A421" s="77"/>
      <c r="B421" s="106"/>
      <c r="F421" s="124"/>
      <c r="G421" s="125"/>
      <c r="J421" s="125"/>
      <c r="L421" s="107"/>
      <c r="M421" s="183"/>
      <c r="N421" s="108"/>
    </row>
    <row r="422" spans="1:14" ht="14.4" x14ac:dyDescent="0.3">
      <c r="A422" s="77"/>
      <c r="B422" s="106"/>
      <c r="F422" s="124"/>
      <c r="G422" s="125"/>
      <c r="J422" s="125"/>
      <c r="L422" s="107"/>
      <c r="M422" s="183"/>
      <c r="N422" s="108"/>
    </row>
    <row r="423" spans="1:14" ht="14.4" x14ac:dyDescent="0.3">
      <c r="A423" s="77"/>
      <c r="B423" s="106"/>
      <c r="F423" s="124"/>
      <c r="G423" s="125"/>
      <c r="J423" s="125"/>
      <c r="L423" s="107"/>
      <c r="M423" s="183"/>
      <c r="N423" s="108"/>
    </row>
    <row r="424" spans="1:14" ht="14.4" x14ac:dyDescent="0.3">
      <c r="A424" s="77"/>
      <c r="B424" s="106"/>
      <c r="F424" s="124"/>
      <c r="G424" s="125"/>
      <c r="J424" s="125"/>
      <c r="L424" s="107"/>
      <c r="M424" s="183"/>
      <c r="N424" s="108"/>
    </row>
    <row r="425" spans="1:14" ht="14.4" x14ac:dyDescent="0.3">
      <c r="A425" s="77"/>
      <c r="B425" s="106"/>
      <c r="F425" s="124"/>
      <c r="G425" s="125"/>
      <c r="J425" s="125"/>
      <c r="L425" s="107"/>
      <c r="M425" s="183"/>
      <c r="N425" s="108"/>
    </row>
    <row r="426" spans="1:14" ht="14.4" x14ac:dyDescent="0.3">
      <c r="A426" s="77"/>
      <c r="B426" s="106"/>
      <c r="F426" s="124"/>
      <c r="G426" s="125"/>
      <c r="J426" s="125"/>
      <c r="L426" s="107"/>
      <c r="M426" s="183"/>
      <c r="N426" s="108"/>
    </row>
    <row r="427" spans="1:14" ht="14.4" x14ac:dyDescent="0.3">
      <c r="A427" s="77"/>
      <c r="B427" s="106"/>
      <c r="F427" s="124"/>
      <c r="G427" s="125"/>
      <c r="J427" s="125"/>
      <c r="L427" s="107"/>
      <c r="M427" s="183"/>
      <c r="N427" s="108"/>
    </row>
    <row r="428" spans="1:14" ht="14.4" x14ac:dyDescent="0.3">
      <c r="A428" s="77"/>
      <c r="B428" s="106"/>
      <c r="F428" s="124"/>
      <c r="G428" s="125"/>
      <c r="J428" s="125"/>
      <c r="L428" s="107"/>
      <c r="M428" s="183"/>
      <c r="N428" s="108"/>
    </row>
    <row r="429" spans="1:14" ht="14.4" x14ac:dyDescent="0.3">
      <c r="A429" s="77"/>
      <c r="B429" s="106"/>
      <c r="F429" s="124"/>
      <c r="G429" s="125"/>
      <c r="J429" s="125"/>
      <c r="L429" s="107"/>
      <c r="M429" s="183"/>
      <c r="N429" s="108"/>
    </row>
    <row r="430" spans="1:14" ht="14.4" x14ac:dyDescent="0.3">
      <c r="A430" s="77"/>
      <c r="B430" s="106"/>
      <c r="F430" s="124"/>
      <c r="G430" s="125"/>
      <c r="J430" s="125"/>
      <c r="L430" s="107"/>
      <c r="M430" s="183"/>
      <c r="N430" s="108"/>
    </row>
    <row r="431" spans="1:14" ht="14.4" x14ac:dyDescent="0.3">
      <c r="A431" s="77"/>
      <c r="B431" s="106"/>
      <c r="F431" s="124"/>
      <c r="G431" s="125"/>
      <c r="J431" s="125"/>
      <c r="L431" s="107"/>
      <c r="M431" s="183"/>
      <c r="N431" s="108"/>
    </row>
    <row r="432" spans="1:14" ht="14.4" x14ac:dyDescent="0.3">
      <c r="A432" s="77"/>
      <c r="B432" s="106"/>
      <c r="F432" s="124"/>
      <c r="G432" s="125"/>
      <c r="J432" s="125"/>
      <c r="L432" s="107"/>
      <c r="M432" s="183"/>
      <c r="N432" s="108"/>
    </row>
    <row r="433" spans="1:14" ht="14.4" x14ac:dyDescent="0.3">
      <c r="A433" s="77"/>
      <c r="B433" s="106"/>
      <c r="F433" s="124"/>
      <c r="G433" s="125"/>
      <c r="J433" s="125"/>
      <c r="L433" s="107"/>
      <c r="M433" s="183"/>
      <c r="N433" s="108"/>
    </row>
    <row r="434" spans="1:14" ht="14.4" x14ac:dyDescent="0.3">
      <c r="A434" s="77"/>
      <c r="B434" s="106"/>
      <c r="F434" s="124"/>
      <c r="G434" s="125"/>
      <c r="J434" s="125"/>
      <c r="L434" s="107"/>
      <c r="M434" s="183"/>
      <c r="N434" s="108"/>
    </row>
    <row r="435" spans="1:14" ht="14.4" x14ac:dyDescent="0.3">
      <c r="A435" s="77"/>
      <c r="B435" s="106"/>
      <c r="F435" s="124"/>
      <c r="G435" s="125"/>
      <c r="J435" s="125"/>
      <c r="L435" s="107"/>
      <c r="M435" s="183"/>
      <c r="N435" s="108"/>
    </row>
    <row r="436" spans="1:14" ht="14.4" x14ac:dyDescent="0.3">
      <c r="A436" s="77"/>
      <c r="B436" s="106"/>
      <c r="F436" s="124"/>
      <c r="G436" s="125"/>
      <c r="J436" s="125"/>
      <c r="L436" s="107"/>
      <c r="M436" s="183"/>
      <c r="N436" s="108"/>
    </row>
    <row r="437" spans="1:14" ht="14.4" x14ac:dyDescent="0.3">
      <c r="A437" s="77"/>
      <c r="B437" s="106"/>
      <c r="F437" s="124"/>
      <c r="G437" s="125"/>
      <c r="J437" s="125"/>
      <c r="L437" s="107"/>
      <c r="M437" s="183"/>
      <c r="N437" s="108"/>
    </row>
    <row r="438" spans="1:14" ht="14.4" x14ac:dyDescent="0.3">
      <c r="A438" s="77"/>
      <c r="B438" s="106"/>
      <c r="F438" s="124"/>
      <c r="G438" s="125"/>
      <c r="J438" s="125"/>
      <c r="L438" s="107"/>
      <c r="M438" s="183"/>
      <c r="N438" s="108"/>
    </row>
    <row r="439" spans="1:14" ht="14.4" x14ac:dyDescent="0.3">
      <c r="A439" s="77"/>
      <c r="B439" s="106"/>
      <c r="F439" s="124"/>
      <c r="G439" s="125"/>
      <c r="J439" s="125"/>
      <c r="L439" s="107"/>
      <c r="M439" s="183"/>
      <c r="N439" s="108"/>
    </row>
    <row r="440" spans="1:14" ht="14.4" x14ac:dyDescent="0.3">
      <c r="A440" s="77"/>
      <c r="B440" s="106"/>
      <c r="F440" s="124"/>
      <c r="G440" s="125"/>
      <c r="J440" s="125"/>
      <c r="L440" s="107"/>
      <c r="M440" s="183"/>
      <c r="N440" s="108"/>
    </row>
    <row r="441" spans="1:14" ht="14.4" x14ac:dyDescent="0.3">
      <c r="A441" s="77"/>
      <c r="B441" s="106"/>
      <c r="F441" s="124"/>
      <c r="G441" s="125"/>
      <c r="J441" s="125"/>
      <c r="L441" s="107"/>
      <c r="M441" s="183"/>
      <c r="N441" s="108"/>
    </row>
    <row r="442" spans="1:14" ht="14.4" x14ac:dyDescent="0.3">
      <c r="A442" s="77"/>
      <c r="B442" s="106"/>
      <c r="F442" s="124"/>
      <c r="G442" s="125"/>
      <c r="J442" s="125"/>
      <c r="L442" s="107"/>
      <c r="M442" s="183"/>
      <c r="N442" s="108"/>
    </row>
    <row r="443" spans="1:14" ht="14.4" x14ac:dyDescent="0.3">
      <c r="A443" s="77"/>
      <c r="B443" s="106"/>
      <c r="F443" s="124"/>
      <c r="G443" s="125"/>
      <c r="J443" s="125"/>
      <c r="L443" s="107"/>
      <c r="M443" s="183"/>
      <c r="N443" s="108"/>
    </row>
    <row r="444" spans="1:14" ht="14.4" x14ac:dyDescent="0.3">
      <c r="A444" s="77"/>
      <c r="B444" s="106"/>
      <c r="F444" s="124"/>
      <c r="G444" s="125"/>
      <c r="J444" s="125"/>
      <c r="L444" s="107"/>
      <c r="M444" s="183"/>
      <c r="N444" s="108"/>
    </row>
    <row r="445" spans="1:14" ht="14.4" x14ac:dyDescent="0.3">
      <c r="A445" s="77"/>
      <c r="B445" s="106"/>
      <c r="F445" s="124"/>
      <c r="G445" s="125"/>
      <c r="J445" s="125"/>
      <c r="L445" s="107"/>
      <c r="M445" s="183"/>
      <c r="N445" s="108"/>
    </row>
    <row r="446" spans="1:14" ht="14.4" x14ac:dyDescent="0.3">
      <c r="A446" s="77"/>
      <c r="B446" s="106"/>
      <c r="F446" s="124"/>
      <c r="G446" s="125"/>
      <c r="J446" s="125"/>
      <c r="L446" s="107"/>
      <c r="M446" s="183"/>
      <c r="N446" s="108"/>
    </row>
    <row r="447" spans="1:14" ht="14.4" x14ac:dyDescent="0.3">
      <c r="A447" s="77"/>
      <c r="B447" s="106"/>
      <c r="F447" s="124"/>
      <c r="G447" s="125"/>
      <c r="J447" s="125"/>
      <c r="L447" s="107"/>
      <c r="M447" s="183"/>
      <c r="N447" s="108"/>
    </row>
    <row r="448" spans="1:14" ht="14.4" x14ac:dyDescent="0.3">
      <c r="A448" s="77"/>
      <c r="B448" s="106"/>
      <c r="F448" s="124"/>
      <c r="G448" s="125"/>
      <c r="J448" s="125"/>
      <c r="L448" s="107"/>
      <c r="M448" s="183"/>
      <c r="N448" s="108"/>
    </row>
    <row r="449" spans="1:14" ht="14.4" x14ac:dyDescent="0.3">
      <c r="A449" s="77"/>
      <c r="B449" s="106"/>
      <c r="F449" s="124"/>
      <c r="G449" s="125"/>
      <c r="J449" s="125"/>
      <c r="L449" s="107"/>
      <c r="M449" s="183"/>
      <c r="N449" s="108"/>
    </row>
    <row r="450" spans="1:14" ht="14.4" x14ac:dyDescent="0.3">
      <c r="A450" s="77"/>
      <c r="B450" s="106"/>
      <c r="F450" s="124"/>
      <c r="G450" s="125"/>
      <c r="J450" s="125"/>
      <c r="L450" s="107"/>
      <c r="M450" s="183"/>
      <c r="N450" s="108"/>
    </row>
    <row r="451" spans="1:14" ht="14.4" x14ac:dyDescent="0.3">
      <c r="A451" s="77"/>
      <c r="B451" s="106"/>
      <c r="F451" s="124"/>
      <c r="G451" s="125"/>
      <c r="J451" s="125"/>
      <c r="L451" s="107"/>
      <c r="M451" s="183"/>
      <c r="N451" s="108"/>
    </row>
    <row r="452" spans="1:14" ht="14.4" x14ac:dyDescent="0.3">
      <c r="A452" s="77"/>
      <c r="B452" s="106"/>
      <c r="F452" s="124"/>
      <c r="G452" s="125"/>
      <c r="J452" s="125"/>
      <c r="L452" s="107"/>
      <c r="M452" s="183"/>
      <c r="N452" s="108"/>
    </row>
    <row r="453" spans="1:14" ht="14.4" x14ac:dyDescent="0.3">
      <c r="A453" s="77"/>
      <c r="B453" s="106"/>
      <c r="F453" s="124"/>
      <c r="G453" s="125"/>
      <c r="J453" s="125"/>
      <c r="L453" s="107"/>
      <c r="M453" s="183"/>
      <c r="N453" s="108"/>
    </row>
    <row r="454" spans="1:14" ht="14.4" x14ac:dyDescent="0.3">
      <c r="A454" s="77"/>
      <c r="B454" s="106"/>
      <c r="F454" s="124"/>
      <c r="G454" s="125"/>
      <c r="J454" s="125"/>
      <c r="L454" s="107"/>
      <c r="M454" s="183"/>
      <c r="N454" s="108"/>
    </row>
    <row r="455" spans="1:14" ht="14.4" x14ac:dyDescent="0.3">
      <c r="A455" s="77"/>
      <c r="B455" s="106"/>
      <c r="F455" s="124"/>
      <c r="G455" s="125"/>
      <c r="J455" s="125"/>
      <c r="L455" s="107"/>
      <c r="M455" s="183"/>
      <c r="N455" s="108"/>
    </row>
    <row r="456" spans="1:14" ht="14.4" x14ac:dyDescent="0.3">
      <c r="A456" s="77"/>
      <c r="B456" s="106"/>
      <c r="F456" s="124"/>
      <c r="G456" s="125"/>
      <c r="J456" s="125"/>
      <c r="L456" s="107"/>
      <c r="M456" s="183"/>
      <c r="N456" s="108"/>
    </row>
    <row r="457" spans="1:14" ht="14.4" x14ac:dyDescent="0.3">
      <c r="A457" s="77"/>
      <c r="B457" s="106"/>
      <c r="F457" s="124"/>
      <c r="G457" s="125"/>
      <c r="J457" s="125"/>
      <c r="L457" s="107"/>
      <c r="M457" s="183"/>
      <c r="N457" s="108"/>
    </row>
    <row r="458" spans="1:14" ht="14.4" x14ac:dyDescent="0.3">
      <c r="A458" s="77"/>
      <c r="B458" s="106"/>
      <c r="F458" s="124"/>
      <c r="G458" s="125"/>
      <c r="J458" s="125"/>
      <c r="L458" s="107"/>
      <c r="M458" s="183"/>
      <c r="N458" s="108"/>
    </row>
    <row r="459" spans="1:14" ht="14.4" x14ac:dyDescent="0.3">
      <c r="A459" s="77"/>
      <c r="B459" s="106"/>
      <c r="F459" s="124"/>
      <c r="G459" s="125"/>
      <c r="J459" s="125"/>
      <c r="L459" s="107"/>
      <c r="M459" s="183"/>
      <c r="N459" s="108"/>
    </row>
    <row r="460" spans="1:14" ht="14.4" x14ac:dyDescent="0.3">
      <c r="A460" s="77"/>
      <c r="B460" s="106"/>
      <c r="F460" s="124"/>
      <c r="G460" s="125"/>
      <c r="J460" s="125"/>
      <c r="L460" s="107"/>
      <c r="M460" s="183"/>
      <c r="N460" s="108"/>
    </row>
    <row r="461" spans="1:14" ht="14.4" x14ac:dyDescent="0.3">
      <c r="A461" s="77"/>
      <c r="B461" s="106"/>
      <c r="F461" s="124"/>
      <c r="G461" s="125"/>
      <c r="J461" s="125"/>
      <c r="L461" s="107"/>
      <c r="M461" s="183"/>
      <c r="N461" s="108"/>
    </row>
    <row r="462" spans="1:14" ht="14.4" x14ac:dyDescent="0.3">
      <c r="A462" s="77"/>
      <c r="B462" s="106"/>
      <c r="F462" s="124"/>
      <c r="G462" s="125"/>
      <c r="J462" s="125"/>
      <c r="L462" s="107"/>
      <c r="M462" s="183"/>
      <c r="N462" s="108"/>
    </row>
    <row r="463" spans="1:14" ht="14.4" x14ac:dyDescent="0.3">
      <c r="A463" s="77"/>
      <c r="B463" s="106"/>
      <c r="F463" s="124"/>
      <c r="G463" s="125"/>
      <c r="J463" s="125"/>
      <c r="L463" s="107"/>
      <c r="M463" s="183"/>
      <c r="N463" s="108"/>
    </row>
    <row r="464" spans="1:14" ht="14.4" x14ac:dyDescent="0.3">
      <c r="A464" s="77"/>
      <c r="B464" s="106"/>
      <c r="F464" s="124"/>
      <c r="G464" s="125"/>
      <c r="J464" s="125"/>
      <c r="L464" s="107"/>
      <c r="M464" s="183"/>
      <c r="N464" s="108"/>
    </row>
    <row r="465" spans="1:14" ht="14.4" x14ac:dyDescent="0.3">
      <c r="A465" s="77"/>
      <c r="B465" s="106"/>
      <c r="F465" s="124"/>
      <c r="G465" s="125"/>
      <c r="J465" s="125"/>
      <c r="L465" s="107"/>
      <c r="M465" s="183"/>
      <c r="N465" s="108"/>
    </row>
    <row r="466" spans="1:14" ht="14.4" x14ac:dyDescent="0.3">
      <c r="A466" s="77"/>
      <c r="B466" s="106"/>
      <c r="F466" s="124"/>
      <c r="G466" s="125"/>
      <c r="J466" s="125"/>
      <c r="L466" s="107"/>
      <c r="M466" s="183"/>
      <c r="N466" s="108"/>
    </row>
    <row r="467" spans="1:14" ht="14.4" x14ac:dyDescent="0.3">
      <c r="A467" s="77"/>
      <c r="B467" s="106"/>
      <c r="F467" s="124"/>
      <c r="G467" s="125"/>
      <c r="J467" s="125"/>
      <c r="L467" s="107"/>
      <c r="M467" s="183"/>
      <c r="N467" s="108"/>
    </row>
    <row r="468" spans="1:14" ht="14.4" x14ac:dyDescent="0.3">
      <c r="A468" s="77"/>
      <c r="B468" s="106"/>
      <c r="F468" s="124"/>
      <c r="G468" s="125"/>
      <c r="J468" s="125"/>
      <c r="L468" s="107"/>
      <c r="M468" s="183"/>
      <c r="N468" s="108"/>
    </row>
    <row r="469" spans="1:14" ht="14.4" x14ac:dyDescent="0.3">
      <c r="A469" s="77"/>
      <c r="B469" s="106"/>
      <c r="F469" s="124"/>
      <c r="G469" s="125"/>
      <c r="J469" s="125"/>
      <c r="L469" s="107"/>
      <c r="M469" s="183"/>
      <c r="N469" s="108"/>
    </row>
    <row r="470" spans="1:14" ht="14.4" x14ac:dyDescent="0.3">
      <c r="A470" s="77"/>
      <c r="B470" s="106"/>
      <c r="F470" s="124"/>
      <c r="G470" s="125"/>
      <c r="J470" s="125"/>
      <c r="L470" s="107"/>
      <c r="M470" s="183"/>
      <c r="N470" s="108"/>
    </row>
    <row r="471" spans="1:14" ht="14.4" x14ac:dyDescent="0.3">
      <c r="A471" s="77"/>
      <c r="B471" s="106"/>
      <c r="F471" s="124"/>
      <c r="G471" s="125"/>
      <c r="J471" s="125"/>
      <c r="L471" s="107"/>
      <c r="M471" s="183"/>
      <c r="N471" s="108"/>
    </row>
    <row r="472" spans="1:14" ht="14.4" x14ac:dyDescent="0.3">
      <c r="A472" s="77"/>
      <c r="B472" s="106"/>
      <c r="F472" s="124"/>
      <c r="G472" s="125"/>
      <c r="J472" s="125"/>
      <c r="L472" s="107"/>
      <c r="M472" s="183"/>
      <c r="N472" s="108"/>
    </row>
    <row r="473" spans="1:14" ht="14.4" x14ac:dyDescent="0.3">
      <c r="A473" s="77"/>
      <c r="B473" s="106"/>
      <c r="F473" s="124"/>
      <c r="G473" s="125"/>
      <c r="J473" s="125"/>
      <c r="L473" s="107"/>
      <c r="M473" s="183"/>
      <c r="N473" s="108"/>
    </row>
    <row r="474" spans="1:14" ht="14.4" x14ac:dyDescent="0.3">
      <c r="A474" s="77"/>
      <c r="B474" s="106"/>
      <c r="F474" s="124"/>
      <c r="G474" s="125"/>
      <c r="J474" s="125"/>
      <c r="L474" s="107"/>
      <c r="M474" s="183"/>
      <c r="N474" s="108"/>
    </row>
    <row r="475" spans="1:14" ht="14.4" x14ac:dyDescent="0.3">
      <c r="A475" s="77"/>
      <c r="B475" s="106"/>
      <c r="F475" s="124"/>
      <c r="G475" s="125"/>
      <c r="J475" s="125"/>
      <c r="L475" s="107"/>
      <c r="M475" s="183"/>
      <c r="N475" s="108"/>
    </row>
    <row r="476" spans="1:14" ht="14.4" x14ac:dyDescent="0.3">
      <c r="A476" s="77"/>
      <c r="B476" s="106"/>
      <c r="F476" s="124"/>
      <c r="G476" s="125"/>
      <c r="J476" s="125"/>
      <c r="L476" s="107"/>
      <c r="M476" s="183"/>
      <c r="N476" s="108"/>
    </row>
    <row r="477" spans="1:14" ht="14.4" x14ac:dyDescent="0.3">
      <c r="A477" s="77"/>
      <c r="B477" s="106"/>
      <c r="F477" s="124"/>
      <c r="G477" s="125"/>
      <c r="J477" s="125"/>
      <c r="L477" s="107"/>
      <c r="M477" s="183"/>
      <c r="N477" s="108"/>
    </row>
    <row r="478" spans="1:14" ht="14.4" x14ac:dyDescent="0.3">
      <c r="A478" s="77"/>
      <c r="B478" s="106"/>
      <c r="F478" s="124"/>
      <c r="G478" s="125"/>
      <c r="J478" s="125"/>
      <c r="L478" s="107"/>
      <c r="M478" s="183"/>
      <c r="N478" s="108"/>
    </row>
    <row r="479" spans="1:14" ht="14.4" x14ac:dyDescent="0.3">
      <c r="A479" s="77"/>
      <c r="B479" s="106"/>
      <c r="F479" s="124"/>
      <c r="G479" s="125"/>
      <c r="J479" s="125"/>
      <c r="L479" s="107"/>
      <c r="M479" s="183"/>
      <c r="N479" s="108"/>
    </row>
    <row r="480" spans="1:14" ht="14.4" x14ac:dyDescent="0.3">
      <c r="A480" s="77"/>
      <c r="B480" s="106"/>
      <c r="F480" s="124"/>
      <c r="G480" s="125"/>
      <c r="J480" s="125"/>
      <c r="L480" s="107"/>
      <c r="M480" s="183"/>
      <c r="N480" s="108"/>
    </row>
    <row r="481" spans="1:14" ht="14.4" x14ac:dyDescent="0.3">
      <c r="A481" s="77"/>
      <c r="B481" s="106"/>
      <c r="F481" s="124"/>
      <c r="G481" s="125"/>
      <c r="J481" s="125"/>
      <c r="L481" s="107"/>
      <c r="M481" s="183"/>
      <c r="N481" s="108"/>
    </row>
    <row r="482" spans="1:14" ht="14.4" x14ac:dyDescent="0.3">
      <c r="A482" s="77"/>
      <c r="B482" s="106"/>
      <c r="F482" s="124"/>
      <c r="G482" s="125"/>
      <c r="J482" s="125"/>
      <c r="L482" s="107"/>
      <c r="M482" s="183"/>
      <c r="N482" s="108"/>
    </row>
    <row r="483" spans="1:14" ht="14.4" x14ac:dyDescent="0.3">
      <c r="A483" s="77"/>
      <c r="B483" s="106"/>
      <c r="F483" s="124"/>
      <c r="G483" s="125"/>
      <c r="J483" s="125"/>
      <c r="L483" s="107"/>
      <c r="M483" s="183"/>
      <c r="N483" s="108"/>
    </row>
    <row r="484" spans="1:14" ht="14.4" x14ac:dyDescent="0.3">
      <c r="A484" s="77"/>
      <c r="B484" s="106"/>
      <c r="F484" s="124"/>
      <c r="G484" s="125"/>
      <c r="J484" s="125"/>
      <c r="L484" s="107"/>
      <c r="M484" s="183"/>
      <c r="N484" s="108"/>
    </row>
    <row r="485" spans="1:14" ht="14.4" x14ac:dyDescent="0.3">
      <c r="A485" s="77"/>
      <c r="B485" s="106"/>
      <c r="F485" s="124"/>
      <c r="G485" s="125"/>
      <c r="J485" s="125"/>
      <c r="L485" s="107"/>
      <c r="M485" s="183"/>
      <c r="N485" s="108"/>
    </row>
    <row r="486" spans="1:14" ht="14.4" x14ac:dyDescent="0.3">
      <c r="A486" s="77"/>
      <c r="B486" s="106"/>
      <c r="F486" s="124"/>
      <c r="G486" s="125"/>
      <c r="J486" s="125"/>
      <c r="L486" s="107"/>
      <c r="M486" s="183"/>
      <c r="N486" s="108"/>
    </row>
    <row r="487" spans="1:14" ht="14.4" x14ac:dyDescent="0.3">
      <c r="A487" s="77"/>
      <c r="B487" s="106"/>
      <c r="F487" s="124"/>
      <c r="G487" s="125"/>
      <c r="J487" s="125"/>
      <c r="L487" s="107"/>
      <c r="M487" s="183"/>
      <c r="N487" s="108"/>
    </row>
    <row r="488" spans="1:14" ht="14.4" x14ac:dyDescent="0.3">
      <c r="A488" s="77"/>
      <c r="B488" s="106"/>
      <c r="F488" s="124"/>
      <c r="G488" s="125"/>
      <c r="J488" s="125"/>
      <c r="L488" s="107"/>
      <c r="M488" s="183"/>
      <c r="N488" s="108"/>
    </row>
    <row r="489" spans="1:14" ht="14.4" x14ac:dyDescent="0.3">
      <c r="A489" s="77"/>
      <c r="B489" s="106"/>
      <c r="F489" s="124"/>
      <c r="G489" s="125"/>
      <c r="J489" s="125"/>
      <c r="L489" s="107"/>
      <c r="M489" s="183"/>
      <c r="N489" s="108"/>
    </row>
    <row r="490" spans="1:14" ht="14.4" x14ac:dyDescent="0.3">
      <c r="A490" s="77"/>
      <c r="B490" s="106"/>
      <c r="F490" s="124"/>
      <c r="G490" s="125"/>
      <c r="J490" s="125"/>
      <c r="L490" s="107"/>
      <c r="M490" s="183"/>
      <c r="N490" s="108"/>
    </row>
    <row r="491" spans="1:14" ht="14.4" x14ac:dyDescent="0.3">
      <c r="A491" s="77"/>
      <c r="B491" s="106"/>
      <c r="F491" s="124"/>
      <c r="G491" s="125"/>
      <c r="J491" s="125"/>
      <c r="L491" s="107"/>
      <c r="M491" s="183"/>
      <c r="N491" s="108"/>
    </row>
    <row r="492" spans="1:14" ht="14.4" x14ac:dyDescent="0.3">
      <c r="A492" s="77"/>
      <c r="B492" s="106"/>
      <c r="F492" s="124"/>
      <c r="G492" s="125"/>
      <c r="J492" s="125"/>
      <c r="L492" s="107"/>
      <c r="M492" s="183"/>
      <c r="N492" s="108"/>
    </row>
    <row r="493" spans="1:14" ht="14.4" x14ac:dyDescent="0.3">
      <c r="A493" s="77"/>
      <c r="B493" s="106"/>
      <c r="F493" s="124"/>
      <c r="G493" s="125"/>
      <c r="J493" s="125"/>
      <c r="L493" s="107"/>
      <c r="M493" s="183"/>
      <c r="N493" s="108"/>
    </row>
    <row r="494" spans="1:14" ht="14.4" x14ac:dyDescent="0.3">
      <c r="A494" s="77"/>
      <c r="B494" s="106"/>
      <c r="F494" s="124"/>
      <c r="G494" s="125"/>
      <c r="J494" s="125"/>
      <c r="L494" s="107"/>
      <c r="M494" s="183"/>
      <c r="N494" s="108"/>
    </row>
    <row r="495" spans="1:14" ht="14.4" x14ac:dyDescent="0.3">
      <c r="A495" s="77"/>
      <c r="B495" s="106"/>
      <c r="F495" s="124"/>
      <c r="G495" s="125"/>
      <c r="J495" s="125"/>
      <c r="L495" s="107"/>
      <c r="M495" s="183"/>
      <c r="N495" s="108"/>
    </row>
    <row r="496" spans="1:14" ht="14.4" x14ac:dyDescent="0.3">
      <c r="A496" s="77"/>
      <c r="B496" s="106"/>
      <c r="F496" s="124"/>
      <c r="G496" s="125"/>
      <c r="J496" s="125"/>
      <c r="L496" s="107"/>
      <c r="M496" s="183"/>
      <c r="N496" s="108"/>
    </row>
    <row r="497" spans="1:14" ht="14.4" x14ac:dyDescent="0.3">
      <c r="A497" s="77"/>
      <c r="B497" s="106"/>
      <c r="F497" s="124"/>
      <c r="G497" s="125"/>
      <c r="J497" s="125"/>
      <c r="L497" s="107"/>
      <c r="M497" s="183"/>
      <c r="N497" s="108"/>
    </row>
    <row r="498" spans="1:14" ht="14.4" x14ac:dyDescent="0.3">
      <c r="A498" s="77"/>
      <c r="B498" s="106"/>
      <c r="F498" s="124"/>
      <c r="G498" s="125"/>
      <c r="J498" s="125"/>
      <c r="L498" s="107"/>
      <c r="M498" s="183"/>
      <c r="N498" s="108"/>
    </row>
    <row r="499" spans="1:14" ht="14.4" x14ac:dyDescent="0.3">
      <c r="A499" s="77"/>
      <c r="B499" s="106"/>
      <c r="F499" s="124"/>
      <c r="G499" s="125"/>
      <c r="J499" s="125"/>
      <c r="L499" s="107"/>
      <c r="M499" s="183"/>
      <c r="N499" s="108"/>
    </row>
    <row r="500" spans="1:14" ht="14.4" x14ac:dyDescent="0.3">
      <c r="A500" s="77"/>
      <c r="B500" s="106"/>
      <c r="F500" s="124"/>
      <c r="G500" s="125"/>
      <c r="J500" s="125"/>
      <c r="L500" s="107"/>
      <c r="M500" s="183"/>
      <c r="N500" s="108"/>
    </row>
    <row r="501" spans="1:14" ht="14.4" x14ac:dyDescent="0.3">
      <c r="A501" s="77"/>
      <c r="B501" s="106"/>
      <c r="F501" s="124"/>
      <c r="G501" s="125"/>
      <c r="J501" s="125"/>
      <c r="L501" s="107"/>
      <c r="M501" s="183"/>
      <c r="N501" s="108"/>
    </row>
    <row r="502" spans="1:14" ht="14.4" x14ac:dyDescent="0.3">
      <c r="A502" s="77"/>
      <c r="B502" s="106"/>
      <c r="F502" s="124"/>
      <c r="G502" s="125"/>
      <c r="J502" s="125"/>
      <c r="L502" s="107"/>
      <c r="M502" s="183"/>
      <c r="N502" s="108"/>
    </row>
    <row r="503" spans="1:14" ht="14.4" x14ac:dyDescent="0.3">
      <c r="A503" s="77"/>
      <c r="B503" s="106"/>
      <c r="F503" s="124"/>
      <c r="G503" s="125"/>
      <c r="J503" s="125"/>
      <c r="L503" s="107"/>
      <c r="M503" s="183"/>
      <c r="N503" s="108"/>
    </row>
    <row r="504" spans="1:14" ht="14.4" x14ac:dyDescent="0.3">
      <c r="A504" s="77"/>
      <c r="B504" s="106"/>
      <c r="F504" s="124"/>
      <c r="G504" s="125"/>
      <c r="J504" s="125"/>
      <c r="L504" s="107"/>
      <c r="M504" s="183"/>
      <c r="N504" s="108"/>
    </row>
    <row r="505" spans="1:14" ht="14.4" x14ac:dyDescent="0.3">
      <c r="A505" s="77"/>
      <c r="B505" s="106"/>
      <c r="F505" s="124"/>
      <c r="G505" s="125"/>
      <c r="J505" s="125"/>
      <c r="L505" s="107"/>
      <c r="M505" s="183"/>
      <c r="N505" s="108"/>
    </row>
    <row r="506" spans="1:14" ht="14.4" x14ac:dyDescent="0.3">
      <c r="A506" s="77"/>
      <c r="B506" s="106"/>
      <c r="F506" s="124"/>
      <c r="G506" s="125"/>
      <c r="J506" s="125"/>
      <c r="L506" s="107"/>
      <c r="M506" s="183"/>
      <c r="N506" s="108"/>
    </row>
    <row r="507" spans="1:14" ht="14.4" x14ac:dyDescent="0.3">
      <c r="A507" s="77"/>
      <c r="B507" s="106"/>
      <c r="F507" s="124"/>
      <c r="G507" s="125"/>
      <c r="J507" s="125"/>
      <c r="L507" s="107"/>
      <c r="M507" s="183"/>
      <c r="N507" s="108"/>
    </row>
    <row r="508" spans="1:14" ht="14.4" x14ac:dyDescent="0.3">
      <c r="A508" s="77"/>
      <c r="B508" s="106"/>
      <c r="F508" s="124"/>
      <c r="G508" s="125"/>
      <c r="J508" s="125"/>
      <c r="L508" s="107"/>
      <c r="M508" s="183"/>
      <c r="N508" s="108"/>
    </row>
    <row r="509" spans="1:14" ht="14.4" x14ac:dyDescent="0.3">
      <c r="A509" s="77"/>
      <c r="B509" s="106"/>
      <c r="F509" s="124"/>
      <c r="G509" s="125"/>
      <c r="J509" s="125"/>
      <c r="L509" s="107"/>
      <c r="M509" s="183"/>
      <c r="N509" s="108"/>
    </row>
    <row r="510" spans="1:14" ht="14.4" x14ac:dyDescent="0.3">
      <c r="A510" s="77"/>
      <c r="B510" s="106"/>
      <c r="F510" s="124"/>
      <c r="G510" s="125"/>
      <c r="J510" s="125"/>
      <c r="L510" s="107"/>
      <c r="M510" s="183"/>
      <c r="N510" s="108"/>
    </row>
    <row r="511" spans="1:14" ht="14.4" x14ac:dyDescent="0.3">
      <c r="A511" s="77"/>
      <c r="B511" s="106"/>
      <c r="F511" s="124"/>
      <c r="G511" s="125"/>
      <c r="J511" s="125"/>
      <c r="L511" s="107"/>
      <c r="M511" s="183"/>
      <c r="N511" s="108"/>
    </row>
    <row r="512" spans="1:14" ht="14.4" x14ac:dyDescent="0.3">
      <c r="A512" s="77"/>
      <c r="B512" s="106"/>
      <c r="F512" s="124"/>
      <c r="G512" s="125"/>
      <c r="J512" s="125"/>
      <c r="L512" s="107"/>
      <c r="M512" s="183"/>
      <c r="N512" s="108"/>
    </row>
    <row r="513" spans="1:14" ht="14.4" x14ac:dyDescent="0.3">
      <c r="A513" s="77"/>
      <c r="B513" s="106"/>
      <c r="F513" s="124"/>
      <c r="G513" s="125"/>
      <c r="J513" s="125"/>
      <c r="L513" s="107"/>
      <c r="M513" s="183"/>
      <c r="N513" s="108"/>
    </row>
    <row r="514" spans="1:14" ht="14.4" x14ac:dyDescent="0.3">
      <c r="A514" s="77"/>
      <c r="B514" s="106"/>
      <c r="F514" s="124"/>
      <c r="G514" s="125"/>
      <c r="J514" s="125"/>
      <c r="L514" s="107"/>
      <c r="M514" s="183"/>
      <c r="N514" s="108"/>
    </row>
    <row r="515" spans="1:14" ht="14.4" x14ac:dyDescent="0.3">
      <c r="A515" s="77"/>
      <c r="B515" s="106"/>
      <c r="F515" s="124"/>
      <c r="G515" s="125"/>
      <c r="J515" s="125"/>
      <c r="L515" s="107"/>
      <c r="M515" s="183"/>
      <c r="N515" s="108"/>
    </row>
    <row r="516" spans="1:14" ht="14.4" x14ac:dyDescent="0.3">
      <c r="A516" s="77"/>
      <c r="B516" s="106"/>
      <c r="F516" s="124"/>
      <c r="G516" s="125"/>
      <c r="J516" s="125"/>
      <c r="L516" s="107"/>
      <c r="M516" s="183"/>
      <c r="N516" s="108"/>
    </row>
    <row r="517" spans="1:14" ht="14.4" x14ac:dyDescent="0.3">
      <c r="A517" s="77"/>
      <c r="B517" s="106"/>
      <c r="F517" s="124"/>
      <c r="G517" s="125"/>
      <c r="J517" s="125"/>
      <c r="L517" s="107"/>
      <c r="M517" s="183"/>
      <c r="N517" s="108"/>
    </row>
    <row r="518" spans="1:14" ht="14.4" x14ac:dyDescent="0.3">
      <c r="A518" s="77"/>
      <c r="B518" s="106"/>
      <c r="F518" s="124"/>
      <c r="G518" s="125"/>
      <c r="J518" s="125"/>
      <c r="L518" s="107"/>
      <c r="M518" s="183"/>
      <c r="N518" s="108"/>
    </row>
    <row r="519" spans="1:14" ht="14.4" x14ac:dyDescent="0.3">
      <c r="A519" s="77"/>
      <c r="B519" s="106"/>
      <c r="F519" s="124"/>
      <c r="G519" s="125"/>
      <c r="J519" s="125"/>
      <c r="L519" s="107"/>
      <c r="M519" s="183"/>
      <c r="N519" s="108"/>
    </row>
    <row r="520" spans="1:14" ht="14.4" x14ac:dyDescent="0.3">
      <c r="A520" s="77"/>
      <c r="B520" s="106"/>
      <c r="F520" s="124"/>
      <c r="G520" s="125"/>
      <c r="J520" s="125"/>
      <c r="L520" s="107"/>
      <c r="M520" s="183"/>
      <c r="N520" s="108"/>
    </row>
    <row r="521" spans="1:14" ht="14.4" x14ac:dyDescent="0.3">
      <c r="A521" s="77"/>
      <c r="B521" s="106"/>
      <c r="F521" s="124"/>
      <c r="G521" s="125"/>
      <c r="J521" s="125"/>
      <c r="L521" s="107"/>
      <c r="M521" s="183"/>
      <c r="N521" s="108"/>
    </row>
    <row r="522" spans="1:14" ht="14.4" x14ac:dyDescent="0.3">
      <c r="A522" s="77"/>
      <c r="B522" s="106"/>
      <c r="F522" s="124"/>
      <c r="G522" s="125"/>
      <c r="J522" s="125"/>
      <c r="L522" s="107"/>
      <c r="M522" s="183"/>
      <c r="N522" s="108"/>
    </row>
    <row r="523" spans="1:14" ht="14.4" x14ac:dyDescent="0.3">
      <c r="A523" s="77"/>
      <c r="B523" s="106"/>
      <c r="F523" s="124"/>
      <c r="G523" s="125"/>
      <c r="J523" s="125"/>
      <c r="L523" s="107"/>
      <c r="M523" s="183"/>
      <c r="N523" s="108"/>
    </row>
    <row r="524" spans="1:14" ht="14.4" x14ac:dyDescent="0.3">
      <c r="A524" s="77"/>
      <c r="B524" s="106"/>
      <c r="F524" s="124"/>
      <c r="G524" s="125"/>
      <c r="J524" s="125"/>
      <c r="L524" s="107"/>
      <c r="M524" s="183"/>
      <c r="N524" s="108"/>
    </row>
    <row r="525" spans="1:14" ht="14.4" x14ac:dyDescent="0.3">
      <c r="A525" s="77"/>
      <c r="B525" s="106"/>
      <c r="F525" s="124"/>
      <c r="G525" s="125"/>
      <c r="J525" s="125"/>
      <c r="L525" s="107"/>
      <c r="M525" s="183"/>
      <c r="N525" s="108"/>
    </row>
    <row r="526" spans="1:14" ht="14.4" x14ac:dyDescent="0.3">
      <c r="A526" s="77"/>
      <c r="B526" s="106"/>
      <c r="F526" s="124"/>
      <c r="G526" s="125"/>
      <c r="J526" s="125"/>
      <c r="L526" s="107"/>
      <c r="M526" s="183"/>
      <c r="N526" s="108"/>
    </row>
    <row r="527" spans="1:14" ht="14.4" x14ac:dyDescent="0.3">
      <c r="A527" s="77"/>
      <c r="B527" s="106"/>
      <c r="F527" s="124"/>
      <c r="G527" s="125"/>
      <c r="J527" s="125"/>
      <c r="L527" s="107"/>
      <c r="M527" s="183"/>
      <c r="N527" s="108"/>
    </row>
    <row r="528" spans="1:14" ht="14.4" x14ac:dyDescent="0.3">
      <c r="A528" s="77"/>
      <c r="B528" s="106"/>
      <c r="F528" s="124"/>
      <c r="G528" s="125"/>
      <c r="J528" s="125"/>
      <c r="L528" s="107"/>
      <c r="M528" s="183"/>
      <c r="N528" s="108"/>
    </row>
    <row r="529" spans="1:14" ht="14.4" x14ac:dyDescent="0.3">
      <c r="A529" s="77"/>
      <c r="B529" s="106"/>
      <c r="F529" s="124"/>
      <c r="G529" s="125"/>
      <c r="J529" s="125"/>
      <c r="L529" s="107"/>
      <c r="M529" s="183"/>
      <c r="N529" s="108"/>
    </row>
    <row r="530" spans="1:14" ht="14.4" x14ac:dyDescent="0.3">
      <c r="A530" s="77"/>
      <c r="B530" s="106"/>
      <c r="F530" s="124"/>
      <c r="G530" s="125"/>
      <c r="J530" s="125"/>
      <c r="L530" s="107"/>
      <c r="M530" s="183"/>
      <c r="N530" s="108"/>
    </row>
    <row r="531" spans="1:14" ht="14.4" x14ac:dyDescent="0.3">
      <c r="A531" s="77"/>
      <c r="B531" s="106"/>
      <c r="F531" s="124"/>
      <c r="G531" s="125"/>
      <c r="J531" s="125"/>
      <c r="L531" s="107"/>
      <c r="M531" s="183"/>
      <c r="N531" s="108"/>
    </row>
    <row r="532" spans="1:14" ht="14.4" x14ac:dyDescent="0.3">
      <c r="A532" s="77"/>
      <c r="B532" s="106"/>
      <c r="F532" s="124"/>
      <c r="G532" s="125"/>
      <c r="J532" s="125"/>
      <c r="L532" s="107"/>
      <c r="M532" s="183"/>
      <c r="N532" s="108"/>
    </row>
    <row r="533" spans="1:14" ht="14.4" x14ac:dyDescent="0.3">
      <c r="A533" s="77"/>
      <c r="B533" s="106"/>
      <c r="F533" s="124"/>
      <c r="G533" s="125"/>
      <c r="J533" s="125"/>
      <c r="L533" s="107"/>
      <c r="M533" s="183"/>
      <c r="N533" s="108"/>
    </row>
    <row r="534" spans="1:14" ht="14.4" x14ac:dyDescent="0.3">
      <c r="A534" s="77"/>
      <c r="B534" s="106"/>
      <c r="F534" s="124"/>
      <c r="G534" s="125"/>
      <c r="J534" s="125"/>
      <c r="L534" s="107"/>
      <c r="M534" s="183"/>
      <c r="N534" s="108"/>
    </row>
    <row r="535" spans="1:14" ht="14.4" x14ac:dyDescent="0.3">
      <c r="A535" s="77"/>
      <c r="B535" s="106"/>
      <c r="F535" s="124"/>
      <c r="G535" s="125"/>
      <c r="J535" s="125"/>
      <c r="L535" s="107"/>
      <c r="M535" s="183"/>
      <c r="N535" s="108"/>
    </row>
    <row r="536" spans="1:14" ht="14.4" x14ac:dyDescent="0.3">
      <c r="A536" s="77"/>
      <c r="B536" s="106"/>
      <c r="F536" s="124"/>
      <c r="G536" s="125"/>
      <c r="J536" s="125"/>
      <c r="L536" s="107"/>
      <c r="M536" s="183"/>
      <c r="N536" s="108"/>
    </row>
    <row r="537" spans="1:14" ht="14.4" x14ac:dyDescent="0.3">
      <c r="A537" s="77"/>
      <c r="B537" s="106"/>
      <c r="F537" s="124"/>
      <c r="G537" s="125"/>
      <c r="J537" s="125"/>
      <c r="L537" s="107"/>
      <c r="M537" s="183"/>
      <c r="N537" s="108"/>
    </row>
    <row r="538" spans="1:14" ht="14.4" x14ac:dyDescent="0.3">
      <c r="A538" s="77"/>
      <c r="B538" s="106"/>
      <c r="F538" s="124"/>
      <c r="G538" s="125"/>
      <c r="J538" s="125"/>
      <c r="L538" s="107"/>
      <c r="M538" s="183"/>
      <c r="N538" s="108"/>
    </row>
    <row r="539" spans="1:14" ht="14.4" x14ac:dyDescent="0.3">
      <c r="A539" s="77"/>
      <c r="B539" s="106"/>
      <c r="F539" s="124"/>
      <c r="G539" s="125"/>
      <c r="J539" s="125"/>
      <c r="L539" s="107"/>
      <c r="M539" s="183"/>
      <c r="N539" s="108"/>
    </row>
    <row r="540" spans="1:14" ht="14.4" x14ac:dyDescent="0.3">
      <c r="A540" s="77"/>
      <c r="B540" s="106"/>
      <c r="F540" s="124"/>
      <c r="G540" s="125"/>
      <c r="J540" s="125"/>
      <c r="L540" s="107"/>
      <c r="M540" s="183"/>
      <c r="N540" s="108"/>
    </row>
    <row r="541" spans="1:14" ht="14.4" x14ac:dyDescent="0.3">
      <c r="A541" s="77"/>
      <c r="B541" s="106"/>
      <c r="F541" s="124"/>
      <c r="G541" s="125"/>
      <c r="J541" s="125"/>
      <c r="L541" s="107"/>
      <c r="M541" s="183"/>
      <c r="N541" s="108"/>
    </row>
    <row r="542" spans="1:14" ht="14.4" x14ac:dyDescent="0.3">
      <c r="A542" s="77"/>
      <c r="B542" s="106"/>
      <c r="F542" s="124"/>
      <c r="G542" s="125"/>
      <c r="J542" s="125"/>
      <c r="L542" s="107"/>
      <c r="M542" s="183"/>
      <c r="N542" s="108"/>
    </row>
    <row r="543" spans="1:14" ht="14.4" x14ac:dyDescent="0.3">
      <c r="A543" s="77"/>
      <c r="B543" s="106"/>
      <c r="F543" s="124"/>
      <c r="G543" s="125"/>
      <c r="J543" s="125"/>
      <c r="L543" s="107"/>
      <c r="M543" s="183"/>
      <c r="N543" s="108"/>
    </row>
    <row r="544" spans="1:14" ht="14.4" x14ac:dyDescent="0.3">
      <c r="A544" s="77"/>
      <c r="B544" s="106"/>
      <c r="F544" s="124"/>
      <c r="G544" s="125"/>
      <c r="J544" s="125"/>
      <c r="L544" s="107"/>
      <c r="M544" s="183"/>
      <c r="N544" s="108"/>
    </row>
    <row r="545" spans="1:14" ht="14.4" x14ac:dyDescent="0.3">
      <c r="A545" s="77"/>
      <c r="B545" s="106"/>
      <c r="F545" s="124"/>
      <c r="G545" s="125"/>
      <c r="J545" s="125"/>
      <c r="L545" s="107"/>
      <c r="M545" s="183"/>
      <c r="N545" s="108"/>
    </row>
    <row r="546" spans="1:14" ht="14.4" x14ac:dyDescent="0.3">
      <c r="A546" s="77"/>
      <c r="B546" s="106"/>
      <c r="F546" s="124"/>
      <c r="G546" s="125"/>
      <c r="J546" s="125"/>
      <c r="L546" s="107"/>
      <c r="M546" s="183"/>
      <c r="N546" s="108"/>
    </row>
    <row r="547" spans="1:14" ht="14.4" x14ac:dyDescent="0.3">
      <c r="A547" s="77"/>
      <c r="B547" s="106"/>
      <c r="F547" s="124"/>
      <c r="G547" s="125"/>
      <c r="J547" s="125"/>
      <c r="L547" s="107"/>
      <c r="M547" s="183"/>
      <c r="N547" s="108"/>
    </row>
    <row r="548" spans="1:14" ht="14.4" x14ac:dyDescent="0.3">
      <c r="A548" s="77"/>
      <c r="B548" s="106"/>
      <c r="F548" s="124"/>
      <c r="G548" s="125"/>
      <c r="J548" s="125"/>
      <c r="L548" s="107"/>
      <c r="M548" s="183"/>
      <c r="N548" s="108"/>
    </row>
    <row r="549" spans="1:14" ht="14.4" x14ac:dyDescent="0.3">
      <c r="A549" s="77"/>
      <c r="B549" s="106"/>
      <c r="F549" s="124"/>
      <c r="G549" s="125"/>
      <c r="J549" s="125"/>
      <c r="L549" s="107"/>
      <c r="M549" s="183"/>
      <c r="N549" s="108"/>
    </row>
    <row r="550" spans="1:14" ht="14.4" x14ac:dyDescent="0.3">
      <c r="A550" s="77"/>
      <c r="B550" s="106"/>
      <c r="F550" s="124"/>
      <c r="G550" s="125"/>
      <c r="J550" s="125"/>
      <c r="L550" s="107"/>
      <c r="M550" s="183"/>
      <c r="N550" s="108"/>
    </row>
    <row r="551" spans="1:14" ht="14.4" x14ac:dyDescent="0.3">
      <c r="A551" s="77"/>
      <c r="B551" s="106"/>
      <c r="F551" s="124"/>
      <c r="G551" s="125"/>
      <c r="J551" s="125"/>
      <c r="L551" s="107"/>
      <c r="M551" s="183"/>
      <c r="N551" s="108"/>
    </row>
    <row r="552" spans="1:14" ht="14.4" x14ac:dyDescent="0.3">
      <c r="A552" s="77"/>
      <c r="B552" s="106"/>
      <c r="F552" s="124"/>
      <c r="G552" s="125"/>
      <c r="J552" s="125"/>
      <c r="L552" s="107"/>
      <c r="M552" s="183"/>
      <c r="N552" s="108"/>
    </row>
    <row r="553" spans="1:14" ht="14.4" x14ac:dyDescent="0.3">
      <c r="A553" s="77"/>
      <c r="B553" s="106"/>
      <c r="F553" s="124"/>
      <c r="G553" s="125"/>
      <c r="J553" s="125"/>
      <c r="L553" s="107"/>
      <c r="M553" s="183"/>
      <c r="N553" s="108"/>
    </row>
    <row r="554" spans="1:14" ht="14.4" x14ac:dyDescent="0.3">
      <c r="A554" s="77"/>
      <c r="B554" s="106"/>
      <c r="F554" s="124"/>
      <c r="G554" s="125"/>
      <c r="J554" s="125"/>
      <c r="L554" s="107"/>
      <c r="M554" s="183"/>
      <c r="N554" s="108"/>
    </row>
    <row r="555" spans="1:14" ht="14.4" x14ac:dyDescent="0.3">
      <c r="A555" s="77"/>
      <c r="B555" s="106"/>
      <c r="F555" s="124"/>
      <c r="G555" s="125"/>
      <c r="J555" s="125"/>
      <c r="L555" s="107"/>
      <c r="M555" s="183"/>
      <c r="N555" s="108"/>
    </row>
    <row r="556" spans="1:14" ht="14.4" x14ac:dyDescent="0.3">
      <c r="A556" s="77"/>
      <c r="B556" s="106"/>
      <c r="F556" s="124"/>
      <c r="G556" s="125"/>
      <c r="J556" s="125"/>
      <c r="L556" s="107"/>
      <c r="M556" s="183"/>
      <c r="N556" s="108"/>
    </row>
    <row r="557" spans="1:14" ht="14.4" x14ac:dyDescent="0.3">
      <c r="A557" s="77"/>
      <c r="B557" s="106"/>
      <c r="F557" s="124"/>
      <c r="G557" s="125"/>
      <c r="J557" s="125"/>
      <c r="L557" s="107"/>
      <c r="M557" s="183"/>
      <c r="N557" s="108"/>
    </row>
    <row r="558" spans="1:14" ht="14.4" x14ac:dyDescent="0.3">
      <c r="A558" s="77"/>
      <c r="B558" s="106"/>
      <c r="F558" s="124"/>
      <c r="G558" s="125"/>
      <c r="J558" s="125"/>
      <c r="L558" s="107"/>
      <c r="M558" s="183"/>
      <c r="N558" s="108"/>
    </row>
    <row r="559" spans="1:14" ht="14.4" x14ac:dyDescent="0.3">
      <c r="A559" s="77"/>
      <c r="B559" s="106"/>
      <c r="F559" s="124"/>
      <c r="G559" s="125"/>
      <c r="J559" s="125"/>
      <c r="L559" s="107"/>
      <c r="M559" s="183"/>
      <c r="N559" s="108"/>
    </row>
    <row r="560" spans="1:14" ht="14.4" x14ac:dyDescent="0.3">
      <c r="A560" s="77"/>
      <c r="B560" s="106"/>
      <c r="F560" s="124"/>
      <c r="G560" s="125"/>
      <c r="J560" s="125"/>
      <c r="L560" s="107"/>
      <c r="M560" s="183"/>
      <c r="N560" s="108"/>
    </row>
    <row r="561" spans="1:14" ht="14.4" x14ac:dyDescent="0.3">
      <c r="A561" s="77"/>
      <c r="B561" s="106"/>
      <c r="F561" s="124"/>
      <c r="G561" s="125"/>
      <c r="J561" s="125"/>
      <c r="L561" s="107"/>
      <c r="M561" s="183"/>
      <c r="N561" s="108"/>
    </row>
    <row r="562" spans="1:14" ht="14.4" x14ac:dyDescent="0.3">
      <c r="A562" s="77"/>
      <c r="B562" s="106"/>
      <c r="F562" s="124"/>
      <c r="G562" s="125"/>
      <c r="J562" s="125"/>
      <c r="L562" s="107"/>
      <c r="M562" s="183"/>
      <c r="N562" s="108"/>
    </row>
    <row r="563" spans="1:14" ht="14.4" x14ac:dyDescent="0.3">
      <c r="A563" s="77"/>
      <c r="B563" s="106"/>
      <c r="F563" s="124"/>
      <c r="G563" s="125"/>
      <c r="J563" s="125"/>
      <c r="L563" s="107"/>
      <c r="M563" s="183"/>
      <c r="N563" s="108"/>
    </row>
    <row r="564" spans="1:14" ht="14.4" x14ac:dyDescent="0.3">
      <c r="A564" s="77"/>
      <c r="B564" s="106"/>
      <c r="F564" s="124"/>
      <c r="G564" s="125"/>
      <c r="J564" s="125"/>
      <c r="L564" s="107"/>
      <c r="M564" s="183"/>
      <c r="N564" s="108"/>
    </row>
    <row r="565" spans="1:14" ht="14.4" x14ac:dyDescent="0.3">
      <c r="A565" s="77"/>
      <c r="B565" s="106"/>
      <c r="F565" s="124"/>
      <c r="G565" s="125"/>
      <c r="J565" s="125"/>
      <c r="L565" s="107"/>
      <c r="M565" s="183"/>
      <c r="N565" s="108"/>
    </row>
    <row r="566" spans="1:14" ht="14.4" x14ac:dyDescent="0.3">
      <c r="A566" s="77"/>
      <c r="B566" s="106"/>
      <c r="F566" s="124"/>
      <c r="G566" s="125"/>
      <c r="J566" s="125"/>
      <c r="L566" s="107"/>
      <c r="M566" s="183"/>
      <c r="N566" s="108"/>
    </row>
    <row r="567" spans="1:14" ht="14.4" x14ac:dyDescent="0.3">
      <c r="A567" s="77"/>
      <c r="B567" s="106"/>
      <c r="F567" s="124"/>
      <c r="G567" s="125"/>
      <c r="J567" s="125"/>
      <c r="L567" s="107"/>
      <c r="M567" s="183"/>
      <c r="N567" s="108"/>
    </row>
    <row r="568" spans="1:14" ht="14.4" x14ac:dyDescent="0.3">
      <c r="A568" s="77"/>
      <c r="B568" s="106"/>
      <c r="F568" s="124"/>
      <c r="G568" s="125"/>
      <c r="J568" s="125"/>
      <c r="L568" s="107"/>
      <c r="M568" s="183"/>
      <c r="N568" s="108"/>
    </row>
    <row r="569" spans="1:14" ht="14.4" x14ac:dyDescent="0.3">
      <c r="A569" s="77"/>
      <c r="B569" s="106"/>
      <c r="F569" s="124"/>
      <c r="G569" s="125"/>
      <c r="J569" s="125"/>
      <c r="L569" s="107"/>
      <c r="M569" s="183"/>
      <c r="N569" s="108"/>
    </row>
    <row r="570" spans="1:14" ht="14.4" x14ac:dyDescent="0.3">
      <c r="A570" s="77"/>
      <c r="B570" s="106"/>
      <c r="F570" s="124"/>
      <c r="G570" s="125"/>
      <c r="J570" s="125"/>
      <c r="L570" s="107"/>
      <c r="M570" s="183"/>
      <c r="N570" s="108"/>
    </row>
    <row r="571" spans="1:14" ht="14.4" x14ac:dyDescent="0.3">
      <c r="A571" s="77"/>
      <c r="B571" s="106"/>
      <c r="F571" s="124"/>
      <c r="G571" s="125"/>
      <c r="J571" s="125"/>
      <c r="L571" s="107"/>
      <c r="M571" s="183"/>
      <c r="N571" s="108"/>
    </row>
    <row r="572" spans="1:14" ht="14.4" x14ac:dyDescent="0.3">
      <c r="A572" s="77"/>
      <c r="B572" s="106"/>
      <c r="F572" s="124"/>
      <c r="G572" s="125"/>
      <c r="J572" s="125"/>
      <c r="L572" s="107"/>
      <c r="M572" s="183"/>
      <c r="N572" s="108"/>
    </row>
    <row r="573" spans="1:14" ht="14.4" x14ac:dyDescent="0.3">
      <c r="A573" s="77"/>
      <c r="B573" s="106"/>
      <c r="F573" s="124"/>
      <c r="G573" s="125"/>
      <c r="J573" s="125"/>
      <c r="L573" s="107"/>
      <c r="M573" s="183"/>
      <c r="N573" s="108"/>
    </row>
    <row r="574" spans="1:14" ht="14.4" x14ac:dyDescent="0.3">
      <c r="A574" s="77"/>
      <c r="B574" s="106"/>
      <c r="F574" s="124"/>
      <c r="G574" s="125"/>
      <c r="J574" s="125"/>
      <c r="L574" s="107"/>
      <c r="M574" s="183"/>
      <c r="N574" s="108"/>
    </row>
    <row r="575" spans="1:14" ht="14.4" x14ac:dyDescent="0.3">
      <c r="A575" s="77"/>
      <c r="B575" s="106"/>
      <c r="F575" s="124"/>
      <c r="G575" s="125"/>
      <c r="J575" s="125"/>
      <c r="L575" s="107"/>
      <c r="M575" s="183"/>
      <c r="N575" s="108"/>
    </row>
    <row r="576" spans="1:14" ht="14.4" x14ac:dyDescent="0.3">
      <c r="A576" s="77"/>
      <c r="B576" s="106"/>
      <c r="F576" s="124"/>
      <c r="G576" s="125"/>
      <c r="J576" s="125"/>
      <c r="L576" s="107"/>
      <c r="M576" s="183"/>
      <c r="N576" s="108"/>
    </row>
    <row r="577" spans="1:14" ht="14.4" x14ac:dyDescent="0.3">
      <c r="A577" s="77"/>
      <c r="B577" s="106"/>
      <c r="F577" s="124"/>
      <c r="G577" s="125"/>
      <c r="J577" s="125"/>
      <c r="L577" s="107"/>
      <c r="M577" s="183"/>
      <c r="N577" s="108"/>
    </row>
    <row r="578" spans="1:14" ht="14.4" x14ac:dyDescent="0.3">
      <c r="A578" s="77"/>
      <c r="B578" s="106"/>
      <c r="F578" s="124"/>
      <c r="G578" s="125"/>
      <c r="J578" s="125"/>
      <c r="L578" s="107"/>
      <c r="M578" s="183"/>
      <c r="N578" s="108"/>
    </row>
    <row r="579" spans="1:14" ht="14.4" x14ac:dyDescent="0.3">
      <c r="A579" s="77"/>
      <c r="B579" s="106"/>
      <c r="F579" s="124"/>
      <c r="G579" s="125"/>
      <c r="J579" s="125"/>
      <c r="L579" s="107"/>
      <c r="M579" s="183"/>
      <c r="N579" s="108"/>
    </row>
    <row r="580" spans="1:14" ht="14.4" x14ac:dyDescent="0.3">
      <c r="A580" s="77"/>
      <c r="B580" s="106"/>
      <c r="F580" s="124"/>
      <c r="G580" s="125"/>
      <c r="J580" s="125"/>
      <c r="L580" s="107"/>
      <c r="M580" s="183"/>
      <c r="N580" s="108"/>
    </row>
    <row r="581" spans="1:14" ht="14.4" x14ac:dyDescent="0.3">
      <c r="A581" s="77"/>
      <c r="B581" s="106"/>
      <c r="F581" s="124"/>
      <c r="G581" s="125"/>
      <c r="J581" s="125"/>
      <c r="L581" s="107"/>
      <c r="M581" s="183"/>
      <c r="N581" s="108"/>
    </row>
    <row r="582" spans="1:14" ht="14.4" x14ac:dyDescent="0.3">
      <c r="A582" s="77"/>
      <c r="B582" s="106"/>
      <c r="F582" s="124"/>
      <c r="G582" s="125"/>
      <c r="J582" s="125"/>
      <c r="L582" s="107"/>
      <c r="M582" s="183"/>
      <c r="N582" s="108"/>
    </row>
    <row r="583" spans="1:14" ht="14.4" x14ac:dyDescent="0.3">
      <c r="A583" s="77"/>
      <c r="B583" s="106"/>
      <c r="F583" s="124"/>
      <c r="G583" s="125"/>
      <c r="J583" s="125"/>
      <c r="L583" s="107"/>
      <c r="M583" s="183"/>
      <c r="N583" s="108"/>
    </row>
    <row r="584" spans="1:14" ht="14.4" x14ac:dyDescent="0.3">
      <c r="A584" s="77"/>
      <c r="B584" s="106"/>
      <c r="F584" s="124"/>
      <c r="G584" s="125"/>
      <c r="J584" s="125"/>
      <c r="L584" s="107"/>
      <c r="M584" s="183"/>
      <c r="N584" s="108"/>
    </row>
    <row r="585" spans="1:14" ht="14.4" x14ac:dyDescent="0.3">
      <c r="A585" s="77"/>
      <c r="B585" s="106"/>
      <c r="F585" s="124"/>
      <c r="G585" s="125"/>
      <c r="J585" s="125"/>
      <c r="L585" s="107"/>
      <c r="M585" s="183"/>
      <c r="N585" s="108"/>
    </row>
    <row r="586" spans="1:14" ht="14.4" x14ac:dyDescent="0.3">
      <c r="A586" s="77"/>
      <c r="B586" s="106"/>
      <c r="F586" s="124"/>
      <c r="G586" s="125"/>
      <c r="J586" s="125"/>
      <c r="L586" s="107"/>
      <c r="M586" s="183"/>
      <c r="N586" s="108"/>
    </row>
    <row r="587" spans="1:14" ht="14.4" x14ac:dyDescent="0.3">
      <c r="A587" s="77"/>
      <c r="B587" s="106"/>
      <c r="F587" s="124"/>
      <c r="G587" s="125"/>
      <c r="J587" s="125"/>
      <c r="L587" s="107"/>
      <c r="M587" s="183"/>
      <c r="N587" s="108"/>
    </row>
    <row r="588" spans="1:14" ht="14.4" x14ac:dyDescent="0.3">
      <c r="A588" s="77"/>
      <c r="B588" s="106"/>
      <c r="F588" s="124"/>
      <c r="G588" s="125"/>
      <c r="J588" s="125"/>
      <c r="L588" s="107"/>
      <c r="M588" s="183"/>
      <c r="N588" s="108"/>
    </row>
    <row r="589" spans="1:14" ht="14.4" x14ac:dyDescent="0.3">
      <c r="A589" s="77"/>
      <c r="B589" s="106"/>
      <c r="F589" s="124"/>
      <c r="G589" s="125"/>
      <c r="J589" s="125"/>
      <c r="L589" s="107"/>
      <c r="M589" s="183"/>
      <c r="N589" s="108"/>
    </row>
    <row r="590" spans="1:14" ht="14.4" x14ac:dyDescent="0.3">
      <c r="A590" s="77"/>
      <c r="B590" s="106"/>
      <c r="F590" s="124"/>
      <c r="G590" s="125"/>
      <c r="J590" s="125"/>
      <c r="L590" s="107"/>
      <c r="M590" s="183"/>
      <c r="N590" s="108"/>
    </row>
    <row r="591" spans="1:14" ht="14.4" x14ac:dyDescent="0.3">
      <c r="A591" s="77"/>
      <c r="B591" s="106"/>
      <c r="F591" s="124"/>
      <c r="G591" s="125"/>
      <c r="J591" s="125"/>
      <c r="L591" s="107"/>
      <c r="M591" s="183"/>
      <c r="N591" s="108"/>
    </row>
    <row r="592" spans="1:14" ht="14.4" x14ac:dyDescent="0.3">
      <c r="A592" s="77"/>
      <c r="B592" s="106"/>
      <c r="F592" s="124"/>
      <c r="G592" s="125"/>
      <c r="J592" s="125"/>
      <c r="L592" s="107"/>
      <c r="M592" s="183"/>
      <c r="N592" s="108"/>
    </row>
    <row r="593" spans="1:14" ht="14.4" x14ac:dyDescent="0.3">
      <c r="A593" s="77"/>
      <c r="B593" s="106"/>
      <c r="F593" s="124"/>
      <c r="G593" s="125"/>
      <c r="J593" s="125"/>
      <c r="L593" s="107"/>
      <c r="M593" s="183"/>
      <c r="N593" s="108"/>
    </row>
    <row r="594" spans="1:14" ht="14.4" x14ac:dyDescent="0.3">
      <c r="A594" s="77"/>
      <c r="B594" s="106"/>
      <c r="F594" s="124"/>
      <c r="G594" s="125"/>
      <c r="J594" s="125"/>
      <c r="L594" s="107"/>
      <c r="M594" s="183"/>
      <c r="N594" s="108"/>
    </row>
    <row r="595" spans="1:14" ht="14.4" x14ac:dyDescent="0.3">
      <c r="A595" s="77"/>
      <c r="B595" s="106"/>
      <c r="F595" s="124"/>
      <c r="G595" s="125"/>
      <c r="J595" s="125"/>
      <c r="L595" s="107"/>
      <c r="M595" s="183"/>
      <c r="N595" s="108"/>
    </row>
    <row r="596" spans="1:14" ht="14.4" x14ac:dyDescent="0.3">
      <c r="A596" s="77"/>
      <c r="B596" s="106"/>
      <c r="F596" s="124"/>
      <c r="G596" s="125"/>
      <c r="J596" s="125"/>
      <c r="L596" s="107"/>
      <c r="M596" s="183"/>
      <c r="N596" s="108"/>
    </row>
    <row r="597" spans="1:14" ht="14.4" x14ac:dyDescent="0.3">
      <c r="A597" s="77"/>
      <c r="B597" s="106"/>
      <c r="F597" s="124"/>
      <c r="G597" s="125"/>
      <c r="J597" s="125"/>
      <c r="L597" s="107"/>
      <c r="M597" s="183"/>
      <c r="N597" s="108"/>
    </row>
    <row r="598" spans="1:14" ht="14.4" x14ac:dyDescent="0.3">
      <c r="A598" s="77"/>
      <c r="B598" s="106"/>
      <c r="F598" s="124"/>
      <c r="G598" s="125"/>
      <c r="J598" s="125"/>
      <c r="L598" s="107"/>
      <c r="M598" s="183"/>
      <c r="N598" s="108"/>
    </row>
    <row r="599" spans="1:14" ht="14.4" x14ac:dyDescent="0.3">
      <c r="A599" s="77"/>
      <c r="B599" s="106"/>
      <c r="F599" s="124"/>
      <c r="G599" s="125"/>
      <c r="J599" s="125"/>
      <c r="L599" s="107"/>
      <c r="M599" s="183"/>
      <c r="N599" s="108"/>
    </row>
    <row r="600" spans="1:14" ht="14.4" x14ac:dyDescent="0.3">
      <c r="A600" s="77"/>
      <c r="B600" s="106"/>
      <c r="F600" s="124"/>
      <c r="G600" s="125"/>
      <c r="J600" s="125"/>
      <c r="L600" s="107"/>
      <c r="M600" s="183"/>
      <c r="N600" s="108"/>
    </row>
    <row r="601" spans="1:14" ht="14.4" x14ac:dyDescent="0.3">
      <c r="A601" s="77"/>
      <c r="B601" s="106"/>
      <c r="F601" s="124"/>
      <c r="G601" s="125"/>
      <c r="J601" s="125"/>
      <c r="L601" s="107"/>
      <c r="M601" s="183"/>
      <c r="N601" s="108"/>
    </row>
    <row r="602" spans="1:14" ht="14.4" x14ac:dyDescent="0.3">
      <c r="A602" s="77"/>
      <c r="B602" s="106"/>
      <c r="F602" s="124"/>
      <c r="G602" s="125"/>
      <c r="J602" s="125"/>
      <c r="L602" s="107"/>
      <c r="M602" s="183"/>
      <c r="N602" s="108"/>
    </row>
    <row r="603" spans="1:14" ht="14.4" x14ac:dyDescent="0.3">
      <c r="A603" s="77"/>
      <c r="B603" s="106"/>
      <c r="F603" s="124"/>
      <c r="G603" s="125"/>
      <c r="J603" s="125"/>
      <c r="L603" s="107"/>
      <c r="M603" s="183"/>
      <c r="N603" s="108"/>
    </row>
    <row r="604" spans="1:14" ht="14.4" x14ac:dyDescent="0.3">
      <c r="A604" s="77"/>
      <c r="B604" s="106"/>
      <c r="F604" s="124"/>
      <c r="G604" s="125"/>
      <c r="J604" s="125"/>
      <c r="L604" s="107"/>
      <c r="M604" s="183"/>
      <c r="N604" s="108"/>
    </row>
    <row r="605" spans="1:14" ht="14.4" x14ac:dyDescent="0.3">
      <c r="A605" s="77"/>
      <c r="B605" s="106"/>
      <c r="F605" s="124"/>
      <c r="G605" s="125"/>
      <c r="J605" s="125"/>
      <c r="L605" s="107"/>
      <c r="M605" s="183"/>
      <c r="N605" s="108"/>
    </row>
    <row r="606" spans="1:14" ht="14.4" x14ac:dyDescent="0.3">
      <c r="A606" s="77"/>
      <c r="B606" s="106"/>
      <c r="F606" s="124"/>
      <c r="G606" s="125"/>
      <c r="J606" s="125"/>
      <c r="L606" s="107"/>
      <c r="M606" s="183"/>
      <c r="N606" s="108"/>
    </row>
    <row r="607" spans="1:14" ht="14.4" x14ac:dyDescent="0.3">
      <c r="A607" s="77"/>
      <c r="B607" s="106"/>
      <c r="F607" s="124"/>
      <c r="G607" s="125"/>
      <c r="J607" s="125"/>
      <c r="L607" s="107"/>
      <c r="M607" s="183"/>
      <c r="N607" s="108"/>
    </row>
    <row r="608" spans="1:14" ht="14.4" x14ac:dyDescent="0.3">
      <c r="A608" s="77"/>
      <c r="B608" s="106"/>
      <c r="F608" s="124"/>
      <c r="G608" s="125"/>
      <c r="J608" s="125"/>
      <c r="L608" s="107"/>
      <c r="M608" s="183"/>
      <c r="N608" s="108"/>
    </row>
    <row r="609" spans="1:14" ht="14.4" x14ac:dyDescent="0.3">
      <c r="A609" s="77"/>
      <c r="B609" s="106"/>
      <c r="F609" s="124"/>
      <c r="G609" s="125"/>
      <c r="J609" s="125"/>
      <c r="L609" s="107"/>
      <c r="M609" s="183"/>
      <c r="N609" s="108"/>
    </row>
    <row r="610" spans="1:14" ht="14.4" x14ac:dyDescent="0.3">
      <c r="A610" s="77"/>
      <c r="B610" s="106"/>
      <c r="F610" s="124"/>
      <c r="G610" s="125"/>
      <c r="J610" s="125"/>
      <c r="L610" s="107"/>
      <c r="M610" s="183"/>
      <c r="N610" s="108"/>
    </row>
    <row r="611" spans="1:14" ht="14.4" x14ac:dyDescent="0.3">
      <c r="A611" s="77"/>
      <c r="B611" s="106"/>
      <c r="F611" s="124"/>
      <c r="G611" s="125"/>
      <c r="J611" s="125"/>
      <c r="L611" s="107"/>
      <c r="M611" s="183"/>
      <c r="N611" s="108"/>
    </row>
    <row r="612" spans="1:14" ht="14.4" x14ac:dyDescent="0.3">
      <c r="A612" s="77"/>
      <c r="B612" s="106"/>
      <c r="F612" s="124"/>
      <c r="G612" s="125"/>
      <c r="J612" s="125"/>
      <c r="L612" s="107"/>
      <c r="M612" s="183"/>
      <c r="N612" s="108"/>
    </row>
    <row r="613" spans="1:14" ht="14.4" x14ac:dyDescent="0.3">
      <c r="A613" s="77"/>
      <c r="B613" s="106"/>
      <c r="F613" s="124"/>
      <c r="G613" s="125"/>
      <c r="J613" s="125"/>
      <c r="L613" s="107"/>
      <c r="M613" s="183"/>
      <c r="N613" s="108"/>
    </row>
    <row r="614" spans="1:14" ht="14.4" x14ac:dyDescent="0.3">
      <c r="A614" s="77"/>
      <c r="B614" s="106"/>
      <c r="F614" s="124"/>
      <c r="G614" s="125"/>
      <c r="J614" s="125"/>
      <c r="L614" s="107"/>
      <c r="M614" s="183"/>
      <c r="N614" s="108"/>
    </row>
    <row r="615" spans="1:14" ht="14.4" x14ac:dyDescent="0.3">
      <c r="A615" s="77"/>
      <c r="B615" s="106"/>
      <c r="F615" s="124"/>
      <c r="G615" s="125"/>
      <c r="J615" s="125"/>
      <c r="L615" s="107"/>
      <c r="M615" s="183"/>
      <c r="N615" s="108"/>
    </row>
    <row r="616" spans="1:14" ht="14.4" x14ac:dyDescent="0.3">
      <c r="A616" s="77"/>
      <c r="B616" s="106"/>
      <c r="F616" s="124"/>
      <c r="G616" s="125"/>
      <c r="J616" s="125"/>
      <c r="L616" s="107"/>
      <c r="M616" s="183"/>
      <c r="N616" s="108"/>
    </row>
    <row r="617" spans="1:14" ht="14.4" x14ac:dyDescent="0.3">
      <c r="A617" s="77"/>
      <c r="B617" s="106"/>
      <c r="F617" s="124"/>
      <c r="G617" s="125"/>
      <c r="J617" s="125"/>
      <c r="L617" s="107"/>
      <c r="M617" s="183"/>
      <c r="N617" s="108"/>
    </row>
    <row r="618" spans="1:14" ht="14.4" x14ac:dyDescent="0.3">
      <c r="A618" s="77"/>
      <c r="B618" s="106"/>
      <c r="F618" s="124"/>
      <c r="G618" s="125"/>
      <c r="J618" s="125"/>
      <c r="L618" s="107"/>
      <c r="M618" s="183"/>
      <c r="N618" s="108"/>
    </row>
    <row r="619" spans="1:14" ht="14.4" x14ac:dyDescent="0.3">
      <c r="A619" s="77"/>
      <c r="B619" s="106"/>
      <c r="F619" s="124"/>
      <c r="G619" s="125"/>
      <c r="J619" s="125"/>
      <c r="L619" s="107"/>
      <c r="M619" s="183"/>
      <c r="N619" s="108"/>
    </row>
    <row r="620" spans="1:14" ht="14.4" x14ac:dyDescent="0.3">
      <c r="A620" s="77"/>
      <c r="B620" s="106"/>
      <c r="F620" s="124"/>
      <c r="G620" s="125"/>
      <c r="J620" s="125"/>
      <c r="L620" s="107"/>
      <c r="M620" s="183"/>
      <c r="N620" s="108"/>
    </row>
    <row r="621" spans="1:14" ht="14.4" x14ac:dyDescent="0.3">
      <c r="A621" s="77"/>
      <c r="B621" s="106"/>
      <c r="F621" s="124"/>
      <c r="G621" s="125"/>
      <c r="J621" s="125"/>
      <c r="L621" s="107"/>
      <c r="M621" s="183"/>
      <c r="N621" s="108"/>
    </row>
    <row r="622" spans="1:14" ht="14.4" x14ac:dyDescent="0.3">
      <c r="A622" s="77"/>
      <c r="B622" s="106"/>
      <c r="F622" s="124"/>
      <c r="G622" s="125"/>
      <c r="J622" s="125"/>
      <c r="L622" s="107"/>
      <c r="M622" s="183"/>
      <c r="N622" s="108"/>
    </row>
    <row r="623" spans="1:14" ht="14.4" x14ac:dyDescent="0.3">
      <c r="A623" s="77"/>
      <c r="B623" s="106"/>
      <c r="F623" s="124"/>
      <c r="G623" s="125"/>
      <c r="J623" s="125"/>
      <c r="L623" s="107"/>
      <c r="M623" s="183"/>
      <c r="N623" s="108"/>
    </row>
    <row r="624" spans="1:14" ht="14.4" x14ac:dyDescent="0.3">
      <c r="A624" s="77"/>
      <c r="B624" s="106"/>
      <c r="F624" s="124"/>
      <c r="G624" s="125"/>
      <c r="J624" s="125"/>
      <c r="L624" s="107"/>
      <c r="M624" s="183"/>
      <c r="N624" s="108"/>
    </row>
    <row r="625" spans="1:14" ht="14.4" x14ac:dyDescent="0.3">
      <c r="A625" s="77"/>
      <c r="B625" s="106"/>
      <c r="F625" s="124"/>
      <c r="G625" s="125"/>
      <c r="J625" s="125"/>
      <c r="L625" s="107"/>
      <c r="M625" s="183"/>
      <c r="N625" s="108"/>
    </row>
    <row r="626" spans="1:14" ht="14.4" x14ac:dyDescent="0.3">
      <c r="A626" s="77"/>
      <c r="B626" s="106"/>
      <c r="F626" s="124"/>
      <c r="G626" s="125"/>
      <c r="J626" s="125"/>
      <c r="L626" s="107"/>
      <c r="M626" s="183"/>
      <c r="N626" s="108"/>
    </row>
    <row r="627" spans="1:14" ht="14.4" x14ac:dyDescent="0.3">
      <c r="A627" s="77"/>
      <c r="B627" s="106"/>
      <c r="F627" s="124"/>
      <c r="G627" s="125"/>
      <c r="J627" s="125"/>
      <c r="L627" s="107"/>
      <c r="M627" s="183"/>
      <c r="N627" s="108"/>
    </row>
    <row r="628" spans="1:14" ht="14.4" x14ac:dyDescent="0.3">
      <c r="A628" s="77"/>
      <c r="B628" s="106"/>
      <c r="F628" s="124"/>
      <c r="G628" s="125"/>
      <c r="J628" s="125"/>
      <c r="L628" s="107"/>
      <c r="M628" s="183"/>
      <c r="N628" s="108"/>
    </row>
    <row r="629" spans="1:14" ht="14.4" x14ac:dyDescent="0.3">
      <c r="A629" s="77"/>
      <c r="B629" s="106"/>
      <c r="F629" s="124"/>
      <c r="G629" s="125"/>
      <c r="J629" s="125"/>
      <c r="L629" s="107"/>
      <c r="M629" s="183"/>
      <c r="N629" s="108"/>
    </row>
    <row r="630" spans="1:14" ht="14.4" x14ac:dyDescent="0.3">
      <c r="A630" s="77"/>
      <c r="B630" s="106"/>
      <c r="F630" s="124"/>
      <c r="G630" s="125"/>
      <c r="J630" s="125"/>
      <c r="L630" s="107"/>
      <c r="M630" s="183"/>
      <c r="N630" s="108"/>
    </row>
    <row r="631" spans="1:14" ht="14.4" x14ac:dyDescent="0.3">
      <c r="A631" s="77"/>
      <c r="B631" s="106"/>
      <c r="F631" s="124"/>
      <c r="G631" s="125"/>
      <c r="J631" s="125"/>
      <c r="L631" s="107"/>
      <c r="M631" s="183"/>
      <c r="N631" s="108"/>
    </row>
    <row r="632" spans="1:14" ht="14.4" x14ac:dyDescent="0.3">
      <c r="A632" s="77"/>
      <c r="B632" s="106"/>
      <c r="F632" s="124"/>
      <c r="G632" s="125"/>
      <c r="J632" s="125"/>
      <c r="L632" s="107"/>
      <c r="M632" s="183"/>
      <c r="N632" s="108"/>
    </row>
    <row r="633" spans="1:14" ht="14.4" x14ac:dyDescent="0.3">
      <c r="A633" s="77"/>
      <c r="B633" s="106"/>
      <c r="F633" s="124"/>
      <c r="G633" s="125"/>
      <c r="J633" s="125"/>
      <c r="L633" s="107"/>
      <c r="M633" s="183"/>
      <c r="N633" s="108"/>
    </row>
    <row r="634" spans="1:14" ht="14.4" x14ac:dyDescent="0.3">
      <c r="A634" s="77"/>
      <c r="B634" s="106"/>
      <c r="F634" s="124"/>
      <c r="G634" s="125"/>
      <c r="J634" s="125"/>
      <c r="L634" s="107"/>
      <c r="M634" s="183"/>
      <c r="N634" s="108"/>
    </row>
    <row r="635" spans="1:14" ht="14.4" x14ac:dyDescent="0.3">
      <c r="A635" s="77"/>
      <c r="B635" s="106"/>
      <c r="F635" s="124"/>
      <c r="G635" s="125"/>
      <c r="J635" s="125"/>
      <c r="L635" s="107"/>
      <c r="M635" s="183"/>
      <c r="N635" s="108"/>
    </row>
    <row r="636" spans="1:14" ht="14.4" x14ac:dyDescent="0.3">
      <c r="A636" s="77"/>
      <c r="B636" s="106"/>
      <c r="F636" s="124"/>
      <c r="G636" s="125"/>
      <c r="J636" s="125"/>
      <c r="L636" s="107"/>
      <c r="M636" s="183"/>
      <c r="N636" s="108"/>
    </row>
    <row r="637" spans="1:14" ht="14.4" x14ac:dyDescent="0.3">
      <c r="A637" s="77"/>
      <c r="B637" s="106"/>
      <c r="F637" s="124"/>
      <c r="G637" s="125"/>
      <c r="J637" s="125"/>
      <c r="L637" s="107"/>
      <c r="M637" s="183"/>
      <c r="N637" s="108"/>
    </row>
    <row r="638" spans="1:14" ht="14.4" x14ac:dyDescent="0.3">
      <c r="A638" s="77"/>
      <c r="B638" s="106"/>
      <c r="F638" s="124"/>
      <c r="G638" s="125"/>
      <c r="J638" s="125"/>
      <c r="L638" s="107"/>
      <c r="M638" s="183"/>
      <c r="N638" s="108"/>
    </row>
    <row r="639" spans="1:14" ht="14.4" x14ac:dyDescent="0.3">
      <c r="A639" s="77"/>
      <c r="B639" s="106"/>
      <c r="F639" s="124"/>
      <c r="G639" s="125"/>
      <c r="J639" s="125"/>
      <c r="L639" s="107"/>
      <c r="M639" s="183"/>
      <c r="N639" s="108"/>
    </row>
    <row r="640" spans="1:14" ht="14.4" x14ac:dyDescent="0.3">
      <c r="A640" s="77"/>
      <c r="B640" s="106"/>
      <c r="F640" s="124"/>
      <c r="G640" s="125"/>
      <c r="J640" s="125"/>
      <c r="L640" s="107"/>
      <c r="M640" s="183"/>
      <c r="N640" s="108"/>
    </row>
    <row r="641" spans="1:14" ht="14.4" x14ac:dyDescent="0.3">
      <c r="A641" s="77"/>
      <c r="B641" s="106"/>
      <c r="F641" s="124"/>
      <c r="G641" s="125"/>
      <c r="J641" s="125"/>
      <c r="L641" s="107"/>
      <c r="M641" s="183"/>
      <c r="N641" s="108"/>
    </row>
    <row r="642" spans="1:14" ht="14.4" x14ac:dyDescent="0.3">
      <c r="A642" s="77"/>
      <c r="B642" s="106"/>
      <c r="F642" s="124"/>
      <c r="G642" s="125"/>
      <c r="J642" s="125"/>
      <c r="L642" s="107"/>
      <c r="M642" s="183"/>
      <c r="N642" s="108"/>
    </row>
  </sheetData>
  <conditionalFormatting sqref="I2:I169">
    <cfRule type="cellIs" dxfId="59" priority="1" operator="equal">
      <formula>"REVISAR"</formula>
    </cfRule>
    <cfRule type="cellIs" dxfId="58" priority="2" operator="equal">
      <formula>"CORRECTO"</formula>
    </cfRule>
  </conditionalFormatting>
  <conditionalFormatting sqref="L2:L169">
    <cfRule type="cellIs" dxfId="57" priority="4" operator="equal">
      <formula>"APROBADO"</formula>
    </cfRule>
    <cfRule type="cellIs" dxfId="56" priority="5" operator="equal">
      <formula>"PENDIENTE"</formula>
    </cfRule>
    <cfRule type="cellIs" dxfId="55" priority="6" operator="equal">
      <formula>"PAGADO"</formula>
    </cfRule>
  </conditionalFormatting>
  <dataValidations count="1">
    <dataValidation type="list" allowBlank="1" showErrorMessage="1" sqref="L2:L169" xr:uid="{00000000-0002-0000-0B00-000000000000}">
      <formula1>"PAGADO,PENDIENTE,APROBADO"</formula1>
    </dataValidation>
  </dataValidations>
  <hyperlinks>
    <hyperlink ref="M2" r:id="rId1" display="https://drive.google.com/open?id=1E3v58if8GnorNwqDja0ITJkByUC2xDxJ&amp;usp=drive_copy" xr:uid="{07BFE557-3E67-4175-AF87-EE64A8B97E3B}"/>
    <hyperlink ref="M3" r:id="rId2" display="https://drive.google.com/open?id=15eZ9AFYZ-Pz-FL7X_Hd-B6imUgMQvRPn&amp;usp=drive_copy" xr:uid="{B0DAB198-49A6-4CB0-B113-50035F10291D}"/>
    <hyperlink ref="M4" r:id="rId3" display="https://drive.google.com/open?id=1ZmVZ9IgbbIgBapZnw2XsrKiUqAN7_1QL&amp;usp=drive_copy" xr:uid="{9AC906EA-389C-4B5D-B07F-6A44674DF655}"/>
    <hyperlink ref="M6" r:id="rId4" display="https://drive.google.com/open?id=1llJQJsWrU5n7oBDbC7J-pGDhRU5AkSSj&amp;usp=drive_copy" xr:uid="{2573D9D3-3420-4AD6-827D-BDB3EE8492C3}"/>
    <hyperlink ref="M7" r:id="rId5" display="https://drive.google.com/open?id=14qVUwGjCxOaJBlXGtgFAQnTt-q7N9wPg&amp;usp=drive_copy" xr:uid="{735FB8F5-11C1-4152-9CE3-32D4AC41A3DA}"/>
    <hyperlink ref="M8" r:id="rId6" display="https://drive.google.com/open?id=16J0Nrx6-PFqj7_7bdwI2CrM7yKBbes4O&amp;usp=drive_copy" xr:uid="{52241C09-5EFB-498A-934E-7B2C4B0A9C0D}"/>
    <hyperlink ref="M11" r:id="rId7" display="https://drive.google.com/open?id=1qMou5FBT39qFKTPT_JVsWdyhKZNjFHVB&amp;usp=drive_copy" xr:uid="{5D1EBC62-1A87-4C46-91F0-F7DFCCDBE42B}"/>
    <hyperlink ref="M12" r:id="rId8" display="https://drive.google.com/open?id=1Ll3jmSGlm85PW9SvyT53vUuc_idhIlvi&amp;usp=drive_copy" xr:uid="{0AB8281E-123A-4F2B-A93F-F4C72717EA82}"/>
    <hyperlink ref="M13" r:id="rId9" display="https://drive.google.com/open?id=1CfQAqyZhyVEhFE42bchdhvJam_v1fG9l&amp;usp=drive_copy" xr:uid="{AFB39F13-B1A3-40EF-B5AA-A32A3E835799}"/>
    <hyperlink ref="M14" r:id="rId10" display="https://drive.google.com/open?id=1ScUo_8fHn2va0NMGlGaB5UVAWtcAC3a9&amp;usp=drive_copy" xr:uid="{67371A56-9000-40EA-A6C6-7068AA5CB1DE}"/>
    <hyperlink ref="M15" r:id="rId11" display="https://drive.google.com/open?id=1D5QqexEBoIf1wj7Hqw_7VvwwdMWu81G-&amp;usp=drive_copy" xr:uid="{980A9288-88EC-491B-A0F4-B470A67E5185}"/>
    <hyperlink ref="M16" r:id="rId12" display="https://drive.google.com/open?id=1Trlux746JzahkHGvdOX5gFwzevH6IHlz&amp;usp=drive_copy" xr:uid="{4D99C31A-D258-42B4-B084-2146511EA368}"/>
    <hyperlink ref="M17" r:id="rId13" display="https://drive.google.com/open?id=1jwnEdcC_i3sTHDPLwITqcl43-ClmnSxE&amp;usp=drive_copy" xr:uid="{BB4002FF-C648-49B8-A985-333619275A28}"/>
    <hyperlink ref="M18" r:id="rId14" display="https://drive.google.com/open?id=1f1tuTAqrzjHrYWnUsvyZqd2vESUx8GlN&amp;usp=drive_copy" xr:uid="{2BFCB5B0-14EF-4028-A3BA-4E88E0FBB7C2}"/>
    <hyperlink ref="M19" r:id="rId15" display="https://drive.google.com/open?id=17eewv4HtMHtpHwJMy73eYlX5ar3jjaGU&amp;usp=drive_copy" xr:uid="{A970FB9D-4735-4164-AC7E-E917B192BF0C}"/>
    <hyperlink ref="M20" r:id="rId16" display="https://drive.google.com/open?id=1lqdQJr529GGka783G1jm6ZM7KlVczLLO&amp;usp=drive_copy" xr:uid="{A17C58EB-033A-47C1-8DDC-E3BBDA8FA63A}"/>
    <hyperlink ref="M21" r:id="rId17" display="https://drive.google.com/open?id=1XmvmR1rT9DzCh6d9RBo2BnPcdlQPGFGA&amp;usp=drive_copy" xr:uid="{DA45548B-E621-4921-9343-EE70BD798ABB}"/>
    <hyperlink ref="M22" r:id="rId18" display="https://drive.google.com/open?id=1VxkGU8WZpWxFJqjmVUQgcO7mz0y7Ql89&amp;usp=drive_copy" xr:uid="{A2EF56EC-14E9-430C-99B0-62BC46D60A8A}"/>
    <hyperlink ref="M23" r:id="rId19" display="https://drive.google.com/open?id=1zSaJiXbougH0Wyula6y-HykINvh7cus0&amp;usp=drive_copy" xr:uid="{355673B2-1612-409A-8589-A73078A195C9}"/>
    <hyperlink ref="M24" r:id="rId20" display="https://drive.google.com/open?id=1dg2m931Ot6-XXhugkVBtcv5EYnZFOD76&amp;usp=drive_copy" xr:uid="{70643220-FC74-4C7F-A886-7C8951D7BC10}"/>
    <hyperlink ref="M25" r:id="rId21" display="https://drive.google.com/open?id=1fz417L20FqVXjJLt-hwWUUCOV8Wsyk6_&amp;usp=drive_copy" xr:uid="{CC493303-0D08-443A-9E8C-2A93560369CE}"/>
    <hyperlink ref="M26" r:id="rId22" display="https://drive.google.com/open?id=1u9hUQ1V5Vm2BivVlGEEDsny1_gt-nHED&amp;usp=drive_copy" xr:uid="{41638129-DC0C-48AB-B5B4-C7EEC0381523}"/>
    <hyperlink ref="M27" r:id="rId23" display="https://drive.google.com/open?id=1U6c1wI2KZsYvmDyJq_BJzX89T2gQyKwH&amp;usp=drive_copy" xr:uid="{FF50D013-D1FC-430E-A9A6-9CCC90877FCB}"/>
    <hyperlink ref="M28" r:id="rId24" display="https://drive.google.com/open?id=109hLTn9eu7iHSr1MTa4V4_gcsJ-3Pq5h&amp;usp=drive_copy" xr:uid="{83F2924B-B7CD-47E3-A953-5D6CC2F60DC9}"/>
    <hyperlink ref="M31" r:id="rId25" display="https://drive.google.com/open?id=1ioXIR39YYNO_gnP8iRl-QHzP3F0ZzcZ2&amp;usp=drive_copy" xr:uid="{261EB687-9675-4A33-B9C3-A3AAAA32351A}"/>
    <hyperlink ref="M32" r:id="rId26" display="https://drive.google.com/open?id=11m_Rt7m0pj06cOKR7taE24iTVxg5L3gT&amp;usp=drive_copy" xr:uid="{FF92FAB0-CBD8-4BD5-973C-93AE49BA3D48}"/>
    <hyperlink ref="M33" r:id="rId27" display="https://drive.google.com/open?id=1JRaq707IfZ9h7NdK-ZEmErLWvoe3IBTL&amp;usp=drive_copy" xr:uid="{AB97331F-5AF3-4344-A742-0177CB0F9347}"/>
    <hyperlink ref="M34" r:id="rId28" display="https://drive.google.com/open?id=1iizT8RIwFmECPi-xXapKo5SpDvRQu7k6&amp;usp=drive_copy" xr:uid="{771F02EA-C5A2-4340-A5B1-6B9609F1B1A1}"/>
    <hyperlink ref="M35" r:id="rId29" display="https://drive.google.com/open?id=1g8sLqRI1xbWFOuhgGqXgnmGQs7kLmpiw&amp;usp=drive_copy" xr:uid="{314017A6-1FBF-486D-AA30-C8C554280021}"/>
    <hyperlink ref="M36" r:id="rId30" display="https://drive.google.com/open?id=1Jv6ehQPmc8zfNgnOUeQ2lNAZ_uZ694dM&amp;usp=drive_copy" xr:uid="{951DE1C7-0AA5-4841-8D06-85BFBD4E00D9}"/>
    <hyperlink ref="M37" r:id="rId31" display="https://drive.google.com/open?id=1YTMNmigQ3zMAgOwfR6qPEHl4gyYOMjUI&amp;usp=drive_copy" xr:uid="{0EAAF05C-56A0-4F1D-AEF5-99745670412E}"/>
    <hyperlink ref="M39" r:id="rId32" display="https://drive.google.com/open?id=18O0LXmozfAId3Vw_GJH9JXUBbyzqs0na&amp;usp=drive_copy" xr:uid="{EF18921C-69B1-4BF6-88B7-749984FDC08F}"/>
    <hyperlink ref="M42" r:id="rId33" display="https://drive.google.com/open?id=1fLIau5HoEJ9tIyrn3egYREcQS4ZDxvWL&amp;usp=drive_copy" xr:uid="{B81F3871-F503-4BCC-BE7B-89D5611B4168}"/>
    <hyperlink ref="M43" r:id="rId34" display="https://drive.google.com/open?id=1zn7wsAz7WZCh6PiQvHLF2bdBlrfX3fdb&amp;usp=drive_copy" xr:uid="{69A82B71-462A-4123-8391-A0B4CCCB92FE}"/>
    <hyperlink ref="M44" r:id="rId35" display="https://drive.google.com/open?id=1oBOQBuZF4sSwlJPLuf5zLg5OttCFDJFr&amp;usp=drive_copy" xr:uid="{982E379B-E01A-4248-B8DD-F33C41D48CA7}"/>
    <hyperlink ref="M45" r:id="rId36" display="https://drive.google.com/open?id=1bktNKPLECVfURz7kV49c40vgooemHK2c&amp;usp=drive_copy" xr:uid="{EA75306B-BFE6-4162-A5A8-E3A3DDC8C67E}"/>
    <hyperlink ref="M46" r:id="rId37" display="https://drive.google.com/open?id=1KqR34fc7Ypf06jGiLthV-5SrCl4wa2pJ&amp;usp=drive_copy" xr:uid="{1B124CD0-18F7-4AB1-A2A7-01E570809935}"/>
    <hyperlink ref="M47" r:id="rId38" display="https://drive.google.com/open?id=1zs_P9tpbeEVz0d9RMBlHC9grzKgGuDTT&amp;usp=drive_copy" xr:uid="{C1DD6F9C-0E9C-4FEB-807B-ADFD237725AB}"/>
    <hyperlink ref="M48" r:id="rId39" display="https://drive.google.com/open?id=18Jszgf-QTt1XSw42XdfTRN0sX2pIq1mP&amp;usp=drive_copy" xr:uid="{26547DAC-297B-4A8F-9123-69C38D9D7E1C}"/>
    <hyperlink ref="M49" r:id="rId40" display="https://drive.google.com/open?id=1w03tZXm1uVMZuENhpQ6c0jt5ckfzO5fM&amp;usp=drive_copy" xr:uid="{8ADB94FA-E3C3-47E7-A770-90CA2CB41DC4}"/>
    <hyperlink ref="M50" r:id="rId41" display="https://drive.google.com/open?id=1n4GphboVSaMGYhU1tWfwEMF_4hoeLM8t&amp;usp=drive_copy" xr:uid="{41822190-3E7E-4064-BB73-EC4D168B485E}"/>
    <hyperlink ref="M52" r:id="rId42" display="https://drive.google.com/file/d/1xU20si1RedOiPy0uLLA7Ns5buZKinspQ/view?usp=drive_link" xr:uid="{0F6D5BF3-8276-4C8A-BD2D-BA107C21AEF4}"/>
    <hyperlink ref="M53" r:id="rId43" display="https://drive.google.com/file/d/1XpwwuabBv0TJstxkesy4wcpT8_hg6c5X/view?usp=drive_link" xr:uid="{DA555384-3DBE-4F6B-825B-27CE26EED4C9}"/>
    <hyperlink ref="M54" r:id="rId44" display="https://drive.google.com/file/d/1ahPvn9pdj8-vg8pvdVfEhs-QK2T9OQaM/view?usp=drive_link" xr:uid="{A3853227-556B-4F54-B5F9-498D263273C5}"/>
    <hyperlink ref="M55" r:id="rId45" display="https://drive.google.com/file/d/1VmTPgD0T_C7FB3BQON0Pugb4EY-BOxnC/view?usp=drive_link" xr:uid="{B0F98643-BEBF-41BD-81D7-69D6869E1059}"/>
    <hyperlink ref="M56" r:id="rId46" display="https://drive.google.com/file/d/1MKtp3ExtyF2InHK-6KYEsRbSXwGQzl5z/view?usp=drive_link" xr:uid="{1D4DCD6C-C46C-40CB-ABA5-38C18114579D}"/>
    <hyperlink ref="M57" r:id="rId47" display="https://drive.google.com/file/d/138pSWtpXoC-aPTa59aYsk9U6t1uDV8Vf/view?usp=drive_link" xr:uid="{C1FBCECE-F8D1-4003-83DF-EBA196F564C1}"/>
    <hyperlink ref="M58" r:id="rId48" display="https://drive.google.com/file/d/1ZNYXTzfyQp-3eaX7LKSP5MRvX5fzZLlz/view?usp=drive_link" xr:uid="{E8ADCAB3-240D-48A6-AFC3-53482B0FEDA3}"/>
    <hyperlink ref="M59" r:id="rId49" display="https://drive.google.com/file/d/1sWUCbAlZkbPyLxbifsHUlA2CsDxBhEBj/view?usp=drive_link" xr:uid="{5D277A95-DD8C-4ED3-BA1A-E00BC6254564}"/>
    <hyperlink ref="M60" r:id="rId50" display="https://drive.google.com/file/d/16NvPgOUUCasTt8Yp9j_tWgRtIKnciCkE/view?usp=drive_link" xr:uid="{3E9433D3-AA3C-4D23-A20A-714EF2F2C2CB}"/>
    <hyperlink ref="M62" r:id="rId51" display="https://drive.google.com/file/d/1pYIep_cd7lC60hfJ84K8u0y-3xDQ22h8/view?usp=drive_link" xr:uid="{96824E17-D1DB-4377-A3BD-43138305AAB9}"/>
    <hyperlink ref="M63" r:id="rId52" display="https://drive.google.com/file/d/1-f8njnb8fL_sgM15jBVNolEYzpnGXJq5/view?usp=drive_link" xr:uid="{731DCBE2-78A5-4922-935E-AC84AAE73499}"/>
    <hyperlink ref="M64" r:id="rId53" display="https://drive.google.com/file/d/1u4dK55wHUAF4BkD81UuOGUdnTsFVB-q5/view?usp=drive_link" xr:uid="{FA7E1A47-03DD-4CE6-B6AE-7CCC67AE5258}"/>
    <hyperlink ref="M65" r:id="rId54" display="https://drive.google.com/file/d/1-SfpXWnAAKKzuu7sEOxayPZpgZU2gGF0/view?usp=drive_link" xr:uid="{AA8A959B-A8BC-4446-9D5E-77ECB1151EE9}"/>
    <hyperlink ref="M66" r:id="rId55" display="https://drive.google.com/file/d/1u9hyicTleT9YLHf_JuyCgMajcXz6sM5Z/view?usp=drive_link" xr:uid="{17E66B45-4A50-4C64-BE17-8064BDA67B64}"/>
    <hyperlink ref="M67" r:id="rId56" display="https://drive.google.com/file/d/1t-9ntBNscoqBaZaMrRW_zQzDOup1gxco/view?usp=drive_link" xr:uid="{889006C6-7D5E-4F86-BA50-5A6A7B408771}"/>
    <hyperlink ref="M68" r:id="rId57" display="https://drive.google.com/file/d/1OvuMyWERdl2jnczlmmOvw3_hML7XGWvd/view?usp=drive_link" xr:uid="{82DBCEAC-A9A4-49CE-9F4E-06DC8F1737BC}"/>
    <hyperlink ref="M69" r:id="rId58" display="https://drive.google.com/file/d/1YZHD1EWONQ-neY5QVbnwFNbGdXD7EiFr/view?usp=drive_link" xr:uid="{28CB95A5-B4A2-4F38-B024-A69B2C64FB3F}"/>
    <hyperlink ref="M70" r:id="rId59" display="https://drive.google.com/file/d/1VSiaspPtQ9iJ-suCnwkPmIGGLpY0u066/view?usp=drive_link" xr:uid="{7D0ECDE5-0ED8-4274-A94C-48C8C9113779}"/>
    <hyperlink ref="M72" r:id="rId60" display="https://drive.google.com/file/d/18hu7aH0QiucWVC9apQGsPVS0zi3W7OpW/view?usp=drive_link" xr:uid="{1433879F-DE43-4AAE-B4F0-1CDC37E99234}"/>
    <hyperlink ref="M73" r:id="rId61" display="https://drive.google.com/file/d/1Hh22jlhzafWA7viuDdjxS5H-JbgtOdGY/view?usp=drive_link" xr:uid="{114069F5-BE06-42E5-A930-A190ED23CB90}"/>
    <hyperlink ref="M74" r:id="rId62" display="https://drive.google.com/file/d/1P1wnkb5jscEah2ofl-fX0z8pwVA6xCPV/view?usp=drive_link" xr:uid="{28997725-78EF-4B4A-97D3-1862D216EA49}"/>
    <hyperlink ref="M75" r:id="rId63" display="https://drive.google.com/file/d/17VoucQdf87r2NTeUoQVnboC2i69ywiXt/view?usp=drive_link" xr:uid="{F3C792A6-5D4A-4D42-AB9C-AD754E4648E6}"/>
    <hyperlink ref="M76" r:id="rId64" display="https://drive.google.com/file/d/1NwPoiiPZPYPDJhYayNjsggM2-kqNPdGH/view?usp=drive_link" xr:uid="{D659A1C4-4B9D-43B8-840A-E619B39798AE}"/>
    <hyperlink ref="M78" r:id="rId65" display="https://drive.google.com/file/d/168hjxeJoBgcSOkrR8tTPksQRZL4I596i/view?usp=drive_link" xr:uid="{96CC229A-6A3D-4541-92D3-61184E259AC9}"/>
    <hyperlink ref="M79" r:id="rId66" display="https://drive.google.com/file/d/1f8ADPNz5CcUZYKvds99GwOAM3U_KXWbs/view?usp=drive_link" xr:uid="{18FBD087-7C7C-4F30-838D-D21EB06953AF}"/>
    <hyperlink ref="M80" r:id="rId67" display="https://drive.google.com/file/d/1ke01wa30lpXhE-BMGehloigQtlHIu9Cm/view?usp=drive_link" xr:uid="{884B4448-D137-44C5-B5BA-991AC725587C}"/>
    <hyperlink ref="M81" r:id="rId68" display="https://drive.google.com/file/d/1vzyJdcKkDbk2RCegAfVs8N0QQnTFphJc/view?usp=drive_link" xr:uid="{7C4F6ADE-BF55-4D75-84B6-464D68213779}"/>
    <hyperlink ref="M82" r:id="rId69" display="https://drive.google.com/file/d/1_ogRBobz7keXRSUazHKCIUr2KTVgv2Bo/view?usp=drive_link" xr:uid="{E64EF0EF-71A1-4091-9415-F6BACEA34013}"/>
    <hyperlink ref="M109" r:id="rId70" display="https://drive.google.com/open?id=1u56wHAlWTceeHYmuLf3FxA2JgFhWWOC8&amp;usp=drive_copy" xr:uid="{36BE9CAE-20C9-4AA3-907E-619021CC6BC0}"/>
    <hyperlink ref="M110" r:id="rId71" display="https://drive.google.com/open?id=1g5-GfMUV4O-CYZu6ro0UACvAdoiqOJ6n&amp;usp=drive_copy" xr:uid="{9E2B8558-F3E4-492A-BB8B-B718A3645FB3}"/>
    <hyperlink ref="M111" r:id="rId72" display="https://drive.google.com/file/d/1CsjBi1s5LRFFG3C67wazXp9P9CRmLS1r/view?usp=drive_link" xr:uid="{A248CF77-7F5C-494E-85E9-0A57FD4A88BE}"/>
    <hyperlink ref="M112" r:id="rId73" display="https://drive.google.com/open?id=1WDNgD1djaHwyROQgjarMpS-j2is-rumZ&amp;usp=drive_copy" xr:uid="{8FEB2FE2-7AAE-4E1D-9C28-0E9867CDBC12}"/>
  </hyperlinks>
  <pageMargins left="0.7" right="0.7" top="0.75" bottom="0.75" header="0.3" footer="0.3"/>
  <pageSetup orientation="portrait" r:id="rId7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6EFC201-492A-4E1B-82A8-FBBBB05A6FC8}">
          <x14:formula1>
            <xm:f>'CUENTAS'!$A$2:$A$59</xm:f>
          </x14:formula1>
          <xm:sqref>C2:C169</xm:sqref>
        </x14:dataValidation>
        <x14:dataValidation type="list" allowBlank="1" showInputMessage="1" showErrorMessage="1" xr:uid="{42C7C615-CB47-4457-B609-4A75D1E2B8C6}">
          <x14:formula1>
            <xm:f>'CUENTAS'!$G$2:$G$8</xm:f>
          </x14:formula1>
          <xm:sqref>J2:J169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5934-E1B9-4450-8A4A-54D55BDBFF52}">
  <sheetPr>
    <tabColor theme="1" tint="4.9989318521683403E-2"/>
  </sheetPr>
  <dimension ref="A1:Q58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2.6640625" defaultRowHeight="14.4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6" width="19.33203125" style="83" customWidth="1"/>
    <col min="7" max="7" width="18.109375" style="83" bestFit="1" customWidth="1"/>
    <col min="8" max="9" width="13.21875" style="97" customWidth="1"/>
    <col min="10" max="10" width="18.109375" style="83" bestFit="1" customWidth="1"/>
    <col min="11" max="11" width="14.77734375" style="98" customWidth="1"/>
    <col min="12" max="12" width="11.21875" style="99" bestFit="1" customWidth="1"/>
    <col min="13" max="13" width="12.6640625" style="83"/>
    <col min="14" max="14" width="23.554687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205" customFormat="1" ht="25.2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5" t="s">
        <v>104</v>
      </c>
      <c r="N1" s="12" t="s">
        <v>105</v>
      </c>
    </row>
    <row r="2" spans="1:17" x14ac:dyDescent="0.3">
      <c r="A2" s="16" t="s">
        <v>284</v>
      </c>
      <c r="B2" s="16" t="s">
        <v>498</v>
      </c>
      <c r="C2" s="28" t="s">
        <v>222</v>
      </c>
      <c r="D2" s="28" t="str">
        <f>IFERROR(VLOOKUP($C2,CUENTAS[],2,0),"")</f>
        <v>MANTENIMIENTO</v>
      </c>
      <c r="E2" s="28" t="str">
        <f>IFERROR(VLOOKUP($C2,CUENTAS[],3,0),"")</f>
        <v>MDE2025-009A</v>
      </c>
      <c r="F2" s="86">
        <v>12.93</v>
      </c>
      <c r="G2" s="86">
        <v>2.0699999999999998</v>
      </c>
      <c r="H2" s="74">
        <v>15</v>
      </c>
      <c r="I2" s="200" t="str">
        <f>IFERROR(IF(F2+G2&lt;&gt;H2,"REVISAR","CORRECTO"),"")</f>
        <v>CORRECTO</v>
      </c>
      <c r="J2" s="202" t="s">
        <v>3244</v>
      </c>
      <c r="K2" s="69" t="s">
        <v>363</v>
      </c>
      <c r="L2" s="84" t="s">
        <v>227</v>
      </c>
      <c r="M2" s="135">
        <v>45693</v>
      </c>
      <c r="N2" s="147">
        <v>2692</v>
      </c>
      <c r="P2" s="89"/>
      <c r="Q2" s="149"/>
    </row>
    <row r="3" spans="1:17" x14ac:dyDescent="0.3">
      <c r="A3" s="16" t="s">
        <v>230</v>
      </c>
      <c r="B3" s="16" t="s">
        <v>499</v>
      </c>
      <c r="C3" s="28" t="s">
        <v>201</v>
      </c>
      <c r="D3" s="28" t="str">
        <f>IFERROR(VLOOKUP($C3,CUENTAS[],2,0),"")</f>
        <v>ACTIVOS FIJOS</v>
      </c>
      <c r="E3" s="28" t="str">
        <f>IFERROR(VLOOKUP($C3,CUENTAS[],3,0),"")</f>
        <v>MDE2025-007I</v>
      </c>
      <c r="F3" s="86">
        <v>3187</v>
      </c>
      <c r="G3" s="86">
        <v>0</v>
      </c>
      <c r="H3" s="74">
        <v>3187</v>
      </c>
      <c r="I3" s="200" t="str">
        <f t="shared" ref="I3:I66" si="0">IFERROR(IF(F3+G3&lt;&gt;H3,"REVISAR","CORRECTO"),"")</f>
        <v>CORRECTO</v>
      </c>
      <c r="J3" s="202" t="s">
        <v>3244</v>
      </c>
      <c r="K3" s="69" t="s">
        <v>357</v>
      </c>
      <c r="L3" s="84" t="s">
        <v>227</v>
      </c>
      <c r="M3" s="135">
        <v>45693</v>
      </c>
      <c r="N3" s="75" t="s">
        <v>566</v>
      </c>
      <c r="P3" s="89"/>
      <c r="Q3" s="149"/>
    </row>
    <row r="4" spans="1:17" x14ac:dyDescent="0.3">
      <c r="A4" s="16" t="s">
        <v>277</v>
      </c>
      <c r="B4" s="16" t="s">
        <v>500</v>
      </c>
      <c r="C4" s="28" t="s">
        <v>201</v>
      </c>
      <c r="D4" s="28" t="str">
        <f>IFERROR(VLOOKUP($C4,CUENTAS[],2,0),"")</f>
        <v>ACTIVOS FIJOS</v>
      </c>
      <c r="E4" s="28" t="str">
        <f>IFERROR(VLOOKUP($C4,CUENTAS[],3,0),"")</f>
        <v>MDE2025-007I</v>
      </c>
      <c r="F4" s="86">
        <v>3000</v>
      </c>
      <c r="G4" s="86">
        <v>0</v>
      </c>
      <c r="H4" s="74">
        <v>3000</v>
      </c>
      <c r="I4" s="200" t="str">
        <f t="shared" si="0"/>
        <v>CORRECTO</v>
      </c>
      <c r="J4" s="202" t="s">
        <v>3244</v>
      </c>
      <c r="K4" s="69" t="s">
        <v>357</v>
      </c>
      <c r="L4" s="84" t="s">
        <v>227</v>
      </c>
      <c r="M4" s="135">
        <v>45693</v>
      </c>
      <c r="N4" s="75" t="s">
        <v>226</v>
      </c>
      <c r="P4" s="89"/>
      <c r="Q4" s="149"/>
    </row>
    <row r="5" spans="1:17" x14ac:dyDescent="0.3">
      <c r="A5" s="16" t="s">
        <v>307</v>
      </c>
      <c r="B5" s="16" t="s">
        <v>501</v>
      </c>
      <c r="C5" s="28" t="s">
        <v>224</v>
      </c>
      <c r="D5" s="28" t="str">
        <f>IFERROR(VLOOKUP($C5,CUENTAS[],2,0),"")</f>
        <v>MATERIALES</v>
      </c>
      <c r="E5" s="28" t="str">
        <f>IFERROR(VLOOKUP($C5,CUENTAS[],3,0),"")</f>
        <v>MDE2025-004</v>
      </c>
      <c r="F5" s="86">
        <v>5061.21</v>
      </c>
      <c r="G5" s="86">
        <v>809.79</v>
      </c>
      <c r="H5" s="74">
        <v>5871</v>
      </c>
      <c r="I5" s="200" t="str">
        <f t="shared" si="0"/>
        <v>CORRECTO</v>
      </c>
      <c r="J5" s="202" t="s">
        <v>3244</v>
      </c>
      <c r="K5" s="69" t="s">
        <v>357</v>
      </c>
      <c r="L5" s="84" t="s">
        <v>227</v>
      </c>
      <c r="M5" s="136">
        <v>45693</v>
      </c>
      <c r="N5" s="75" t="s">
        <v>567</v>
      </c>
      <c r="P5" s="89"/>
      <c r="Q5" s="149"/>
    </row>
    <row r="6" spans="1:17" x14ac:dyDescent="0.3">
      <c r="A6" s="16" t="s">
        <v>228</v>
      </c>
      <c r="B6" s="16" t="s">
        <v>502</v>
      </c>
      <c r="C6" s="28" t="s">
        <v>201</v>
      </c>
      <c r="D6" s="28" t="str">
        <f>IFERROR(VLOOKUP($C6,CUENTAS[],2,0),"")</f>
        <v>ACTIVOS FIJOS</v>
      </c>
      <c r="E6" s="28" t="str">
        <f>IFERROR(VLOOKUP($C6,CUENTAS[],3,0),"")</f>
        <v>MDE2025-007I</v>
      </c>
      <c r="F6" s="86">
        <v>4000</v>
      </c>
      <c r="G6" s="86">
        <v>0</v>
      </c>
      <c r="H6" s="74">
        <v>4000</v>
      </c>
      <c r="I6" s="200" t="str">
        <f t="shared" si="0"/>
        <v>CORRECTO</v>
      </c>
      <c r="J6" s="202" t="s">
        <v>3244</v>
      </c>
      <c r="K6" s="69" t="s">
        <v>363</v>
      </c>
      <c r="L6" s="84" t="s">
        <v>227</v>
      </c>
      <c r="M6" s="135">
        <v>45693</v>
      </c>
      <c r="N6" s="75" t="s">
        <v>368</v>
      </c>
      <c r="P6" s="89"/>
      <c r="Q6" s="149"/>
    </row>
    <row r="7" spans="1:17" x14ac:dyDescent="0.3">
      <c r="A7" s="16" t="s">
        <v>228</v>
      </c>
      <c r="B7" s="16" t="s">
        <v>503</v>
      </c>
      <c r="C7" s="28" t="s">
        <v>111</v>
      </c>
      <c r="D7" s="28" t="str">
        <f>IFERROR(VLOOKUP($C7,CUENTAS[],2,0),"")</f>
        <v>GASTOS VARIOS</v>
      </c>
      <c r="E7" s="28" t="str">
        <f>IFERROR(VLOOKUP($C7,CUENTAS[],3,0),"")</f>
        <v>MDE2025-003K</v>
      </c>
      <c r="F7" s="86">
        <v>10000</v>
      </c>
      <c r="G7" s="86">
        <v>0</v>
      </c>
      <c r="H7" s="74">
        <v>10000</v>
      </c>
      <c r="I7" s="200" t="str">
        <f t="shared" si="0"/>
        <v>CORRECTO</v>
      </c>
      <c r="J7" s="202" t="s">
        <v>3244</v>
      </c>
      <c r="K7" s="69" t="s">
        <v>363</v>
      </c>
      <c r="L7" s="84" t="s">
        <v>227</v>
      </c>
      <c r="M7" s="135">
        <v>45693</v>
      </c>
      <c r="N7" s="75" t="s">
        <v>368</v>
      </c>
      <c r="P7" s="89"/>
      <c r="Q7" s="149"/>
    </row>
    <row r="8" spans="1:17" x14ac:dyDescent="0.3">
      <c r="A8" s="16" t="s">
        <v>228</v>
      </c>
      <c r="B8" s="16" t="s">
        <v>504</v>
      </c>
      <c r="C8" s="28" t="s">
        <v>109</v>
      </c>
      <c r="D8" s="28" t="str">
        <f>IFERROR(VLOOKUP($C8,CUENTAS[],2,0),"")</f>
        <v>LOGÍSTICA</v>
      </c>
      <c r="E8" s="28" t="str">
        <f>IFERROR(VLOOKUP($C8,CUENTAS[],3,0),"")</f>
        <v>MDE2025-006A</v>
      </c>
      <c r="F8" s="86">
        <v>8800</v>
      </c>
      <c r="G8" s="86">
        <v>0</v>
      </c>
      <c r="H8" s="74">
        <v>8800</v>
      </c>
      <c r="I8" s="200" t="str">
        <f t="shared" si="0"/>
        <v>CORRECTO</v>
      </c>
      <c r="J8" s="202" t="s">
        <v>3244</v>
      </c>
      <c r="K8" s="69" t="s">
        <v>365</v>
      </c>
      <c r="L8" s="84" t="s">
        <v>227</v>
      </c>
      <c r="M8" s="135">
        <v>45693</v>
      </c>
      <c r="N8" s="75" t="s">
        <v>368</v>
      </c>
      <c r="P8" s="89"/>
      <c r="Q8" s="149"/>
    </row>
    <row r="9" spans="1:17" x14ac:dyDescent="0.3">
      <c r="A9" s="16" t="s">
        <v>290</v>
      </c>
      <c r="B9" s="16" t="s">
        <v>505</v>
      </c>
      <c r="C9" s="28" t="s">
        <v>159</v>
      </c>
      <c r="D9" s="28" t="str">
        <f>IFERROR(VLOOKUP($C9,CUENTAS[],2,0),"")</f>
        <v>GASTOS VARIOS</v>
      </c>
      <c r="E9" s="28" t="str">
        <f>IFERROR(VLOOKUP($C9,CUENTAS[],3,0),"")</f>
        <v>MDE2025-003A</v>
      </c>
      <c r="F9" s="86">
        <v>120.26</v>
      </c>
      <c r="G9" s="86">
        <v>19.239999999999998</v>
      </c>
      <c r="H9" s="74">
        <v>139.5</v>
      </c>
      <c r="I9" s="200" t="str">
        <f t="shared" si="0"/>
        <v>CORRECTO</v>
      </c>
      <c r="J9" s="202" t="s">
        <v>3244</v>
      </c>
      <c r="K9" s="69" t="s">
        <v>357</v>
      </c>
      <c r="L9" s="84" t="s">
        <v>227</v>
      </c>
      <c r="M9" s="136">
        <v>45695</v>
      </c>
      <c r="N9" s="75" t="s">
        <v>568</v>
      </c>
      <c r="P9" s="89"/>
      <c r="Q9" s="149"/>
    </row>
    <row r="10" spans="1:17" x14ac:dyDescent="0.3">
      <c r="A10" s="16" t="s">
        <v>236</v>
      </c>
      <c r="B10" s="16" t="s">
        <v>269</v>
      </c>
      <c r="C10" s="28" t="s">
        <v>201</v>
      </c>
      <c r="D10" s="28" t="str">
        <f>IFERROR(VLOOKUP($C10,CUENTAS[],2,0),"")</f>
        <v>ACTIVOS FIJOS</v>
      </c>
      <c r="E10" s="28" t="str">
        <f>IFERROR(VLOOKUP($C10,CUENTAS[],3,0),"")</f>
        <v>MDE2025-007I</v>
      </c>
      <c r="F10" s="86">
        <v>3500</v>
      </c>
      <c r="G10" s="86">
        <v>0</v>
      </c>
      <c r="H10" s="74">
        <v>3500</v>
      </c>
      <c r="I10" s="200" t="str">
        <f t="shared" si="0"/>
        <v>CORRECTO</v>
      </c>
      <c r="J10" s="202" t="s">
        <v>3244</v>
      </c>
      <c r="K10" s="69" t="s">
        <v>365</v>
      </c>
      <c r="L10" s="84" t="s">
        <v>227</v>
      </c>
      <c r="M10" s="136">
        <v>45695</v>
      </c>
      <c r="N10" s="75" t="s">
        <v>569</v>
      </c>
      <c r="P10" s="89"/>
      <c r="Q10" s="149"/>
    </row>
    <row r="11" spans="1:17" x14ac:dyDescent="0.3">
      <c r="A11" s="16" t="s">
        <v>238</v>
      </c>
      <c r="B11" s="16" t="s">
        <v>269</v>
      </c>
      <c r="C11" s="28" t="s">
        <v>201</v>
      </c>
      <c r="D11" s="28" t="str">
        <f>IFERROR(VLOOKUP($C11,CUENTAS[],2,0),"")</f>
        <v>ACTIVOS FIJOS</v>
      </c>
      <c r="E11" s="28" t="str">
        <f>IFERROR(VLOOKUP($C11,CUENTAS[],3,0),"")</f>
        <v>MDE2025-007I</v>
      </c>
      <c r="F11" s="86">
        <v>3200</v>
      </c>
      <c r="G11" s="86">
        <v>0</v>
      </c>
      <c r="H11" s="74">
        <v>3200</v>
      </c>
      <c r="I11" s="200" t="str">
        <f t="shared" si="0"/>
        <v>CORRECTO</v>
      </c>
      <c r="J11" s="202" t="s">
        <v>3244</v>
      </c>
      <c r="K11" s="69" t="s">
        <v>365</v>
      </c>
      <c r="L11" s="84" t="s">
        <v>227</v>
      </c>
      <c r="M11" s="135">
        <v>45695</v>
      </c>
      <c r="N11" s="75" t="s">
        <v>569</v>
      </c>
      <c r="P11" s="89"/>
      <c r="Q11" s="149"/>
    </row>
    <row r="12" spans="1:17" x14ac:dyDescent="0.3">
      <c r="A12" s="16" t="s">
        <v>270</v>
      </c>
      <c r="B12" s="16" t="s">
        <v>506</v>
      </c>
      <c r="C12" s="28" t="s">
        <v>223</v>
      </c>
      <c r="D12" s="28" t="str">
        <f>IFERROR(VLOOKUP($C12,CUENTAS[],2,0),"")</f>
        <v>MANTENIMIENTO</v>
      </c>
      <c r="E12" s="28" t="str">
        <f>IFERROR(VLOOKUP($C12,CUENTAS[],3,0),"")</f>
        <v>MDE2025-009B</v>
      </c>
      <c r="F12" s="86">
        <v>7100</v>
      </c>
      <c r="G12" s="86">
        <v>0</v>
      </c>
      <c r="H12" s="74">
        <v>7100</v>
      </c>
      <c r="I12" s="200" t="str">
        <f t="shared" si="0"/>
        <v>CORRECTO</v>
      </c>
      <c r="J12" s="202" t="s">
        <v>3244</v>
      </c>
      <c r="K12" s="69" t="s">
        <v>360</v>
      </c>
      <c r="L12" s="84" t="s">
        <v>227</v>
      </c>
      <c r="M12" s="135">
        <v>45695</v>
      </c>
      <c r="N12" s="75" t="s">
        <v>569</v>
      </c>
      <c r="P12" s="89"/>
      <c r="Q12" s="149"/>
    </row>
    <row r="13" spans="1:17" x14ac:dyDescent="0.3">
      <c r="A13" s="16" t="s">
        <v>283</v>
      </c>
      <c r="B13" s="16">
        <v>2402243</v>
      </c>
      <c r="C13" s="28" t="s">
        <v>120</v>
      </c>
      <c r="D13" s="28" t="str">
        <f>IFERROR(VLOOKUP($C13,CUENTAS[],2,0),"")</f>
        <v>TOKA</v>
      </c>
      <c r="E13" s="28" t="str">
        <f>IFERROR(VLOOKUP($C13,CUENTAS[],3,0),"")</f>
        <v>TOK2025-001C</v>
      </c>
      <c r="F13" s="86">
        <v>400</v>
      </c>
      <c r="G13" s="86">
        <v>64</v>
      </c>
      <c r="H13" s="74">
        <v>464</v>
      </c>
      <c r="I13" s="200" t="str">
        <f t="shared" si="0"/>
        <v>CORRECTO</v>
      </c>
      <c r="J13" s="202" t="s">
        <v>3244</v>
      </c>
      <c r="K13" s="69" t="s">
        <v>363</v>
      </c>
      <c r="L13" s="84" t="s">
        <v>227</v>
      </c>
      <c r="M13" s="135">
        <v>45699</v>
      </c>
      <c r="N13" s="75" t="s">
        <v>570</v>
      </c>
      <c r="P13" s="89"/>
      <c r="Q13" s="149"/>
    </row>
    <row r="14" spans="1:17" x14ac:dyDescent="0.3">
      <c r="A14" s="16" t="s">
        <v>244</v>
      </c>
      <c r="B14" s="16" t="s">
        <v>298</v>
      </c>
      <c r="C14" s="28" t="s">
        <v>223</v>
      </c>
      <c r="D14" s="28" t="str">
        <f>IFERROR(VLOOKUP($C14,CUENTAS[],2,0),"")</f>
        <v>MANTENIMIENTO</v>
      </c>
      <c r="E14" s="28" t="str">
        <f>IFERROR(VLOOKUP($C14,CUENTAS[],3,0),"")</f>
        <v>MDE2025-009B</v>
      </c>
      <c r="F14" s="86">
        <v>1500</v>
      </c>
      <c r="G14" s="86">
        <v>0</v>
      </c>
      <c r="H14" s="74">
        <v>1500</v>
      </c>
      <c r="I14" s="200" t="str">
        <f t="shared" si="0"/>
        <v>CORRECTO</v>
      </c>
      <c r="J14" s="202" t="s">
        <v>3244</v>
      </c>
      <c r="K14" s="69" t="s">
        <v>360</v>
      </c>
      <c r="L14" s="84" t="s">
        <v>227</v>
      </c>
      <c r="M14" s="135">
        <v>45698</v>
      </c>
      <c r="N14" s="75" t="s">
        <v>371</v>
      </c>
      <c r="P14" s="89"/>
      <c r="Q14" s="149"/>
    </row>
    <row r="15" spans="1:17" x14ac:dyDescent="0.3">
      <c r="A15" s="16" t="s">
        <v>328</v>
      </c>
      <c r="B15" s="16" t="s">
        <v>507</v>
      </c>
      <c r="C15" s="28" t="s">
        <v>167</v>
      </c>
      <c r="D15" s="28" t="str">
        <f>IFERROR(VLOOKUP($C15,CUENTAS[],2,0),"")</f>
        <v>LOGÍSTICA</v>
      </c>
      <c r="E15" s="28" t="str">
        <f>IFERROR(VLOOKUP($C15,CUENTAS[],3,0),"")</f>
        <v>MDE2025-006D</v>
      </c>
      <c r="F15" s="86">
        <v>25000</v>
      </c>
      <c r="G15" s="86">
        <v>0</v>
      </c>
      <c r="H15" s="74">
        <v>25000</v>
      </c>
      <c r="I15" s="200" t="str">
        <f t="shared" si="0"/>
        <v>CORRECTO</v>
      </c>
      <c r="J15" s="202" t="s">
        <v>3244</v>
      </c>
      <c r="K15" s="69" t="s">
        <v>362</v>
      </c>
      <c r="L15" s="84" t="s">
        <v>227</v>
      </c>
      <c r="M15" s="135">
        <v>45698</v>
      </c>
      <c r="N15" s="75" t="s">
        <v>371</v>
      </c>
      <c r="P15" s="89"/>
      <c r="Q15" s="149"/>
    </row>
    <row r="16" spans="1:17" x14ac:dyDescent="0.3">
      <c r="A16" s="16" t="s">
        <v>508</v>
      </c>
      <c r="B16" s="16" t="s">
        <v>509</v>
      </c>
      <c r="C16" s="28" t="s">
        <v>19</v>
      </c>
      <c r="D16" s="28" t="str">
        <f>IFERROR(VLOOKUP($C16,CUENTAS[],2,0),"")</f>
        <v>DISEÑOS</v>
      </c>
      <c r="E16" s="28" t="str">
        <f>IFERROR(VLOOKUP($C16,CUENTAS[],3,0),"")</f>
        <v>MDE2025-001</v>
      </c>
      <c r="F16" s="86">
        <v>12096.87</v>
      </c>
      <c r="G16" s="86">
        <v>1960</v>
      </c>
      <c r="H16" s="74">
        <v>14056.87</v>
      </c>
      <c r="I16" s="200" t="str">
        <f t="shared" si="0"/>
        <v>CORRECTO</v>
      </c>
      <c r="J16" s="202" t="s">
        <v>3244</v>
      </c>
      <c r="K16" s="69" t="s">
        <v>360</v>
      </c>
      <c r="L16" s="84" t="s">
        <v>227</v>
      </c>
      <c r="M16" s="135">
        <v>45699</v>
      </c>
      <c r="N16" s="75" t="s">
        <v>571</v>
      </c>
      <c r="P16" s="89"/>
      <c r="Q16" s="149"/>
    </row>
    <row r="17" spans="1:17" x14ac:dyDescent="0.3">
      <c r="A17" s="16" t="s">
        <v>275</v>
      </c>
      <c r="B17" s="16" t="s">
        <v>510</v>
      </c>
      <c r="C17" s="28" t="s">
        <v>121</v>
      </c>
      <c r="D17" s="28" t="str">
        <f>IFERROR(VLOOKUP($C17,CUENTAS[],2,0),"")</f>
        <v>GASTOS FIJOS</v>
      </c>
      <c r="E17" s="28" t="str">
        <f>IFERROR(VLOOKUP($C17,CUENTAS[],3,0),"")</f>
        <v>MDE2025-002K</v>
      </c>
      <c r="F17" s="86">
        <v>15525</v>
      </c>
      <c r="G17" s="86">
        <v>2484</v>
      </c>
      <c r="H17" s="74">
        <v>18009</v>
      </c>
      <c r="I17" s="200" t="str">
        <f t="shared" si="0"/>
        <v>CORRECTO</v>
      </c>
      <c r="J17" s="202" t="s">
        <v>3244</v>
      </c>
      <c r="K17" s="69" t="s">
        <v>365</v>
      </c>
      <c r="L17" s="84" t="s">
        <v>227</v>
      </c>
      <c r="M17" s="135">
        <v>45699</v>
      </c>
      <c r="N17" s="75" t="s">
        <v>572</v>
      </c>
      <c r="P17" s="89"/>
      <c r="Q17" s="149"/>
    </row>
    <row r="18" spans="1:17" x14ac:dyDescent="0.3">
      <c r="A18" s="16" t="s">
        <v>511</v>
      </c>
      <c r="B18" s="16" t="s">
        <v>512</v>
      </c>
      <c r="C18" s="28" t="s">
        <v>166</v>
      </c>
      <c r="D18" s="28" t="str">
        <f>IFERROR(VLOOKUP($C18,CUENTAS[],2,0),"")</f>
        <v>LOGÍSTICA</v>
      </c>
      <c r="E18" s="28" t="str">
        <f>IFERROR(VLOOKUP($C18,CUENTAS[],3,0),"")</f>
        <v>MDE2025-006C</v>
      </c>
      <c r="F18" s="86">
        <v>900</v>
      </c>
      <c r="G18" s="86">
        <v>0</v>
      </c>
      <c r="H18" s="74">
        <v>900</v>
      </c>
      <c r="I18" s="200" t="str">
        <f t="shared" si="0"/>
        <v>CORRECTO</v>
      </c>
      <c r="J18" s="202" t="s">
        <v>3244</v>
      </c>
      <c r="K18" s="69" t="s">
        <v>362</v>
      </c>
      <c r="L18" s="84" t="s">
        <v>227</v>
      </c>
      <c r="M18" s="135">
        <v>45699</v>
      </c>
      <c r="N18" s="75" t="s">
        <v>368</v>
      </c>
      <c r="P18" s="89"/>
      <c r="Q18" s="149"/>
    </row>
    <row r="19" spans="1:17" x14ac:dyDescent="0.3">
      <c r="A19" s="16" t="s">
        <v>230</v>
      </c>
      <c r="B19" s="16" t="s">
        <v>513</v>
      </c>
      <c r="C19" s="28" t="s">
        <v>110</v>
      </c>
      <c r="D19" s="28" t="str">
        <f>IFERROR(VLOOKUP($C19,CUENTAS[],2,0),"")</f>
        <v>GASTOS FIJOS</v>
      </c>
      <c r="E19" s="28" t="str">
        <f>IFERROR(VLOOKUP($C19,CUENTAS[],3,0),"")</f>
        <v>MDE2025-002D</v>
      </c>
      <c r="F19" s="86">
        <v>7327.59</v>
      </c>
      <c r="G19" s="86">
        <v>1172.4100000000001</v>
      </c>
      <c r="H19" s="74">
        <v>8500</v>
      </c>
      <c r="I19" s="200" t="str">
        <f t="shared" si="0"/>
        <v>CORRECTO</v>
      </c>
      <c r="J19" s="202" t="s">
        <v>3244</v>
      </c>
      <c r="K19" s="69" t="s">
        <v>363</v>
      </c>
      <c r="L19" s="84" t="s">
        <v>227</v>
      </c>
      <c r="M19" s="135">
        <v>45699</v>
      </c>
      <c r="N19" s="75" t="s">
        <v>573</v>
      </c>
      <c r="P19" s="89"/>
      <c r="Q19" s="149"/>
    </row>
    <row r="20" spans="1:17" x14ac:dyDescent="0.3">
      <c r="A20" s="16" t="s">
        <v>284</v>
      </c>
      <c r="B20" s="16" t="s">
        <v>514</v>
      </c>
      <c r="C20" s="28" t="s">
        <v>224</v>
      </c>
      <c r="D20" s="28" t="str">
        <f>IFERROR(VLOOKUP($C20,CUENTAS[],2,0),"")</f>
        <v>MATERIALES</v>
      </c>
      <c r="E20" s="28" t="str">
        <f>IFERROR(VLOOKUP($C20,CUENTAS[],3,0),"")</f>
        <v>MDE2025-004</v>
      </c>
      <c r="F20" s="86">
        <v>3551.72</v>
      </c>
      <c r="G20" s="86">
        <v>568.28</v>
      </c>
      <c r="H20" s="74">
        <v>4120</v>
      </c>
      <c r="I20" s="200" t="str">
        <f t="shared" si="0"/>
        <v>CORRECTO</v>
      </c>
      <c r="J20" s="202" t="s">
        <v>3244</v>
      </c>
      <c r="K20" s="69" t="s">
        <v>365</v>
      </c>
      <c r="L20" s="84" t="s">
        <v>227</v>
      </c>
      <c r="M20" s="135">
        <v>45699</v>
      </c>
      <c r="N20" s="75" t="s">
        <v>574</v>
      </c>
      <c r="P20" s="89"/>
      <c r="Q20" s="149"/>
    </row>
    <row r="21" spans="1:17" x14ac:dyDescent="0.3">
      <c r="A21" s="16" t="s">
        <v>284</v>
      </c>
      <c r="B21" s="16" t="s">
        <v>515</v>
      </c>
      <c r="C21" s="28" t="s">
        <v>224</v>
      </c>
      <c r="D21" s="28" t="str">
        <f>IFERROR(VLOOKUP($C21,CUENTAS[],2,0),"")</f>
        <v>MATERIALES</v>
      </c>
      <c r="E21" s="28" t="str">
        <f>IFERROR(VLOOKUP($C21,CUENTAS[],3,0),"")</f>
        <v>MDE2025-004</v>
      </c>
      <c r="F21" s="86">
        <v>1508.03</v>
      </c>
      <c r="G21" s="86">
        <v>241.29</v>
      </c>
      <c r="H21" s="74">
        <v>1749.32</v>
      </c>
      <c r="I21" s="200" t="str">
        <f t="shared" si="0"/>
        <v>CORRECTO</v>
      </c>
      <c r="J21" s="202" t="s">
        <v>3244</v>
      </c>
      <c r="K21" s="69" t="s">
        <v>365</v>
      </c>
      <c r="L21" s="84" t="s">
        <v>227</v>
      </c>
      <c r="M21" s="135">
        <v>45699</v>
      </c>
      <c r="N21" s="75" t="s">
        <v>575</v>
      </c>
      <c r="P21" s="89"/>
      <c r="Q21" s="149"/>
    </row>
    <row r="22" spans="1:17" x14ac:dyDescent="0.3">
      <c r="A22" s="16" t="s">
        <v>516</v>
      </c>
      <c r="B22" s="16" t="s">
        <v>517</v>
      </c>
      <c r="C22" s="28" t="s">
        <v>130</v>
      </c>
      <c r="D22" s="28" t="str">
        <f>IFERROR(VLOOKUP($C22,CUENTAS[],2,0),"")</f>
        <v>MATERIALES</v>
      </c>
      <c r="E22" s="28" t="str">
        <f>IFERROR(VLOOKUP($C22,CUENTAS[],3,0),"")</f>
        <v>MDE2025-004A</v>
      </c>
      <c r="F22" s="86">
        <v>15934.35</v>
      </c>
      <c r="G22" s="86">
        <v>2549.5</v>
      </c>
      <c r="H22" s="74">
        <v>18483.849999999999</v>
      </c>
      <c r="I22" s="200" t="str">
        <f t="shared" si="0"/>
        <v>CORRECTO</v>
      </c>
      <c r="J22" s="202" t="s">
        <v>3244</v>
      </c>
      <c r="K22" s="69" t="s">
        <v>357</v>
      </c>
      <c r="L22" s="84" t="s">
        <v>227</v>
      </c>
      <c r="M22" s="135">
        <v>45701</v>
      </c>
      <c r="N22" s="75" t="s">
        <v>576</v>
      </c>
      <c r="P22" s="89"/>
      <c r="Q22" s="149"/>
    </row>
    <row r="23" spans="1:17" x14ac:dyDescent="0.3">
      <c r="A23" s="16" t="s">
        <v>277</v>
      </c>
      <c r="B23" s="16" t="s">
        <v>518</v>
      </c>
      <c r="C23" s="28" t="s">
        <v>201</v>
      </c>
      <c r="D23" s="28" t="str">
        <f>IFERROR(VLOOKUP($C23,CUENTAS[],2,0),"")</f>
        <v>ACTIVOS FIJOS</v>
      </c>
      <c r="E23" s="28" t="str">
        <f>IFERROR(VLOOKUP($C23,CUENTAS[],3,0),"")</f>
        <v>MDE2025-007I</v>
      </c>
      <c r="F23" s="86">
        <v>3750</v>
      </c>
      <c r="G23" s="86">
        <v>0</v>
      </c>
      <c r="H23" s="74">
        <v>3750</v>
      </c>
      <c r="I23" s="200" t="str">
        <f t="shared" si="0"/>
        <v>CORRECTO</v>
      </c>
      <c r="J23" s="202" t="s">
        <v>3244</v>
      </c>
      <c r="K23" s="69" t="s">
        <v>357</v>
      </c>
      <c r="L23" s="84" t="s">
        <v>227</v>
      </c>
      <c r="M23" s="135">
        <v>45701</v>
      </c>
      <c r="N23" s="75" t="s">
        <v>368</v>
      </c>
      <c r="P23" s="89"/>
      <c r="Q23" s="149"/>
    </row>
    <row r="24" spans="1:17" x14ac:dyDescent="0.3">
      <c r="A24" s="16" t="s">
        <v>519</v>
      </c>
      <c r="B24" s="16" t="s">
        <v>520</v>
      </c>
      <c r="C24" s="28" t="s">
        <v>135</v>
      </c>
      <c r="D24" s="28" t="str">
        <f>IFERROR(VLOOKUP($C24,CUENTAS[],2,0),"")</f>
        <v>EVENTOS INTERNOS</v>
      </c>
      <c r="E24" s="28" t="str">
        <f>IFERROR(VLOOKUP($C24,CUENTAS[],3,0),"")</f>
        <v>MDE2025-008B</v>
      </c>
      <c r="F24" s="86">
        <v>577</v>
      </c>
      <c r="G24" s="86">
        <v>0</v>
      </c>
      <c r="H24" s="74">
        <v>577</v>
      </c>
      <c r="I24" s="200" t="str">
        <f t="shared" si="0"/>
        <v>CORRECTO</v>
      </c>
      <c r="J24" s="202" t="s">
        <v>3244</v>
      </c>
      <c r="K24" s="69" t="s">
        <v>360</v>
      </c>
      <c r="L24" s="84" t="s">
        <v>227</v>
      </c>
      <c r="M24" s="135">
        <v>45701</v>
      </c>
      <c r="N24" s="75" t="s">
        <v>371</v>
      </c>
      <c r="P24" s="89"/>
      <c r="Q24" s="149"/>
    </row>
    <row r="25" spans="1:17" x14ac:dyDescent="0.3">
      <c r="A25" s="16" t="s">
        <v>307</v>
      </c>
      <c r="B25" s="16" t="s">
        <v>521</v>
      </c>
      <c r="C25" s="28" t="s">
        <v>224</v>
      </c>
      <c r="D25" s="28" t="str">
        <f>IFERROR(VLOOKUP($C25,CUENTAS[],2,0),"")</f>
        <v>MATERIALES</v>
      </c>
      <c r="E25" s="28" t="str">
        <f>IFERROR(VLOOKUP($C25,CUENTAS[],3,0),"")</f>
        <v>MDE2025-004</v>
      </c>
      <c r="F25" s="86">
        <v>8793.11</v>
      </c>
      <c r="G25" s="86">
        <v>1406.89</v>
      </c>
      <c r="H25" s="74">
        <v>10200</v>
      </c>
      <c r="I25" s="200" t="str">
        <f t="shared" si="0"/>
        <v>CORRECTO</v>
      </c>
      <c r="J25" s="202" t="s">
        <v>3244</v>
      </c>
      <c r="K25" s="69" t="s">
        <v>357</v>
      </c>
      <c r="L25" s="84" t="s">
        <v>227</v>
      </c>
      <c r="M25" s="135">
        <v>45701</v>
      </c>
      <c r="N25" s="75" t="s">
        <v>577</v>
      </c>
      <c r="P25" s="89"/>
      <c r="Q25" s="149"/>
    </row>
    <row r="26" spans="1:17" x14ac:dyDescent="0.3">
      <c r="A26" s="16" t="s">
        <v>236</v>
      </c>
      <c r="B26" s="16" t="s">
        <v>269</v>
      </c>
      <c r="C26" s="28" t="s">
        <v>201</v>
      </c>
      <c r="D26" s="28" t="str">
        <f>IFERROR(VLOOKUP($C26,CUENTAS[],2,0),"")</f>
        <v>ACTIVOS FIJOS</v>
      </c>
      <c r="E26" s="28" t="str">
        <f>IFERROR(VLOOKUP($C26,CUENTAS[],3,0),"")</f>
        <v>MDE2025-007I</v>
      </c>
      <c r="F26" s="86">
        <v>3500</v>
      </c>
      <c r="G26" s="86">
        <v>0</v>
      </c>
      <c r="H26" s="74">
        <v>3500</v>
      </c>
      <c r="I26" s="200" t="str">
        <f t="shared" si="0"/>
        <v>CORRECTO</v>
      </c>
      <c r="J26" s="202" t="s">
        <v>3244</v>
      </c>
      <c r="K26" s="69" t="s">
        <v>365</v>
      </c>
      <c r="L26" s="84" t="s">
        <v>227</v>
      </c>
      <c r="M26" s="135">
        <v>45702</v>
      </c>
      <c r="N26" s="75" t="s">
        <v>371</v>
      </c>
      <c r="P26" s="89"/>
      <c r="Q26" s="149"/>
    </row>
    <row r="27" spans="1:17" x14ac:dyDescent="0.3">
      <c r="A27" s="16" t="s">
        <v>238</v>
      </c>
      <c r="B27" s="16" t="s">
        <v>269</v>
      </c>
      <c r="C27" s="28" t="s">
        <v>201</v>
      </c>
      <c r="D27" s="28" t="str">
        <f>IFERROR(VLOOKUP($C27,CUENTAS[],2,0),"")</f>
        <v>ACTIVOS FIJOS</v>
      </c>
      <c r="E27" s="28" t="str">
        <f>IFERROR(VLOOKUP($C27,CUENTAS[],3,0),"")</f>
        <v>MDE2025-007I</v>
      </c>
      <c r="F27" s="86">
        <v>3200</v>
      </c>
      <c r="G27" s="86">
        <v>0</v>
      </c>
      <c r="H27" s="74">
        <v>3200</v>
      </c>
      <c r="I27" s="200" t="str">
        <f t="shared" si="0"/>
        <v>CORRECTO</v>
      </c>
      <c r="J27" s="202" t="s">
        <v>3244</v>
      </c>
      <c r="K27" s="69" t="s">
        <v>365</v>
      </c>
      <c r="L27" s="84" t="s">
        <v>227</v>
      </c>
      <c r="M27" s="135">
        <v>45702</v>
      </c>
      <c r="N27" s="75" t="s">
        <v>371</v>
      </c>
      <c r="P27" s="89"/>
      <c r="Q27" s="149"/>
    </row>
    <row r="28" spans="1:17" x14ac:dyDescent="0.3">
      <c r="A28" s="16" t="s">
        <v>244</v>
      </c>
      <c r="B28" s="16" t="s">
        <v>269</v>
      </c>
      <c r="C28" s="28" t="s">
        <v>201</v>
      </c>
      <c r="D28" s="28" t="str">
        <f>IFERROR(VLOOKUP($C28,CUENTAS[],2,0),"")</f>
        <v>ACTIVOS FIJOS</v>
      </c>
      <c r="E28" s="28" t="str">
        <f>IFERROR(VLOOKUP($C28,CUENTAS[],3,0),"")</f>
        <v>MDE2025-007I</v>
      </c>
      <c r="F28" s="86">
        <v>2000</v>
      </c>
      <c r="G28" s="86">
        <v>0</v>
      </c>
      <c r="H28" s="74">
        <v>2000</v>
      </c>
      <c r="I28" s="200" t="str">
        <f t="shared" si="0"/>
        <v>CORRECTO</v>
      </c>
      <c r="J28" s="202" t="s">
        <v>3244</v>
      </c>
      <c r="K28" s="69" t="s">
        <v>360</v>
      </c>
      <c r="L28" s="84" t="s">
        <v>227</v>
      </c>
      <c r="M28" s="135">
        <v>45702</v>
      </c>
      <c r="N28" s="75" t="s">
        <v>371</v>
      </c>
      <c r="P28" s="89"/>
      <c r="Q28" s="149"/>
    </row>
    <row r="29" spans="1:17" x14ac:dyDescent="0.3">
      <c r="A29" s="16" t="s">
        <v>232</v>
      </c>
      <c r="B29" s="16" t="s">
        <v>522</v>
      </c>
      <c r="C29" s="28" t="s">
        <v>224</v>
      </c>
      <c r="D29" s="28" t="str">
        <f>IFERROR(VLOOKUP($C29,CUENTAS[],2,0),"")</f>
        <v>MATERIALES</v>
      </c>
      <c r="E29" s="28" t="str">
        <f>IFERROR(VLOOKUP($C29,CUENTAS[],3,0),"")</f>
        <v>MDE2025-004</v>
      </c>
      <c r="F29" s="86">
        <v>110217.98</v>
      </c>
      <c r="G29" s="86">
        <v>0</v>
      </c>
      <c r="H29" s="74">
        <v>110217.98</v>
      </c>
      <c r="I29" s="200" t="str">
        <f t="shared" si="0"/>
        <v>CORRECTO</v>
      </c>
      <c r="J29" s="202" t="s">
        <v>3244</v>
      </c>
      <c r="K29" s="69" t="s">
        <v>357</v>
      </c>
      <c r="L29" s="84" t="s">
        <v>227</v>
      </c>
      <c r="M29" s="136">
        <v>45702</v>
      </c>
      <c r="N29" s="75" t="s">
        <v>226</v>
      </c>
      <c r="P29" s="89"/>
      <c r="Q29" s="149"/>
    </row>
    <row r="30" spans="1:17" x14ac:dyDescent="0.3">
      <c r="A30" s="16" t="s">
        <v>519</v>
      </c>
      <c r="B30" s="16" t="s">
        <v>520</v>
      </c>
      <c r="C30" s="28" t="s">
        <v>135</v>
      </c>
      <c r="D30" s="28" t="str">
        <f>IFERROR(VLOOKUP($C30,CUENTAS[],2,0),"")</f>
        <v>EVENTOS INTERNOS</v>
      </c>
      <c r="E30" s="28" t="str">
        <f>IFERROR(VLOOKUP($C30,CUENTAS[],3,0),"")</f>
        <v>MDE2025-008B</v>
      </c>
      <c r="F30" s="86">
        <v>6423</v>
      </c>
      <c r="G30" s="86">
        <v>0</v>
      </c>
      <c r="H30" s="74">
        <v>6423</v>
      </c>
      <c r="I30" s="200" t="str">
        <f t="shared" si="0"/>
        <v>CORRECTO</v>
      </c>
      <c r="J30" s="202" t="s">
        <v>3244</v>
      </c>
      <c r="K30" s="69" t="s">
        <v>360</v>
      </c>
      <c r="L30" s="84" t="s">
        <v>227</v>
      </c>
      <c r="M30" s="136">
        <v>45702</v>
      </c>
      <c r="N30" s="75" t="s">
        <v>371</v>
      </c>
      <c r="P30" s="89"/>
      <c r="Q30" s="149"/>
    </row>
    <row r="31" spans="1:17" x14ac:dyDescent="0.3">
      <c r="A31" s="16" t="s">
        <v>284</v>
      </c>
      <c r="B31" s="16" t="s">
        <v>523</v>
      </c>
      <c r="C31" s="28" t="s">
        <v>222</v>
      </c>
      <c r="D31" s="28" t="str">
        <f>IFERROR(VLOOKUP($C31,CUENTAS[],2,0),"")</f>
        <v>MANTENIMIENTO</v>
      </c>
      <c r="E31" s="28" t="str">
        <f>IFERROR(VLOOKUP($C31,CUENTAS[],3,0),"")</f>
        <v>MDE2025-009A</v>
      </c>
      <c r="F31" s="86">
        <v>459.48</v>
      </c>
      <c r="G31" s="86">
        <v>73.52</v>
      </c>
      <c r="H31" s="74">
        <v>533</v>
      </c>
      <c r="I31" s="200" t="str">
        <f t="shared" si="0"/>
        <v>CORRECTO</v>
      </c>
      <c r="J31" s="202" t="s">
        <v>3244</v>
      </c>
      <c r="K31" s="69" t="s">
        <v>365</v>
      </c>
      <c r="L31" s="84" t="s">
        <v>227</v>
      </c>
      <c r="M31" s="135">
        <v>45708</v>
      </c>
      <c r="N31" s="75" t="s">
        <v>578</v>
      </c>
      <c r="P31" s="89"/>
      <c r="Q31" s="149"/>
    </row>
    <row r="32" spans="1:17" x14ac:dyDescent="0.3">
      <c r="A32" s="16" t="s">
        <v>524</v>
      </c>
      <c r="B32" s="16" t="s">
        <v>525</v>
      </c>
      <c r="C32" s="28" t="s">
        <v>147</v>
      </c>
      <c r="D32" s="28" t="str">
        <f>IFERROR(VLOOKUP($C32,CUENTAS[],2,0),"")</f>
        <v>ACTIVOS FIJOS</v>
      </c>
      <c r="E32" s="28" t="str">
        <f>IFERROR(VLOOKUP($C32,CUENTAS[],3,0),"")</f>
        <v>MDE2025-007D</v>
      </c>
      <c r="F32" s="86">
        <v>5671.55</v>
      </c>
      <c r="G32" s="86">
        <v>907.45</v>
      </c>
      <c r="H32" s="74">
        <v>6579</v>
      </c>
      <c r="I32" s="200" t="str">
        <f t="shared" si="0"/>
        <v>CORRECTO</v>
      </c>
      <c r="J32" s="202" t="s">
        <v>3244</v>
      </c>
      <c r="K32" s="69" t="s">
        <v>360</v>
      </c>
      <c r="L32" s="84" t="s">
        <v>227</v>
      </c>
      <c r="M32" s="135">
        <v>45708</v>
      </c>
      <c r="N32" s="75" t="s">
        <v>412</v>
      </c>
      <c r="P32" s="89"/>
      <c r="Q32" s="149"/>
    </row>
    <row r="33" spans="1:17" x14ac:dyDescent="0.3">
      <c r="A33" s="16" t="s">
        <v>301</v>
      </c>
      <c r="B33" s="16" t="s">
        <v>526</v>
      </c>
      <c r="C33" s="28" t="s">
        <v>159</v>
      </c>
      <c r="D33" s="28" t="str">
        <f>IFERROR(VLOOKUP($C33,CUENTAS[],2,0),"")</f>
        <v>GASTOS VARIOS</v>
      </c>
      <c r="E33" s="28" t="str">
        <f>IFERROR(VLOOKUP($C33,CUENTAS[],3,0),"")</f>
        <v>MDE2025-003A</v>
      </c>
      <c r="F33" s="86">
        <v>437.58</v>
      </c>
      <c r="G33" s="86">
        <v>0</v>
      </c>
      <c r="H33" s="74">
        <v>437.58</v>
      </c>
      <c r="I33" s="200" t="str">
        <f t="shared" si="0"/>
        <v>CORRECTO</v>
      </c>
      <c r="J33" s="202" t="s">
        <v>3244</v>
      </c>
      <c r="K33" s="69" t="s">
        <v>364</v>
      </c>
      <c r="L33" s="84" t="s">
        <v>227</v>
      </c>
      <c r="M33" s="135">
        <v>45708</v>
      </c>
      <c r="N33" s="75" t="s">
        <v>578</v>
      </c>
      <c r="P33" s="89"/>
      <c r="Q33" s="149"/>
    </row>
    <row r="34" spans="1:17" x14ac:dyDescent="0.3">
      <c r="A34" s="16" t="s">
        <v>288</v>
      </c>
      <c r="B34" s="16" t="s">
        <v>527</v>
      </c>
      <c r="C34" s="28" t="s">
        <v>151</v>
      </c>
      <c r="D34" s="28" t="str">
        <f>IFERROR(VLOOKUP($C34,CUENTAS[],2,0),"")</f>
        <v>GASTOS FIJOS</v>
      </c>
      <c r="E34" s="28" t="str">
        <f>IFERROR(VLOOKUP($C34,CUENTAS[],3,0),"")</f>
        <v>MDE2025-002F</v>
      </c>
      <c r="F34" s="86">
        <v>1598</v>
      </c>
      <c r="G34" s="86">
        <v>0</v>
      </c>
      <c r="H34" s="74">
        <v>1598</v>
      </c>
      <c r="I34" s="200" t="str">
        <f t="shared" si="0"/>
        <v>CORRECTO</v>
      </c>
      <c r="J34" s="202" t="s">
        <v>3244</v>
      </c>
      <c r="K34" s="69" t="s">
        <v>363</v>
      </c>
      <c r="L34" s="84" t="s">
        <v>227</v>
      </c>
      <c r="M34" s="135">
        <v>45708</v>
      </c>
      <c r="N34" s="75" t="s">
        <v>371</v>
      </c>
      <c r="P34" s="89"/>
      <c r="Q34" s="149"/>
    </row>
    <row r="35" spans="1:17" x14ac:dyDescent="0.3">
      <c r="A35" s="16" t="s">
        <v>279</v>
      </c>
      <c r="B35" s="16" t="s">
        <v>528</v>
      </c>
      <c r="C35" s="28" t="s">
        <v>143</v>
      </c>
      <c r="D35" s="28" t="str">
        <f>IFERROR(VLOOKUP($C35,CUENTAS[],2,0),"")</f>
        <v>GASTOS FIJOS</v>
      </c>
      <c r="E35" s="28" t="str">
        <f>IFERROR(VLOOKUP($C35,CUENTAS[],3,0),"")</f>
        <v>MDE2025-002C</v>
      </c>
      <c r="F35" s="86">
        <v>7177</v>
      </c>
      <c r="G35" s="86">
        <v>0</v>
      </c>
      <c r="H35" s="74">
        <v>7177</v>
      </c>
      <c r="I35" s="200" t="str">
        <f t="shared" si="0"/>
        <v>CORRECTO</v>
      </c>
      <c r="J35" s="202" t="s">
        <v>3244</v>
      </c>
      <c r="K35" s="69" t="s">
        <v>365</v>
      </c>
      <c r="L35" s="84" t="s">
        <v>227</v>
      </c>
      <c r="M35" s="135">
        <v>45708</v>
      </c>
      <c r="N35" s="75" t="s">
        <v>368</v>
      </c>
      <c r="P35" s="89"/>
      <c r="Q35" s="149"/>
    </row>
    <row r="36" spans="1:17" x14ac:dyDescent="0.3">
      <c r="A36" s="16" t="s">
        <v>284</v>
      </c>
      <c r="B36" s="16" t="s">
        <v>529</v>
      </c>
      <c r="C36" s="28" t="s">
        <v>224</v>
      </c>
      <c r="D36" s="28" t="str">
        <f>IFERROR(VLOOKUP($C36,CUENTAS[],2,0),"")</f>
        <v>MATERIALES</v>
      </c>
      <c r="E36" s="28" t="str">
        <f>IFERROR(VLOOKUP($C36,CUENTAS[],3,0),"")</f>
        <v>MDE2025-004</v>
      </c>
      <c r="F36" s="86">
        <v>210</v>
      </c>
      <c r="G36" s="86">
        <v>0</v>
      </c>
      <c r="H36" s="74">
        <v>210</v>
      </c>
      <c r="I36" s="200" t="str">
        <f t="shared" si="0"/>
        <v>CORRECTO</v>
      </c>
      <c r="J36" s="202" t="s">
        <v>3244</v>
      </c>
      <c r="K36" s="69" t="s">
        <v>365</v>
      </c>
      <c r="L36" s="84" t="s">
        <v>227</v>
      </c>
      <c r="M36" s="135">
        <v>45708</v>
      </c>
      <c r="N36" s="75" t="s">
        <v>368</v>
      </c>
      <c r="P36" s="89"/>
      <c r="Q36" s="149"/>
    </row>
    <row r="37" spans="1:17" x14ac:dyDescent="0.3">
      <c r="A37" s="16" t="s">
        <v>284</v>
      </c>
      <c r="B37" s="16" t="s">
        <v>530</v>
      </c>
      <c r="C37" s="28" t="s">
        <v>222</v>
      </c>
      <c r="D37" s="28" t="str">
        <f>IFERROR(VLOOKUP($C37,CUENTAS[],2,0),"")</f>
        <v>MANTENIMIENTO</v>
      </c>
      <c r="E37" s="28" t="str">
        <f>IFERROR(VLOOKUP($C37,CUENTAS[],3,0),"")</f>
        <v>MDE2025-009A</v>
      </c>
      <c r="F37" s="86">
        <v>164.66</v>
      </c>
      <c r="G37" s="86">
        <v>26.34</v>
      </c>
      <c r="H37" s="74">
        <v>191</v>
      </c>
      <c r="I37" s="200" t="str">
        <f t="shared" si="0"/>
        <v>CORRECTO</v>
      </c>
      <c r="J37" s="202" t="s">
        <v>3244</v>
      </c>
      <c r="K37" s="69" t="s">
        <v>365</v>
      </c>
      <c r="L37" s="84" t="s">
        <v>227</v>
      </c>
      <c r="M37" s="135">
        <v>45708</v>
      </c>
      <c r="N37" s="75" t="s">
        <v>368</v>
      </c>
      <c r="P37" s="89"/>
      <c r="Q37" s="149"/>
    </row>
    <row r="38" spans="1:17" x14ac:dyDescent="0.3">
      <c r="A38" s="16" t="s">
        <v>284</v>
      </c>
      <c r="B38" s="16" t="s">
        <v>531</v>
      </c>
      <c r="C38" s="28" t="s">
        <v>224</v>
      </c>
      <c r="D38" s="28" t="str">
        <f>IFERROR(VLOOKUP($C38,CUENTAS[],2,0),"")</f>
        <v>MATERIALES</v>
      </c>
      <c r="E38" s="28" t="str">
        <f>IFERROR(VLOOKUP($C38,CUENTAS[],3,0),"")</f>
        <v>MDE2025-004</v>
      </c>
      <c r="F38" s="86">
        <v>382.76</v>
      </c>
      <c r="G38" s="86">
        <v>61.24</v>
      </c>
      <c r="H38" s="74">
        <v>444</v>
      </c>
      <c r="I38" s="200" t="str">
        <f t="shared" si="0"/>
        <v>CORRECTO</v>
      </c>
      <c r="J38" s="202" t="s">
        <v>3244</v>
      </c>
      <c r="K38" s="69" t="s">
        <v>365</v>
      </c>
      <c r="L38" s="84" t="s">
        <v>227</v>
      </c>
      <c r="M38" s="136">
        <v>45708</v>
      </c>
      <c r="N38" s="75" t="s">
        <v>578</v>
      </c>
      <c r="P38" s="89"/>
      <c r="Q38" s="149"/>
    </row>
    <row r="39" spans="1:17" x14ac:dyDescent="0.3">
      <c r="A39" s="16" t="s">
        <v>341</v>
      </c>
      <c r="B39" s="16" t="s">
        <v>532</v>
      </c>
      <c r="C39" s="28" t="s">
        <v>140</v>
      </c>
      <c r="D39" s="28" t="str">
        <f>IFERROR(VLOOKUP($C39,CUENTAS[],2,0),"")</f>
        <v>LOGÍSTICA</v>
      </c>
      <c r="E39" s="28" t="str">
        <f>IFERROR(VLOOKUP($C39,CUENTAS[],3,0),"")</f>
        <v>MDE2025-006B</v>
      </c>
      <c r="F39" s="86">
        <v>1211</v>
      </c>
      <c r="G39" s="86">
        <v>0</v>
      </c>
      <c r="H39" s="74">
        <v>1211</v>
      </c>
      <c r="I39" s="200" t="str">
        <f t="shared" si="0"/>
        <v>CORRECTO</v>
      </c>
      <c r="J39" s="202" t="s">
        <v>3244</v>
      </c>
      <c r="K39" s="69" t="s">
        <v>365</v>
      </c>
      <c r="L39" s="84" t="s">
        <v>227</v>
      </c>
      <c r="M39" s="135">
        <v>45709</v>
      </c>
      <c r="N39" s="75" t="s">
        <v>368</v>
      </c>
      <c r="P39" s="89"/>
      <c r="Q39" s="149"/>
    </row>
    <row r="40" spans="1:17" x14ac:dyDescent="0.3">
      <c r="A40" s="16" t="s">
        <v>277</v>
      </c>
      <c r="B40" s="16" t="s">
        <v>533</v>
      </c>
      <c r="C40" s="28" t="s">
        <v>222</v>
      </c>
      <c r="D40" s="28" t="str">
        <f>IFERROR(VLOOKUP($C40,CUENTAS[],2,0),"")</f>
        <v>MANTENIMIENTO</v>
      </c>
      <c r="E40" s="28" t="str">
        <f>IFERROR(VLOOKUP($C40,CUENTAS[],3,0),"")</f>
        <v>MDE2025-009A</v>
      </c>
      <c r="F40" s="86">
        <v>9450</v>
      </c>
      <c r="G40" s="86">
        <v>0</v>
      </c>
      <c r="H40" s="74">
        <v>9450</v>
      </c>
      <c r="I40" s="200" t="str">
        <f t="shared" si="0"/>
        <v>CORRECTO</v>
      </c>
      <c r="J40" s="202" t="s">
        <v>3244</v>
      </c>
      <c r="K40" s="69" t="s">
        <v>407</v>
      </c>
      <c r="L40" s="84" t="s">
        <v>227</v>
      </c>
      <c r="M40" s="137">
        <v>45709</v>
      </c>
      <c r="N40" s="75" t="s">
        <v>368</v>
      </c>
      <c r="P40" s="89"/>
      <c r="Q40" s="149"/>
    </row>
    <row r="41" spans="1:17" x14ac:dyDescent="0.3">
      <c r="A41" s="16" t="s">
        <v>534</v>
      </c>
      <c r="B41" s="16" t="s">
        <v>535</v>
      </c>
      <c r="C41" s="28" t="s">
        <v>224</v>
      </c>
      <c r="D41" s="28" t="str">
        <f>IFERROR(VLOOKUP($C41,CUENTAS[],2,0),"")</f>
        <v>MATERIALES</v>
      </c>
      <c r="E41" s="28" t="str">
        <f>IFERROR(VLOOKUP($C41,CUENTAS[],3,0),"")</f>
        <v>MDE2025-004</v>
      </c>
      <c r="F41" s="86">
        <v>17484.560000000001</v>
      </c>
      <c r="G41" s="86">
        <v>2797.54</v>
      </c>
      <c r="H41" s="74">
        <v>20282.099999999999</v>
      </c>
      <c r="I41" s="200" t="str">
        <f t="shared" si="0"/>
        <v>CORRECTO</v>
      </c>
      <c r="J41" s="202" t="s">
        <v>3244</v>
      </c>
      <c r="K41" s="69" t="s">
        <v>407</v>
      </c>
      <c r="L41" s="84" t="s">
        <v>227</v>
      </c>
      <c r="M41" s="137">
        <v>45709</v>
      </c>
      <c r="N41" s="75" t="s">
        <v>579</v>
      </c>
      <c r="P41" s="89"/>
      <c r="Q41" s="149"/>
    </row>
    <row r="42" spans="1:17" x14ac:dyDescent="0.3">
      <c r="A42" s="16" t="s">
        <v>516</v>
      </c>
      <c r="B42" s="16" t="s">
        <v>536</v>
      </c>
      <c r="C42" s="28" t="s">
        <v>224</v>
      </c>
      <c r="D42" s="28" t="str">
        <f>IFERROR(VLOOKUP($C42,CUENTAS[],2,0),"")</f>
        <v>MATERIALES</v>
      </c>
      <c r="E42" s="28" t="str">
        <f>IFERROR(VLOOKUP($C42,CUENTAS[],3,0),"")</f>
        <v>MDE2025-004</v>
      </c>
      <c r="F42" s="86">
        <v>21340.32</v>
      </c>
      <c r="G42" s="86">
        <v>3414.45</v>
      </c>
      <c r="H42" s="74">
        <v>24754.77</v>
      </c>
      <c r="I42" s="200" t="str">
        <f t="shared" si="0"/>
        <v>CORRECTO</v>
      </c>
      <c r="J42" s="202" t="s">
        <v>3244</v>
      </c>
      <c r="K42" s="69" t="s">
        <v>407</v>
      </c>
      <c r="L42" s="84" t="s">
        <v>227</v>
      </c>
      <c r="M42" s="135">
        <v>45709</v>
      </c>
      <c r="N42" s="75" t="s">
        <v>580</v>
      </c>
      <c r="P42" s="89"/>
      <c r="Q42" s="149"/>
    </row>
    <row r="43" spans="1:17" x14ac:dyDescent="0.3">
      <c r="A43" s="16" t="s">
        <v>307</v>
      </c>
      <c r="B43" s="16" t="s">
        <v>537</v>
      </c>
      <c r="C43" s="28" t="s">
        <v>224</v>
      </c>
      <c r="D43" s="28" t="str">
        <f>IFERROR(VLOOKUP($C43,CUENTAS[],2,0),"")</f>
        <v>MATERIALES</v>
      </c>
      <c r="E43" s="28" t="str">
        <f>IFERROR(VLOOKUP($C43,CUENTAS[],3,0),"")</f>
        <v>MDE2025-004</v>
      </c>
      <c r="F43" s="86">
        <v>8620.68</v>
      </c>
      <c r="G43" s="86">
        <v>1379.32</v>
      </c>
      <c r="H43" s="74">
        <v>10000</v>
      </c>
      <c r="I43" s="200" t="str">
        <f t="shared" si="0"/>
        <v>CORRECTO</v>
      </c>
      <c r="J43" s="202" t="s">
        <v>3244</v>
      </c>
      <c r="K43" s="69" t="s">
        <v>357</v>
      </c>
      <c r="L43" s="84" t="s">
        <v>227</v>
      </c>
      <c r="M43" s="135">
        <v>45709</v>
      </c>
      <c r="N43" s="75" t="s">
        <v>581</v>
      </c>
      <c r="P43" s="89"/>
      <c r="Q43" s="149"/>
    </row>
    <row r="44" spans="1:17" x14ac:dyDescent="0.3">
      <c r="A44" s="16" t="s">
        <v>538</v>
      </c>
      <c r="B44" s="16" t="s">
        <v>539</v>
      </c>
      <c r="C44" s="28" t="s">
        <v>159</v>
      </c>
      <c r="D44" s="28" t="str">
        <f>IFERROR(VLOOKUP($C44,CUENTAS[],2,0),"")</f>
        <v>GASTOS VARIOS</v>
      </c>
      <c r="E44" s="28" t="str">
        <f>IFERROR(VLOOKUP($C44,CUENTAS[],3,0),"")</f>
        <v>MDE2025-003A</v>
      </c>
      <c r="F44" s="86">
        <v>2889.04</v>
      </c>
      <c r="G44" s="86">
        <v>462.24</v>
      </c>
      <c r="H44" s="74">
        <v>3351.28</v>
      </c>
      <c r="I44" s="200" t="str">
        <f t="shared" si="0"/>
        <v>CORRECTO</v>
      </c>
      <c r="J44" s="202" t="s">
        <v>3244</v>
      </c>
      <c r="K44" s="69" t="s">
        <v>407</v>
      </c>
      <c r="L44" s="84" t="s">
        <v>227</v>
      </c>
      <c r="M44" s="135">
        <v>45709</v>
      </c>
      <c r="N44" s="75" t="s">
        <v>582</v>
      </c>
      <c r="P44" s="89"/>
      <c r="Q44" s="149"/>
    </row>
    <row r="45" spans="1:17" x14ac:dyDescent="0.3">
      <c r="A45" s="16" t="s">
        <v>248</v>
      </c>
      <c r="B45" s="16" t="s">
        <v>540</v>
      </c>
      <c r="C45" s="28" t="s">
        <v>109</v>
      </c>
      <c r="D45" s="28" t="str">
        <f>IFERROR(VLOOKUP($C45,CUENTAS[],2,0),"")</f>
        <v>LOGÍSTICA</v>
      </c>
      <c r="E45" s="28" t="str">
        <f>IFERROR(VLOOKUP($C45,CUENTAS[],3,0),"")</f>
        <v>MDE2025-006A</v>
      </c>
      <c r="F45" s="86">
        <v>6080</v>
      </c>
      <c r="G45" s="86">
        <v>972.8</v>
      </c>
      <c r="H45" s="74">
        <v>7052.8</v>
      </c>
      <c r="I45" s="200" t="str">
        <f t="shared" si="0"/>
        <v>CORRECTO</v>
      </c>
      <c r="J45" s="202" t="s">
        <v>3244</v>
      </c>
      <c r="K45" s="69" t="s">
        <v>362</v>
      </c>
      <c r="L45" s="84" t="s">
        <v>227</v>
      </c>
      <c r="M45" s="135">
        <v>45709</v>
      </c>
      <c r="N45" s="75" t="s">
        <v>583</v>
      </c>
      <c r="P45" s="89"/>
      <c r="Q45" s="149"/>
    </row>
    <row r="46" spans="1:17" x14ac:dyDescent="0.3">
      <c r="A46" s="16" t="s">
        <v>541</v>
      </c>
      <c r="B46" s="16" t="s">
        <v>542</v>
      </c>
      <c r="C46" s="28" t="s">
        <v>159</v>
      </c>
      <c r="D46" s="28" t="str">
        <f>IFERROR(VLOOKUP($C46,CUENTAS[],2,0),"")</f>
        <v>GASTOS VARIOS</v>
      </c>
      <c r="E46" s="28" t="str">
        <f>IFERROR(VLOOKUP($C46,CUENTAS[],3,0),"")</f>
        <v>MDE2025-003A</v>
      </c>
      <c r="F46" s="86">
        <v>2884</v>
      </c>
      <c r="G46" s="86">
        <v>461.44</v>
      </c>
      <c r="H46" s="74">
        <v>3345.44</v>
      </c>
      <c r="I46" s="200" t="str">
        <f t="shared" si="0"/>
        <v>CORRECTO</v>
      </c>
      <c r="J46" s="202" t="s">
        <v>3244</v>
      </c>
      <c r="K46" s="69" t="s">
        <v>407</v>
      </c>
      <c r="L46" s="84" t="s">
        <v>227</v>
      </c>
      <c r="M46" s="135">
        <v>45709</v>
      </c>
      <c r="N46" s="75" t="s">
        <v>584</v>
      </c>
      <c r="P46" s="89"/>
      <c r="Q46" s="149"/>
    </row>
    <row r="47" spans="1:17" x14ac:dyDescent="0.3">
      <c r="A47" s="16" t="s">
        <v>236</v>
      </c>
      <c r="B47" s="16" t="s">
        <v>269</v>
      </c>
      <c r="C47" s="28" t="s">
        <v>201</v>
      </c>
      <c r="D47" s="28" t="str">
        <f>IFERROR(VLOOKUP($C47,CUENTAS[],2,0),"")</f>
        <v>ACTIVOS FIJOS</v>
      </c>
      <c r="E47" s="28" t="str">
        <f>IFERROR(VLOOKUP($C47,CUENTAS[],3,0),"")</f>
        <v>MDE2025-007I</v>
      </c>
      <c r="F47" s="86">
        <v>3500</v>
      </c>
      <c r="G47" s="86">
        <v>0</v>
      </c>
      <c r="H47" s="74">
        <v>3500</v>
      </c>
      <c r="I47" s="200" t="str">
        <f t="shared" si="0"/>
        <v>CORRECTO</v>
      </c>
      <c r="J47" s="202" t="s">
        <v>3244</v>
      </c>
      <c r="K47" s="69" t="s">
        <v>363</v>
      </c>
      <c r="L47" s="84" t="s">
        <v>227</v>
      </c>
      <c r="M47" s="135">
        <v>45709</v>
      </c>
      <c r="N47" s="75" t="s">
        <v>371</v>
      </c>
      <c r="P47" s="89"/>
      <c r="Q47" s="149"/>
    </row>
    <row r="48" spans="1:17" x14ac:dyDescent="0.3">
      <c r="A48" s="16" t="s">
        <v>543</v>
      </c>
      <c r="B48" s="16" t="s">
        <v>544</v>
      </c>
      <c r="C48" s="28" t="s">
        <v>113</v>
      </c>
      <c r="D48" s="28" t="str">
        <f>IFERROR(VLOOKUP($C48,CUENTAS[],2,0),"")</f>
        <v>GASTOS VARIOS</v>
      </c>
      <c r="E48" s="28" t="str">
        <f>IFERROR(VLOOKUP($C48,CUENTAS[],3,0),"")</f>
        <v>MDE2025-003B</v>
      </c>
      <c r="F48" s="86">
        <v>3116</v>
      </c>
      <c r="G48" s="86">
        <v>498.56</v>
      </c>
      <c r="H48" s="74">
        <v>3614.56</v>
      </c>
      <c r="I48" s="200" t="str">
        <f t="shared" si="0"/>
        <v>CORRECTO</v>
      </c>
      <c r="J48" s="202" t="s">
        <v>3244</v>
      </c>
      <c r="K48" s="69" t="s">
        <v>407</v>
      </c>
      <c r="L48" s="84" t="s">
        <v>227</v>
      </c>
      <c r="M48" s="135">
        <v>45713</v>
      </c>
      <c r="N48" s="75" t="s">
        <v>585</v>
      </c>
      <c r="P48" s="89"/>
      <c r="Q48" s="149"/>
    </row>
    <row r="49" spans="1:17" x14ac:dyDescent="0.3">
      <c r="A49" s="16" t="s">
        <v>284</v>
      </c>
      <c r="B49" s="16" t="s">
        <v>545</v>
      </c>
      <c r="C49" s="28" t="s">
        <v>224</v>
      </c>
      <c r="D49" s="28" t="str">
        <f>IFERROR(VLOOKUP($C49,CUENTAS[],2,0),"")</f>
        <v>MATERIALES</v>
      </c>
      <c r="E49" s="28" t="str">
        <f>IFERROR(VLOOKUP($C49,CUENTAS[],3,0),"")</f>
        <v>MDE2025-004</v>
      </c>
      <c r="F49" s="86">
        <v>2137.9299999999998</v>
      </c>
      <c r="G49" s="86">
        <v>342.07</v>
      </c>
      <c r="H49" s="74">
        <v>2480</v>
      </c>
      <c r="I49" s="200" t="str">
        <f t="shared" si="0"/>
        <v>CORRECTO</v>
      </c>
      <c r="J49" s="202" t="s">
        <v>3244</v>
      </c>
      <c r="K49" s="69" t="s">
        <v>363</v>
      </c>
      <c r="L49" s="84" t="s">
        <v>227</v>
      </c>
      <c r="M49" s="135">
        <v>45713</v>
      </c>
      <c r="N49" s="75" t="s">
        <v>586</v>
      </c>
      <c r="P49" s="89"/>
      <c r="Q49" s="149"/>
    </row>
    <row r="50" spans="1:17" x14ac:dyDescent="0.3">
      <c r="A50" s="16" t="s">
        <v>284</v>
      </c>
      <c r="B50" s="16" t="s">
        <v>546</v>
      </c>
      <c r="C50" s="28" t="s">
        <v>224</v>
      </c>
      <c r="D50" s="28" t="str">
        <f>IFERROR(VLOOKUP($C50,CUENTAS[],2,0),"")</f>
        <v>MATERIALES</v>
      </c>
      <c r="E50" s="28" t="str">
        <f>IFERROR(VLOOKUP($C50,CUENTAS[],3,0),"")</f>
        <v>MDE2025-004</v>
      </c>
      <c r="F50" s="86">
        <v>244.83</v>
      </c>
      <c r="G50" s="86">
        <v>39.17</v>
      </c>
      <c r="H50" s="74">
        <v>284</v>
      </c>
      <c r="I50" s="200" t="str">
        <f t="shared" si="0"/>
        <v>CORRECTO</v>
      </c>
      <c r="J50" s="202" t="s">
        <v>3244</v>
      </c>
      <c r="K50" s="69" t="s">
        <v>363</v>
      </c>
      <c r="L50" s="84" t="s">
        <v>227</v>
      </c>
      <c r="M50" s="135">
        <v>45713</v>
      </c>
      <c r="N50" s="75" t="s">
        <v>587</v>
      </c>
      <c r="P50" s="89"/>
      <c r="Q50" s="149"/>
    </row>
    <row r="51" spans="1:17" x14ac:dyDescent="0.3">
      <c r="A51" s="16" t="s">
        <v>284</v>
      </c>
      <c r="B51" s="16" t="s">
        <v>547</v>
      </c>
      <c r="C51" s="28" t="s">
        <v>222</v>
      </c>
      <c r="D51" s="28" t="str">
        <f>IFERROR(VLOOKUP($C51,CUENTAS[],2,0),"")</f>
        <v>MANTENIMIENTO</v>
      </c>
      <c r="E51" s="28" t="str">
        <f>IFERROR(VLOOKUP($C51,CUENTAS[],3,0),"")</f>
        <v>MDE2025-009A</v>
      </c>
      <c r="F51" s="86">
        <v>452.59</v>
      </c>
      <c r="G51" s="86">
        <v>72.41</v>
      </c>
      <c r="H51" s="74">
        <v>525</v>
      </c>
      <c r="I51" s="200" t="str">
        <f t="shared" si="0"/>
        <v>CORRECTO</v>
      </c>
      <c r="J51" s="202" t="s">
        <v>3244</v>
      </c>
      <c r="K51" s="69" t="s">
        <v>363</v>
      </c>
      <c r="L51" s="84" t="s">
        <v>227</v>
      </c>
      <c r="M51" s="136">
        <v>45713</v>
      </c>
      <c r="N51" s="75" t="s">
        <v>588</v>
      </c>
      <c r="P51" s="89"/>
      <c r="Q51" s="149"/>
    </row>
    <row r="52" spans="1:17" x14ac:dyDescent="0.3">
      <c r="A52" s="16" t="s">
        <v>284</v>
      </c>
      <c r="B52" s="16" t="s">
        <v>548</v>
      </c>
      <c r="C52" s="28" t="s">
        <v>224</v>
      </c>
      <c r="D52" s="28" t="str">
        <f>IFERROR(VLOOKUP($C52,CUENTAS[],2,0),"")</f>
        <v>MATERIALES</v>
      </c>
      <c r="E52" s="28" t="str">
        <f>IFERROR(VLOOKUP($C52,CUENTAS[],3,0),"")</f>
        <v>MDE2025-004</v>
      </c>
      <c r="F52" s="86">
        <v>220</v>
      </c>
      <c r="G52" s="86">
        <v>0</v>
      </c>
      <c r="H52" s="74">
        <v>220</v>
      </c>
      <c r="I52" s="200" t="str">
        <f t="shared" si="0"/>
        <v>CORRECTO</v>
      </c>
      <c r="J52" s="202" t="s">
        <v>3244</v>
      </c>
      <c r="K52" s="69" t="s">
        <v>363</v>
      </c>
      <c r="L52" s="84" t="s">
        <v>227</v>
      </c>
      <c r="M52" s="135">
        <v>45713</v>
      </c>
      <c r="N52" s="75" t="s">
        <v>368</v>
      </c>
      <c r="P52" s="89"/>
      <c r="Q52" s="149"/>
    </row>
    <row r="53" spans="1:17" x14ac:dyDescent="0.3">
      <c r="A53" s="16" t="s">
        <v>284</v>
      </c>
      <c r="B53" s="16" t="s">
        <v>549</v>
      </c>
      <c r="C53" s="28" t="s">
        <v>224</v>
      </c>
      <c r="D53" s="28" t="str">
        <f>IFERROR(VLOOKUP($C53,CUENTAS[],2,0),"")</f>
        <v>MATERIALES</v>
      </c>
      <c r="E53" s="28" t="str">
        <f>IFERROR(VLOOKUP($C53,CUENTAS[],3,0),"")</f>
        <v>MDE2025-004</v>
      </c>
      <c r="F53" s="86">
        <v>1179</v>
      </c>
      <c r="G53" s="86">
        <v>0</v>
      </c>
      <c r="H53" s="74">
        <v>1179</v>
      </c>
      <c r="I53" s="200" t="str">
        <f t="shared" si="0"/>
        <v>CORRECTO</v>
      </c>
      <c r="J53" s="202" t="s">
        <v>3244</v>
      </c>
      <c r="K53" s="69" t="s">
        <v>363</v>
      </c>
      <c r="L53" s="84" t="s">
        <v>227</v>
      </c>
      <c r="M53" s="135">
        <v>45713</v>
      </c>
      <c r="N53" s="75" t="s">
        <v>589</v>
      </c>
      <c r="P53" s="89"/>
      <c r="Q53" s="149"/>
    </row>
    <row r="54" spans="1:17" x14ac:dyDescent="0.3">
      <c r="A54" s="16" t="s">
        <v>284</v>
      </c>
      <c r="B54" s="16" t="s">
        <v>550</v>
      </c>
      <c r="C54" s="28" t="s">
        <v>224</v>
      </c>
      <c r="D54" s="28" t="str">
        <f>IFERROR(VLOOKUP($C54,CUENTAS[],2,0),"")</f>
        <v>MATERIALES</v>
      </c>
      <c r="E54" s="28" t="str">
        <f>IFERROR(VLOOKUP($C54,CUENTAS[],3,0),"")</f>
        <v>MDE2025-004</v>
      </c>
      <c r="F54" s="86">
        <v>479.32</v>
      </c>
      <c r="G54" s="86">
        <v>76.69</v>
      </c>
      <c r="H54" s="74">
        <v>556.01</v>
      </c>
      <c r="I54" s="200" t="str">
        <f t="shared" si="0"/>
        <v>CORRECTO</v>
      </c>
      <c r="J54" s="202" t="s">
        <v>3244</v>
      </c>
      <c r="K54" s="69" t="s">
        <v>363</v>
      </c>
      <c r="L54" s="84" t="s">
        <v>227</v>
      </c>
      <c r="M54" s="135">
        <v>45713</v>
      </c>
      <c r="N54" s="75" t="s">
        <v>590</v>
      </c>
      <c r="P54" s="89"/>
      <c r="Q54" s="149"/>
    </row>
    <row r="55" spans="1:17" x14ac:dyDescent="0.3">
      <c r="A55" s="16" t="s">
        <v>284</v>
      </c>
      <c r="B55" s="16" t="s">
        <v>551</v>
      </c>
      <c r="C55" s="28" t="s">
        <v>224</v>
      </c>
      <c r="D55" s="28" t="str">
        <f>IFERROR(VLOOKUP($C55,CUENTAS[],2,0),"")</f>
        <v>MATERIALES</v>
      </c>
      <c r="E55" s="28" t="str">
        <f>IFERROR(VLOOKUP($C55,CUENTAS[],3,0),"")</f>
        <v>MDE2025-004</v>
      </c>
      <c r="F55" s="86">
        <v>120</v>
      </c>
      <c r="G55" s="86">
        <v>0</v>
      </c>
      <c r="H55" s="74">
        <v>120</v>
      </c>
      <c r="I55" s="200" t="str">
        <f t="shared" si="0"/>
        <v>CORRECTO</v>
      </c>
      <c r="J55" s="202" t="s">
        <v>3244</v>
      </c>
      <c r="K55" s="69" t="s">
        <v>363</v>
      </c>
      <c r="L55" s="84" t="s">
        <v>227</v>
      </c>
      <c r="M55" s="135">
        <v>45713</v>
      </c>
      <c r="N55" s="75" t="s">
        <v>368</v>
      </c>
      <c r="P55" s="89"/>
      <c r="Q55" s="149"/>
    </row>
    <row r="56" spans="1:17" x14ac:dyDescent="0.3">
      <c r="A56" s="16" t="s">
        <v>281</v>
      </c>
      <c r="B56" s="16" t="s">
        <v>552</v>
      </c>
      <c r="C56" s="28" t="s">
        <v>128</v>
      </c>
      <c r="D56" s="28" t="str">
        <f>IFERROR(VLOOKUP($C56,CUENTAS[],2,0),"")</f>
        <v>GASTOS FIJOS</v>
      </c>
      <c r="E56" s="28" t="str">
        <f>IFERROR(VLOOKUP($C56,CUENTAS[],3,0),"")</f>
        <v>MDE2025-002I</v>
      </c>
      <c r="F56" s="86">
        <v>8000</v>
      </c>
      <c r="G56" s="86">
        <v>0</v>
      </c>
      <c r="H56" s="74">
        <v>8000</v>
      </c>
      <c r="I56" s="200" t="str">
        <f t="shared" si="0"/>
        <v>CORRECTO</v>
      </c>
      <c r="J56" s="202" t="s">
        <v>3244</v>
      </c>
      <c r="K56" s="69" t="s">
        <v>363</v>
      </c>
      <c r="L56" s="84" t="s">
        <v>227</v>
      </c>
      <c r="M56" s="135">
        <v>45713</v>
      </c>
      <c r="N56" s="75" t="s">
        <v>371</v>
      </c>
      <c r="P56" s="89"/>
      <c r="Q56" s="149"/>
    </row>
    <row r="57" spans="1:17" x14ac:dyDescent="0.3">
      <c r="A57" s="16" t="s">
        <v>250</v>
      </c>
      <c r="B57" s="16" t="s">
        <v>553</v>
      </c>
      <c r="C57" s="28" t="s">
        <v>110</v>
      </c>
      <c r="D57" s="28" t="str">
        <f>IFERROR(VLOOKUP($C57,CUENTAS[],2,0),"")</f>
        <v>GASTOS FIJOS</v>
      </c>
      <c r="E57" s="28" t="str">
        <f>IFERROR(VLOOKUP($C57,CUENTAS[],3,0),"")</f>
        <v>MDE2025-002D</v>
      </c>
      <c r="F57" s="86">
        <v>80000</v>
      </c>
      <c r="G57" s="86">
        <v>0</v>
      </c>
      <c r="H57" s="74">
        <v>80000</v>
      </c>
      <c r="I57" s="200" t="str">
        <f t="shared" si="0"/>
        <v>CORRECTO</v>
      </c>
      <c r="J57" s="202" t="s">
        <v>3244</v>
      </c>
      <c r="K57" s="69" t="s">
        <v>363</v>
      </c>
      <c r="L57" s="84" t="s">
        <v>227</v>
      </c>
      <c r="M57" s="135">
        <v>45713</v>
      </c>
      <c r="N57" s="75" t="s">
        <v>371</v>
      </c>
      <c r="P57" s="89"/>
      <c r="Q57" s="149"/>
    </row>
    <row r="58" spans="1:17" x14ac:dyDescent="0.3">
      <c r="A58" s="16" t="s">
        <v>307</v>
      </c>
      <c r="B58" s="16" t="s">
        <v>554</v>
      </c>
      <c r="C58" s="28" t="s">
        <v>224</v>
      </c>
      <c r="D58" s="28" t="str">
        <f>IFERROR(VLOOKUP($C58,CUENTAS[],2,0),"")</f>
        <v>MATERIALES</v>
      </c>
      <c r="E58" s="28" t="str">
        <f>IFERROR(VLOOKUP($C58,CUENTAS[],3,0),"")</f>
        <v>MDE2025-004</v>
      </c>
      <c r="F58" s="86">
        <v>18435.34</v>
      </c>
      <c r="G58" s="86">
        <v>2949.66</v>
      </c>
      <c r="H58" s="74">
        <v>21385</v>
      </c>
      <c r="I58" s="200" t="str">
        <f t="shared" si="0"/>
        <v>CORRECTO</v>
      </c>
      <c r="J58" s="202" t="s">
        <v>3244</v>
      </c>
      <c r="K58" s="69" t="s">
        <v>407</v>
      </c>
      <c r="L58" s="84" t="s">
        <v>227</v>
      </c>
      <c r="M58" s="135">
        <v>45715</v>
      </c>
      <c r="N58" s="75" t="s">
        <v>578</v>
      </c>
      <c r="P58" s="89"/>
      <c r="Q58" s="149"/>
    </row>
    <row r="59" spans="1:17" x14ac:dyDescent="0.3">
      <c r="A59" s="16" t="s">
        <v>508</v>
      </c>
      <c r="B59" s="16" t="s">
        <v>509</v>
      </c>
      <c r="C59" s="28" t="s">
        <v>19</v>
      </c>
      <c r="D59" s="28" t="str">
        <f>IFERROR(VLOOKUP($C59,CUENTAS[],2,0),"")</f>
        <v>DISEÑOS</v>
      </c>
      <c r="E59" s="28" t="str">
        <f>IFERROR(VLOOKUP($C59,CUENTAS[],3,0),"")</f>
        <v>MDE2025-001</v>
      </c>
      <c r="F59" s="86">
        <v>10763.75</v>
      </c>
      <c r="G59" s="86">
        <v>1744</v>
      </c>
      <c r="H59" s="74">
        <v>12507.75</v>
      </c>
      <c r="I59" s="200" t="str">
        <f t="shared" si="0"/>
        <v>CORRECTO</v>
      </c>
      <c r="J59" s="202" t="s">
        <v>3244</v>
      </c>
      <c r="K59" s="69" t="s">
        <v>365</v>
      </c>
      <c r="L59" s="84" t="s">
        <v>227</v>
      </c>
      <c r="M59" s="135">
        <v>45715</v>
      </c>
      <c r="N59" s="75" t="s">
        <v>591</v>
      </c>
      <c r="P59" s="89"/>
      <c r="Q59" s="149"/>
    </row>
    <row r="60" spans="1:17" x14ac:dyDescent="0.3">
      <c r="A60" s="16" t="s">
        <v>275</v>
      </c>
      <c r="B60" s="16" t="s">
        <v>555</v>
      </c>
      <c r="C60" s="28" t="s">
        <v>121</v>
      </c>
      <c r="D60" s="28" t="str">
        <f>IFERROR(VLOOKUP($C60,CUENTAS[],2,0),"")</f>
        <v>GASTOS FIJOS</v>
      </c>
      <c r="E60" s="28" t="str">
        <f>IFERROR(VLOOKUP($C60,CUENTAS[],3,0),"")</f>
        <v>MDE2025-002K</v>
      </c>
      <c r="F60" s="86">
        <v>15525</v>
      </c>
      <c r="G60" s="86">
        <v>2484</v>
      </c>
      <c r="H60" s="74">
        <v>18009</v>
      </c>
      <c r="I60" s="200" t="str">
        <f t="shared" si="0"/>
        <v>CORRECTO</v>
      </c>
      <c r="J60" s="202" t="s">
        <v>3244</v>
      </c>
      <c r="K60" s="69" t="s">
        <v>363</v>
      </c>
      <c r="L60" s="84" t="s">
        <v>227</v>
      </c>
      <c r="M60" s="135">
        <v>45715</v>
      </c>
      <c r="N60" s="75" t="s">
        <v>592</v>
      </c>
      <c r="P60" s="89"/>
      <c r="Q60" s="149"/>
    </row>
    <row r="61" spans="1:17" x14ac:dyDescent="0.3">
      <c r="A61" s="16" t="s">
        <v>556</v>
      </c>
      <c r="B61" s="16" t="s">
        <v>557</v>
      </c>
      <c r="C61" s="28" t="s">
        <v>223</v>
      </c>
      <c r="D61" s="28" t="str">
        <f>IFERROR(VLOOKUP($C61,CUENTAS[],2,0),"")</f>
        <v>MANTENIMIENTO</v>
      </c>
      <c r="E61" s="28" t="str">
        <f>IFERROR(VLOOKUP($C61,CUENTAS[],3,0),"")</f>
        <v>MDE2025-009B</v>
      </c>
      <c r="F61" s="86">
        <v>2300</v>
      </c>
      <c r="G61" s="86">
        <v>0</v>
      </c>
      <c r="H61" s="74">
        <v>2300</v>
      </c>
      <c r="I61" s="200" t="str">
        <f t="shared" si="0"/>
        <v>CORRECTO</v>
      </c>
      <c r="J61" s="202" t="s">
        <v>3244</v>
      </c>
      <c r="K61" s="69" t="s">
        <v>407</v>
      </c>
      <c r="L61" s="84" t="s">
        <v>227</v>
      </c>
      <c r="M61" s="148">
        <v>45715</v>
      </c>
      <c r="N61" s="75" t="s">
        <v>368</v>
      </c>
      <c r="P61" s="89"/>
      <c r="Q61" s="149"/>
    </row>
    <row r="62" spans="1:17" x14ac:dyDescent="0.3">
      <c r="A62" s="16" t="s">
        <v>284</v>
      </c>
      <c r="B62" s="16" t="s">
        <v>558</v>
      </c>
      <c r="C62" s="28" t="s">
        <v>224</v>
      </c>
      <c r="D62" s="28" t="str">
        <f>IFERROR(VLOOKUP($C62,CUENTAS[],2,0),"")</f>
        <v>MATERIALES</v>
      </c>
      <c r="E62" s="28" t="str">
        <f>IFERROR(VLOOKUP($C62,CUENTAS[],3,0),"")</f>
        <v>MDE2025-004</v>
      </c>
      <c r="F62" s="86">
        <v>77.59</v>
      </c>
      <c r="G62" s="86">
        <v>12.41</v>
      </c>
      <c r="H62" s="74">
        <v>90</v>
      </c>
      <c r="I62" s="200" t="str">
        <f t="shared" si="0"/>
        <v>CORRECTO</v>
      </c>
      <c r="J62" s="202" t="s">
        <v>3244</v>
      </c>
      <c r="K62" s="69" t="s">
        <v>365</v>
      </c>
      <c r="L62" s="84" t="s">
        <v>227</v>
      </c>
      <c r="M62" s="136">
        <v>45715</v>
      </c>
      <c r="N62" s="75" t="s">
        <v>593</v>
      </c>
      <c r="P62" s="89"/>
      <c r="Q62" s="149"/>
    </row>
    <row r="63" spans="1:17" x14ac:dyDescent="0.3">
      <c r="A63" s="16" t="s">
        <v>559</v>
      </c>
      <c r="B63" s="16" t="s">
        <v>560</v>
      </c>
      <c r="C63" s="28" t="s">
        <v>19</v>
      </c>
      <c r="D63" s="28" t="str">
        <f>IFERROR(VLOOKUP($C63,CUENTAS[],2,0),"")</f>
        <v>DISEÑOS</v>
      </c>
      <c r="E63" s="28" t="str">
        <f>IFERROR(VLOOKUP($C63,CUENTAS[],3,0),"")</f>
        <v>MDE2025-001</v>
      </c>
      <c r="F63" s="86">
        <v>2400</v>
      </c>
      <c r="G63" s="86">
        <v>0</v>
      </c>
      <c r="H63" s="74">
        <v>2400</v>
      </c>
      <c r="I63" s="200" t="str">
        <f t="shared" si="0"/>
        <v>CORRECTO</v>
      </c>
      <c r="J63" s="202" t="s">
        <v>3244</v>
      </c>
      <c r="K63" s="69" t="s">
        <v>405</v>
      </c>
      <c r="L63" s="84" t="s">
        <v>227</v>
      </c>
      <c r="M63" s="135">
        <v>45715</v>
      </c>
      <c r="N63" s="75" t="s">
        <v>594</v>
      </c>
      <c r="P63" s="89"/>
      <c r="Q63" s="149"/>
    </row>
    <row r="64" spans="1:17" x14ac:dyDescent="0.3">
      <c r="A64" s="16" t="s">
        <v>277</v>
      </c>
      <c r="B64" s="16" t="s">
        <v>561</v>
      </c>
      <c r="C64" s="28" t="s">
        <v>222</v>
      </c>
      <c r="D64" s="28" t="str">
        <f>IFERROR(VLOOKUP($C64,CUENTAS[],2,0),"")</f>
        <v>MANTENIMIENTO</v>
      </c>
      <c r="E64" s="28" t="str">
        <f>IFERROR(VLOOKUP($C64,CUENTAS[],3,0),"")</f>
        <v>MDE2025-009A</v>
      </c>
      <c r="F64" s="86">
        <v>1960</v>
      </c>
      <c r="G64" s="86">
        <v>0</v>
      </c>
      <c r="H64" s="74">
        <v>1960</v>
      </c>
      <c r="I64" s="200" t="str">
        <f t="shared" si="0"/>
        <v>CORRECTO</v>
      </c>
      <c r="J64" s="202" t="s">
        <v>3244</v>
      </c>
      <c r="K64" s="69" t="s">
        <v>363</v>
      </c>
      <c r="L64" s="84" t="s">
        <v>227</v>
      </c>
      <c r="M64" s="135">
        <v>45716</v>
      </c>
      <c r="N64" s="75" t="s">
        <v>371</v>
      </c>
      <c r="P64" s="89"/>
      <c r="Q64" s="149"/>
    </row>
    <row r="65" spans="1:17" x14ac:dyDescent="0.3">
      <c r="A65" s="16" t="s">
        <v>236</v>
      </c>
      <c r="B65" s="16" t="s">
        <v>269</v>
      </c>
      <c r="C65" s="28" t="s">
        <v>201</v>
      </c>
      <c r="D65" s="28" t="str">
        <f>IFERROR(VLOOKUP($C65,CUENTAS[],2,0),"")</f>
        <v>ACTIVOS FIJOS</v>
      </c>
      <c r="E65" s="28" t="str">
        <f>IFERROR(VLOOKUP($C65,CUENTAS[],3,0),"")</f>
        <v>MDE2025-007I</v>
      </c>
      <c r="F65" s="86">
        <v>3500</v>
      </c>
      <c r="G65" s="86">
        <v>0</v>
      </c>
      <c r="H65" s="74">
        <v>3500</v>
      </c>
      <c r="I65" s="200" t="str">
        <f t="shared" si="0"/>
        <v>CORRECTO</v>
      </c>
      <c r="J65" s="202" t="s">
        <v>3244</v>
      </c>
      <c r="K65" s="69" t="s">
        <v>365</v>
      </c>
      <c r="L65" s="84" t="s">
        <v>227</v>
      </c>
      <c r="M65" s="135">
        <v>45716</v>
      </c>
      <c r="N65" s="75" t="s">
        <v>371</v>
      </c>
      <c r="P65" s="89"/>
      <c r="Q65" s="149"/>
    </row>
    <row r="66" spans="1:17" x14ac:dyDescent="0.3">
      <c r="A66" s="16" t="s">
        <v>238</v>
      </c>
      <c r="B66" s="16" t="s">
        <v>269</v>
      </c>
      <c r="C66" s="28" t="s">
        <v>201</v>
      </c>
      <c r="D66" s="28" t="str">
        <f>IFERROR(VLOOKUP($C66,CUENTAS[],2,0),"")</f>
        <v>ACTIVOS FIJOS</v>
      </c>
      <c r="E66" s="28" t="str">
        <f>IFERROR(VLOOKUP($C66,CUENTAS[],3,0),"")</f>
        <v>MDE2025-007I</v>
      </c>
      <c r="F66" s="86">
        <v>3200</v>
      </c>
      <c r="G66" s="86">
        <v>0</v>
      </c>
      <c r="H66" s="74">
        <v>3200</v>
      </c>
      <c r="I66" s="200" t="str">
        <f t="shared" si="0"/>
        <v>CORRECTO</v>
      </c>
      <c r="J66" s="202" t="s">
        <v>3244</v>
      </c>
      <c r="K66" s="69" t="s">
        <v>365</v>
      </c>
      <c r="L66" s="84" t="s">
        <v>227</v>
      </c>
      <c r="M66" s="135">
        <v>45716</v>
      </c>
      <c r="N66" s="75" t="s">
        <v>371</v>
      </c>
      <c r="P66" s="89"/>
      <c r="Q66" s="149"/>
    </row>
    <row r="67" spans="1:17" x14ac:dyDescent="0.3">
      <c r="A67" s="16" t="s">
        <v>283</v>
      </c>
      <c r="B67" s="16">
        <v>2423578</v>
      </c>
      <c r="C67" s="28" t="s">
        <v>120</v>
      </c>
      <c r="D67" s="28" t="str">
        <f>IFERROR(VLOOKUP($C67,CUENTAS[],2,0),"")</f>
        <v>TOKA</v>
      </c>
      <c r="E67" s="28" t="str">
        <f>IFERROR(VLOOKUP($C67,CUENTAS[],3,0),"")</f>
        <v>TOK2025-001C</v>
      </c>
      <c r="F67" s="86">
        <v>500</v>
      </c>
      <c r="G67" s="86">
        <v>80</v>
      </c>
      <c r="H67" s="74">
        <v>580</v>
      </c>
      <c r="I67" s="200" t="str">
        <f t="shared" ref="I67:I114" si="1">IFERROR(IF(F67+G67&lt;&gt;H67,"REVISAR","CORRECTO"),"")</f>
        <v>CORRECTO</v>
      </c>
      <c r="J67" s="202" t="s">
        <v>3244</v>
      </c>
      <c r="K67" s="69" t="s">
        <v>363</v>
      </c>
      <c r="L67" s="84" t="s">
        <v>227</v>
      </c>
      <c r="M67" s="135">
        <v>45716</v>
      </c>
      <c r="N67" s="75" t="s">
        <v>570</v>
      </c>
      <c r="P67" s="89"/>
      <c r="Q67" s="149"/>
    </row>
    <row r="68" spans="1:17" x14ac:dyDescent="0.3">
      <c r="A68" s="16" t="s">
        <v>283</v>
      </c>
      <c r="B68" s="16">
        <v>2423539</v>
      </c>
      <c r="C68" s="28" t="s">
        <v>120</v>
      </c>
      <c r="D68" s="28" t="str">
        <f>IFERROR(VLOOKUP($C68,CUENTAS[],2,0),"")</f>
        <v>TOKA</v>
      </c>
      <c r="E68" s="28" t="str">
        <f>IFERROR(VLOOKUP($C68,CUENTAS[],3,0),"")</f>
        <v>TOK2025-001C</v>
      </c>
      <c r="F68" s="86">
        <v>300</v>
      </c>
      <c r="G68" s="86">
        <v>48</v>
      </c>
      <c r="H68" s="74">
        <v>348</v>
      </c>
      <c r="I68" s="200" t="str">
        <f t="shared" si="1"/>
        <v>CORRECTO</v>
      </c>
      <c r="J68" s="202" t="s">
        <v>3244</v>
      </c>
      <c r="K68" s="69" t="s">
        <v>363</v>
      </c>
      <c r="L68" s="84" t="s">
        <v>227</v>
      </c>
      <c r="M68" s="135">
        <v>45716</v>
      </c>
      <c r="N68" s="75" t="s">
        <v>570</v>
      </c>
      <c r="P68" s="89"/>
      <c r="Q68" s="149"/>
    </row>
    <row r="69" spans="1:17" x14ac:dyDescent="0.3">
      <c r="A69" s="16" t="s">
        <v>562</v>
      </c>
      <c r="B69" s="16" t="s">
        <v>563</v>
      </c>
      <c r="C69" s="28" t="s">
        <v>201</v>
      </c>
      <c r="D69" s="28" t="str">
        <f>IFERROR(VLOOKUP($C69,CUENTAS[],2,0),"")</f>
        <v>ACTIVOS FIJOS</v>
      </c>
      <c r="E69" s="28" t="str">
        <f>IFERROR(VLOOKUP($C69,CUENTAS[],3,0),"")</f>
        <v>MDE2025-007I</v>
      </c>
      <c r="F69" s="74">
        <v>11500</v>
      </c>
      <c r="G69" s="86">
        <v>0</v>
      </c>
      <c r="H69" s="74">
        <v>11500</v>
      </c>
      <c r="I69" s="200" t="str">
        <f t="shared" si="1"/>
        <v>CORRECTO</v>
      </c>
      <c r="J69" s="202" t="s">
        <v>3244</v>
      </c>
      <c r="K69" s="69" t="s">
        <v>360</v>
      </c>
      <c r="L69" s="84" t="s">
        <v>227</v>
      </c>
      <c r="M69" s="135">
        <v>45716</v>
      </c>
      <c r="N69" s="75" t="s">
        <v>371</v>
      </c>
      <c r="P69" s="89"/>
      <c r="Q69" s="149"/>
    </row>
    <row r="70" spans="1:17" x14ac:dyDescent="0.3">
      <c r="A70" s="16" t="s">
        <v>266</v>
      </c>
      <c r="B70" s="16" t="s">
        <v>564</v>
      </c>
      <c r="C70" s="28" t="s">
        <v>111</v>
      </c>
      <c r="D70" s="28" t="str">
        <f>IFERROR(VLOOKUP($C70,CUENTAS[],2,0),"")</f>
        <v>GASTOS VARIOS</v>
      </c>
      <c r="E70" s="28" t="str">
        <f>IFERROR(VLOOKUP($C70,CUENTAS[],3,0),"")</f>
        <v>MDE2025-003K</v>
      </c>
      <c r="F70" s="74">
        <v>8000</v>
      </c>
      <c r="G70" s="86">
        <v>0</v>
      </c>
      <c r="H70" s="74">
        <v>8000</v>
      </c>
      <c r="I70" s="200" t="str">
        <f t="shared" si="1"/>
        <v>CORRECTO</v>
      </c>
      <c r="J70" s="202" t="s">
        <v>3244</v>
      </c>
      <c r="K70" s="69" t="s">
        <v>365</v>
      </c>
      <c r="L70" s="84" t="s">
        <v>227</v>
      </c>
      <c r="M70" s="135">
        <v>45702</v>
      </c>
      <c r="N70" s="75" t="s">
        <v>371</v>
      </c>
      <c r="P70" s="89"/>
      <c r="Q70" s="149"/>
    </row>
    <row r="71" spans="1:17" x14ac:dyDescent="0.3">
      <c r="A71" s="16" t="s">
        <v>262</v>
      </c>
      <c r="B71" s="16" t="s">
        <v>564</v>
      </c>
      <c r="C71" s="28" t="s">
        <v>111</v>
      </c>
      <c r="D71" s="28" t="str">
        <f>IFERROR(VLOOKUP($C71,CUENTAS[],2,0),"")</f>
        <v>GASTOS VARIOS</v>
      </c>
      <c r="E71" s="28" t="str">
        <f>IFERROR(VLOOKUP($C71,CUENTAS[],3,0),"")</f>
        <v>MDE2025-003K</v>
      </c>
      <c r="F71" s="74">
        <v>8000</v>
      </c>
      <c r="G71" s="86">
        <v>0</v>
      </c>
      <c r="H71" s="74">
        <v>8000</v>
      </c>
      <c r="I71" s="200" t="str">
        <f t="shared" si="1"/>
        <v>CORRECTO</v>
      </c>
      <c r="J71" s="202" t="s">
        <v>3244</v>
      </c>
      <c r="K71" s="69" t="s">
        <v>365</v>
      </c>
      <c r="L71" s="84" t="s">
        <v>227</v>
      </c>
      <c r="M71" s="135">
        <v>45702</v>
      </c>
      <c r="N71" s="75" t="s">
        <v>371</v>
      </c>
      <c r="P71" s="89"/>
      <c r="Q71" s="149"/>
    </row>
    <row r="72" spans="1:17" x14ac:dyDescent="0.3">
      <c r="A72" s="16" t="s">
        <v>264</v>
      </c>
      <c r="B72" s="16" t="s">
        <v>564</v>
      </c>
      <c r="C72" s="28" t="s">
        <v>111</v>
      </c>
      <c r="D72" s="28" t="str">
        <f>IFERROR(VLOOKUP($C72,CUENTAS[],2,0),"")</f>
        <v>GASTOS VARIOS</v>
      </c>
      <c r="E72" s="28" t="str">
        <f>IFERROR(VLOOKUP($C72,CUENTAS[],3,0),"")</f>
        <v>MDE2025-003K</v>
      </c>
      <c r="F72" s="74">
        <v>8000</v>
      </c>
      <c r="G72" s="86">
        <v>0</v>
      </c>
      <c r="H72" s="74">
        <v>8000</v>
      </c>
      <c r="I72" s="200" t="str">
        <f t="shared" si="1"/>
        <v>CORRECTO</v>
      </c>
      <c r="J72" s="202" t="s">
        <v>3244</v>
      </c>
      <c r="K72" s="69" t="s">
        <v>365</v>
      </c>
      <c r="L72" s="84" t="s">
        <v>227</v>
      </c>
      <c r="M72" s="136">
        <v>45702</v>
      </c>
      <c r="N72" s="75" t="s">
        <v>371</v>
      </c>
      <c r="O72" s="198"/>
      <c r="P72" s="89"/>
      <c r="Q72" s="149"/>
    </row>
    <row r="73" spans="1:17" x14ac:dyDescent="0.3">
      <c r="A73" s="16" t="s">
        <v>265</v>
      </c>
      <c r="B73" s="16" t="s">
        <v>564</v>
      </c>
      <c r="C73" s="28" t="s">
        <v>111</v>
      </c>
      <c r="D73" s="28" t="str">
        <f>IFERROR(VLOOKUP($C73,CUENTAS[],2,0),"")</f>
        <v>GASTOS VARIOS</v>
      </c>
      <c r="E73" s="28" t="str">
        <f>IFERROR(VLOOKUP($C73,CUENTAS[],3,0),"")</f>
        <v>MDE2025-003K</v>
      </c>
      <c r="F73" s="74">
        <v>8000</v>
      </c>
      <c r="G73" s="86">
        <v>0</v>
      </c>
      <c r="H73" s="74">
        <v>8000</v>
      </c>
      <c r="I73" s="200" t="str">
        <f t="shared" si="1"/>
        <v>CORRECTO</v>
      </c>
      <c r="J73" s="202" t="s">
        <v>3244</v>
      </c>
      <c r="K73" s="69" t="s">
        <v>365</v>
      </c>
      <c r="L73" s="84" t="s">
        <v>227</v>
      </c>
      <c r="M73" s="135">
        <v>45702</v>
      </c>
      <c r="N73" s="75" t="s">
        <v>371</v>
      </c>
      <c r="P73" s="89"/>
      <c r="Q73" s="149"/>
    </row>
    <row r="74" spans="1:17" x14ac:dyDescent="0.3">
      <c r="A74" s="16" t="s">
        <v>341</v>
      </c>
      <c r="B74" s="16" t="s">
        <v>628</v>
      </c>
      <c r="C74" s="28" t="s">
        <v>224</v>
      </c>
      <c r="D74" s="28" t="str">
        <f>IFERROR(VLOOKUP($C74,CUENTAS[],2,0),"")</f>
        <v>MATERIALES</v>
      </c>
      <c r="E74" s="28" t="str">
        <f>IFERROR(VLOOKUP($C74,CUENTAS[],3,0),"")</f>
        <v>MDE2025-004</v>
      </c>
      <c r="F74" s="160">
        <v>1600</v>
      </c>
      <c r="G74" s="161">
        <v>0</v>
      </c>
      <c r="H74" s="74">
        <v>1600</v>
      </c>
      <c r="I74" s="200" t="str">
        <f t="shared" si="1"/>
        <v>CORRECTO</v>
      </c>
      <c r="J74" s="202" t="s">
        <v>963</v>
      </c>
      <c r="K74" s="69" t="s">
        <v>407</v>
      </c>
      <c r="L74" s="84"/>
      <c r="M74" s="135"/>
      <c r="N74" s="75"/>
      <c r="P74" s="134" t="s">
        <v>632</v>
      </c>
      <c r="Q74" s="89"/>
    </row>
    <row r="75" spans="1:17" x14ac:dyDescent="0.3">
      <c r="A75" s="16" t="s">
        <v>629</v>
      </c>
      <c r="B75" s="16" t="s">
        <v>630</v>
      </c>
      <c r="C75" s="28" t="s">
        <v>113</v>
      </c>
      <c r="D75" s="28" t="str">
        <f>IFERROR(VLOOKUP($C75,CUENTAS[],2,0),"")</f>
        <v>GASTOS VARIOS</v>
      </c>
      <c r="E75" s="28" t="str">
        <f>IFERROR(VLOOKUP($C75,CUENTAS[],3,0),"")</f>
        <v>MDE2025-003B</v>
      </c>
      <c r="F75" s="160">
        <v>39.659999999999997</v>
      </c>
      <c r="G75" s="161">
        <v>0</v>
      </c>
      <c r="H75" s="74">
        <v>39.659999999999997</v>
      </c>
      <c r="I75" s="200" t="str">
        <f t="shared" si="1"/>
        <v>CORRECTO</v>
      </c>
      <c r="J75" s="202" t="s">
        <v>963</v>
      </c>
      <c r="K75" s="69" t="s">
        <v>407</v>
      </c>
      <c r="L75" s="84"/>
      <c r="M75" s="135"/>
      <c r="N75" s="75"/>
      <c r="P75" s="89"/>
      <c r="Q75" s="89"/>
    </row>
    <row r="76" spans="1:17" x14ac:dyDescent="0.3">
      <c r="A76" s="16" t="s">
        <v>629</v>
      </c>
      <c r="B76" s="16" t="s">
        <v>631</v>
      </c>
      <c r="C76" s="28" t="s">
        <v>113</v>
      </c>
      <c r="D76" s="28" t="str">
        <f>IFERROR(VLOOKUP($C76,CUENTAS[],2,0),"")</f>
        <v>GASTOS VARIOS</v>
      </c>
      <c r="E76" s="28" t="str">
        <f>IFERROR(VLOOKUP($C76,CUENTAS[],3,0),"")</f>
        <v>MDE2025-003B</v>
      </c>
      <c r="F76" s="160">
        <v>19.829999999999998</v>
      </c>
      <c r="G76" s="161">
        <v>0</v>
      </c>
      <c r="H76" s="74">
        <v>19.829999999999998</v>
      </c>
      <c r="I76" s="200" t="str">
        <f t="shared" si="1"/>
        <v>CORRECTO</v>
      </c>
      <c r="J76" s="202" t="s">
        <v>963</v>
      </c>
      <c r="K76" s="69" t="s">
        <v>407</v>
      </c>
      <c r="L76" s="84"/>
      <c r="M76" s="135"/>
      <c r="N76" s="75"/>
      <c r="P76" s="89"/>
      <c r="Q76" s="89"/>
    </row>
    <row r="77" spans="1:17" x14ac:dyDescent="0.3">
      <c r="A77" s="5" t="s">
        <v>228</v>
      </c>
      <c r="B77" s="100" t="s">
        <v>595</v>
      </c>
      <c r="C77" s="28" t="s">
        <v>201</v>
      </c>
      <c r="D77" s="28" t="str">
        <f>IFERROR(VLOOKUP($C77,CUENTAS[],2,0),"")</f>
        <v>ACTIVOS FIJOS</v>
      </c>
      <c r="E77" s="28" t="str">
        <f>IFERROR(VLOOKUP($C77,CUENTAS[],3,0),"")</f>
        <v>MDE2025-007I</v>
      </c>
      <c r="F77" s="144">
        <v>18668.919999999998</v>
      </c>
      <c r="G77" s="145">
        <v>2987.03</v>
      </c>
      <c r="H77" s="128">
        <v>21655.95</v>
      </c>
      <c r="I77" s="200" t="str">
        <f t="shared" si="1"/>
        <v>CORRECTO</v>
      </c>
      <c r="J77" s="202" t="s">
        <v>133</v>
      </c>
      <c r="K77" s="141" t="s">
        <v>364</v>
      </c>
      <c r="L77" s="142" t="s">
        <v>226</v>
      </c>
      <c r="M77" s="139"/>
      <c r="N77" s="143" t="s">
        <v>599</v>
      </c>
      <c r="P77" s="89"/>
      <c r="Q77" s="149"/>
    </row>
    <row r="78" spans="1:17" x14ac:dyDescent="0.3">
      <c r="A78" s="5" t="s">
        <v>228</v>
      </c>
      <c r="B78" s="100" t="s">
        <v>400</v>
      </c>
      <c r="C78" s="28" t="s">
        <v>134</v>
      </c>
      <c r="D78" s="28" t="str">
        <f>IFERROR(VLOOKUP($C78,CUENTAS[],2,0),"")</f>
        <v>GASTOS FIJOS</v>
      </c>
      <c r="E78" s="28" t="str">
        <f>IFERROR(VLOOKUP($C78,CUENTAS[],3,0),"")</f>
        <v>MDE2025-002J</v>
      </c>
      <c r="F78" s="144">
        <v>615.63</v>
      </c>
      <c r="G78" s="145">
        <v>0</v>
      </c>
      <c r="H78" s="128">
        <v>615.63</v>
      </c>
      <c r="I78" s="200" t="str">
        <f t="shared" si="1"/>
        <v>CORRECTO</v>
      </c>
      <c r="J78" s="202" t="s">
        <v>133</v>
      </c>
      <c r="K78" s="141" t="s">
        <v>406</v>
      </c>
      <c r="L78" s="142" t="s">
        <v>226</v>
      </c>
      <c r="M78" s="139"/>
      <c r="N78" s="143" t="s">
        <v>410</v>
      </c>
      <c r="P78" s="89"/>
      <c r="Q78" s="149"/>
    </row>
    <row r="79" spans="1:17" x14ac:dyDescent="0.3">
      <c r="A79" s="21" t="s">
        <v>228</v>
      </c>
      <c r="B79" s="104" t="s">
        <v>596</v>
      </c>
      <c r="C79" s="28" t="s">
        <v>168</v>
      </c>
      <c r="D79" s="28" t="str">
        <f>IFERROR(VLOOKUP($C79,CUENTAS[],2,0),"")</f>
        <v>ACTIVOS FIJOS</v>
      </c>
      <c r="E79" s="28" t="str">
        <f>IFERROR(VLOOKUP($C79,CUENTAS[],3,0),"")</f>
        <v>MDE2025-007B</v>
      </c>
      <c r="F79" s="144">
        <v>10708.63</v>
      </c>
      <c r="G79" s="145">
        <v>1713.37</v>
      </c>
      <c r="H79" s="128">
        <v>12422</v>
      </c>
      <c r="I79" s="200" t="str">
        <f t="shared" si="1"/>
        <v>CORRECTO</v>
      </c>
      <c r="J79" s="202" t="s">
        <v>133</v>
      </c>
      <c r="K79" s="141" t="s">
        <v>405</v>
      </c>
      <c r="L79" s="142" t="s">
        <v>226</v>
      </c>
      <c r="M79" s="139"/>
      <c r="N79" s="146" t="s">
        <v>600</v>
      </c>
      <c r="P79" s="89"/>
      <c r="Q79" s="149"/>
    </row>
    <row r="80" spans="1:17" x14ac:dyDescent="0.3">
      <c r="A80" s="21" t="s">
        <v>228</v>
      </c>
      <c r="B80" s="104" t="s">
        <v>597</v>
      </c>
      <c r="C80" s="28" t="s">
        <v>168</v>
      </c>
      <c r="D80" s="28" t="str">
        <f>IFERROR(VLOOKUP($C80,CUENTAS[],2,0),"")</f>
        <v>ACTIVOS FIJOS</v>
      </c>
      <c r="E80" s="28" t="str">
        <f>IFERROR(VLOOKUP($C80,CUENTAS[],3,0),"")</f>
        <v>MDE2025-007B</v>
      </c>
      <c r="F80" s="144">
        <v>10708.63</v>
      </c>
      <c r="G80" s="145">
        <v>1713.37</v>
      </c>
      <c r="H80" s="128">
        <v>12422</v>
      </c>
      <c r="I80" s="200" t="str">
        <f t="shared" si="1"/>
        <v>CORRECTO</v>
      </c>
      <c r="J80" s="202" t="s">
        <v>133</v>
      </c>
      <c r="K80" s="141" t="s">
        <v>405</v>
      </c>
      <c r="L80" s="142" t="s">
        <v>226</v>
      </c>
      <c r="M80" s="139"/>
      <c r="N80" s="146" t="s">
        <v>601</v>
      </c>
      <c r="P80" s="89"/>
      <c r="Q80" s="149"/>
    </row>
    <row r="81" spans="1:17" x14ac:dyDescent="0.3">
      <c r="A81" s="21" t="s">
        <v>228</v>
      </c>
      <c r="B81" s="104" t="s">
        <v>598</v>
      </c>
      <c r="C81" s="28" t="s">
        <v>151</v>
      </c>
      <c r="D81" s="28" t="str">
        <f>IFERROR(VLOOKUP($C81,CUENTAS[],2,0),"")</f>
        <v>GASTOS FIJOS</v>
      </c>
      <c r="E81" s="28" t="str">
        <f>IFERROR(VLOOKUP($C81,CUENTAS[],3,0),"")</f>
        <v>MDE2025-002F</v>
      </c>
      <c r="F81" s="144">
        <v>3148</v>
      </c>
      <c r="G81" s="145">
        <v>0</v>
      </c>
      <c r="H81" s="128">
        <v>3148</v>
      </c>
      <c r="I81" s="200" t="str">
        <f t="shared" si="1"/>
        <v>CORRECTO</v>
      </c>
      <c r="J81" s="202" t="s">
        <v>133</v>
      </c>
      <c r="K81" s="141" t="s">
        <v>360</v>
      </c>
      <c r="L81" s="142" t="s">
        <v>226</v>
      </c>
      <c r="M81" s="139"/>
      <c r="N81" s="146" t="s">
        <v>371</v>
      </c>
      <c r="P81" s="89"/>
      <c r="Q81" s="149"/>
    </row>
    <row r="82" spans="1:17" x14ac:dyDescent="0.3">
      <c r="A82" s="21" t="s">
        <v>228</v>
      </c>
      <c r="B82" s="104" t="s">
        <v>598</v>
      </c>
      <c r="C82" s="28" t="s">
        <v>151</v>
      </c>
      <c r="D82" s="28" t="str">
        <f>IFERROR(VLOOKUP($C82,CUENTAS[],2,0),"")</f>
        <v>GASTOS FIJOS</v>
      </c>
      <c r="E82" s="28" t="str">
        <f>IFERROR(VLOOKUP($C82,CUENTAS[],3,0),"")</f>
        <v>MDE2025-002F</v>
      </c>
      <c r="F82" s="144">
        <v>1045</v>
      </c>
      <c r="G82" s="145">
        <v>0</v>
      </c>
      <c r="H82" s="128">
        <v>1045</v>
      </c>
      <c r="I82" s="200" t="str">
        <f t="shared" si="1"/>
        <v>CORRECTO</v>
      </c>
      <c r="J82" s="202" t="s">
        <v>133</v>
      </c>
      <c r="K82" s="141" t="s">
        <v>360</v>
      </c>
      <c r="L82" s="142" t="s">
        <v>226</v>
      </c>
      <c r="M82" s="139"/>
      <c r="N82" s="146" t="s">
        <v>371</v>
      </c>
      <c r="P82" s="89"/>
      <c r="Q82" s="149"/>
    </row>
    <row r="83" spans="1:17" x14ac:dyDescent="0.3">
      <c r="A83" s="6" t="s">
        <v>648</v>
      </c>
      <c r="B83" s="109" t="s">
        <v>649</v>
      </c>
      <c r="C83" s="28" t="s">
        <v>117</v>
      </c>
      <c r="D83" s="28" t="str">
        <f>IFERROR(VLOOKUP($C83,CUENTAS[],2,0),"")</f>
        <v>GASTOS VARIOS</v>
      </c>
      <c r="E83" s="28" t="str">
        <f>IFERROR(VLOOKUP($C83,CUENTAS[],3,0),"")</f>
        <v>MDE2025-003D</v>
      </c>
      <c r="F83" s="86">
        <v>1283.3900000000001</v>
      </c>
      <c r="G83" s="129">
        <v>0</v>
      </c>
      <c r="H83" s="126">
        <v>1283.3900000000001</v>
      </c>
      <c r="I83" s="200" t="str">
        <f t="shared" si="1"/>
        <v>CORRECTO</v>
      </c>
      <c r="J83" s="202" t="s">
        <v>92</v>
      </c>
      <c r="K83" s="101" t="s">
        <v>652</v>
      </c>
      <c r="L83" s="95" t="s">
        <v>227</v>
      </c>
      <c r="M83" s="110">
        <v>45701</v>
      </c>
      <c r="N83" s="8" t="s">
        <v>430</v>
      </c>
      <c r="P83" s="89"/>
      <c r="Q83" s="89"/>
    </row>
    <row r="84" spans="1:17" x14ac:dyDescent="0.3">
      <c r="A84" s="6" t="s">
        <v>650</v>
      </c>
      <c r="B84" s="111" t="s">
        <v>651</v>
      </c>
      <c r="C84" s="28" t="s">
        <v>167</v>
      </c>
      <c r="D84" s="28" t="str">
        <f>IFERROR(VLOOKUP($C84,CUENTAS[],2,0),"")</f>
        <v>LOGÍSTICA</v>
      </c>
      <c r="E84" s="28" t="str">
        <f>IFERROR(VLOOKUP($C84,CUENTAS[],3,0),"")</f>
        <v>MDE2025-006D</v>
      </c>
      <c r="F84" s="86">
        <v>157.76</v>
      </c>
      <c r="G84" s="129">
        <v>25.24</v>
      </c>
      <c r="H84" s="127">
        <v>183</v>
      </c>
      <c r="I84" s="200" t="str">
        <f t="shared" si="1"/>
        <v>CORRECTO</v>
      </c>
      <c r="J84" s="202" t="s">
        <v>654</v>
      </c>
      <c r="K84" s="112" t="s">
        <v>425</v>
      </c>
      <c r="L84" s="95" t="s">
        <v>227</v>
      </c>
      <c r="M84" s="113">
        <v>45716</v>
      </c>
      <c r="N84" s="9" t="s">
        <v>653</v>
      </c>
      <c r="P84" s="89"/>
      <c r="Q84" s="89"/>
    </row>
    <row r="85" spans="1:17" ht="14.25" customHeight="1" x14ac:dyDescent="0.3">
      <c r="A85" s="150" t="s">
        <v>606</v>
      </c>
      <c r="B85" s="150" t="s">
        <v>607</v>
      </c>
      <c r="C85" s="151" t="s">
        <v>158</v>
      </c>
      <c r="D85" s="151" t="str">
        <f>IFERROR(VLOOKUP($C85,CUENTAS[],2,0),"")</f>
        <v>GASTOS FIJOS</v>
      </c>
      <c r="E85" s="151" t="str">
        <f>IFERROR(VLOOKUP($C85,CUENTAS[],3,0),"")</f>
        <v>MDE2025-002R</v>
      </c>
      <c r="F85" s="156">
        <v>100000</v>
      </c>
      <c r="G85" s="157">
        <v>0</v>
      </c>
      <c r="H85" s="152">
        <v>100000</v>
      </c>
      <c r="I85" s="200" t="str">
        <f t="shared" si="1"/>
        <v>CORRECTO</v>
      </c>
      <c r="J85" s="202" t="s">
        <v>3244</v>
      </c>
      <c r="K85" s="153" t="s">
        <v>360</v>
      </c>
      <c r="L85" s="154" t="s">
        <v>227</v>
      </c>
      <c r="M85" s="158">
        <v>45707</v>
      </c>
      <c r="N85" s="155" t="s">
        <v>371</v>
      </c>
      <c r="P85" s="89"/>
      <c r="Q85" s="89"/>
    </row>
    <row r="86" spans="1:17" ht="14.25" customHeight="1" x14ac:dyDescent="0.3">
      <c r="A86" s="115" t="s">
        <v>608</v>
      </c>
      <c r="B86" s="115" t="s">
        <v>609</v>
      </c>
      <c r="C86" s="28" t="s">
        <v>222</v>
      </c>
      <c r="D86" s="28" t="str">
        <f>IFERROR(VLOOKUP($C86,CUENTAS[],2,0),"")</f>
        <v>MANTENIMIENTO</v>
      </c>
      <c r="E86" s="28" t="str">
        <f>IFERROR(VLOOKUP($C86,CUENTAS[],3,0),"")</f>
        <v>MDE2025-009A</v>
      </c>
      <c r="F86" s="86">
        <v>29</v>
      </c>
      <c r="G86" s="129">
        <v>0</v>
      </c>
      <c r="H86" s="131">
        <v>29</v>
      </c>
      <c r="I86" s="200" t="str">
        <f t="shared" si="1"/>
        <v>CORRECTO</v>
      </c>
      <c r="J86" s="202" t="s">
        <v>176</v>
      </c>
      <c r="K86" s="116" t="s">
        <v>623</v>
      </c>
      <c r="L86" s="95" t="s">
        <v>227</v>
      </c>
      <c r="M86" s="159">
        <v>45699</v>
      </c>
      <c r="N86" s="22" t="s">
        <v>430</v>
      </c>
      <c r="P86" s="89"/>
      <c r="Q86" s="89"/>
    </row>
    <row r="87" spans="1:17" ht="14.25" customHeight="1" x14ac:dyDescent="0.3">
      <c r="A87" s="115" t="s">
        <v>608</v>
      </c>
      <c r="B87" s="115" t="s">
        <v>610</v>
      </c>
      <c r="C87" s="28" t="s">
        <v>222</v>
      </c>
      <c r="D87" s="28" t="str">
        <f>IFERROR(VLOOKUP($C87,CUENTAS[],2,0),"")</f>
        <v>MANTENIMIENTO</v>
      </c>
      <c r="E87" s="28" t="str">
        <f>IFERROR(VLOOKUP($C87,CUENTAS[],3,0),"")</f>
        <v>MDE2025-009A</v>
      </c>
      <c r="F87" s="86">
        <v>22</v>
      </c>
      <c r="G87" s="129">
        <v>0</v>
      </c>
      <c r="H87" s="131">
        <v>22</v>
      </c>
      <c r="I87" s="200" t="str">
        <f t="shared" si="1"/>
        <v>CORRECTO</v>
      </c>
      <c r="J87" s="202" t="s">
        <v>176</v>
      </c>
      <c r="K87" s="116" t="s">
        <v>623</v>
      </c>
      <c r="L87" s="95" t="s">
        <v>227</v>
      </c>
      <c r="M87" s="159">
        <v>45698</v>
      </c>
      <c r="N87" s="22" t="s">
        <v>430</v>
      </c>
      <c r="P87" s="89"/>
      <c r="Q87" s="89"/>
    </row>
    <row r="88" spans="1:17" ht="14.25" customHeight="1" x14ac:dyDescent="0.3">
      <c r="A88" s="115" t="s">
        <v>611</v>
      </c>
      <c r="B88" s="115" t="s">
        <v>612</v>
      </c>
      <c r="C88" s="28" t="s">
        <v>159</v>
      </c>
      <c r="D88" s="28" t="str">
        <f>IFERROR(VLOOKUP($C88,CUENTAS[],2,0),"")</f>
        <v>GASTOS VARIOS</v>
      </c>
      <c r="E88" s="28" t="str">
        <f>IFERROR(VLOOKUP($C88,CUENTAS[],3,0),"")</f>
        <v>MDE2025-003A</v>
      </c>
      <c r="F88" s="86">
        <v>265</v>
      </c>
      <c r="G88" s="129">
        <v>0</v>
      </c>
      <c r="H88" s="131">
        <v>265</v>
      </c>
      <c r="I88" s="200" t="str">
        <f t="shared" si="1"/>
        <v>CORRECTO</v>
      </c>
      <c r="J88" s="202" t="s">
        <v>176</v>
      </c>
      <c r="K88" s="116" t="s">
        <v>363</v>
      </c>
      <c r="L88" s="95" t="s">
        <v>227</v>
      </c>
      <c r="M88" s="159">
        <v>45704</v>
      </c>
      <c r="N88" s="22" t="s">
        <v>430</v>
      </c>
      <c r="P88" s="89"/>
      <c r="Q88" s="89"/>
    </row>
    <row r="89" spans="1:17" ht="14.25" customHeight="1" x14ac:dyDescent="0.3">
      <c r="A89" s="115" t="s">
        <v>461</v>
      </c>
      <c r="B89" s="115" t="s">
        <v>613</v>
      </c>
      <c r="C89" s="28" t="s">
        <v>177</v>
      </c>
      <c r="D89" s="28" t="str">
        <f>IFERROR(VLOOKUP($C89,CUENTAS[],2,0),"")</f>
        <v>GASTOS FIJOS</v>
      </c>
      <c r="E89" s="28" t="str">
        <f>IFERROR(VLOOKUP($C89,CUENTAS[],3,0),"")</f>
        <v>MDE2025-002A</v>
      </c>
      <c r="F89" s="86">
        <v>700</v>
      </c>
      <c r="G89" s="129">
        <v>0</v>
      </c>
      <c r="H89" s="131">
        <v>700</v>
      </c>
      <c r="I89" s="200" t="str">
        <f t="shared" si="1"/>
        <v>CORRECTO</v>
      </c>
      <c r="J89" s="202" t="s">
        <v>176</v>
      </c>
      <c r="K89" s="116" t="s">
        <v>363</v>
      </c>
      <c r="L89" s="95" t="s">
        <v>227</v>
      </c>
      <c r="M89" s="159">
        <v>45694</v>
      </c>
      <c r="N89" s="22" t="s">
        <v>470</v>
      </c>
      <c r="P89" s="89"/>
      <c r="Q89" s="89"/>
    </row>
    <row r="90" spans="1:17" ht="14.25" customHeight="1" x14ac:dyDescent="0.3">
      <c r="A90" s="115" t="s">
        <v>461</v>
      </c>
      <c r="B90" s="115" t="s">
        <v>614</v>
      </c>
      <c r="C90" s="28" t="s">
        <v>177</v>
      </c>
      <c r="D90" s="28" t="str">
        <f>IFERROR(VLOOKUP($C90,CUENTAS[],2,0),"")</f>
        <v>GASTOS FIJOS</v>
      </c>
      <c r="E90" s="28" t="str">
        <f>IFERROR(VLOOKUP($C90,CUENTAS[],3,0),"")</f>
        <v>MDE2025-002A</v>
      </c>
      <c r="F90" s="86">
        <v>700</v>
      </c>
      <c r="G90" s="129">
        <v>0</v>
      </c>
      <c r="H90" s="131">
        <v>700</v>
      </c>
      <c r="I90" s="200" t="str">
        <f t="shared" si="1"/>
        <v>CORRECTO</v>
      </c>
      <c r="J90" s="202" t="s">
        <v>176</v>
      </c>
      <c r="K90" s="116" t="s">
        <v>363</v>
      </c>
      <c r="L90" s="95" t="s">
        <v>227</v>
      </c>
      <c r="M90" s="159">
        <v>45701</v>
      </c>
      <c r="N90" s="22" t="s">
        <v>470</v>
      </c>
      <c r="P90" s="89"/>
      <c r="Q90" s="89"/>
    </row>
    <row r="91" spans="1:17" ht="14.25" customHeight="1" x14ac:dyDescent="0.3">
      <c r="A91" s="115" t="s">
        <v>461</v>
      </c>
      <c r="B91" s="115" t="s">
        <v>615</v>
      </c>
      <c r="C91" s="28" t="s">
        <v>177</v>
      </c>
      <c r="D91" s="28" t="str">
        <f>IFERROR(VLOOKUP($C91,CUENTAS[],2,0),"")</f>
        <v>GASTOS FIJOS</v>
      </c>
      <c r="E91" s="28" t="str">
        <f>IFERROR(VLOOKUP($C91,CUENTAS[],3,0),"")</f>
        <v>MDE2025-002A</v>
      </c>
      <c r="F91" s="86">
        <v>700</v>
      </c>
      <c r="G91" s="129">
        <v>0</v>
      </c>
      <c r="H91" s="131">
        <v>700</v>
      </c>
      <c r="I91" s="200" t="str">
        <f t="shared" si="1"/>
        <v>CORRECTO</v>
      </c>
      <c r="J91" s="202" t="s">
        <v>176</v>
      </c>
      <c r="K91" s="116" t="s">
        <v>363</v>
      </c>
      <c r="L91" s="95" t="s">
        <v>227</v>
      </c>
      <c r="M91" s="159">
        <v>45708</v>
      </c>
      <c r="N91" s="22" t="s">
        <v>470</v>
      </c>
      <c r="P91" s="89"/>
      <c r="Q91" s="89"/>
    </row>
    <row r="92" spans="1:17" ht="14.25" customHeight="1" x14ac:dyDescent="0.3">
      <c r="A92" s="115" t="s">
        <v>616</v>
      </c>
      <c r="B92" s="115" t="s">
        <v>617</v>
      </c>
      <c r="C92" s="28" t="s">
        <v>222</v>
      </c>
      <c r="D92" s="28" t="str">
        <f>IFERROR(VLOOKUP($C92,CUENTAS[],2,0),"")</f>
        <v>MANTENIMIENTO</v>
      </c>
      <c r="E92" s="28" t="str">
        <f>IFERROR(VLOOKUP($C92,CUENTAS[],3,0),"")</f>
        <v>MDE2025-009A</v>
      </c>
      <c r="F92" s="86">
        <v>107.76</v>
      </c>
      <c r="G92" s="129">
        <v>17.239999999999998</v>
      </c>
      <c r="H92" s="131">
        <v>125</v>
      </c>
      <c r="I92" s="200" t="str">
        <f t="shared" si="1"/>
        <v>CORRECTO</v>
      </c>
      <c r="J92" s="202" t="s">
        <v>176</v>
      </c>
      <c r="K92" s="116" t="s">
        <v>623</v>
      </c>
      <c r="L92" s="95" t="s">
        <v>227</v>
      </c>
      <c r="M92" s="159">
        <v>45708</v>
      </c>
      <c r="N92" s="22" t="s">
        <v>624</v>
      </c>
      <c r="P92" s="89"/>
      <c r="Q92" s="89"/>
    </row>
    <row r="93" spans="1:17" ht="14.25" customHeight="1" x14ac:dyDescent="0.3">
      <c r="A93" s="115" t="s">
        <v>431</v>
      </c>
      <c r="B93" s="115" t="s">
        <v>618</v>
      </c>
      <c r="C93" s="28" t="s">
        <v>160</v>
      </c>
      <c r="D93" s="28" t="str">
        <f>IFERROR(VLOOKUP($C93,CUENTAS[],2,0),"")</f>
        <v>GASTOS VARIOS</v>
      </c>
      <c r="E93" s="28" t="str">
        <f>IFERROR(VLOOKUP($C93,CUENTAS[],3,0),"")</f>
        <v>MDE2025-003C</v>
      </c>
      <c r="F93" s="86">
        <v>100</v>
      </c>
      <c r="G93" s="129">
        <v>0</v>
      </c>
      <c r="H93" s="131">
        <v>100</v>
      </c>
      <c r="I93" s="200" t="str">
        <f t="shared" si="1"/>
        <v>CORRECTO</v>
      </c>
      <c r="J93" s="202" t="s">
        <v>176</v>
      </c>
      <c r="K93" s="116" t="s">
        <v>363</v>
      </c>
      <c r="L93" s="95" t="s">
        <v>227</v>
      </c>
      <c r="M93" s="159">
        <v>45708</v>
      </c>
      <c r="N93" s="22" t="s">
        <v>368</v>
      </c>
      <c r="P93" s="89"/>
      <c r="Q93" s="89"/>
    </row>
    <row r="94" spans="1:17" ht="14.25" customHeight="1" x14ac:dyDescent="0.3">
      <c r="A94" s="115" t="s">
        <v>619</v>
      </c>
      <c r="B94" s="115" t="s">
        <v>620</v>
      </c>
      <c r="C94" s="28" t="s">
        <v>222</v>
      </c>
      <c r="D94" s="28" t="str">
        <f>IFERROR(VLOOKUP($C94,CUENTAS[],2,0),"")</f>
        <v>MANTENIMIENTO</v>
      </c>
      <c r="E94" s="28" t="str">
        <f>IFERROR(VLOOKUP($C94,CUENTAS[],3,0),"")</f>
        <v>MDE2025-009A</v>
      </c>
      <c r="F94" s="86">
        <v>29</v>
      </c>
      <c r="G94" s="129">
        <v>0</v>
      </c>
      <c r="H94" s="131">
        <v>29</v>
      </c>
      <c r="I94" s="200" t="str">
        <f t="shared" si="1"/>
        <v>CORRECTO</v>
      </c>
      <c r="J94" s="202" t="s">
        <v>176</v>
      </c>
      <c r="K94" s="116" t="s">
        <v>623</v>
      </c>
      <c r="L94" s="95" t="s">
        <v>227</v>
      </c>
      <c r="M94" s="159">
        <v>45707</v>
      </c>
      <c r="N94" s="22" t="s">
        <v>625</v>
      </c>
      <c r="P94" s="89"/>
      <c r="Q94" s="89"/>
    </row>
    <row r="95" spans="1:17" ht="14.25" customHeight="1" x14ac:dyDescent="0.3">
      <c r="A95" s="115" t="s">
        <v>616</v>
      </c>
      <c r="B95" s="115" t="s">
        <v>621</v>
      </c>
      <c r="C95" s="28" t="s">
        <v>222</v>
      </c>
      <c r="D95" s="28" t="str">
        <f>IFERROR(VLOOKUP($C95,CUENTAS[],2,0),"")</f>
        <v>MANTENIMIENTO</v>
      </c>
      <c r="E95" s="28" t="str">
        <f>IFERROR(VLOOKUP($C95,CUENTAS[],3,0),"")</f>
        <v>MDE2025-009A</v>
      </c>
      <c r="F95" s="86">
        <v>136.21</v>
      </c>
      <c r="G95" s="129">
        <v>21.79</v>
      </c>
      <c r="H95" s="131">
        <v>158</v>
      </c>
      <c r="I95" s="200" t="str">
        <f t="shared" si="1"/>
        <v>CORRECTO</v>
      </c>
      <c r="J95" s="202" t="s">
        <v>176</v>
      </c>
      <c r="K95" s="116" t="s">
        <v>623</v>
      </c>
      <c r="L95" s="95" t="s">
        <v>227</v>
      </c>
      <c r="M95" s="159">
        <v>45706</v>
      </c>
      <c r="N95" s="22" t="s">
        <v>626</v>
      </c>
      <c r="P95" s="89"/>
      <c r="Q95" s="89"/>
    </row>
    <row r="96" spans="1:17" ht="14.25" customHeight="1" x14ac:dyDescent="0.3">
      <c r="A96" s="115" t="s">
        <v>453</v>
      </c>
      <c r="B96" s="115" t="s">
        <v>454</v>
      </c>
      <c r="C96" s="28" t="s">
        <v>125</v>
      </c>
      <c r="D96" s="28" t="str">
        <f>IFERROR(VLOOKUP($C96,CUENTAS[],2,0),"")</f>
        <v>GASTOS FIJOS</v>
      </c>
      <c r="E96" s="28" t="str">
        <f>IFERROR(VLOOKUP($C96,CUENTAS[],3,0),"")</f>
        <v>MDE2025-002B</v>
      </c>
      <c r="F96" s="86">
        <v>473</v>
      </c>
      <c r="G96" s="129">
        <v>0</v>
      </c>
      <c r="H96" s="131">
        <v>473</v>
      </c>
      <c r="I96" s="200" t="str">
        <f t="shared" si="1"/>
        <v>CORRECTO</v>
      </c>
      <c r="J96" s="202" t="s">
        <v>176</v>
      </c>
      <c r="K96" s="116" t="s">
        <v>472</v>
      </c>
      <c r="L96" s="95" t="s">
        <v>227</v>
      </c>
      <c r="M96" s="159">
        <v>45702</v>
      </c>
      <c r="N96" s="22" t="s">
        <v>627</v>
      </c>
      <c r="P96" s="89"/>
      <c r="Q96" s="89"/>
    </row>
    <row r="97" spans="1:17" ht="14.25" customHeight="1" x14ac:dyDescent="0.3">
      <c r="A97" s="115" t="s">
        <v>461</v>
      </c>
      <c r="B97" s="115" t="s">
        <v>622</v>
      </c>
      <c r="C97" s="28" t="s">
        <v>177</v>
      </c>
      <c r="D97" s="28" t="str">
        <f>IFERROR(VLOOKUP($C97,CUENTAS[],2,0),"")</f>
        <v>GASTOS FIJOS</v>
      </c>
      <c r="E97" s="28" t="str">
        <f>IFERROR(VLOOKUP($C97,CUENTAS[],3,0),"")</f>
        <v>MDE2025-002A</v>
      </c>
      <c r="F97" s="86">
        <v>700</v>
      </c>
      <c r="G97" s="129">
        <v>0</v>
      </c>
      <c r="H97" s="131">
        <v>700</v>
      </c>
      <c r="I97" s="200" t="str">
        <f t="shared" si="1"/>
        <v>CORRECTO</v>
      </c>
      <c r="J97" s="202" t="s">
        <v>176</v>
      </c>
      <c r="K97" s="116" t="s">
        <v>363</v>
      </c>
      <c r="L97" s="95" t="s">
        <v>227</v>
      </c>
      <c r="M97" s="159">
        <v>45715</v>
      </c>
      <c r="N97" s="22" t="s">
        <v>470</v>
      </c>
      <c r="P97" s="89"/>
      <c r="Q97" s="89"/>
    </row>
    <row r="98" spans="1:17" x14ac:dyDescent="0.3">
      <c r="A98" s="120" t="s">
        <v>602</v>
      </c>
      <c r="B98" s="120" t="s">
        <v>603</v>
      </c>
      <c r="C98" s="28" t="s">
        <v>178</v>
      </c>
      <c r="D98" s="28" t="str">
        <f>IFERROR(VLOOKUP($C98,CUENTAS[],2,0),"")</f>
        <v>GASTOS FIJOS</v>
      </c>
      <c r="E98" s="28" t="str">
        <f>IFERROR(VLOOKUP($C98,CUENTAS[],3,0),"")</f>
        <v>MDE2025-002O</v>
      </c>
      <c r="F98" s="132">
        <v>49406.52</v>
      </c>
      <c r="G98" s="129">
        <v>0</v>
      </c>
      <c r="H98" s="132">
        <v>49406.52</v>
      </c>
      <c r="I98" s="200" t="str">
        <f t="shared" si="1"/>
        <v>CORRECTO</v>
      </c>
      <c r="J98" s="202" t="s">
        <v>3244</v>
      </c>
      <c r="K98" s="121"/>
      <c r="L98" s="95"/>
      <c r="M98" s="122"/>
      <c r="N98" s="123"/>
    </row>
    <row r="99" spans="1:17" x14ac:dyDescent="0.3">
      <c r="A99" s="120" t="s">
        <v>602</v>
      </c>
      <c r="B99" s="120" t="s">
        <v>603</v>
      </c>
      <c r="C99" s="28" t="s">
        <v>178</v>
      </c>
      <c r="D99" s="28" t="str">
        <f>IFERROR(VLOOKUP($C99,CUENTAS[],2,0),"")</f>
        <v>GASTOS FIJOS</v>
      </c>
      <c r="E99" s="28" t="str">
        <f>IFERROR(VLOOKUP($C99,CUENTAS[],3,0),"")</f>
        <v>MDE2025-002O</v>
      </c>
      <c r="F99" s="132">
        <v>132405.51999999999</v>
      </c>
      <c r="G99" s="129">
        <v>0</v>
      </c>
      <c r="H99" s="132">
        <v>132405.51999999999</v>
      </c>
      <c r="I99" s="200" t="str">
        <f t="shared" si="1"/>
        <v>CORRECTO</v>
      </c>
      <c r="J99" s="202" t="s">
        <v>3244</v>
      </c>
      <c r="K99" s="121"/>
      <c r="L99" s="95"/>
      <c r="M99" s="122"/>
      <c r="N99" s="123"/>
    </row>
    <row r="100" spans="1:17" x14ac:dyDescent="0.3">
      <c r="A100" s="120" t="s">
        <v>604</v>
      </c>
      <c r="B100" s="120" t="s">
        <v>605</v>
      </c>
      <c r="C100" s="28" t="s">
        <v>153</v>
      </c>
      <c r="D100" s="28" t="str">
        <f>IFERROR(VLOOKUP($C100,CUENTAS[],2,0),"")</f>
        <v>GASTOS FIJOS</v>
      </c>
      <c r="E100" s="28" t="str">
        <f>IFERROR(VLOOKUP($C100,CUENTAS[],3,0),"")</f>
        <v>MDE2025-002L</v>
      </c>
      <c r="F100" s="86">
        <v>1000</v>
      </c>
      <c r="G100" s="129">
        <v>0</v>
      </c>
      <c r="H100" s="132">
        <v>1000</v>
      </c>
      <c r="I100" s="200" t="str">
        <f t="shared" si="1"/>
        <v>CORRECTO</v>
      </c>
      <c r="J100" s="202" t="s">
        <v>3244</v>
      </c>
      <c r="K100" s="121" t="s">
        <v>364</v>
      </c>
      <c r="L100" s="95" t="s">
        <v>227</v>
      </c>
      <c r="M100" s="122">
        <v>45695</v>
      </c>
      <c r="N100" s="123" t="s">
        <v>569</v>
      </c>
    </row>
    <row r="101" spans="1:17" x14ac:dyDescent="0.3">
      <c r="A101" s="120" t="s">
        <v>480</v>
      </c>
      <c r="B101" s="120" t="s">
        <v>633</v>
      </c>
      <c r="C101" s="28" t="s">
        <v>153</v>
      </c>
      <c r="D101" s="28" t="str">
        <f>IFERROR(VLOOKUP($C101,CUENTAS[],2,0),"")</f>
        <v>GASTOS FIJOS</v>
      </c>
      <c r="E101" s="28" t="str">
        <f>IFERROR(VLOOKUP($C101,CUENTAS[],3,0),"")</f>
        <v>MDE2025-002L</v>
      </c>
      <c r="F101" s="86">
        <v>29042.28</v>
      </c>
      <c r="G101" s="129">
        <v>0</v>
      </c>
      <c r="H101" s="132">
        <v>29042.28</v>
      </c>
      <c r="I101" s="200" t="str">
        <f t="shared" si="1"/>
        <v>CORRECTO</v>
      </c>
      <c r="J101" s="202" t="s">
        <v>3244</v>
      </c>
      <c r="K101" s="121" t="s">
        <v>364</v>
      </c>
      <c r="L101" s="95" t="s">
        <v>227</v>
      </c>
      <c r="M101" s="122">
        <v>45691</v>
      </c>
      <c r="N101" s="123" t="s">
        <v>371</v>
      </c>
    </row>
    <row r="102" spans="1:17" x14ac:dyDescent="0.3">
      <c r="A102" s="120" t="s">
        <v>480</v>
      </c>
      <c r="B102" s="120" t="s">
        <v>634</v>
      </c>
      <c r="C102" s="28" t="s">
        <v>153</v>
      </c>
      <c r="D102" s="28" t="str">
        <f>IFERROR(VLOOKUP($C102,CUENTAS[],2,0),"")</f>
        <v>GASTOS FIJOS</v>
      </c>
      <c r="E102" s="28" t="str">
        <f>IFERROR(VLOOKUP($C102,CUENTAS[],3,0),"")</f>
        <v>MDE2025-002L</v>
      </c>
      <c r="F102" s="86">
        <v>19376.849999999999</v>
      </c>
      <c r="G102" s="129">
        <v>0</v>
      </c>
      <c r="H102" s="132">
        <v>19376.849999999999</v>
      </c>
      <c r="I102" s="200" t="str">
        <f t="shared" si="1"/>
        <v>CORRECTO</v>
      </c>
      <c r="J102" s="202" t="s">
        <v>3244</v>
      </c>
      <c r="K102" s="121" t="s">
        <v>364</v>
      </c>
      <c r="L102" s="95" t="s">
        <v>227</v>
      </c>
      <c r="M102" s="122">
        <v>45698</v>
      </c>
      <c r="N102" s="123" t="s">
        <v>371</v>
      </c>
    </row>
    <row r="103" spans="1:17" x14ac:dyDescent="0.3">
      <c r="A103" s="120" t="s">
        <v>480</v>
      </c>
      <c r="B103" s="120" t="s">
        <v>635</v>
      </c>
      <c r="C103" s="28" t="s">
        <v>153</v>
      </c>
      <c r="D103" s="28" t="str">
        <f>IFERROR(VLOOKUP($C103,CUENTAS[],2,0),"")</f>
        <v>GASTOS FIJOS</v>
      </c>
      <c r="E103" s="28" t="str">
        <f>IFERROR(VLOOKUP($C103,CUENTAS[],3,0),"")</f>
        <v>MDE2025-002L</v>
      </c>
      <c r="F103" s="86">
        <v>30894.84</v>
      </c>
      <c r="G103" s="129">
        <v>0</v>
      </c>
      <c r="H103" s="132">
        <v>30894.84</v>
      </c>
      <c r="I103" s="200" t="str">
        <f t="shared" si="1"/>
        <v>CORRECTO</v>
      </c>
      <c r="J103" s="202" t="s">
        <v>3244</v>
      </c>
      <c r="K103" s="121" t="s">
        <v>364</v>
      </c>
      <c r="L103" s="95" t="s">
        <v>227</v>
      </c>
      <c r="M103" s="122">
        <v>45705</v>
      </c>
      <c r="N103" s="123" t="s">
        <v>371</v>
      </c>
    </row>
    <row r="104" spans="1:17" x14ac:dyDescent="0.3">
      <c r="A104" s="120" t="s">
        <v>480</v>
      </c>
      <c r="B104" s="120" t="s">
        <v>636</v>
      </c>
      <c r="C104" s="28" t="s">
        <v>153</v>
      </c>
      <c r="D104" s="28" t="str">
        <f>IFERROR(VLOOKUP($C104,CUENTAS[],2,0),"")</f>
        <v>GASTOS FIJOS</v>
      </c>
      <c r="E104" s="28" t="str">
        <f>IFERROR(VLOOKUP($C104,CUENTAS[],3,0),"")</f>
        <v>MDE2025-002L</v>
      </c>
      <c r="F104" s="86">
        <v>27449.73</v>
      </c>
      <c r="G104" s="129">
        <v>0</v>
      </c>
      <c r="H104" s="132">
        <v>27449.73</v>
      </c>
      <c r="I104" s="200" t="str">
        <f t="shared" si="1"/>
        <v>CORRECTO</v>
      </c>
      <c r="J104" s="202" t="s">
        <v>3244</v>
      </c>
      <c r="K104" s="121" t="s">
        <v>364</v>
      </c>
      <c r="L104" s="95" t="s">
        <v>227</v>
      </c>
      <c r="M104" s="122">
        <v>45712</v>
      </c>
      <c r="N104" s="123" t="s">
        <v>371</v>
      </c>
    </row>
    <row r="105" spans="1:17" x14ac:dyDescent="0.3">
      <c r="A105" s="120" t="s">
        <v>480</v>
      </c>
      <c r="B105" s="120" t="s">
        <v>637</v>
      </c>
      <c r="C105" s="28" t="s">
        <v>178</v>
      </c>
      <c r="D105" s="28" t="str">
        <f>IFERROR(VLOOKUP($C105,CUENTAS[],2,0),"")</f>
        <v>GASTOS FIJOS</v>
      </c>
      <c r="E105" s="28" t="str">
        <f>IFERROR(VLOOKUP($C105,CUENTAS[],3,0),"")</f>
        <v>MDE2025-002O</v>
      </c>
      <c r="F105" s="86">
        <v>49406.52</v>
      </c>
      <c r="G105" s="129">
        <v>0</v>
      </c>
      <c r="H105" s="132">
        <v>49406.52</v>
      </c>
      <c r="I105" s="200" t="str">
        <f t="shared" si="1"/>
        <v>CORRECTO</v>
      </c>
      <c r="J105" s="202" t="s">
        <v>3244</v>
      </c>
      <c r="K105" s="121" t="s">
        <v>364</v>
      </c>
      <c r="L105" s="95" t="s">
        <v>227</v>
      </c>
      <c r="M105" s="122">
        <v>45703</v>
      </c>
      <c r="N105" s="123" t="s">
        <v>371</v>
      </c>
    </row>
    <row r="106" spans="1:17" x14ac:dyDescent="0.3">
      <c r="A106" s="120" t="s">
        <v>480</v>
      </c>
      <c r="B106" s="120" t="s">
        <v>638</v>
      </c>
      <c r="C106" s="28" t="s">
        <v>178</v>
      </c>
      <c r="D106" s="28" t="str">
        <f>IFERROR(VLOOKUP($C106,CUENTAS[],2,0),"")</f>
        <v>GASTOS FIJOS</v>
      </c>
      <c r="E106" s="28" t="str">
        <f>IFERROR(VLOOKUP($C106,CUENTAS[],3,0),"")</f>
        <v>MDE2025-002O</v>
      </c>
      <c r="F106" s="86">
        <v>132405.51999999999</v>
      </c>
      <c r="G106" s="129">
        <v>0</v>
      </c>
      <c r="H106" s="132">
        <v>132405.51999999999</v>
      </c>
      <c r="I106" s="200" t="str">
        <f t="shared" si="1"/>
        <v>CORRECTO</v>
      </c>
      <c r="J106" s="202" t="s">
        <v>3244</v>
      </c>
      <c r="K106" s="121" t="s">
        <v>364</v>
      </c>
      <c r="L106" s="95" t="s">
        <v>227</v>
      </c>
      <c r="M106" s="122">
        <v>45703</v>
      </c>
      <c r="N106" s="123" t="s">
        <v>371</v>
      </c>
    </row>
    <row r="107" spans="1:17" x14ac:dyDescent="0.3">
      <c r="A107" s="24" t="s">
        <v>480</v>
      </c>
      <c r="B107" s="24" t="s">
        <v>639</v>
      </c>
      <c r="C107" s="28" t="s">
        <v>157</v>
      </c>
      <c r="D107" s="28" t="str">
        <f>IFERROR(VLOOKUP($C107,CUENTAS[],2,0),"")</f>
        <v>GASTOS FIJOS</v>
      </c>
      <c r="E107" s="28" t="str">
        <f>IFERROR(VLOOKUP($C107,CUENTAS[],3,0),"")</f>
        <v>MDE2025-002Q</v>
      </c>
      <c r="F107" s="86">
        <v>-1850</v>
      </c>
      <c r="G107" s="129">
        <v>0</v>
      </c>
      <c r="H107" s="133">
        <v>-1850</v>
      </c>
      <c r="I107" s="200" t="str">
        <f t="shared" si="1"/>
        <v>CORRECTO</v>
      </c>
      <c r="J107" s="202" t="s">
        <v>3244</v>
      </c>
      <c r="K107" s="121" t="s">
        <v>364</v>
      </c>
      <c r="L107" s="95" t="s">
        <v>227</v>
      </c>
      <c r="M107" s="25">
        <v>45703</v>
      </c>
      <c r="N107" s="26" t="s">
        <v>371</v>
      </c>
    </row>
    <row r="108" spans="1:17" x14ac:dyDescent="0.3">
      <c r="A108" s="24" t="s">
        <v>480</v>
      </c>
      <c r="B108" s="24" t="s">
        <v>640</v>
      </c>
      <c r="C108" s="28" t="s">
        <v>178</v>
      </c>
      <c r="D108" s="28" t="str">
        <f>IFERROR(VLOOKUP($C108,CUENTAS[],2,0),"")</f>
        <v>GASTOS FIJOS</v>
      </c>
      <c r="E108" s="28" t="str">
        <f>IFERROR(VLOOKUP($C108,CUENTAS[],3,0),"")</f>
        <v>MDE2025-002O</v>
      </c>
      <c r="F108" s="86">
        <v>49406.52</v>
      </c>
      <c r="G108" s="129">
        <v>0</v>
      </c>
      <c r="H108" s="133">
        <v>49406.52</v>
      </c>
      <c r="I108" s="200" t="str">
        <f t="shared" si="1"/>
        <v>CORRECTO</v>
      </c>
      <c r="J108" s="202" t="s">
        <v>3244</v>
      </c>
      <c r="K108" s="121" t="s">
        <v>364</v>
      </c>
      <c r="L108" s="95" t="s">
        <v>227</v>
      </c>
      <c r="M108" s="25">
        <v>45716</v>
      </c>
      <c r="N108" s="27" t="s">
        <v>371</v>
      </c>
    </row>
    <row r="109" spans="1:17" x14ac:dyDescent="0.3">
      <c r="A109" s="24" t="s">
        <v>480</v>
      </c>
      <c r="B109" s="24" t="s">
        <v>641</v>
      </c>
      <c r="C109" s="28" t="s">
        <v>178</v>
      </c>
      <c r="D109" s="28" t="str">
        <f>IFERROR(VLOOKUP($C109,CUENTAS[],2,0),"")</f>
        <v>GASTOS FIJOS</v>
      </c>
      <c r="E109" s="28" t="str">
        <f>IFERROR(VLOOKUP($C109,CUENTAS[],3,0),"")</f>
        <v>MDE2025-002O</v>
      </c>
      <c r="F109" s="86">
        <v>142605.48000000001</v>
      </c>
      <c r="G109" s="129">
        <v>0</v>
      </c>
      <c r="H109" s="133">
        <v>142605.48000000001</v>
      </c>
      <c r="I109" s="200" t="str">
        <f t="shared" si="1"/>
        <v>CORRECTO</v>
      </c>
      <c r="J109" s="202" t="s">
        <v>3244</v>
      </c>
      <c r="K109" s="121" t="s">
        <v>364</v>
      </c>
      <c r="L109" s="95" t="s">
        <v>227</v>
      </c>
      <c r="M109" s="25">
        <v>45716</v>
      </c>
      <c r="N109" s="27" t="s">
        <v>371</v>
      </c>
    </row>
    <row r="110" spans="1:17" x14ac:dyDescent="0.3">
      <c r="A110" s="24" t="s">
        <v>480</v>
      </c>
      <c r="B110" s="24" t="s">
        <v>642</v>
      </c>
      <c r="C110" s="28" t="s">
        <v>157</v>
      </c>
      <c r="D110" s="28" t="str">
        <f>IFERROR(VLOOKUP($C110,CUENTAS[],2,0),"")</f>
        <v>GASTOS FIJOS</v>
      </c>
      <c r="E110" s="28" t="str">
        <f>IFERROR(VLOOKUP($C110,CUENTAS[],3,0),"")</f>
        <v>MDE2025-002Q</v>
      </c>
      <c r="F110" s="86">
        <v>-7750</v>
      </c>
      <c r="G110" s="129">
        <v>0</v>
      </c>
      <c r="H110" s="133">
        <v>-7750</v>
      </c>
      <c r="I110" s="200" t="str">
        <f t="shared" si="1"/>
        <v>CORRECTO</v>
      </c>
      <c r="J110" s="202" t="s">
        <v>3244</v>
      </c>
      <c r="K110" s="121" t="s">
        <v>364</v>
      </c>
      <c r="L110" s="95" t="s">
        <v>227</v>
      </c>
      <c r="M110" s="25">
        <v>45716</v>
      </c>
      <c r="N110" s="27" t="s">
        <v>371</v>
      </c>
    </row>
    <row r="111" spans="1:17" x14ac:dyDescent="0.3">
      <c r="A111" s="24" t="s">
        <v>480</v>
      </c>
      <c r="B111" s="24" t="s">
        <v>643</v>
      </c>
      <c r="C111" s="28" t="s">
        <v>157</v>
      </c>
      <c r="D111" s="28" t="str">
        <f>IFERROR(VLOOKUP($C111,CUENTAS[],2,0),"")</f>
        <v>GASTOS FIJOS</v>
      </c>
      <c r="E111" s="28" t="str">
        <f>IFERROR(VLOOKUP($C111,CUENTAS[],3,0),"")</f>
        <v>MDE2025-002Q</v>
      </c>
      <c r="F111" s="86">
        <v>6000</v>
      </c>
      <c r="G111" s="129">
        <v>0</v>
      </c>
      <c r="H111" s="133">
        <v>6000</v>
      </c>
      <c r="I111" s="200" t="str">
        <f t="shared" si="1"/>
        <v>CORRECTO</v>
      </c>
      <c r="J111" s="202" t="s">
        <v>3244</v>
      </c>
      <c r="K111" s="121" t="s">
        <v>364</v>
      </c>
      <c r="L111" s="95" t="s">
        <v>227</v>
      </c>
      <c r="M111" s="25">
        <v>45716</v>
      </c>
      <c r="N111" s="27" t="s">
        <v>371</v>
      </c>
    </row>
    <row r="112" spans="1:17" x14ac:dyDescent="0.3">
      <c r="A112" s="24" t="s">
        <v>644</v>
      </c>
      <c r="B112" s="24" t="s">
        <v>645</v>
      </c>
      <c r="C112" s="28" t="s">
        <v>157</v>
      </c>
      <c r="D112" s="28" t="str">
        <f>IFERROR(VLOOKUP($C112,CUENTAS[],2,0),"")</f>
        <v>GASTOS FIJOS</v>
      </c>
      <c r="E112" s="28" t="str">
        <f>IFERROR(VLOOKUP($C112,CUENTAS[],3,0),"")</f>
        <v>MDE2025-002Q</v>
      </c>
      <c r="F112" s="86">
        <v>5000</v>
      </c>
      <c r="G112" s="129">
        <v>0</v>
      </c>
      <c r="H112" s="133">
        <v>5000</v>
      </c>
      <c r="I112" s="200" t="str">
        <f t="shared" si="1"/>
        <v>CORRECTO</v>
      </c>
      <c r="J112" s="202" t="s">
        <v>3244</v>
      </c>
      <c r="K112" s="121" t="s">
        <v>364</v>
      </c>
      <c r="L112" s="95" t="s">
        <v>227</v>
      </c>
      <c r="M112" s="25">
        <v>45708</v>
      </c>
      <c r="N112" s="27" t="s">
        <v>371</v>
      </c>
    </row>
    <row r="113" spans="1:16" x14ac:dyDescent="0.3">
      <c r="A113" s="24" t="s">
        <v>646</v>
      </c>
      <c r="B113" s="24" t="s">
        <v>645</v>
      </c>
      <c r="C113" s="28" t="s">
        <v>157</v>
      </c>
      <c r="D113" s="28" t="str">
        <f>IFERROR(VLOOKUP($C113,CUENTAS[],2,0),"")</f>
        <v>GASTOS FIJOS</v>
      </c>
      <c r="E113" s="28" t="str">
        <f>IFERROR(VLOOKUP($C113,CUENTAS[],3,0),"")</f>
        <v>MDE2025-002Q</v>
      </c>
      <c r="F113" s="86">
        <v>2000</v>
      </c>
      <c r="G113" s="129">
        <v>0</v>
      </c>
      <c r="H113" s="133">
        <v>2000</v>
      </c>
      <c r="I113" s="200" t="str">
        <f t="shared" si="1"/>
        <v>CORRECTO</v>
      </c>
      <c r="J113" s="202" t="s">
        <v>3244</v>
      </c>
      <c r="K113" s="121" t="s">
        <v>364</v>
      </c>
      <c r="L113" s="95" t="s">
        <v>227</v>
      </c>
      <c r="M113" s="25">
        <v>45708</v>
      </c>
      <c r="N113" s="27" t="s">
        <v>371</v>
      </c>
    </row>
    <row r="114" spans="1:16" x14ac:dyDescent="0.3">
      <c r="A114" s="24" t="s">
        <v>647</v>
      </c>
      <c r="B114" s="24" t="s">
        <v>494</v>
      </c>
      <c r="C114" s="28" t="s">
        <v>153</v>
      </c>
      <c r="D114" s="28" t="str">
        <f>IFERROR(VLOOKUP($C114,CUENTAS[],2,0),"")</f>
        <v>GASTOS FIJOS</v>
      </c>
      <c r="E114" s="28" t="str">
        <f>IFERROR(VLOOKUP($C114,CUENTAS[],3,0),"")</f>
        <v>MDE2025-002L</v>
      </c>
      <c r="F114" s="86">
        <v>4424.93</v>
      </c>
      <c r="G114" s="129">
        <v>0</v>
      </c>
      <c r="H114" s="133">
        <v>4424.93</v>
      </c>
      <c r="I114" s="200" t="str">
        <f t="shared" si="1"/>
        <v>CORRECTO</v>
      </c>
      <c r="J114" s="202" t="s">
        <v>3244</v>
      </c>
      <c r="K114" s="121" t="s">
        <v>364</v>
      </c>
      <c r="L114" s="95" t="s">
        <v>227</v>
      </c>
      <c r="M114" s="25">
        <v>45708</v>
      </c>
      <c r="N114" s="27" t="s">
        <v>371</v>
      </c>
    </row>
    <row r="115" spans="1:16" x14ac:dyDescent="0.3">
      <c r="A115" s="77"/>
      <c r="B115" s="106"/>
      <c r="F115" s="124"/>
      <c r="G115" s="125"/>
      <c r="J115" s="125"/>
      <c r="L115" s="107"/>
      <c r="M115" s="108"/>
      <c r="N115" s="108"/>
    </row>
    <row r="116" spans="1:16" x14ac:dyDescent="0.3">
      <c r="A116" s="77"/>
      <c r="B116" s="106"/>
      <c r="F116" s="124"/>
      <c r="G116" s="125"/>
      <c r="J116" s="125"/>
      <c r="L116" s="107"/>
      <c r="M116" s="108"/>
      <c r="N116" s="108"/>
    </row>
    <row r="117" spans="1:16" ht="13.8" x14ac:dyDescent="0.3">
      <c r="A117" s="77"/>
      <c r="B117" s="106"/>
      <c r="F117" s="124"/>
      <c r="G117" s="125"/>
      <c r="L117" s="107"/>
      <c r="M117" s="108"/>
      <c r="N117" s="4" t="s">
        <v>106</v>
      </c>
      <c r="O117" s="7">
        <f>+SUM(F:F)</f>
        <v>1381340.1599999999</v>
      </c>
    </row>
    <row r="118" spans="1:16" ht="13.8" x14ac:dyDescent="0.3">
      <c r="A118" s="77"/>
      <c r="B118" s="106"/>
      <c r="F118" s="124"/>
      <c r="G118" s="125"/>
      <c r="L118" s="107"/>
      <c r="M118" s="108"/>
      <c r="N118" s="4" t="s">
        <v>107</v>
      </c>
      <c r="O118" s="7">
        <f>+SUM(G:G)</f>
        <v>36658.82</v>
      </c>
    </row>
    <row r="119" spans="1:16" ht="15.6" x14ac:dyDescent="0.3">
      <c r="A119" s="77"/>
      <c r="B119" s="106"/>
      <c r="F119" s="124"/>
      <c r="G119" s="125"/>
      <c r="L119" s="107"/>
      <c r="M119" s="108"/>
      <c r="N119" s="29" t="s">
        <v>149</v>
      </c>
      <c r="O119" s="7">
        <f>+SUM(H:H)</f>
        <v>1417998.98</v>
      </c>
      <c r="P119" s="31">
        <f>O119-O118-O117</f>
        <v>0</v>
      </c>
    </row>
    <row r="120" spans="1:16" x14ac:dyDescent="0.3">
      <c r="A120" s="77"/>
      <c r="B120" s="106"/>
      <c r="F120" s="124"/>
      <c r="J120" s="125"/>
      <c r="L120" s="107"/>
      <c r="M120" s="108"/>
      <c r="N120" s="77"/>
      <c r="O120" s="67" t="str">
        <f>IF(P119&lt;&gt;0,"REVISAR CAPTURA","")</f>
        <v/>
      </c>
    </row>
    <row r="121" spans="1:16" x14ac:dyDescent="0.3">
      <c r="A121" s="77"/>
      <c r="B121" s="106"/>
      <c r="F121" s="124"/>
      <c r="L121" s="107"/>
      <c r="M121" s="108"/>
      <c r="N121" s="108"/>
    </row>
    <row r="122" spans="1:16" x14ac:dyDescent="0.3">
      <c r="A122" s="77"/>
      <c r="B122" s="106"/>
      <c r="F122" s="124"/>
      <c r="L122" s="107"/>
      <c r="M122" s="108"/>
      <c r="N122" s="108"/>
    </row>
    <row r="123" spans="1:16" x14ac:dyDescent="0.3">
      <c r="A123" s="77"/>
      <c r="B123" s="106"/>
      <c r="F123" s="124"/>
      <c r="L123" s="107"/>
      <c r="M123" s="108"/>
      <c r="N123" s="108"/>
    </row>
    <row r="124" spans="1:16" x14ac:dyDescent="0.3">
      <c r="A124" s="77"/>
      <c r="B124" s="106"/>
      <c r="F124" s="124"/>
      <c r="G124" s="125"/>
      <c r="J124" s="125"/>
      <c r="L124" s="107"/>
      <c r="M124" s="108"/>
      <c r="N124" s="108"/>
    </row>
    <row r="125" spans="1:16" x14ac:dyDescent="0.3">
      <c r="A125" s="77"/>
      <c r="B125" s="106"/>
      <c r="F125" s="124"/>
      <c r="G125" s="125"/>
      <c r="J125" s="125"/>
      <c r="L125" s="107"/>
      <c r="M125" s="108"/>
      <c r="N125" s="108"/>
    </row>
    <row r="126" spans="1:16" x14ac:dyDescent="0.3">
      <c r="A126" s="77"/>
      <c r="B126" s="106"/>
      <c r="F126" s="124"/>
      <c r="G126" s="125"/>
      <c r="J126" s="125"/>
      <c r="L126" s="107"/>
      <c r="M126" s="108"/>
      <c r="N126" s="108"/>
    </row>
    <row r="127" spans="1:16" x14ac:dyDescent="0.3">
      <c r="A127" s="77"/>
      <c r="B127" s="106"/>
      <c r="F127" s="124"/>
      <c r="G127" s="125"/>
      <c r="J127" s="125"/>
      <c r="L127" s="107"/>
      <c r="M127" s="108"/>
      <c r="N127" s="108"/>
    </row>
    <row r="128" spans="1:16" x14ac:dyDescent="0.3">
      <c r="A128" s="77"/>
      <c r="B128" s="106"/>
      <c r="F128" s="124"/>
      <c r="G128" s="125"/>
      <c r="J128" s="125"/>
      <c r="L128" s="107"/>
      <c r="M128" s="108"/>
      <c r="N128" s="108"/>
    </row>
    <row r="129" spans="1:14" x14ac:dyDescent="0.3">
      <c r="A129" s="77"/>
      <c r="B129" s="106"/>
      <c r="F129" s="124"/>
      <c r="G129" s="125"/>
      <c r="J129" s="125"/>
      <c r="L129" s="107"/>
      <c r="M129" s="108"/>
      <c r="N129" s="108"/>
    </row>
    <row r="130" spans="1:14" x14ac:dyDescent="0.3">
      <c r="A130" s="77"/>
      <c r="B130" s="106"/>
      <c r="F130" s="124"/>
      <c r="G130" s="125"/>
      <c r="J130" s="125"/>
      <c r="L130" s="107"/>
      <c r="M130" s="108"/>
      <c r="N130" s="108"/>
    </row>
    <row r="131" spans="1:14" x14ac:dyDescent="0.3">
      <c r="A131" s="77"/>
      <c r="B131" s="106"/>
      <c r="F131" s="124"/>
      <c r="G131" s="125"/>
      <c r="J131" s="125"/>
      <c r="L131" s="107"/>
      <c r="M131" s="108"/>
      <c r="N131" s="108"/>
    </row>
    <row r="132" spans="1:14" x14ac:dyDescent="0.3">
      <c r="A132" s="77"/>
      <c r="B132" s="106"/>
      <c r="F132" s="124"/>
      <c r="G132" s="125"/>
      <c r="J132" s="125"/>
      <c r="L132" s="107"/>
      <c r="M132" s="108"/>
      <c r="N132" s="108"/>
    </row>
    <row r="133" spans="1:14" x14ac:dyDescent="0.3">
      <c r="A133" s="77"/>
      <c r="B133" s="106"/>
      <c r="F133" s="124"/>
      <c r="G133" s="125"/>
      <c r="J133" s="125"/>
      <c r="L133" s="107"/>
      <c r="M133" s="108"/>
      <c r="N133" s="108"/>
    </row>
    <row r="134" spans="1:14" x14ac:dyDescent="0.3">
      <c r="A134" s="77"/>
      <c r="B134" s="106"/>
      <c r="F134" s="124"/>
      <c r="G134" s="125"/>
      <c r="J134" s="125"/>
      <c r="L134" s="107"/>
      <c r="M134" s="108"/>
      <c r="N134" s="108"/>
    </row>
    <row r="135" spans="1:14" x14ac:dyDescent="0.3">
      <c r="A135" s="77"/>
      <c r="B135" s="106"/>
      <c r="F135" s="124"/>
      <c r="G135" s="125"/>
      <c r="J135" s="125"/>
      <c r="L135" s="107"/>
      <c r="M135" s="108"/>
      <c r="N135" s="108"/>
    </row>
    <row r="136" spans="1:14" x14ac:dyDescent="0.3">
      <c r="A136" s="77"/>
      <c r="B136" s="106"/>
      <c r="F136" s="124"/>
      <c r="G136" s="125"/>
      <c r="J136" s="125"/>
      <c r="L136" s="107"/>
      <c r="M136" s="108"/>
      <c r="N136" s="108"/>
    </row>
    <row r="137" spans="1:14" x14ac:dyDescent="0.3">
      <c r="A137" s="77"/>
      <c r="B137" s="106"/>
      <c r="F137" s="124"/>
      <c r="G137" s="125"/>
      <c r="J137" s="125"/>
      <c r="L137" s="107"/>
      <c r="M137" s="108"/>
      <c r="N137" s="108"/>
    </row>
    <row r="138" spans="1:14" x14ac:dyDescent="0.3">
      <c r="A138" s="77"/>
      <c r="B138" s="106"/>
      <c r="F138" s="124"/>
      <c r="G138" s="125"/>
      <c r="J138" s="125"/>
      <c r="L138" s="107"/>
      <c r="M138" s="108"/>
      <c r="N138" s="108"/>
    </row>
    <row r="139" spans="1:14" x14ac:dyDescent="0.3">
      <c r="A139" s="77"/>
      <c r="B139" s="106"/>
      <c r="F139" s="124"/>
      <c r="G139" s="125"/>
      <c r="J139" s="125"/>
      <c r="L139" s="107"/>
      <c r="M139" s="108"/>
      <c r="N139" s="108"/>
    </row>
    <row r="140" spans="1:14" x14ac:dyDescent="0.3">
      <c r="A140" s="77"/>
      <c r="B140" s="106"/>
      <c r="F140" s="124"/>
      <c r="G140" s="125"/>
      <c r="J140" s="125"/>
      <c r="L140" s="107"/>
      <c r="M140" s="108"/>
      <c r="N140" s="108"/>
    </row>
    <row r="141" spans="1:14" x14ac:dyDescent="0.3">
      <c r="A141" s="77"/>
      <c r="B141" s="106"/>
      <c r="F141" s="124"/>
      <c r="G141" s="125"/>
      <c r="J141" s="125"/>
      <c r="L141" s="107"/>
      <c r="M141" s="108"/>
      <c r="N141" s="108"/>
    </row>
    <row r="142" spans="1:14" x14ac:dyDescent="0.3">
      <c r="A142" s="77"/>
      <c r="B142" s="106"/>
      <c r="F142" s="124"/>
      <c r="G142" s="125"/>
      <c r="J142" s="125"/>
      <c r="L142" s="107"/>
      <c r="M142" s="108"/>
      <c r="N142" s="108"/>
    </row>
    <row r="143" spans="1:14" x14ac:dyDescent="0.3">
      <c r="A143" s="77"/>
      <c r="B143" s="106"/>
      <c r="F143" s="124"/>
      <c r="G143" s="125"/>
      <c r="J143" s="125"/>
      <c r="L143" s="107"/>
      <c r="M143" s="108"/>
      <c r="N143" s="108"/>
    </row>
    <row r="144" spans="1:14" x14ac:dyDescent="0.3">
      <c r="A144" s="77"/>
      <c r="B144" s="106"/>
      <c r="F144" s="124"/>
      <c r="G144" s="125"/>
      <c r="J144" s="125"/>
      <c r="L144" s="107"/>
      <c r="M144" s="108"/>
      <c r="N144" s="108"/>
    </row>
    <row r="145" spans="1:14" x14ac:dyDescent="0.3">
      <c r="A145" s="77"/>
      <c r="B145" s="106"/>
      <c r="F145" s="124"/>
      <c r="G145" s="125"/>
      <c r="J145" s="125"/>
      <c r="L145" s="107"/>
      <c r="M145" s="108"/>
      <c r="N145" s="108"/>
    </row>
    <row r="146" spans="1:14" x14ac:dyDescent="0.3">
      <c r="A146" s="77"/>
      <c r="B146" s="106"/>
      <c r="F146" s="124"/>
      <c r="G146" s="125"/>
      <c r="J146" s="125"/>
      <c r="L146" s="107"/>
      <c r="M146" s="108"/>
      <c r="N146" s="108"/>
    </row>
    <row r="147" spans="1:14" x14ac:dyDescent="0.3">
      <c r="A147" s="77"/>
      <c r="B147" s="106"/>
      <c r="F147" s="124"/>
      <c r="G147" s="125"/>
      <c r="J147" s="125"/>
      <c r="L147" s="107"/>
      <c r="M147" s="108"/>
      <c r="N147" s="108"/>
    </row>
    <row r="148" spans="1:14" x14ac:dyDescent="0.3">
      <c r="A148" s="77"/>
      <c r="B148" s="106"/>
      <c r="F148" s="124"/>
      <c r="G148" s="125"/>
      <c r="J148" s="125"/>
      <c r="L148" s="107"/>
      <c r="M148" s="108"/>
      <c r="N148" s="108"/>
    </row>
    <row r="149" spans="1:14" x14ac:dyDescent="0.3">
      <c r="A149" s="77"/>
      <c r="B149" s="106"/>
      <c r="F149" s="124"/>
      <c r="G149" s="125"/>
      <c r="J149" s="125"/>
      <c r="L149" s="107"/>
      <c r="M149" s="108"/>
      <c r="N149" s="108"/>
    </row>
    <row r="150" spans="1:14" x14ac:dyDescent="0.3">
      <c r="A150" s="77"/>
      <c r="B150" s="106"/>
      <c r="F150" s="124"/>
      <c r="G150" s="125"/>
      <c r="J150" s="125"/>
      <c r="L150" s="107"/>
      <c r="M150" s="108"/>
      <c r="N150" s="108"/>
    </row>
    <row r="151" spans="1:14" x14ac:dyDescent="0.3">
      <c r="A151" s="77"/>
      <c r="B151" s="106"/>
      <c r="F151" s="124"/>
      <c r="G151" s="125"/>
      <c r="J151" s="125"/>
      <c r="L151" s="107"/>
      <c r="M151" s="108"/>
      <c r="N151" s="108"/>
    </row>
    <row r="152" spans="1:14" x14ac:dyDescent="0.3">
      <c r="A152" s="77"/>
      <c r="B152" s="106"/>
      <c r="F152" s="124"/>
      <c r="G152" s="125"/>
      <c r="J152" s="125"/>
      <c r="L152" s="107"/>
      <c r="M152" s="108"/>
      <c r="N152" s="108"/>
    </row>
    <row r="153" spans="1:14" x14ac:dyDescent="0.3">
      <c r="A153" s="77"/>
      <c r="B153" s="106"/>
      <c r="F153" s="124"/>
      <c r="G153" s="125"/>
      <c r="J153" s="125"/>
      <c r="L153" s="107"/>
      <c r="M153" s="108"/>
      <c r="N153" s="108"/>
    </row>
    <row r="154" spans="1:14" x14ac:dyDescent="0.3">
      <c r="A154" s="77"/>
      <c r="B154" s="106"/>
      <c r="F154" s="124"/>
      <c r="G154" s="125"/>
      <c r="J154" s="125"/>
      <c r="L154" s="107"/>
      <c r="M154" s="108"/>
      <c r="N154" s="108"/>
    </row>
    <row r="155" spans="1:14" x14ac:dyDescent="0.3">
      <c r="A155" s="77"/>
      <c r="B155" s="106"/>
      <c r="F155" s="124"/>
      <c r="G155" s="125"/>
      <c r="J155" s="125"/>
      <c r="L155" s="107"/>
      <c r="M155" s="108"/>
      <c r="N155" s="108"/>
    </row>
    <row r="156" spans="1:14" x14ac:dyDescent="0.3">
      <c r="A156" s="77"/>
      <c r="B156" s="106"/>
      <c r="F156" s="124"/>
      <c r="G156" s="125"/>
      <c r="J156" s="125"/>
      <c r="L156" s="107"/>
      <c r="M156" s="108"/>
      <c r="N156" s="108"/>
    </row>
    <row r="157" spans="1:14" x14ac:dyDescent="0.3">
      <c r="A157" s="77"/>
      <c r="B157" s="106"/>
      <c r="F157" s="124"/>
      <c r="G157" s="125"/>
      <c r="J157" s="125"/>
      <c r="L157" s="107"/>
      <c r="M157" s="108"/>
      <c r="N157" s="108"/>
    </row>
    <row r="158" spans="1:14" x14ac:dyDescent="0.3">
      <c r="A158" s="77"/>
      <c r="B158" s="106"/>
      <c r="F158" s="124"/>
      <c r="G158" s="125"/>
      <c r="J158" s="125"/>
      <c r="L158" s="107"/>
      <c r="M158" s="108"/>
      <c r="N158" s="108"/>
    </row>
    <row r="159" spans="1:14" x14ac:dyDescent="0.3">
      <c r="A159" s="77"/>
      <c r="B159" s="106"/>
      <c r="F159" s="124"/>
      <c r="G159" s="125"/>
      <c r="J159" s="125"/>
      <c r="L159" s="107"/>
      <c r="M159" s="108"/>
      <c r="N159" s="108"/>
    </row>
    <row r="160" spans="1:14" x14ac:dyDescent="0.3">
      <c r="A160" s="77"/>
      <c r="B160" s="106"/>
      <c r="F160" s="124"/>
      <c r="G160" s="125"/>
      <c r="J160" s="125"/>
      <c r="L160" s="107"/>
      <c r="M160" s="108"/>
      <c r="N160" s="108"/>
    </row>
    <row r="161" spans="1:14" x14ac:dyDescent="0.3">
      <c r="A161" s="77"/>
      <c r="B161" s="106"/>
      <c r="F161" s="124"/>
      <c r="G161" s="125"/>
      <c r="J161" s="125"/>
      <c r="L161" s="107"/>
      <c r="M161" s="108"/>
      <c r="N161" s="108"/>
    </row>
    <row r="162" spans="1:14" x14ac:dyDescent="0.3">
      <c r="A162" s="77"/>
      <c r="B162" s="106"/>
      <c r="F162" s="124"/>
      <c r="G162" s="125"/>
      <c r="J162" s="125"/>
      <c r="L162" s="107"/>
      <c r="M162" s="108"/>
      <c r="N162" s="108"/>
    </row>
    <row r="163" spans="1:14" x14ac:dyDescent="0.3">
      <c r="A163" s="77"/>
      <c r="B163" s="106"/>
      <c r="F163" s="124"/>
      <c r="G163" s="125"/>
      <c r="J163" s="125"/>
      <c r="L163" s="107"/>
      <c r="M163" s="108"/>
      <c r="N163" s="108"/>
    </row>
    <row r="164" spans="1:14" x14ac:dyDescent="0.3">
      <c r="A164" s="77"/>
      <c r="B164" s="106"/>
      <c r="F164" s="124"/>
      <c r="G164" s="125"/>
      <c r="J164" s="125"/>
      <c r="L164" s="107"/>
      <c r="M164" s="108"/>
      <c r="N164" s="108"/>
    </row>
    <row r="165" spans="1:14" x14ac:dyDescent="0.3">
      <c r="A165" s="77"/>
      <c r="B165" s="106"/>
      <c r="F165" s="124"/>
      <c r="G165" s="125"/>
      <c r="J165" s="125"/>
      <c r="L165" s="107"/>
      <c r="M165" s="108"/>
      <c r="N165" s="108"/>
    </row>
    <row r="166" spans="1:14" x14ac:dyDescent="0.3">
      <c r="A166" s="77"/>
      <c r="B166" s="106"/>
      <c r="F166" s="124"/>
      <c r="G166" s="125"/>
      <c r="J166" s="125"/>
      <c r="L166" s="107"/>
      <c r="M166" s="108"/>
      <c r="N166" s="108"/>
    </row>
    <row r="167" spans="1:14" x14ac:dyDescent="0.3">
      <c r="A167" s="77"/>
      <c r="B167" s="106"/>
      <c r="F167" s="124"/>
      <c r="G167" s="125"/>
      <c r="J167" s="125"/>
      <c r="L167" s="107"/>
      <c r="M167" s="108"/>
      <c r="N167" s="108"/>
    </row>
    <row r="168" spans="1:14" x14ac:dyDescent="0.3">
      <c r="A168" s="77"/>
      <c r="B168" s="106"/>
      <c r="F168" s="124"/>
      <c r="G168" s="125"/>
      <c r="J168" s="125"/>
      <c r="L168" s="107"/>
      <c r="M168" s="108"/>
      <c r="N168" s="108"/>
    </row>
    <row r="169" spans="1:14" x14ac:dyDescent="0.3">
      <c r="A169" s="77"/>
      <c r="B169" s="106"/>
      <c r="F169" s="124"/>
      <c r="G169" s="125"/>
      <c r="J169" s="125"/>
      <c r="L169" s="107"/>
      <c r="M169" s="108"/>
      <c r="N169" s="108"/>
    </row>
    <row r="170" spans="1:14" x14ac:dyDescent="0.3">
      <c r="A170" s="77"/>
      <c r="B170" s="106"/>
      <c r="F170" s="124"/>
      <c r="G170" s="125"/>
      <c r="J170" s="125"/>
      <c r="L170" s="107"/>
      <c r="M170" s="108"/>
      <c r="N170" s="108"/>
    </row>
    <row r="171" spans="1:14" x14ac:dyDescent="0.3">
      <c r="A171" s="77"/>
      <c r="B171" s="106"/>
      <c r="F171" s="124"/>
      <c r="G171" s="125"/>
      <c r="J171" s="125"/>
      <c r="L171" s="107"/>
      <c r="M171" s="108"/>
      <c r="N171" s="108"/>
    </row>
    <row r="172" spans="1:14" x14ac:dyDescent="0.3">
      <c r="A172" s="77"/>
      <c r="B172" s="106"/>
      <c r="F172" s="124"/>
      <c r="G172" s="125"/>
      <c r="J172" s="125"/>
      <c r="L172" s="107"/>
      <c r="M172" s="108"/>
      <c r="N172" s="108"/>
    </row>
    <row r="173" spans="1:14" x14ac:dyDescent="0.3">
      <c r="A173" s="77"/>
      <c r="B173" s="106"/>
      <c r="F173" s="124"/>
      <c r="G173" s="125"/>
      <c r="J173" s="125"/>
      <c r="L173" s="107"/>
      <c r="M173" s="108"/>
      <c r="N173" s="108"/>
    </row>
    <row r="174" spans="1:14" x14ac:dyDescent="0.3">
      <c r="A174" s="77"/>
      <c r="B174" s="106"/>
      <c r="F174" s="124"/>
      <c r="G174" s="125"/>
      <c r="J174" s="125"/>
      <c r="L174" s="107"/>
      <c r="M174" s="108"/>
      <c r="N174" s="108"/>
    </row>
    <row r="175" spans="1:14" x14ac:dyDescent="0.3">
      <c r="A175" s="77"/>
      <c r="B175" s="106"/>
      <c r="F175" s="124"/>
      <c r="G175" s="125"/>
      <c r="J175" s="125"/>
      <c r="L175" s="107"/>
      <c r="M175" s="108"/>
      <c r="N175" s="108"/>
    </row>
    <row r="176" spans="1:14" x14ac:dyDescent="0.3">
      <c r="A176" s="77"/>
      <c r="B176" s="106"/>
      <c r="F176" s="124"/>
      <c r="G176" s="125"/>
      <c r="J176" s="125"/>
      <c r="L176" s="107"/>
      <c r="M176" s="108"/>
      <c r="N176" s="108"/>
    </row>
    <row r="177" spans="1:14" x14ac:dyDescent="0.3">
      <c r="A177" s="77"/>
      <c r="B177" s="106"/>
      <c r="F177" s="124"/>
      <c r="G177" s="125"/>
      <c r="J177" s="125"/>
      <c r="L177" s="107"/>
      <c r="M177" s="108"/>
      <c r="N177" s="108"/>
    </row>
    <row r="178" spans="1:14" x14ac:dyDescent="0.3">
      <c r="A178" s="77"/>
      <c r="B178" s="106"/>
      <c r="F178" s="124"/>
      <c r="G178" s="125"/>
      <c r="J178" s="125"/>
      <c r="L178" s="107"/>
      <c r="M178" s="108"/>
      <c r="N178" s="108"/>
    </row>
    <row r="179" spans="1:14" x14ac:dyDescent="0.3">
      <c r="A179" s="77"/>
      <c r="B179" s="106"/>
      <c r="F179" s="124"/>
      <c r="G179" s="125"/>
      <c r="J179" s="125"/>
      <c r="L179" s="107"/>
      <c r="M179" s="108"/>
      <c r="N179" s="108"/>
    </row>
    <row r="180" spans="1:14" x14ac:dyDescent="0.3">
      <c r="A180" s="77"/>
      <c r="B180" s="106"/>
      <c r="F180" s="124"/>
      <c r="G180" s="125"/>
      <c r="J180" s="125"/>
      <c r="L180" s="107"/>
      <c r="M180" s="108"/>
      <c r="N180" s="108"/>
    </row>
    <row r="181" spans="1:14" x14ac:dyDescent="0.3">
      <c r="A181" s="77"/>
      <c r="B181" s="106"/>
      <c r="F181" s="124"/>
      <c r="G181" s="125"/>
      <c r="J181" s="125"/>
      <c r="L181" s="107"/>
      <c r="M181" s="108"/>
      <c r="N181" s="108"/>
    </row>
    <row r="182" spans="1:14" x14ac:dyDescent="0.3">
      <c r="A182" s="77"/>
      <c r="B182" s="106"/>
      <c r="F182" s="124"/>
      <c r="G182" s="125"/>
      <c r="J182" s="125"/>
      <c r="L182" s="107"/>
      <c r="M182" s="108"/>
      <c r="N182" s="108"/>
    </row>
    <row r="183" spans="1:14" x14ac:dyDescent="0.3">
      <c r="A183" s="77"/>
      <c r="B183" s="106"/>
      <c r="F183" s="124"/>
      <c r="G183" s="125"/>
      <c r="J183" s="125"/>
      <c r="L183" s="107"/>
      <c r="M183" s="108"/>
      <c r="N183" s="108"/>
    </row>
    <row r="184" spans="1:14" x14ac:dyDescent="0.3">
      <c r="A184" s="77"/>
      <c r="B184" s="106"/>
      <c r="F184" s="124"/>
      <c r="G184" s="125"/>
      <c r="J184" s="125"/>
      <c r="L184" s="107"/>
      <c r="M184" s="108"/>
      <c r="N184" s="108"/>
    </row>
    <row r="185" spans="1:14" x14ac:dyDescent="0.3">
      <c r="A185" s="77"/>
      <c r="B185" s="106"/>
      <c r="F185" s="124"/>
      <c r="G185" s="125"/>
      <c r="J185" s="125"/>
      <c r="L185" s="107"/>
      <c r="M185" s="108"/>
      <c r="N185" s="108"/>
    </row>
    <row r="186" spans="1:14" x14ac:dyDescent="0.3">
      <c r="A186" s="77"/>
      <c r="B186" s="106"/>
      <c r="F186" s="124"/>
      <c r="G186" s="125"/>
      <c r="J186" s="125"/>
      <c r="L186" s="107"/>
      <c r="M186" s="108"/>
      <c r="N186" s="108"/>
    </row>
    <row r="187" spans="1:14" x14ac:dyDescent="0.3">
      <c r="A187" s="77"/>
      <c r="B187" s="106"/>
      <c r="F187" s="124"/>
      <c r="G187" s="125"/>
      <c r="J187" s="125"/>
      <c r="L187" s="107"/>
      <c r="M187" s="108"/>
      <c r="N187" s="108"/>
    </row>
    <row r="188" spans="1:14" x14ac:dyDescent="0.3">
      <c r="A188" s="77"/>
      <c r="B188" s="106"/>
      <c r="F188" s="124"/>
      <c r="G188" s="125"/>
      <c r="J188" s="125"/>
      <c r="L188" s="107"/>
      <c r="M188" s="108"/>
      <c r="N188" s="108"/>
    </row>
    <row r="189" spans="1:14" x14ac:dyDescent="0.3">
      <c r="A189" s="77"/>
      <c r="B189" s="106"/>
      <c r="F189" s="124"/>
      <c r="G189" s="125"/>
      <c r="J189" s="125"/>
      <c r="L189" s="107"/>
      <c r="M189" s="108"/>
      <c r="N189" s="108"/>
    </row>
    <row r="190" spans="1:14" x14ac:dyDescent="0.3">
      <c r="A190" s="77"/>
      <c r="B190" s="106"/>
      <c r="F190" s="124"/>
      <c r="G190" s="125"/>
      <c r="J190" s="125"/>
      <c r="L190" s="107"/>
      <c r="M190" s="108"/>
      <c r="N190" s="108"/>
    </row>
    <row r="191" spans="1:14" x14ac:dyDescent="0.3">
      <c r="A191" s="77"/>
      <c r="B191" s="106"/>
      <c r="F191" s="124"/>
      <c r="G191" s="125"/>
      <c r="J191" s="125"/>
      <c r="L191" s="107"/>
      <c r="M191" s="108"/>
      <c r="N191" s="108"/>
    </row>
    <row r="192" spans="1:14" x14ac:dyDescent="0.3">
      <c r="A192" s="77"/>
      <c r="B192" s="106"/>
      <c r="F192" s="124"/>
      <c r="G192" s="125"/>
      <c r="J192" s="125"/>
      <c r="L192" s="107"/>
      <c r="M192" s="108"/>
      <c r="N192" s="108"/>
    </row>
    <row r="193" spans="1:14" x14ac:dyDescent="0.3">
      <c r="A193" s="77"/>
      <c r="B193" s="106"/>
      <c r="F193" s="124"/>
      <c r="G193" s="125"/>
      <c r="J193" s="125"/>
      <c r="L193" s="107"/>
      <c r="M193" s="108"/>
      <c r="N193" s="108"/>
    </row>
    <row r="194" spans="1:14" x14ac:dyDescent="0.3">
      <c r="A194" s="77"/>
      <c r="B194" s="106"/>
      <c r="F194" s="124"/>
      <c r="G194" s="125"/>
      <c r="J194" s="125"/>
      <c r="L194" s="107"/>
      <c r="M194" s="108"/>
      <c r="N194" s="108"/>
    </row>
    <row r="195" spans="1:14" x14ac:dyDescent="0.3">
      <c r="A195" s="77"/>
      <c r="B195" s="106"/>
      <c r="F195" s="124"/>
      <c r="G195" s="125"/>
      <c r="J195" s="125"/>
      <c r="L195" s="107"/>
      <c r="M195" s="108"/>
      <c r="N195" s="108"/>
    </row>
    <row r="196" spans="1:14" x14ac:dyDescent="0.3">
      <c r="A196" s="77"/>
      <c r="B196" s="106"/>
      <c r="F196" s="124"/>
      <c r="G196" s="125"/>
      <c r="J196" s="125"/>
      <c r="L196" s="107"/>
      <c r="M196" s="108"/>
      <c r="N196" s="108"/>
    </row>
    <row r="197" spans="1:14" x14ac:dyDescent="0.3">
      <c r="A197" s="77"/>
      <c r="B197" s="106"/>
      <c r="F197" s="124"/>
      <c r="G197" s="125"/>
      <c r="J197" s="125"/>
      <c r="L197" s="107"/>
      <c r="M197" s="108"/>
      <c r="N197" s="108"/>
    </row>
    <row r="198" spans="1:14" x14ac:dyDescent="0.3">
      <c r="A198" s="77"/>
      <c r="B198" s="106"/>
      <c r="F198" s="124"/>
      <c r="G198" s="125"/>
      <c r="J198" s="125"/>
      <c r="L198" s="107"/>
      <c r="M198" s="108"/>
      <c r="N198" s="108"/>
    </row>
    <row r="199" spans="1:14" x14ac:dyDescent="0.3">
      <c r="A199" s="77"/>
      <c r="B199" s="106"/>
      <c r="F199" s="124"/>
      <c r="G199" s="125"/>
      <c r="J199" s="125"/>
      <c r="L199" s="107"/>
      <c r="M199" s="108"/>
      <c r="N199" s="108"/>
    </row>
    <row r="200" spans="1:14" x14ac:dyDescent="0.3">
      <c r="A200" s="77"/>
      <c r="B200" s="106"/>
      <c r="F200" s="124"/>
      <c r="G200" s="125"/>
      <c r="J200" s="125"/>
      <c r="L200" s="107"/>
      <c r="M200" s="108"/>
      <c r="N200" s="108"/>
    </row>
    <row r="201" spans="1:14" x14ac:dyDescent="0.3">
      <c r="A201" s="77"/>
      <c r="B201" s="106"/>
      <c r="F201" s="124"/>
      <c r="G201" s="125"/>
      <c r="J201" s="125"/>
      <c r="L201" s="107"/>
      <c r="M201" s="108"/>
      <c r="N201" s="108"/>
    </row>
    <row r="202" spans="1:14" x14ac:dyDescent="0.3">
      <c r="A202" s="77"/>
      <c r="B202" s="106"/>
      <c r="F202" s="124"/>
      <c r="G202" s="125"/>
      <c r="J202" s="125"/>
      <c r="L202" s="107"/>
      <c r="M202" s="108"/>
      <c r="N202" s="108"/>
    </row>
    <row r="203" spans="1:14" x14ac:dyDescent="0.3">
      <c r="A203" s="77"/>
      <c r="B203" s="106"/>
      <c r="F203" s="124"/>
      <c r="G203" s="125"/>
      <c r="J203" s="125"/>
      <c r="L203" s="107"/>
      <c r="M203" s="108"/>
      <c r="N203" s="108"/>
    </row>
    <row r="204" spans="1:14" x14ac:dyDescent="0.3">
      <c r="A204" s="77"/>
      <c r="B204" s="106"/>
      <c r="F204" s="124"/>
      <c r="G204" s="125"/>
      <c r="J204" s="125"/>
      <c r="L204" s="107"/>
      <c r="M204" s="108"/>
      <c r="N204" s="108"/>
    </row>
    <row r="205" spans="1:14" x14ac:dyDescent="0.3">
      <c r="A205" s="77"/>
      <c r="B205" s="106"/>
      <c r="F205" s="124"/>
      <c r="G205" s="125"/>
      <c r="J205" s="125"/>
      <c r="L205" s="107"/>
      <c r="M205" s="108"/>
      <c r="N205" s="108"/>
    </row>
    <row r="206" spans="1:14" x14ac:dyDescent="0.3">
      <c r="A206" s="77"/>
      <c r="B206" s="106"/>
      <c r="F206" s="124"/>
      <c r="G206" s="125"/>
      <c r="J206" s="125"/>
      <c r="L206" s="107"/>
      <c r="M206" s="108"/>
      <c r="N206" s="108"/>
    </row>
    <row r="207" spans="1:14" x14ac:dyDescent="0.3">
      <c r="A207" s="77"/>
      <c r="B207" s="106"/>
      <c r="F207" s="124"/>
      <c r="G207" s="125"/>
      <c r="J207" s="125"/>
      <c r="L207" s="107"/>
      <c r="M207" s="108"/>
      <c r="N207" s="108"/>
    </row>
    <row r="208" spans="1:14" x14ac:dyDescent="0.3">
      <c r="A208" s="77"/>
      <c r="B208" s="106"/>
      <c r="F208" s="124"/>
      <c r="G208" s="125"/>
      <c r="J208" s="125"/>
      <c r="L208" s="107"/>
      <c r="M208" s="108"/>
      <c r="N208" s="108"/>
    </row>
    <row r="209" spans="1:14" x14ac:dyDescent="0.3">
      <c r="A209" s="77"/>
      <c r="B209" s="106"/>
      <c r="F209" s="124"/>
      <c r="G209" s="125"/>
      <c r="J209" s="125"/>
      <c r="L209" s="107"/>
      <c r="M209" s="108"/>
      <c r="N209" s="108"/>
    </row>
    <row r="210" spans="1:14" x14ac:dyDescent="0.3">
      <c r="A210" s="77"/>
      <c r="B210" s="106"/>
      <c r="F210" s="124"/>
      <c r="G210" s="125"/>
      <c r="J210" s="125"/>
      <c r="L210" s="107"/>
      <c r="M210" s="108"/>
      <c r="N210" s="108"/>
    </row>
    <row r="211" spans="1:14" x14ac:dyDescent="0.3">
      <c r="A211" s="77"/>
      <c r="B211" s="106"/>
      <c r="F211" s="124"/>
      <c r="G211" s="125"/>
      <c r="J211" s="125"/>
      <c r="L211" s="107"/>
      <c r="M211" s="108"/>
      <c r="N211" s="108"/>
    </row>
    <row r="212" spans="1:14" x14ac:dyDescent="0.3">
      <c r="A212" s="77"/>
      <c r="B212" s="106"/>
      <c r="F212" s="124"/>
      <c r="G212" s="125"/>
      <c r="J212" s="125"/>
      <c r="L212" s="107"/>
      <c r="M212" s="108"/>
      <c r="N212" s="108"/>
    </row>
    <row r="213" spans="1:14" x14ac:dyDescent="0.3">
      <c r="A213" s="77"/>
      <c r="B213" s="106"/>
      <c r="F213" s="124"/>
      <c r="G213" s="125"/>
      <c r="J213" s="125"/>
      <c r="L213" s="107"/>
      <c r="M213" s="108"/>
      <c r="N213" s="108"/>
    </row>
    <row r="214" spans="1:14" x14ac:dyDescent="0.3">
      <c r="A214" s="77"/>
      <c r="B214" s="106"/>
      <c r="F214" s="124"/>
      <c r="G214" s="125"/>
      <c r="J214" s="125"/>
      <c r="L214" s="107"/>
      <c r="M214" s="108"/>
      <c r="N214" s="108"/>
    </row>
    <row r="215" spans="1:14" x14ac:dyDescent="0.3">
      <c r="A215" s="77"/>
      <c r="B215" s="106"/>
      <c r="F215" s="124"/>
      <c r="G215" s="125"/>
      <c r="J215" s="125"/>
      <c r="L215" s="107"/>
      <c r="M215" s="108"/>
      <c r="N215" s="108"/>
    </row>
    <row r="216" spans="1:14" x14ac:dyDescent="0.3">
      <c r="A216" s="77"/>
      <c r="B216" s="106"/>
      <c r="F216" s="124"/>
      <c r="G216" s="125"/>
      <c r="J216" s="125"/>
      <c r="L216" s="107"/>
      <c r="M216" s="108"/>
      <c r="N216" s="108"/>
    </row>
    <row r="217" spans="1:14" x14ac:dyDescent="0.3">
      <c r="A217" s="77"/>
      <c r="B217" s="106"/>
      <c r="F217" s="124"/>
      <c r="G217" s="125"/>
      <c r="J217" s="125"/>
      <c r="L217" s="107"/>
      <c r="M217" s="108"/>
      <c r="N217" s="108"/>
    </row>
    <row r="218" spans="1:14" x14ac:dyDescent="0.3">
      <c r="A218" s="77"/>
      <c r="B218" s="106"/>
      <c r="F218" s="124"/>
      <c r="G218" s="125"/>
      <c r="J218" s="125"/>
      <c r="L218" s="107"/>
      <c r="M218" s="108"/>
      <c r="N218" s="108"/>
    </row>
    <row r="219" spans="1:14" x14ac:dyDescent="0.3">
      <c r="A219" s="77"/>
      <c r="B219" s="106"/>
      <c r="F219" s="124"/>
      <c r="G219" s="125"/>
      <c r="J219" s="125"/>
      <c r="L219" s="107"/>
      <c r="M219" s="108"/>
      <c r="N219" s="108"/>
    </row>
    <row r="220" spans="1:14" x14ac:dyDescent="0.3">
      <c r="A220" s="77"/>
      <c r="B220" s="106"/>
      <c r="F220" s="124"/>
      <c r="G220" s="125"/>
      <c r="J220" s="125"/>
      <c r="L220" s="107"/>
      <c r="M220" s="108"/>
      <c r="N220" s="108"/>
    </row>
    <row r="221" spans="1:14" x14ac:dyDescent="0.3">
      <c r="A221" s="77"/>
      <c r="B221" s="106"/>
      <c r="F221" s="124"/>
      <c r="G221" s="125"/>
      <c r="J221" s="125"/>
      <c r="L221" s="107"/>
      <c r="M221" s="108"/>
      <c r="N221" s="108"/>
    </row>
    <row r="222" spans="1:14" x14ac:dyDescent="0.3">
      <c r="A222" s="77"/>
      <c r="B222" s="106"/>
      <c r="F222" s="124"/>
      <c r="G222" s="125"/>
      <c r="J222" s="125"/>
      <c r="L222" s="107"/>
      <c r="M222" s="108"/>
      <c r="N222" s="108"/>
    </row>
    <row r="223" spans="1:14" x14ac:dyDescent="0.3">
      <c r="A223" s="77"/>
      <c r="B223" s="106"/>
      <c r="F223" s="124"/>
      <c r="G223" s="125"/>
      <c r="J223" s="125"/>
      <c r="L223" s="107"/>
      <c r="M223" s="108"/>
      <c r="N223" s="108"/>
    </row>
    <row r="224" spans="1:14" x14ac:dyDescent="0.3">
      <c r="A224" s="77"/>
      <c r="B224" s="106"/>
      <c r="F224" s="124"/>
      <c r="G224" s="125"/>
      <c r="J224" s="125"/>
      <c r="L224" s="107"/>
      <c r="M224" s="108"/>
      <c r="N224" s="108"/>
    </row>
    <row r="225" spans="1:14" x14ac:dyDescent="0.3">
      <c r="A225" s="77"/>
      <c r="B225" s="106"/>
      <c r="F225" s="124"/>
      <c r="G225" s="125"/>
      <c r="J225" s="125"/>
      <c r="L225" s="107"/>
      <c r="M225" s="108"/>
      <c r="N225" s="108"/>
    </row>
    <row r="226" spans="1:14" x14ac:dyDescent="0.3">
      <c r="A226" s="77"/>
      <c r="B226" s="106"/>
      <c r="F226" s="124"/>
      <c r="G226" s="125"/>
      <c r="J226" s="125"/>
      <c r="L226" s="107"/>
      <c r="M226" s="108"/>
      <c r="N226" s="108"/>
    </row>
    <row r="227" spans="1:14" x14ac:dyDescent="0.3">
      <c r="A227" s="77"/>
      <c r="B227" s="106"/>
      <c r="F227" s="124"/>
      <c r="G227" s="125"/>
      <c r="J227" s="125"/>
      <c r="L227" s="107"/>
      <c r="M227" s="108"/>
      <c r="N227" s="108"/>
    </row>
    <row r="228" spans="1:14" x14ac:dyDescent="0.3">
      <c r="A228" s="77"/>
      <c r="B228" s="106"/>
      <c r="F228" s="124"/>
      <c r="G228" s="125"/>
      <c r="J228" s="125"/>
      <c r="L228" s="107"/>
      <c r="M228" s="108"/>
      <c r="N228" s="108"/>
    </row>
    <row r="229" spans="1:14" x14ac:dyDescent="0.3">
      <c r="A229" s="77"/>
      <c r="B229" s="106"/>
      <c r="F229" s="124"/>
      <c r="G229" s="125"/>
      <c r="J229" s="125"/>
      <c r="L229" s="107"/>
      <c r="M229" s="108"/>
      <c r="N229" s="108"/>
    </row>
    <row r="230" spans="1:14" x14ac:dyDescent="0.3">
      <c r="A230" s="77"/>
      <c r="B230" s="106"/>
      <c r="F230" s="124"/>
      <c r="G230" s="125"/>
      <c r="J230" s="125"/>
      <c r="L230" s="107"/>
      <c r="M230" s="108"/>
      <c r="N230" s="108"/>
    </row>
    <row r="231" spans="1:14" x14ac:dyDescent="0.3">
      <c r="A231" s="77"/>
      <c r="B231" s="106"/>
      <c r="F231" s="124"/>
      <c r="G231" s="125"/>
      <c r="J231" s="125"/>
      <c r="L231" s="107"/>
      <c r="M231" s="108"/>
      <c r="N231" s="108"/>
    </row>
    <row r="232" spans="1:14" x14ac:dyDescent="0.3">
      <c r="A232" s="77"/>
      <c r="B232" s="106"/>
      <c r="F232" s="124"/>
      <c r="G232" s="125"/>
      <c r="J232" s="125"/>
      <c r="L232" s="107"/>
      <c r="M232" s="108"/>
      <c r="N232" s="108"/>
    </row>
    <row r="233" spans="1:14" x14ac:dyDescent="0.3">
      <c r="A233" s="77"/>
      <c r="B233" s="106"/>
      <c r="F233" s="124"/>
      <c r="G233" s="125"/>
      <c r="J233" s="125"/>
      <c r="L233" s="107"/>
      <c r="M233" s="108"/>
      <c r="N233" s="108"/>
    </row>
    <row r="234" spans="1:14" x14ac:dyDescent="0.3">
      <c r="A234" s="77"/>
      <c r="B234" s="106"/>
      <c r="F234" s="124"/>
      <c r="G234" s="125"/>
      <c r="J234" s="125"/>
      <c r="L234" s="107"/>
      <c r="M234" s="108"/>
      <c r="N234" s="108"/>
    </row>
    <row r="235" spans="1:14" x14ac:dyDescent="0.3">
      <c r="A235" s="77"/>
      <c r="B235" s="106"/>
      <c r="F235" s="124"/>
      <c r="G235" s="125"/>
      <c r="J235" s="125"/>
      <c r="L235" s="107"/>
      <c r="M235" s="108"/>
      <c r="N235" s="108"/>
    </row>
    <row r="236" spans="1:14" x14ac:dyDescent="0.3">
      <c r="A236" s="77"/>
      <c r="B236" s="106"/>
      <c r="F236" s="124"/>
      <c r="G236" s="125"/>
      <c r="J236" s="125"/>
      <c r="L236" s="107"/>
      <c r="M236" s="108"/>
      <c r="N236" s="108"/>
    </row>
    <row r="237" spans="1:14" x14ac:dyDescent="0.3">
      <c r="A237" s="77"/>
      <c r="B237" s="106"/>
      <c r="F237" s="124"/>
      <c r="G237" s="125"/>
      <c r="J237" s="125"/>
      <c r="L237" s="107"/>
      <c r="M237" s="108"/>
      <c r="N237" s="108"/>
    </row>
    <row r="238" spans="1:14" x14ac:dyDescent="0.3">
      <c r="A238" s="77"/>
      <c r="B238" s="106"/>
      <c r="F238" s="124"/>
      <c r="G238" s="125"/>
      <c r="J238" s="125"/>
      <c r="L238" s="107"/>
      <c r="M238" s="108"/>
      <c r="N238" s="108"/>
    </row>
    <row r="239" spans="1:14" x14ac:dyDescent="0.3">
      <c r="A239" s="77"/>
      <c r="B239" s="106"/>
      <c r="F239" s="124"/>
      <c r="G239" s="125"/>
      <c r="J239" s="125"/>
      <c r="L239" s="107"/>
      <c r="M239" s="108"/>
      <c r="N239" s="108"/>
    </row>
    <row r="240" spans="1:14" x14ac:dyDescent="0.3">
      <c r="A240" s="77"/>
      <c r="B240" s="106"/>
      <c r="F240" s="124"/>
      <c r="G240" s="125"/>
      <c r="J240" s="125"/>
      <c r="L240" s="107"/>
      <c r="M240" s="108"/>
      <c r="N240" s="108"/>
    </row>
    <row r="241" spans="1:14" x14ac:dyDescent="0.3">
      <c r="A241" s="77"/>
      <c r="B241" s="106"/>
      <c r="F241" s="124"/>
      <c r="G241" s="125"/>
      <c r="J241" s="125"/>
      <c r="L241" s="107"/>
      <c r="M241" s="108"/>
      <c r="N241" s="108"/>
    </row>
    <row r="242" spans="1:14" x14ac:dyDescent="0.3">
      <c r="A242" s="77"/>
      <c r="B242" s="106"/>
      <c r="F242" s="124"/>
      <c r="G242" s="125"/>
      <c r="J242" s="125"/>
      <c r="L242" s="107"/>
      <c r="M242" s="108"/>
      <c r="N242" s="108"/>
    </row>
    <row r="243" spans="1:14" x14ac:dyDescent="0.3">
      <c r="A243" s="77"/>
      <c r="B243" s="106"/>
      <c r="F243" s="124"/>
      <c r="G243" s="125"/>
      <c r="J243" s="125"/>
      <c r="L243" s="107"/>
      <c r="M243" s="108"/>
      <c r="N243" s="108"/>
    </row>
    <row r="244" spans="1:14" x14ac:dyDescent="0.3">
      <c r="A244" s="77"/>
      <c r="B244" s="106"/>
      <c r="F244" s="124"/>
      <c r="G244" s="125"/>
      <c r="J244" s="125"/>
      <c r="L244" s="107"/>
      <c r="M244" s="108"/>
      <c r="N244" s="108"/>
    </row>
    <row r="245" spans="1:14" x14ac:dyDescent="0.3">
      <c r="A245" s="77"/>
      <c r="B245" s="106"/>
      <c r="F245" s="124"/>
      <c r="G245" s="125"/>
      <c r="J245" s="125"/>
      <c r="L245" s="107"/>
      <c r="M245" s="108"/>
      <c r="N245" s="108"/>
    </row>
    <row r="246" spans="1:14" x14ac:dyDescent="0.3">
      <c r="A246" s="77"/>
      <c r="B246" s="106"/>
      <c r="F246" s="124"/>
      <c r="G246" s="125"/>
      <c r="J246" s="125"/>
      <c r="L246" s="107"/>
      <c r="M246" s="108"/>
      <c r="N246" s="108"/>
    </row>
    <row r="247" spans="1:14" x14ac:dyDescent="0.3">
      <c r="A247" s="77"/>
      <c r="B247" s="106"/>
      <c r="F247" s="124"/>
      <c r="G247" s="125"/>
      <c r="J247" s="125"/>
      <c r="L247" s="107"/>
      <c r="M247" s="108"/>
      <c r="N247" s="108"/>
    </row>
    <row r="248" spans="1:14" x14ac:dyDescent="0.3">
      <c r="A248" s="77"/>
      <c r="B248" s="106"/>
      <c r="F248" s="124"/>
      <c r="G248" s="125"/>
      <c r="J248" s="125"/>
      <c r="L248" s="107"/>
      <c r="M248" s="108"/>
      <c r="N248" s="108"/>
    </row>
    <row r="249" spans="1:14" x14ac:dyDescent="0.3">
      <c r="A249" s="77"/>
      <c r="B249" s="106"/>
      <c r="F249" s="124"/>
      <c r="G249" s="125"/>
      <c r="J249" s="125"/>
      <c r="L249" s="107"/>
      <c r="M249" s="108"/>
      <c r="N249" s="108"/>
    </row>
    <row r="250" spans="1:14" x14ac:dyDescent="0.3">
      <c r="A250" s="77"/>
      <c r="B250" s="106"/>
      <c r="F250" s="124"/>
      <c r="G250" s="125"/>
      <c r="J250" s="125"/>
      <c r="L250" s="107"/>
      <c r="M250" s="108"/>
      <c r="N250" s="108"/>
    </row>
    <row r="251" spans="1:14" x14ac:dyDescent="0.3">
      <c r="A251" s="77"/>
      <c r="B251" s="106"/>
      <c r="F251" s="124"/>
      <c r="G251" s="125"/>
      <c r="J251" s="125"/>
      <c r="L251" s="107"/>
      <c r="M251" s="108"/>
      <c r="N251" s="108"/>
    </row>
    <row r="252" spans="1:14" x14ac:dyDescent="0.3">
      <c r="A252" s="77"/>
      <c r="B252" s="106"/>
      <c r="F252" s="124"/>
      <c r="G252" s="125"/>
      <c r="J252" s="125"/>
      <c r="L252" s="107"/>
      <c r="M252" s="108"/>
      <c r="N252" s="108"/>
    </row>
    <row r="253" spans="1:14" x14ac:dyDescent="0.3">
      <c r="A253" s="77"/>
      <c r="B253" s="106"/>
      <c r="F253" s="124"/>
      <c r="G253" s="125"/>
      <c r="J253" s="125"/>
      <c r="L253" s="107"/>
      <c r="M253" s="108"/>
      <c r="N253" s="108"/>
    </row>
    <row r="254" spans="1:14" x14ac:dyDescent="0.3">
      <c r="A254" s="77"/>
      <c r="B254" s="106"/>
      <c r="F254" s="124"/>
      <c r="G254" s="125"/>
      <c r="J254" s="125"/>
      <c r="L254" s="107"/>
      <c r="M254" s="108"/>
      <c r="N254" s="108"/>
    </row>
    <row r="255" spans="1:14" x14ac:dyDescent="0.3">
      <c r="A255" s="77"/>
      <c r="B255" s="106"/>
      <c r="F255" s="124"/>
      <c r="G255" s="125"/>
      <c r="J255" s="125"/>
      <c r="L255" s="107"/>
      <c r="M255" s="108"/>
      <c r="N255" s="108"/>
    </row>
    <row r="256" spans="1:14" x14ac:dyDescent="0.3">
      <c r="A256" s="77"/>
      <c r="B256" s="106"/>
      <c r="F256" s="124"/>
      <c r="G256" s="125"/>
      <c r="J256" s="125"/>
      <c r="L256" s="107"/>
      <c r="M256" s="108"/>
      <c r="N256" s="108"/>
    </row>
    <row r="257" spans="1:14" x14ac:dyDescent="0.3">
      <c r="A257" s="77"/>
      <c r="B257" s="106"/>
      <c r="F257" s="124"/>
      <c r="G257" s="125"/>
      <c r="J257" s="125"/>
      <c r="L257" s="107"/>
      <c r="M257" s="108"/>
      <c r="N257" s="108"/>
    </row>
    <row r="258" spans="1:14" x14ac:dyDescent="0.3">
      <c r="A258" s="77"/>
      <c r="B258" s="106"/>
      <c r="F258" s="124"/>
      <c r="G258" s="125"/>
      <c r="J258" s="125"/>
      <c r="L258" s="107"/>
      <c r="M258" s="108"/>
      <c r="N258" s="108"/>
    </row>
    <row r="259" spans="1:14" x14ac:dyDescent="0.3">
      <c r="A259" s="77"/>
      <c r="B259" s="106"/>
      <c r="F259" s="124"/>
      <c r="G259" s="125"/>
      <c r="J259" s="125"/>
      <c r="L259" s="107"/>
      <c r="M259" s="108"/>
      <c r="N259" s="108"/>
    </row>
    <row r="260" spans="1:14" x14ac:dyDescent="0.3">
      <c r="A260" s="77"/>
      <c r="B260" s="106"/>
      <c r="F260" s="124"/>
      <c r="G260" s="125"/>
      <c r="J260" s="125"/>
      <c r="L260" s="107"/>
      <c r="M260" s="108"/>
      <c r="N260" s="108"/>
    </row>
    <row r="261" spans="1:14" x14ac:dyDescent="0.3">
      <c r="A261" s="77"/>
      <c r="B261" s="106"/>
      <c r="F261" s="124"/>
      <c r="G261" s="125"/>
      <c r="J261" s="125"/>
      <c r="L261" s="107"/>
      <c r="M261" s="108"/>
      <c r="N261" s="108"/>
    </row>
    <row r="262" spans="1:14" x14ac:dyDescent="0.3">
      <c r="A262" s="77"/>
      <c r="B262" s="106"/>
      <c r="F262" s="124"/>
      <c r="G262" s="125"/>
      <c r="J262" s="125"/>
      <c r="L262" s="107"/>
      <c r="M262" s="108"/>
      <c r="N262" s="108"/>
    </row>
    <row r="263" spans="1:14" x14ac:dyDescent="0.3">
      <c r="A263" s="77"/>
      <c r="B263" s="106"/>
      <c r="F263" s="124"/>
      <c r="G263" s="125"/>
      <c r="J263" s="125"/>
      <c r="L263" s="107"/>
      <c r="M263" s="108"/>
      <c r="N263" s="108"/>
    </row>
    <row r="264" spans="1:14" x14ac:dyDescent="0.3">
      <c r="A264" s="77"/>
      <c r="B264" s="106"/>
      <c r="F264" s="124"/>
      <c r="G264" s="125"/>
      <c r="J264" s="125"/>
      <c r="L264" s="107"/>
      <c r="M264" s="108"/>
      <c r="N264" s="108"/>
    </row>
    <row r="265" spans="1:14" x14ac:dyDescent="0.3">
      <c r="A265" s="77"/>
      <c r="B265" s="106"/>
      <c r="F265" s="124"/>
      <c r="G265" s="125"/>
      <c r="J265" s="125"/>
      <c r="L265" s="107"/>
      <c r="M265" s="108"/>
      <c r="N265" s="108"/>
    </row>
    <row r="266" spans="1:14" x14ac:dyDescent="0.3">
      <c r="A266" s="77"/>
      <c r="B266" s="106"/>
      <c r="F266" s="124"/>
      <c r="G266" s="125"/>
      <c r="J266" s="125"/>
      <c r="L266" s="107"/>
      <c r="M266" s="108"/>
      <c r="N266" s="108"/>
    </row>
    <row r="267" spans="1:14" x14ac:dyDescent="0.3">
      <c r="A267" s="77"/>
      <c r="B267" s="106"/>
      <c r="F267" s="124"/>
      <c r="G267" s="125"/>
      <c r="J267" s="125"/>
      <c r="L267" s="107"/>
      <c r="M267" s="108"/>
      <c r="N267" s="108"/>
    </row>
    <row r="268" spans="1:14" x14ac:dyDescent="0.3">
      <c r="A268" s="77"/>
      <c r="B268" s="106"/>
      <c r="F268" s="124"/>
      <c r="G268" s="125"/>
      <c r="J268" s="125"/>
      <c r="L268" s="107"/>
      <c r="M268" s="108"/>
      <c r="N268" s="108"/>
    </row>
    <row r="269" spans="1:14" x14ac:dyDescent="0.3">
      <c r="A269" s="77"/>
      <c r="B269" s="106"/>
      <c r="F269" s="124"/>
      <c r="G269" s="125"/>
      <c r="J269" s="125"/>
      <c r="L269" s="107"/>
      <c r="M269" s="108"/>
      <c r="N269" s="108"/>
    </row>
    <row r="270" spans="1:14" x14ac:dyDescent="0.3">
      <c r="A270" s="77"/>
      <c r="B270" s="106"/>
      <c r="F270" s="124"/>
      <c r="G270" s="125"/>
      <c r="J270" s="125"/>
      <c r="L270" s="107"/>
      <c r="M270" s="108"/>
      <c r="N270" s="108"/>
    </row>
    <row r="271" spans="1:14" x14ac:dyDescent="0.3">
      <c r="A271" s="77"/>
      <c r="B271" s="106"/>
      <c r="F271" s="124"/>
      <c r="G271" s="125"/>
      <c r="J271" s="125"/>
      <c r="L271" s="107"/>
      <c r="M271" s="108"/>
      <c r="N271" s="108"/>
    </row>
    <row r="272" spans="1:14" x14ac:dyDescent="0.3">
      <c r="A272" s="77"/>
      <c r="B272" s="106"/>
      <c r="F272" s="124"/>
      <c r="G272" s="125"/>
      <c r="J272" s="125"/>
      <c r="L272" s="107"/>
      <c r="M272" s="108"/>
      <c r="N272" s="108"/>
    </row>
    <row r="273" spans="1:14" x14ac:dyDescent="0.3">
      <c r="A273" s="77"/>
      <c r="B273" s="106"/>
      <c r="F273" s="124"/>
      <c r="G273" s="125"/>
      <c r="J273" s="125"/>
      <c r="L273" s="107"/>
      <c r="M273" s="108"/>
      <c r="N273" s="108"/>
    </row>
    <row r="274" spans="1:14" x14ac:dyDescent="0.3">
      <c r="A274" s="77"/>
      <c r="B274" s="106"/>
      <c r="F274" s="124"/>
      <c r="G274" s="125"/>
      <c r="J274" s="125"/>
      <c r="L274" s="107"/>
      <c r="M274" s="108"/>
      <c r="N274" s="108"/>
    </row>
    <row r="275" spans="1:14" x14ac:dyDescent="0.3">
      <c r="A275" s="77"/>
      <c r="B275" s="106"/>
      <c r="F275" s="124"/>
      <c r="G275" s="125"/>
      <c r="J275" s="125"/>
      <c r="L275" s="107"/>
      <c r="M275" s="108"/>
      <c r="N275" s="108"/>
    </row>
    <row r="276" spans="1:14" x14ac:dyDescent="0.3">
      <c r="A276" s="77"/>
      <c r="B276" s="106"/>
      <c r="F276" s="124"/>
      <c r="G276" s="125"/>
      <c r="J276" s="125"/>
      <c r="L276" s="107"/>
      <c r="M276" s="108"/>
      <c r="N276" s="108"/>
    </row>
    <row r="277" spans="1:14" x14ac:dyDescent="0.3">
      <c r="A277" s="77"/>
      <c r="B277" s="106"/>
      <c r="F277" s="124"/>
      <c r="G277" s="125"/>
      <c r="J277" s="125"/>
      <c r="L277" s="107"/>
      <c r="M277" s="108"/>
      <c r="N277" s="108"/>
    </row>
    <row r="278" spans="1:14" x14ac:dyDescent="0.3">
      <c r="A278" s="77"/>
      <c r="B278" s="106"/>
      <c r="F278" s="124"/>
      <c r="G278" s="125"/>
      <c r="J278" s="125"/>
      <c r="L278" s="107"/>
      <c r="M278" s="108"/>
      <c r="N278" s="108"/>
    </row>
    <row r="279" spans="1:14" x14ac:dyDescent="0.3">
      <c r="A279" s="77"/>
      <c r="B279" s="106"/>
      <c r="F279" s="124"/>
      <c r="G279" s="125"/>
      <c r="J279" s="125"/>
      <c r="L279" s="107"/>
      <c r="M279" s="108"/>
      <c r="N279" s="108"/>
    </row>
    <row r="280" spans="1:14" x14ac:dyDescent="0.3">
      <c r="A280" s="77"/>
      <c r="B280" s="106"/>
      <c r="F280" s="124"/>
      <c r="G280" s="125"/>
      <c r="J280" s="125"/>
      <c r="L280" s="107"/>
      <c r="M280" s="108"/>
      <c r="N280" s="108"/>
    </row>
    <row r="281" spans="1:14" x14ac:dyDescent="0.3">
      <c r="A281" s="77"/>
      <c r="B281" s="106"/>
      <c r="F281" s="124"/>
      <c r="G281" s="125"/>
      <c r="J281" s="125"/>
      <c r="L281" s="107"/>
      <c r="M281" s="108"/>
      <c r="N281" s="108"/>
    </row>
    <row r="282" spans="1:14" x14ac:dyDescent="0.3">
      <c r="A282" s="77"/>
      <c r="B282" s="106"/>
      <c r="F282" s="124"/>
      <c r="G282" s="125"/>
      <c r="J282" s="125"/>
      <c r="L282" s="107"/>
      <c r="M282" s="108"/>
      <c r="N282" s="108"/>
    </row>
    <row r="283" spans="1:14" x14ac:dyDescent="0.3">
      <c r="A283" s="77"/>
      <c r="B283" s="106"/>
      <c r="F283" s="124"/>
      <c r="G283" s="125"/>
      <c r="J283" s="125"/>
      <c r="L283" s="107"/>
      <c r="M283" s="108"/>
      <c r="N283" s="108"/>
    </row>
    <row r="284" spans="1:14" x14ac:dyDescent="0.3">
      <c r="A284" s="77"/>
      <c r="B284" s="106"/>
      <c r="F284" s="124"/>
      <c r="G284" s="125"/>
      <c r="J284" s="125"/>
      <c r="L284" s="107"/>
      <c r="M284" s="108"/>
      <c r="N284" s="108"/>
    </row>
    <row r="285" spans="1:14" x14ac:dyDescent="0.3">
      <c r="A285" s="77"/>
      <c r="B285" s="106"/>
      <c r="F285" s="124"/>
      <c r="G285" s="125"/>
      <c r="J285" s="125"/>
      <c r="L285" s="107"/>
      <c r="M285" s="108"/>
      <c r="N285" s="108"/>
    </row>
    <row r="286" spans="1:14" x14ac:dyDescent="0.3">
      <c r="A286" s="77"/>
      <c r="B286" s="106"/>
      <c r="F286" s="124"/>
      <c r="G286" s="125"/>
      <c r="J286" s="125"/>
      <c r="L286" s="107"/>
      <c r="M286" s="108"/>
      <c r="N286" s="108"/>
    </row>
    <row r="287" spans="1:14" x14ac:dyDescent="0.3">
      <c r="A287" s="77"/>
      <c r="B287" s="106"/>
      <c r="F287" s="124"/>
      <c r="G287" s="125"/>
      <c r="J287" s="125"/>
      <c r="L287" s="107"/>
      <c r="M287" s="108"/>
      <c r="N287" s="108"/>
    </row>
    <row r="288" spans="1:14" x14ac:dyDescent="0.3">
      <c r="A288" s="77"/>
      <c r="B288" s="106"/>
      <c r="F288" s="124"/>
      <c r="G288" s="125"/>
      <c r="J288" s="125"/>
      <c r="L288" s="107"/>
      <c r="M288" s="108"/>
      <c r="N288" s="108"/>
    </row>
    <row r="289" spans="1:14" x14ac:dyDescent="0.3">
      <c r="A289" s="77"/>
      <c r="B289" s="106"/>
      <c r="F289" s="124"/>
      <c r="G289" s="125"/>
      <c r="J289" s="125"/>
      <c r="L289" s="107"/>
      <c r="M289" s="108"/>
      <c r="N289" s="108"/>
    </row>
    <row r="290" spans="1:14" x14ac:dyDescent="0.3">
      <c r="A290" s="77"/>
      <c r="B290" s="106"/>
      <c r="F290" s="124"/>
      <c r="G290" s="125"/>
      <c r="J290" s="125"/>
      <c r="L290" s="107"/>
      <c r="M290" s="108"/>
      <c r="N290" s="108"/>
    </row>
    <row r="291" spans="1:14" x14ac:dyDescent="0.3">
      <c r="A291" s="77"/>
      <c r="B291" s="106"/>
      <c r="F291" s="124"/>
      <c r="G291" s="125"/>
      <c r="J291" s="125"/>
      <c r="L291" s="107"/>
      <c r="M291" s="108"/>
      <c r="N291" s="108"/>
    </row>
    <row r="292" spans="1:14" x14ac:dyDescent="0.3">
      <c r="A292" s="77"/>
      <c r="B292" s="106"/>
      <c r="F292" s="124"/>
      <c r="G292" s="125"/>
      <c r="J292" s="125"/>
      <c r="L292" s="107"/>
      <c r="M292" s="108"/>
      <c r="N292" s="108"/>
    </row>
    <row r="293" spans="1:14" x14ac:dyDescent="0.3">
      <c r="A293" s="77"/>
      <c r="B293" s="106"/>
      <c r="F293" s="124"/>
      <c r="G293" s="125"/>
      <c r="J293" s="125"/>
      <c r="L293" s="107"/>
      <c r="M293" s="108"/>
      <c r="N293" s="108"/>
    </row>
    <row r="294" spans="1:14" x14ac:dyDescent="0.3">
      <c r="A294" s="77"/>
      <c r="B294" s="106"/>
      <c r="F294" s="124"/>
      <c r="G294" s="125"/>
      <c r="J294" s="125"/>
      <c r="L294" s="107"/>
      <c r="M294" s="108"/>
      <c r="N294" s="108"/>
    </row>
    <row r="295" spans="1:14" x14ac:dyDescent="0.3">
      <c r="A295" s="77"/>
      <c r="B295" s="106"/>
      <c r="F295" s="124"/>
      <c r="G295" s="125"/>
      <c r="J295" s="125"/>
      <c r="L295" s="107"/>
      <c r="M295" s="108"/>
      <c r="N295" s="108"/>
    </row>
    <row r="296" spans="1:14" x14ac:dyDescent="0.3">
      <c r="A296" s="77"/>
      <c r="B296" s="106"/>
      <c r="F296" s="124"/>
      <c r="G296" s="125"/>
      <c r="J296" s="125"/>
      <c r="L296" s="107"/>
      <c r="M296" s="108"/>
      <c r="N296" s="108"/>
    </row>
    <row r="297" spans="1:14" x14ac:dyDescent="0.3">
      <c r="A297" s="77"/>
      <c r="B297" s="106"/>
      <c r="F297" s="124"/>
      <c r="G297" s="125"/>
      <c r="J297" s="125"/>
      <c r="L297" s="107"/>
      <c r="M297" s="108"/>
      <c r="N297" s="108"/>
    </row>
    <row r="298" spans="1:14" x14ac:dyDescent="0.3">
      <c r="A298" s="77"/>
      <c r="B298" s="106"/>
      <c r="F298" s="124"/>
      <c r="G298" s="125"/>
      <c r="J298" s="125"/>
      <c r="L298" s="107"/>
      <c r="M298" s="108"/>
      <c r="N298" s="108"/>
    </row>
    <row r="299" spans="1:14" x14ac:dyDescent="0.3">
      <c r="A299" s="77"/>
      <c r="B299" s="106"/>
      <c r="F299" s="124"/>
      <c r="G299" s="125"/>
      <c r="J299" s="125"/>
      <c r="L299" s="107"/>
      <c r="M299" s="108"/>
      <c r="N299" s="108"/>
    </row>
    <row r="300" spans="1:14" x14ac:dyDescent="0.3">
      <c r="A300" s="77"/>
      <c r="B300" s="106"/>
      <c r="F300" s="124"/>
      <c r="G300" s="125"/>
      <c r="J300" s="125"/>
      <c r="L300" s="107"/>
      <c r="M300" s="108"/>
      <c r="N300" s="108"/>
    </row>
    <row r="301" spans="1:14" x14ac:dyDescent="0.3">
      <c r="A301" s="77"/>
      <c r="B301" s="106"/>
      <c r="F301" s="124"/>
      <c r="G301" s="125"/>
      <c r="J301" s="125"/>
      <c r="L301" s="107"/>
      <c r="M301" s="108"/>
      <c r="N301" s="108"/>
    </row>
    <row r="302" spans="1:14" x14ac:dyDescent="0.3">
      <c r="A302" s="77"/>
      <c r="B302" s="106"/>
      <c r="F302" s="124"/>
      <c r="G302" s="125"/>
      <c r="J302" s="125"/>
      <c r="L302" s="107"/>
      <c r="M302" s="108"/>
      <c r="N302" s="108"/>
    </row>
    <row r="303" spans="1:14" x14ac:dyDescent="0.3">
      <c r="A303" s="77"/>
      <c r="B303" s="106"/>
      <c r="F303" s="124"/>
      <c r="G303" s="125"/>
      <c r="J303" s="125"/>
      <c r="L303" s="107"/>
      <c r="M303" s="108"/>
      <c r="N303" s="108"/>
    </row>
    <row r="304" spans="1:14" x14ac:dyDescent="0.3">
      <c r="A304" s="77"/>
      <c r="B304" s="106"/>
      <c r="F304" s="124"/>
      <c r="G304" s="125"/>
      <c r="J304" s="125"/>
      <c r="L304" s="107"/>
      <c r="M304" s="108"/>
      <c r="N304" s="108"/>
    </row>
    <row r="305" spans="1:14" x14ac:dyDescent="0.3">
      <c r="A305" s="77"/>
      <c r="B305" s="106"/>
      <c r="F305" s="124"/>
      <c r="G305" s="125"/>
      <c r="J305" s="125"/>
      <c r="L305" s="107"/>
      <c r="M305" s="108"/>
      <c r="N305" s="108"/>
    </row>
    <row r="306" spans="1:14" x14ac:dyDescent="0.3">
      <c r="A306" s="77"/>
      <c r="B306" s="106"/>
      <c r="F306" s="124"/>
      <c r="G306" s="125"/>
      <c r="J306" s="125"/>
      <c r="L306" s="107"/>
      <c r="M306" s="108"/>
      <c r="N306" s="108"/>
    </row>
    <row r="307" spans="1:14" x14ac:dyDescent="0.3">
      <c r="A307" s="77"/>
      <c r="B307" s="106"/>
      <c r="F307" s="124"/>
      <c r="G307" s="125"/>
      <c r="J307" s="125"/>
      <c r="L307" s="107"/>
      <c r="M307" s="108"/>
      <c r="N307" s="108"/>
    </row>
    <row r="308" spans="1:14" x14ac:dyDescent="0.3">
      <c r="A308" s="77"/>
      <c r="B308" s="106"/>
      <c r="F308" s="124"/>
      <c r="G308" s="125"/>
      <c r="J308" s="125"/>
      <c r="L308" s="107"/>
      <c r="M308" s="108"/>
      <c r="N308" s="108"/>
    </row>
    <row r="309" spans="1:14" x14ac:dyDescent="0.3">
      <c r="A309" s="77"/>
      <c r="B309" s="106"/>
      <c r="F309" s="124"/>
      <c r="G309" s="125"/>
      <c r="J309" s="125"/>
      <c r="L309" s="107"/>
      <c r="M309" s="108"/>
      <c r="N309" s="108"/>
    </row>
    <row r="310" spans="1:14" x14ac:dyDescent="0.3">
      <c r="A310" s="77"/>
      <c r="B310" s="106"/>
      <c r="F310" s="124"/>
      <c r="G310" s="125"/>
      <c r="J310" s="125"/>
      <c r="L310" s="107"/>
      <c r="M310" s="108"/>
      <c r="N310" s="108"/>
    </row>
    <row r="311" spans="1:14" x14ac:dyDescent="0.3">
      <c r="A311" s="77"/>
      <c r="B311" s="106"/>
      <c r="F311" s="124"/>
      <c r="G311" s="125"/>
      <c r="J311" s="125"/>
      <c r="L311" s="107"/>
      <c r="M311" s="108"/>
      <c r="N311" s="108"/>
    </row>
    <row r="312" spans="1:14" x14ac:dyDescent="0.3">
      <c r="A312" s="77"/>
      <c r="B312" s="106"/>
      <c r="F312" s="124"/>
      <c r="G312" s="125"/>
      <c r="J312" s="125"/>
      <c r="L312" s="107"/>
      <c r="M312" s="108"/>
      <c r="N312" s="108"/>
    </row>
    <row r="313" spans="1:14" x14ac:dyDescent="0.3">
      <c r="A313" s="77"/>
      <c r="B313" s="106"/>
      <c r="F313" s="124"/>
      <c r="G313" s="125"/>
      <c r="J313" s="125"/>
      <c r="L313" s="107"/>
      <c r="M313" s="108"/>
      <c r="N313" s="108"/>
    </row>
    <row r="314" spans="1:14" x14ac:dyDescent="0.3">
      <c r="A314" s="77"/>
      <c r="B314" s="106"/>
      <c r="F314" s="124"/>
      <c r="G314" s="125"/>
      <c r="J314" s="125"/>
      <c r="L314" s="107"/>
      <c r="M314" s="108"/>
      <c r="N314" s="108"/>
    </row>
    <row r="315" spans="1:14" x14ac:dyDescent="0.3">
      <c r="A315" s="77"/>
      <c r="B315" s="106"/>
      <c r="F315" s="124"/>
      <c r="G315" s="125"/>
      <c r="J315" s="125"/>
      <c r="L315" s="107"/>
      <c r="M315" s="108"/>
      <c r="N315" s="108"/>
    </row>
    <row r="316" spans="1:14" x14ac:dyDescent="0.3">
      <c r="A316" s="77"/>
      <c r="B316" s="106"/>
      <c r="F316" s="124"/>
      <c r="G316" s="125"/>
      <c r="J316" s="125"/>
      <c r="L316" s="107"/>
      <c r="M316" s="108"/>
      <c r="N316" s="108"/>
    </row>
    <row r="317" spans="1:14" x14ac:dyDescent="0.3">
      <c r="A317" s="77"/>
      <c r="B317" s="106"/>
      <c r="F317" s="124"/>
      <c r="G317" s="125"/>
      <c r="J317" s="125"/>
      <c r="L317" s="107"/>
      <c r="M317" s="108"/>
      <c r="N317" s="108"/>
    </row>
    <row r="318" spans="1:14" x14ac:dyDescent="0.3">
      <c r="A318" s="77"/>
      <c r="B318" s="106"/>
      <c r="F318" s="124"/>
      <c r="G318" s="125"/>
      <c r="J318" s="125"/>
      <c r="L318" s="107"/>
      <c r="M318" s="108"/>
      <c r="N318" s="108"/>
    </row>
    <row r="319" spans="1:14" x14ac:dyDescent="0.3">
      <c r="A319" s="77"/>
      <c r="B319" s="106"/>
      <c r="F319" s="124"/>
      <c r="G319" s="125"/>
      <c r="J319" s="125"/>
      <c r="L319" s="107"/>
      <c r="M319" s="108"/>
      <c r="N319" s="108"/>
    </row>
    <row r="320" spans="1:14" x14ac:dyDescent="0.3">
      <c r="A320" s="77"/>
      <c r="B320" s="106"/>
      <c r="F320" s="124"/>
      <c r="G320" s="125"/>
      <c r="J320" s="125"/>
      <c r="L320" s="107"/>
      <c r="M320" s="108"/>
      <c r="N320" s="108"/>
    </row>
    <row r="321" spans="1:14" x14ac:dyDescent="0.3">
      <c r="A321" s="77"/>
      <c r="B321" s="106"/>
      <c r="F321" s="124"/>
      <c r="G321" s="125"/>
      <c r="J321" s="125"/>
      <c r="L321" s="107"/>
      <c r="M321" s="108"/>
      <c r="N321" s="108"/>
    </row>
    <row r="322" spans="1:14" x14ac:dyDescent="0.3">
      <c r="A322" s="77"/>
      <c r="B322" s="106"/>
      <c r="F322" s="124"/>
      <c r="G322" s="125"/>
      <c r="J322" s="125"/>
      <c r="L322" s="107"/>
      <c r="M322" s="108"/>
      <c r="N322" s="108"/>
    </row>
    <row r="323" spans="1:14" x14ac:dyDescent="0.3">
      <c r="A323" s="77"/>
      <c r="B323" s="106"/>
      <c r="F323" s="124"/>
      <c r="G323" s="125"/>
      <c r="J323" s="125"/>
      <c r="L323" s="107"/>
      <c r="M323" s="108"/>
      <c r="N323" s="108"/>
    </row>
    <row r="324" spans="1:14" x14ac:dyDescent="0.3">
      <c r="A324" s="77"/>
      <c r="B324" s="106"/>
      <c r="F324" s="124"/>
      <c r="G324" s="125"/>
      <c r="J324" s="125"/>
      <c r="L324" s="107"/>
      <c r="M324" s="108"/>
      <c r="N324" s="108"/>
    </row>
    <row r="325" spans="1:14" x14ac:dyDescent="0.3">
      <c r="A325" s="77"/>
      <c r="B325" s="106"/>
      <c r="F325" s="124"/>
      <c r="G325" s="125"/>
      <c r="J325" s="125"/>
      <c r="L325" s="107"/>
      <c r="M325" s="108"/>
      <c r="N325" s="108"/>
    </row>
    <row r="326" spans="1:14" x14ac:dyDescent="0.3">
      <c r="A326" s="77"/>
      <c r="B326" s="106"/>
      <c r="F326" s="124"/>
      <c r="G326" s="125"/>
      <c r="J326" s="125"/>
      <c r="L326" s="107"/>
      <c r="M326" s="108"/>
      <c r="N326" s="108"/>
    </row>
    <row r="327" spans="1:14" x14ac:dyDescent="0.3">
      <c r="A327" s="77"/>
      <c r="B327" s="106"/>
      <c r="F327" s="124"/>
      <c r="G327" s="125"/>
      <c r="J327" s="125"/>
      <c r="L327" s="107"/>
      <c r="M327" s="108"/>
      <c r="N327" s="108"/>
    </row>
    <row r="328" spans="1:14" x14ac:dyDescent="0.3">
      <c r="A328" s="77"/>
      <c r="B328" s="106"/>
      <c r="F328" s="124"/>
      <c r="G328" s="125"/>
      <c r="J328" s="125"/>
      <c r="L328" s="107"/>
      <c r="M328" s="108"/>
      <c r="N328" s="108"/>
    </row>
    <row r="329" spans="1:14" x14ac:dyDescent="0.3">
      <c r="A329" s="77"/>
      <c r="B329" s="106"/>
      <c r="F329" s="124"/>
      <c r="G329" s="125"/>
      <c r="J329" s="125"/>
      <c r="L329" s="107"/>
      <c r="M329" s="108"/>
      <c r="N329" s="108"/>
    </row>
    <row r="330" spans="1:14" x14ac:dyDescent="0.3">
      <c r="A330" s="77"/>
      <c r="B330" s="106"/>
      <c r="F330" s="124"/>
      <c r="G330" s="125"/>
      <c r="J330" s="125"/>
      <c r="L330" s="107"/>
      <c r="M330" s="108"/>
      <c r="N330" s="108"/>
    </row>
    <row r="331" spans="1:14" x14ac:dyDescent="0.3">
      <c r="A331" s="77"/>
      <c r="B331" s="106"/>
      <c r="F331" s="124"/>
      <c r="G331" s="125"/>
      <c r="J331" s="125"/>
      <c r="L331" s="107"/>
      <c r="M331" s="108"/>
      <c r="N331" s="108"/>
    </row>
    <row r="332" spans="1:14" x14ac:dyDescent="0.3">
      <c r="A332" s="77"/>
      <c r="B332" s="106"/>
      <c r="F332" s="124"/>
      <c r="G332" s="125"/>
      <c r="J332" s="125"/>
      <c r="L332" s="107"/>
      <c r="M332" s="108"/>
      <c r="N332" s="108"/>
    </row>
    <row r="333" spans="1:14" x14ac:dyDescent="0.3">
      <c r="A333" s="77"/>
      <c r="B333" s="106"/>
      <c r="F333" s="124"/>
      <c r="G333" s="125"/>
      <c r="J333" s="125"/>
      <c r="L333" s="107"/>
      <c r="M333" s="108"/>
      <c r="N333" s="108"/>
    </row>
    <row r="334" spans="1:14" x14ac:dyDescent="0.3">
      <c r="A334" s="77"/>
      <c r="B334" s="106"/>
      <c r="F334" s="124"/>
      <c r="G334" s="125"/>
      <c r="J334" s="125"/>
      <c r="L334" s="107"/>
      <c r="M334" s="108"/>
      <c r="N334" s="108"/>
    </row>
    <row r="335" spans="1:14" x14ac:dyDescent="0.3">
      <c r="A335" s="77"/>
      <c r="B335" s="106"/>
      <c r="F335" s="124"/>
      <c r="G335" s="125"/>
      <c r="J335" s="125"/>
      <c r="L335" s="107"/>
      <c r="M335" s="108"/>
      <c r="N335" s="108"/>
    </row>
    <row r="336" spans="1:14" x14ac:dyDescent="0.3">
      <c r="A336" s="77"/>
      <c r="B336" s="106"/>
      <c r="F336" s="124"/>
      <c r="G336" s="125"/>
      <c r="J336" s="125"/>
      <c r="L336" s="107"/>
      <c r="M336" s="108"/>
      <c r="N336" s="108"/>
    </row>
    <row r="337" spans="1:14" x14ac:dyDescent="0.3">
      <c r="A337" s="77"/>
      <c r="B337" s="106"/>
      <c r="F337" s="124"/>
      <c r="G337" s="125"/>
      <c r="J337" s="125"/>
      <c r="L337" s="107"/>
      <c r="M337" s="108"/>
      <c r="N337" s="108"/>
    </row>
    <row r="338" spans="1:14" x14ac:dyDescent="0.3">
      <c r="A338" s="77"/>
      <c r="B338" s="106"/>
      <c r="F338" s="124"/>
      <c r="G338" s="125"/>
      <c r="J338" s="125"/>
      <c r="L338" s="107"/>
      <c r="M338" s="108"/>
      <c r="N338" s="108"/>
    </row>
    <row r="339" spans="1:14" x14ac:dyDescent="0.3">
      <c r="A339" s="77"/>
      <c r="B339" s="106"/>
      <c r="F339" s="124"/>
      <c r="G339" s="125"/>
      <c r="J339" s="125"/>
      <c r="L339" s="107"/>
      <c r="M339" s="108"/>
      <c r="N339" s="108"/>
    </row>
    <row r="340" spans="1:14" x14ac:dyDescent="0.3">
      <c r="A340" s="77"/>
      <c r="B340" s="106"/>
      <c r="F340" s="124"/>
      <c r="G340" s="125"/>
      <c r="J340" s="125"/>
      <c r="L340" s="107"/>
      <c r="M340" s="108"/>
      <c r="N340" s="108"/>
    </row>
    <row r="341" spans="1:14" x14ac:dyDescent="0.3">
      <c r="A341" s="77"/>
      <c r="B341" s="106"/>
      <c r="F341" s="124"/>
      <c r="G341" s="125"/>
      <c r="J341" s="125"/>
      <c r="L341" s="107"/>
      <c r="M341" s="108"/>
      <c r="N341" s="108"/>
    </row>
    <row r="342" spans="1:14" x14ac:dyDescent="0.3">
      <c r="A342" s="77"/>
      <c r="B342" s="106"/>
      <c r="F342" s="124"/>
      <c r="G342" s="125"/>
      <c r="J342" s="125"/>
      <c r="L342" s="107"/>
      <c r="M342" s="108"/>
      <c r="N342" s="108"/>
    </row>
    <row r="343" spans="1:14" x14ac:dyDescent="0.3">
      <c r="A343" s="77"/>
      <c r="B343" s="106"/>
      <c r="F343" s="124"/>
      <c r="G343" s="125"/>
      <c r="J343" s="125"/>
      <c r="L343" s="107"/>
      <c r="M343" s="108"/>
      <c r="N343" s="108"/>
    </row>
    <row r="344" spans="1:14" x14ac:dyDescent="0.3">
      <c r="A344" s="77"/>
      <c r="B344" s="106"/>
      <c r="F344" s="124"/>
      <c r="G344" s="125"/>
      <c r="J344" s="125"/>
      <c r="L344" s="107"/>
      <c r="M344" s="108"/>
      <c r="N344" s="108"/>
    </row>
    <row r="345" spans="1:14" x14ac:dyDescent="0.3">
      <c r="A345" s="77"/>
      <c r="B345" s="106"/>
      <c r="F345" s="124"/>
      <c r="G345" s="125"/>
      <c r="J345" s="125"/>
      <c r="L345" s="107"/>
      <c r="M345" s="108"/>
      <c r="N345" s="108"/>
    </row>
    <row r="346" spans="1:14" x14ac:dyDescent="0.3">
      <c r="A346" s="77"/>
      <c r="B346" s="106"/>
      <c r="F346" s="124"/>
      <c r="G346" s="125"/>
      <c r="J346" s="125"/>
      <c r="L346" s="107"/>
      <c r="M346" s="108"/>
      <c r="N346" s="108"/>
    </row>
    <row r="347" spans="1:14" x14ac:dyDescent="0.3">
      <c r="A347" s="77"/>
      <c r="B347" s="106"/>
      <c r="F347" s="124"/>
      <c r="G347" s="125"/>
      <c r="J347" s="125"/>
      <c r="L347" s="107"/>
      <c r="M347" s="108"/>
      <c r="N347" s="108"/>
    </row>
    <row r="348" spans="1:14" x14ac:dyDescent="0.3">
      <c r="A348" s="77"/>
      <c r="B348" s="106"/>
      <c r="F348" s="124"/>
      <c r="G348" s="125"/>
      <c r="J348" s="125"/>
      <c r="L348" s="107"/>
      <c r="M348" s="108"/>
      <c r="N348" s="108"/>
    </row>
    <row r="349" spans="1:14" x14ac:dyDescent="0.3">
      <c r="A349" s="77"/>
      <c r="B349" s="106"/>
      <c r="F349" s="124"/>
      <c r="G349" s="125"/>
      <c r="J349" s="125"/>
      <c r="L349" s="107"/>
      <c r="M349" s="108"/>
      <c r="N349" s="108"/>
    </row>
    <row r="350" spans="1:14" x14ac:dyDescent="0.3">
      <c r="A350" s="77"/>
      <c r="B350" s="106"/>
      <c r="F350" s="124"/>
      <c r="G350" s="125"/>
      <c r="J350" s="125"/>
      <c r="L350" s="107"/>
      <c r="M350" s="108"/>
      <c r="N350" s="108"/>
    </row>
    <row r="351" spans="1:14" x14ac:dyDescent="0.3">
      <c r="A351" s="77"/>
      <c r="B351" s="106"/>
      <c r="F351" s="124"/>
      <c r="G351" s="125"/>
      <c r="J351" s="125"/>
      <c r="L351" s="107"/>
      <c r="M351" s="108"/>
      <c r="N351" s="108"/>
    </row>
    <row r="352" spans="1:14" x14ac:dyDescent="0.3">
      <c r="A352" s="77"/>
      <c r="B352" s="106"/>
      <c r="F352" s="124"/>
      <c r="G352" s="125"/>
      <c r="J352" s="125"/>
      <c r="L352" s="107"/>
      <c r="M352" s="108"/>
      <c r="N352" s="108"/>
    </row>
    <row r="353" spans="1:14" x14ac:dyDescent="0.3">
      <c r="A353" s="77"/>
      <c r="B353" s="106"/>
      <c r="F353" s="124"/>
      <c r="G353" s="125"/>
      <c r="J353" s="125"/>
      <c r="L353" s="107"/>
      <c r="M353" s="108"/>
      <c r="N353" s="108"/>
    </row>
    <row r="354" spans="1:14" x14ac:dyDescent="0.3">
      <c r="A354" s="77"/>
      <c r="B354" s="106"/>
      <c r="F354" s="124"/>
      <c r="G354" s="125"/>
      <c r="J354" s="125"/>
      <c r="L354" s="107"/>
      <c r="M354" s="108"/>
      <c r="N354" s="108"/>
    </row>
    <row r="355" spans="1:14" x14ac:dyDescent="0.3">
      <c r="A355" s="77"/>
      <c r="B355" s="106"/>
      <c r="F355" s="124"/>
      <c r="G355" s="125"/>
      <c r="J355" s="125"/>
      <c r="L355" s="107"/>
      <c r="M355" s="108"/>
      <c r="N355" s="108"/>
    </row>
    <row r="356" spans="1:14" x14ac:dyDescent="0.3">
      <c r="A356" s="77"/>
      <c r="B356" s="106"/>
      <c r="F356" s="124"/>
      <c r="G356" s="125"/>
      <c r="J356" s="125"/>
      <c r="L356" s="107"/>
      <c r="M356" s="108"/>
      <c r="N356" s="108"/>
    </row>
    <row r="357" spans="1:14" x14ac:dyDescent="0.3">
      <c r="A357" s="77"/>
      <c r="B357" s="106"/>
      <c r="F357" s="124"/>
      <c r="G357" s="125"/>
      <c r="J357" s="125"/>
      <c r="L357" s="107"/>
      <c r="M357" s="108"/>
      <c r="N357" s="108"/>
    </row>
    <row r="358" spans="1:14" x14ac:dyDescent="0.3">
      <c r="A358" s="77"/>
      <c r="B358" s="106"/>
      <c r="F358" s="124"/>
      <c r="G358" s="125"/>
      <c r="J358" s="125"/>
      <c r="L358" s="107"/>
      <c r="M358" s="108"/>
      <c r="N358" s="108"/>
    </row>
    <row r="359" spans="1:14" x14ac:dyDescent="0.3">
      <c r="A359" s="77"/>
      <c r="B359" s="106"/>
      <c r="F359" s="124"/>
      <c r="G359" s="125"/>
      <c r="J359" s="125"/>
      <c r="L359" s="107"/>
      <c r="M359" s="108"/>
      <c r="N359" s="108"/>
    </row>
    <row r="360" spans="1:14" x14ac:dyDescent="0.3">
      <c r="A360" s="77"/>
      <c r="B360" s="106"/>
      <c r="F360" s="124"/>
      <c r="G360" s="125"/>
      <c r="J360" s="125"/>
      <c r="L360" s="107"/>
      <c r="M360" s="108"/>
      <c r="N360" s="108"/>
    </row>
    <row r="361" spans="1:14" x14ac:dyDescent="0.3">
      <c r="A361" s="77"/>
      <c r="B361" s="106"/>
      <c r="F361" s="124"/>
      <c r="G361" s="125"/>
      <c r="J361" s="125"/>
      <c r="L361" s="107"/>
      <c r="M361" s="108"/>
      <c r="N361" s="108"/>
    </row>
    <row r="362" spans="1:14" x14ac:dyDescent="0.3">
      <c r="A362" s="77"/>
      <c r="B362" s="106"/>
      <c r="F362" s="124"/>
      <c r="G362" s="125"/>
      <c r="J362" s="125"/>
      <c r="L362" s="107"/>
      <c r="M362" s="108"/>
      <c r="N362" s="108"/>
    </row>
    <row r="363" spans="1:14" x14ac:dyDescent="0.3">
      <c r="A363" s="77"/>
      <c r="B363" s="106"/>
      <c r="F363" s="124"/>
      <c r="G363" s="125"/>
      <c r="J363" s="125"/>
      <c r="L363" s="107"/>
      <c r="M363" s="108"/>
      <c r="N363" s="108"/>
    </row>
    <row r="364" spans="1:14" x14ac:dyDescent="0.3">
      <c r="A364" s="77"/>
      <c r="B364" s="106"/>
      <c r="F364" s="124"/>
      <c r="G364" s="125"/>
      <c r="J364" s="125"/>
      <c r="L364" s="107"/>
      <c r="M364" s="108"/>
      <c r="N364" s="108"/>
    </row>
    <row r="365" spans="1:14" x14ac:dyDescent="0.3">
      <c r="A365" s="77"/>
      <c r="B365" s="106"/>
      <c r="F365" s="124"/>
      <c r="G365" s="125"/>
      <c r="J365" s="125"/>
      <c r="L365" s="107"/>
      <c r="M365" s="108"/>
      <c r="N365" s="108"/>
    </row>
    <row r="366" spans="1:14" x14ac:dyDescent="0.3">
      <c r="A366" s="77"/>
      <c r="B366" s="106"/>
      <c r="F366" s="124"/>
      <c r="G366" s="125"/>
      <c r="J366" s="125"/>
      <c r="L366" s="107"/>
      <c r="M366" s="108"/>
      <c r="N366" s="108"/>
    </row>
    <row r="367" spans="1:14" x14ac:dyDescent="0.3">
      <c r="A367" s="77"/>
      <c r="B367" s="106"/>
      <c r="F367" s="124"/>
      <c r="G367" s="125"/>
      <c r="J367" s="125"/>
      <c r="L367" s="107"/>
      <c r="M367" s="108"/>
      <c r="N367" s="108"/>
    </row>
    <row r="368" spans="1:14" x14ac:dyDescent="0.3">
      <c r="A368" s="77"/>
      <c r="B368" s="106"/>
      <c r="F368" s="124"/>
      <c r="G368" s="125"/>
      <c r="J368" s="125"/>
      <c r="L368" s="107"/>
      <c r="M368" s="108"/>
      <c r="N368" s="108"/>
    </row>
    <row r="369" spans="1:14" x14ac:dyDescent="0.3">
      <c r="A369" s="77"/>
      <c r="B369" s="106"/>
      <c r="F369" s="124"/>
      <c r="G369" s="125"/>
      <c r="J369" s="125"/>
      <c r="L369" s="107"/>
      <c r="M369" s="108"/>
      <c r="N369" s="108"/>
    </row>
    <row r="370" spans="1:14" x14ac:dyDescent="0.3">
      <c r="A370" s="77"/>
      <c r="B370" s="106"/>
      <c r="F370" s="124"/>
      <c r="G370" s="125"/>
      <c r="J370" s="125"/>
      <c r="L370" s="107"/>
      <c r="M370" s="108"/>
      <c r="N370" s="108"/>
    </row>
    <row r="371" spans="1:14" x14ac:dyDescent="0.3">
      <c r="A371" s="77"/>
      <c r="B371" s="106"/>
      <c r="F371" s="124"/>
      <c r="G371" s="125"/>
      <c r="J371" s="125"/>
      <c r="L371" s="107"/>
      <c r="M371" s="108"/>
      <c r="N371" s="108"/>
    </row>
    <row r="372" spans="1:14" x14ac:dyDescent="0.3">
      <c r="A372" s="77"/>
      <c r="B372" s="106"/>
      <c r="F372" s="124"/>
      <c r="G372" s="125"/>
      <c r="J372" s="125"/>
      <c r="L372" s="107"/>
      <c r="M372" s="108"/>
      <c r="N372" s="108"/>
    </row>
    <row r="373" spans="1:14" x14ac:dyDescent="0.3">
      <c r="A373" s="77"/>
      <c r="B373" s="106"/>
      <c r="F373" s="124"/>
      <c r="G373" s="125"/>
      <c r="J373" s="125"/>
      <c r="L373" s="107"/>
      <c r="M373" s="108"/>
      <c r="N373" s="108"/>
    </row>
    <row r="374" spans="1:14" x14ac:dyDescent="0.3">
      <c r="A374" s="77"/>
      <c r="B374" s="106"/>
      <c r="F374" s="124"/>
      <c r="G374" s="125"/>
      <c r="J374" s="125"/>
      <c r="L374" s="107"/>
      <c r="M374" s="108"/>
      <c r="N374" s="108"/>
    </row>
    <row r="375" spans="1:14" x14ac:dyDescent="0.3">
      <c r="A375" s="77"/>
      <c r="B375" s="106"/>
      <c r="F375" s="124"/>
      <c r="G375" s="125"/>
      <c r="J375" s="125"/>
      <c r="L375" s="107"/>
      <c r="M375" s="108"/>
      <c r="N375" s="108"/>
    </row>
    <row r="376" spans="1:14" x14ac:dyDescent="0.3">
      <c r="A376" s="77"/>
      <c r="B376" s="106"/>
      <c r="F376" s="124"/>
      <c r="G376" s="125"/>
      <c r="J376" s="125"/>
      <c r="L376" s="107"/>
      <c r="M376" s="108"/>
      <c r="N376" s="108"/>
    </row>
    <row r="377" spans="1:14" x14ac:dyDescent="0.3">
      <c r="A377" s="77"/>
      <c r="B377" s="106"/>
      <c r="F377" s="124"/>
      <c r="G377" s="125"/>
      <c r="J377" s="125"/>
      <c r="L377" s="107"/>
      <c r="M377" s="108"/>
      <c r="N377" s="108"/>
    </row>
    <row r="378" spans="1:14" x14ac:dyDescent="0.3">
      <c r="A378" s="77"/>
      <c r="B378" s="106"/>
      <c r="F378" s="124"/>
      <c r="G378" s="125"/>
      <c r="J378" s="125"/>
      <c r="L378" s="107"/>
      <c r="M378" s="108"/>
      <c r="N378" s="108"/>
    </row>
    <row r="379" spans="1:14" x14ac:dyDescent="0.3">
      <c r="A379" s="77"/>
      <c r="B379" s="106"/>
      <c r="F379" s="124"/>
      <c r="G379" s="125"/>
      <c r="J379" s="125"/>
      <c r="L379" s="107"/>
      <c r="M379" s="108"/>
      <c r="N379" s="108"/>
    </row>
    <row r="380" spans="1:14" x14ac:dyDescent="0.3">
      <c r="A380" s="77"/>
      <c r="B380" s="106"/>
      <c r="F380" s="124"/>
      <c r="G380" s="125"/>
      <c r="J380" s="125"/>
      <c r="L380" s="107"/>
      <c r="M380" s="108"/>
      <c r="N380" s="108"/>
    </row>
    <row r="381" spans="1:14" x14ac:dyDescent="0.3">
      <c r="A381" s="77"/>
      <c r="B381" s="106"/>
      <c r="F381" s="124"/>
      <c r="G381" s="125"/>
      <c r="J381" s="125"/>
      <c r="L381" s="107"/>
      <c r="M381" s="108"/>
      <c r="N381" s="108"/>
    </row>
    <row r="382" spans="1:14" x14ac:dyDescent="0.3">
      <c r="A382" s="77"/>
      <c r="B382" s="106"/>
      <c r="F382" s="124"/>
      <c r="G382" s="125"/>
      <c r="J382" s="125"/>
      <c r="L382" s="107"/>
      <c r="M382" s="108"/>
      <c r="N382" s="108"/>
    </row>
    <row r="383" spans="1:14" x14ac:dyDescent="0.3">
      <c r="A383" s="77"/>
      <c r="B383" s="106"/>
      <c r="F383" s="124"/>
      <c r="G383" s="125"/>
      <c r="J383" s="125"/>
      <c r="L383" s="107"/>
      <c r="M383" s="108"/>
      <c r="N383" s="108"/>
    </row>
    <row r="384" spans="1:14" x14ac:dyDescent="0.3">
      <c r="A384" s="77"/>
      <c r="B384" s="106"/>
      <c r="F384" s="124"/>
      <c r="G384" s="125"/>
      <c r="J384" s="125"/>
      <c r="L384" s="107"/>
      <c r="M384" s="108"/>
      <c r="N384" s="108"/>
    </row>
    <row r="385" spans="1:14" x14ac:dyDescent="0.3">
      <c r="A385" s="77"/>
      <c r="B385" s="106"/>
      <c r="F385" s="124"/>
      <c r="G385" s="125"/>
      <c r="J385" s="125"/>
      <c r="L385" s="107"/>
      <c r="M385" s="108"/>
      <c r="N385" s="108"/>
    </row>
    <row r="386" spans="1:14" x14ac:dyDescent="0.3">
      <c r="A386" s="77"/>
      <c r="B386" s="106"/>
      <c r="F386" s="124"/>
      <c r="G386" s="125"/>
      <c r="J386" s="125"/>
      <c r="L386" s="107"/>
      <c r="M386" s="108"/>
      <c r="N386" s="108"/>
    </row>
    <row r="387" spans="1:14" x14ac:dyDescent="0.3">
      <c r="A387" s="77"/>
      <c r="B387" s="106"/>
      <c r="F387" s="124"/>
      <c r="G387" s="125"/>
      <c r="J387" s="125"/>
      <c r="L387" s="107"/>
      <c r="M387" s="108"/>
      <c r="N387" s="108"/>
    </row>
    <row r="388" spans="1:14" x14ac:dyDescent="0.3">
      <c r="A388" s="77"/>
      <c r="B388" s="106"/>
      <c r="F388" s="124"/>
      <c r="G388" s="125"/>
      <c r="J388" s="125"/>
      <c r="L388" s="107"/>
      <c r="M388" s="108"/>
      <c r="N388" s="108"/>
    </row>
    <row r="389" spans="1:14" x14ac:dyDescent="0.3">
      <c r="A389" s="77"/>
      <c r="B389" s="106"/>
      <c r="F389" s="124"/>
      <c r="G389" s="125"/>
      <c r="J389" s="125"/>
      <c r="L389" s="107"/>
      <c r="M389" s="108"/>
      <c r="N389" s="108"/>
    </row>
    <row r="390" spans="1:14" x14ac:dyDescent="0.3">
      <c r="A390" s="77"/>
      <c r="B390" s="106"/>
      <c r="F390" s="124"/>
      <c r="G390" s="125"/>
      <c r="J390" s="125"/>
      <c r="L390" s="107"/>
      <c r="M390" s="108"/>
      <c r="N390" s="108"/>
    </row>
    <row r="391" spans="1:14" x14ac:dyDescent="0.3">
      <c r="A391" s="77"/>
      <c r="B391" s="106"/>
      <c r="F391" s="124"/>
      <c r="G391" s="125"/>
      <c r="J391" s="125"/>
      <c r="L391" s="107"/>
      <c r="M391" s="108"/>
      <c r="N391" s="108"/>
    </row>
    <row r="392" spans="1:14" x14ac:dyDescent="0.3">
      <c r="A392" s="77"/>
      <c r="B392" s="106"/>
      <c r="F392" s="124"/>
      <c r="G392" s="125"/>
      <c r="J392" s="125"/>
      <c r="L392" s="107"/>
      <c r="M392" s="108"/>
      <c r="N392" s="108"/>
    </row>
    <row r="393" spans="1:14" x14ac:dyDescent="0.3">
      <c r="A393" s="77"/>
      <c r="B393" s="106"/>
      <c r="F393" s="124"/>
      <c r="G393" s="125"/>
      <c r="J393" s="125"/>
      <c r="L393" s="107"/>
      <c r="M393" s="108"/>
      <c r="N393" s="108"/>
    </row>
    <row r="394" spans="1:14" x14ac:dyDescent="0.3">
      <c r="A394" s="77"/>
      <c r="B394" s="106"/>
      <c r="F394" s="124"/>
      <c r="G394" s="125"/>
      <c r="J394" s="125"/>
      <c r="L394" s="107"/>
      <c r="M394" s="108"/>
      <c r="N394" s="108"/>
    </row>
    <row r="395" spans="1:14" x14ac:dyDescent="0.3">
      <c r="A395" s="77"/>
      <c r="B395" s="106"/>
      <c r="F395" s="124"/>
      <c r="G395" s="125"/>
      <c r="J395" s="125"/>
      <c r="L395" s="107"/>
      <c r="M395" s="108"/>
      <c r="N395" s="108"/>
    </row>
    <row r="396" spans="1:14" x14ac:dyDescent="0.3">
      <c r="A396" s="77"/>
      <c r="B396" s="106"/>
      <c r="F396" s="124"/>
      <c r="G396" s="125"/>
      <c r="J396" s="125"/>
      <c r="L396" s="107"/>
      <c r="M396" s="108"/>
      <c r="N396" s="108"/>
    </row>
    <row r="397" spans="1:14" x14ac:dyDescent="0.3">
      <c r="A397" s="77"/>
      <c r="B397" s="106"/>
      <c r="F397" s="124"/>
      <c r="G397" s="125"/>
      <c r="J397" s="125"/>
      <c r="L397" s="107"/>
      <c r="M397" s="108"/>
      <c r="N397" s="108"/>
    </row>
    <row r="398" spans="1:14" x14ac:dyDescent="0.3">
      <c r="A398" s="77"/>
      <c r="B398" s="106"/>
      <c r="F398" s="124"/>
      <c r="G398" s="125"/>
      <c r="J398" s="125"/>
      <c r="L398" s="107"/>
      <c r="M398" s="108"/>
      <c r="N398" s="108"/>
    </row>
    <row r="399" spans="1:14" x14ac:dyDescent="0.3">
      <c r="A399" s="77"/>
      <c r="B399" s="106"/>
      <c r="F399" s="124"/>
      <c r="G399" s="125"/>
      <c r="J399" s="125"/>
      <c r="L399" s="107"/>
      <c r="M399" s="108"/>
      <c r="N399" s="108"/>
    </row>
    <row r="400" spans="1:14" x14ac:dyDescent="0.3">
      <c r="A400" s="77"/>
      <c r="B400" s="106"/>
      <c r="F400" s="124"/>
      <c r="G400" s="125"/>
      <c r="J400" s="125"/>
      <c r="L400" s="107"/>
      <c r="M400" s="108"/>
      <c r="N400" s="108"/>
    </row>
    <row r="401" spans="1:14" x14ac:dyDescent="0.3">
      <c r="A401" s="77"/>
      <c r="B401" s="106"/>
      <c r="F401" s="124"/>
      <c r="G401" s="125"/>
      <c r="J401" s="125"/>
      <c r="L401" s="107"/>
      <c r="M401" s="108"/>
      <c r="N401" s="108"/>
    </row>
    <row r="402" spans="1:14" x14ac:dyDescent="0.3">
      <c r="A402" s="77"/>
      <c r="B402" s="106"/>
      <c r="F402" s="124"/>
      <c r="G402" s="125"/>
      <c r="J402" s="125"/>
      <c r="L402" s="107"/>
      <c r="M402" s="108"/>
      <c r="N402" s="108"/>
    </row>
    <row r="403" spans="1:14" x14ac:dyDescent="0.3">
      <c r="A403" s="77"/>
      <c r="B403" s="106"/>
      <c r="F403" s="124"/>
      <c r="G403" s="125"/>
      <c r="J403" s="125"/>
      <c r="L403" s="107"/>
      <c r="M403" s="108"/>
      <c r="N403" s="108"/>
    </row>
    <row r="404" spans="1:14" x14ac:dyDescent="0.3">
      <c r="A404" s="77"/>
      <c r="B404" s="106"/>
      <c r="F404" s="124"/>
      <c r="G404" s="125"/>
      <c r="J404" s="125"/>
      <c r="L404" s="107"/>
      <c r="M404" s="108"/>
      <c r="N404" s="108"/>
    </row>
    <row r="405" spans="1:14" x14ac:dyDescent="0.3">
      <c r="A405" s="77"/>
      <c r="B405" s="106"/>
      <c r="F405" s="124"/>
      <c r="G405" s="125"/>
      <c r="J405" s="125"/>
      <c r="L405" s="107"/>
      <c r="M405" s="108"/>
      <c r="N405" s="108"/>
    </row>
    <row r="406" spans="1:14" x14ac:dyDescent="0.3">
      <c r="A406" s="77"/>
      <c r="B406" s="106"/>
      <c r="F406" s="124"/>
      <c r="G406" s="125"/>
      <c r="J406" s="125"/>
      <c r="L406" s="107"/>
      <c r="M406" s="108"/>
      <c r="N406" s="108"/>
    </row>
    <row r="407" spans="1:14" x14ac:dyDescent="0.3">
      <c r="A407" s="77"/>
      <c r="B407" s="106"/>
      <c r="F407" s="124"/>
      <c r="G407" s="125"/>
      <c r="J407" s="125"/>
      <c r="L407" s="107"/>
      <c r="M407" s="108"/>
      <c r="N407" s="108"/>
    </row>
    <row r="408" spans="1:14" x14ac:dyDescent="0.3">
      <c r="A408" s="77"/>
      <c r="B408" s="106"/>
      <c r="F408" s="124"/>
      <c r="G408" s="125"/>
      <c r="J408" s="125"/>
      <c r="L408" s="107"/>
      <c r="M408" s="108"/>
      <c r="N408" s="108"/>
    </row>
    <row r="409" spans="1:14" x14ac:dyDescent="0.3">
      <c r="A409" s="77"/>
      <c r="B409" s="106"/>
      <c r="F409" s="124"/>
      <c r="G409" s="125"/>
      <c r="J409" s="125"/>
      <c r="L409" s="107"/>
      <c r="M409" s="108"/>
      <c r="N409" s="108"/>
    </row>
    <row r="410" spans="1:14" x14ac:dyDescent="0.3">
      <c r="A410" s="77"/>
      <c r="B410" s="106"/>
      <c r="F410" s="124"/>
      <c r="G410" s="125"/>
      <c r="J410" s="125"/>
      <c r="L410" s="107"/>
      <c r="M410" s="108"/>
      <c r="N410" s="108"/>
    </row>
    <row r="411" spans="1:14" x14ac:dyDescent="0.3">
      <c r="A411" s="77"/>
      <c r="B411" s="106"/>
      <c r="F411" s="124"/>
      <c r="G411" s="125"/>
      <c r="J411" s="125"/>
      <c r="L411" s="107"/>
      <c r="M411" s="108"/>
      <c r="N411" s="108"/>
    </row>
    <row r="412" spans="1:14" x14ac:dyDescent="0.3">
      <c r="A412" s="77"/>
      <c r="B412" s="106"/>
      <c r="F412" s="124"/>
      <c r="G412" s="125"/>
      <c r="J412" s="125"/>
      <c r="L412" s="107"/>
      <c r="M412" s="108"/>
      <c r="N412" s="108"/>
    </row>
    <row r="413" spans="1:14" x14ac:dyDescent="0.3">
      <c r="A413" s="77"/>
      <c r="B413" s="106"/>
      <c r="F413" s="124"/>
      <c r="G413" s="125"/>
      <c r="J413" s="125"/>
      <c r="L413" s="107"/>
      <c r="M413" s="108"/>
      <c r="N413" s="108"/>
    </row>
    <row r="414" spans="1:14" x14ac:dyDescent="0.3">
      <c r="A414" s="77"/>
      <c r="B414" s="106"/>
      <c r="F414" s="124"/>
      <c r="G414" s="125"/>
      <c r="J414" s="125"/>
      <c r="L414" s="107"/>
      <c r="M414" s="108"/>
      <c r="N414" s="108"/>
    </row>
    <row r="415" spans="1:14" x14ac:dyDescent="0.3">
      <c r="A415" s="77"/>
      <c r="B415" s="106"/>
      <c r="F415" s="124"/>
      <c r="G415" s="125"/>
      <c r="J415" s="125"/>
      <c r="L415" s="107"/>
      <c r="M415" s="108"/>
      <c r="N415" s="108"/>
    </row>
    <row r="416" spans="1:14" x14ac:dyDescent="0.3">
      <c r="A416" s="77"/>
      <c r="B416" s="106"/>
      <c r="F416" s="124"/>
      <c r="G416" s="125"/>
      <c r="J416" s="125"/>
      <c r="L416" s="107"/>
      <c r="M416" s="108"/>
      <c r="N416" s="108"/>
    </row>
    <row r="417" spans="1:14" x14ac:dyDescent="0.3">
      <c r="A417" s="77"/>
      <c r="B417" s="106"/>
      <c r="F417" s="124"/>
      <c r="G417" s="125"/>
      <c r="J417" s="125"/>
      <c r="L417" s="107"/>
      <c r="M417" s="108"/>
      <c r="N417" s="108"/>
    </row>
    <row r="418" spans="1:14" x14ac:dyDescent="0.3">
      <c r="A418" s="77"/>
      <c r="B418" s="106"/>
      <c r="F418" s="124"/>
      <c r="G418" s="125"/>
      <c r="J418" s="125"/>
      <c r="L418" s="107"/>
      <c r="M418" s="108"/>
      <c r="N418" s="108"/>
    </row>
    <row r="419" spans="1:14" x14ac:dyDescent="0.3">
      <c r="A419" s="77"/>
      <c r="B419" s="106"/>
      <c r="F419" s="124"/>
      <c r="G419" s="125"/>
      <c r="J419" s="125"/>
      <c r="L419" s="107"/>
      <c r="M419" s="108"/>
      <c r="N419" s="108"/>
    </row>
    <row r="420" spans="1:14" x14ac:dyDescent="0.3">
      <c r="A420" s="77"/>
      <c r="B420" s="106"/>
      <c r="F420" s="124"/>
      <c r="G420" s="125"/>
      <c r="J420" s="125"/>
      <c r="L420" s="107"/>
      <c r="M420" s="108"/>
      <c r="N420" s="108"/>
    </row>
    <row r="421" spans="1:14" x14ac:dyDescent="0.3">
      <c r="A421" s="77"/>
      <c r="B421" s="106"/>
      <c r="F421" s="124"/>
      <c r="G421" s="125"/>
      <c r="J421" s="125"/>
      <c r="L421" s="107"/>
      <c r="M421" s="108"/>
      <c r="N421" s="108"/>
    </row>
    <row r="422" spans="1:14" x14ac:dyDescent="0.3">
      <c r="A422" s="77"/>
      <c r="B422" s="106"/>
      <c r="F422" s="124"/>
      <c r="G422" s="125"/>
      <c r="J422" s="125"/>
      <c r="L422" s="107"/>
      <c r="M422" s="108"/>
      <c r="N422" s="108"/>
    </row>
    <row r="423" spans="1:14" x14ac:dyDescent="0.3">
      <c r="A423" s="77"/>
      <c r="B423" s="106"/>
      <c r="F423" s="124"/>
      <c r="G423" s="125"/>
      <c r="J423" s="125"/>
      <c r="L423" s="107"/>
      <c r="M423" s="108"/>
      <c r="N423" s="108"/>
    </row>
    <row r="424" spans="1:14" x14ac:dyDescent="0.3">
      <c r="A424" s="77"/>
      <c r="B424" s="106"/>
      <c r="F424" s="124"/>
      <c r="G424" s="125"/>
      <c r="J424" s="125"/>
      <c r="L424" s="107"/>
      <c r="M424" s="108"/>
      <c r="N424" s="108"/>
    </row>
    <row r="425" spans="1:14" x14ac:dyDescent="0.3">
      <c r="A425" s="77"/>
      <c r="B425" s="106"/>
      <c r="F425" s="124"/>
      <c r="G425" s="125"/>
      <c r="J425" s="125"/>
      <c r="L425" s="107"/>
      <c r="M425" s="108"/>
      <c r="N425" s="108"/>
    </row>
    <row r="426" spans="1:14" x14ac:dyDescent="0.3">
      <c r="A426" s="77"/>
      <c r="B426" s="106"/>
      <c r="F426" s="124"/>
      <c r="G426" s="125"/>
      <c r="J426" s="125"/>
      <c r="L426" s="107"/>
      <c r="M426" s="108"/>
      <c r="N426" s="108"/>
    </row>
    <row r="427" spans="1:14" x14ac:dyDescent="0.3">
      <c r="A427" s="77"/>
      <c r="B427" s="106"/>
      <c r="F427" s="124"/>
      <c r="G427" s="125"/>
      <c r="J427" s="125"/>
      <c r="L427" s="107"/>
      <c r="M427" s="108"/>
      <c r="N427" s="108"/>
    </row>
    <row r="428" spans="1:14" x14ac:dyDescent="0.3">
      <c r="A428" s="77"/>
      <c r="B428" s="106"/>
      <c r="F428" s="124"/>
      <c r="G428" s="125"/>
      <c r="J428" s="125"/>
      <c r="L428" s="107"/>
      <c r="M428" s="108"/>
      <c r="N428" s="108"/>
    </row>
    <row r="429" spans="1:14" x14ac:dyDescent="0.3">
      <c r="A429" s="77"/>
      <c r="B429" s="106"/>
      <c r="F429" s="124"/>
      <c r="G429" s="125"/>
      <c r="J429" s="125"/>
      <c r="L429" s="107"/>
      <c r="M429" s="108"/>
      <c r="N429" s="108"/>
    </row>
    <row r="430" spans="1:14" x14ac:dyDescent="0.3">
      <c r="A430" s="77"/>
      <c r="B430" s="106"/>
      <c r="F430" s="124"/>
      <c r="G430" s="125"/>
      <c r="J430" s="125"/>
      <c r="L430" s="107"/>
      <c r="M430" s="108"/>
      <c r="N430" s="108"/>
    </row>
    <row r="431" spans="1:14" x14ac:dyDescent="0.3">
      <c r="A431" s="77"/>
      <c r="B431" s="106"/>
      <c r="F431" s="124"/>
      <c r="G431" s="125"/>
      <c r="J431" s="125"/>
      <c r="L431" s="107"/>
      <c r="M431" s="108"/>
      <c r="N431" s="108"/>
    </row>
    <row r="432" spans="1:14" x14ac:dyDescent="0.3">
      <c r="A432" s="77"/>
      <c r="B432" s="106"/>
      <c r="F432" s="124"/>
      <c r="G432" s="125"/>
      <c r="J432" s="125"/>
      <c r="L432" s="107"/>
      <c r="M432" s="108"/>
      <c r="N432" s="108"/>
    </row>
    <row r="433" spans="1:14" x14ac:dyDescent="0.3">
      <c r="A433" s="77"/>
      <c r="B433" s="106"/>
      <c r="F433" s="124"/>
      <c r="G433" s="125"/>
      <c r="J433" s="125"/>
      <c r="L433" s="107"/>
      <c r="M433" s="108"/>
      <c r="N433" s="108"/>
    </row>
    <row r="434" spans="1:14" x14ac:dyDescent="0.3">
      <c r="A434" s="77"/>
      <c r="B434" s="106"/>
      <c r="F434" s="124"/>
      <c r="G434" s="125"/>
      <c r="J434" s="125"/>
      <c r="L434" s="107"/>
      <c r="M434" s="108"/>
      <c r="N434" s="108"/>
    </row>
    <row r="435" spans="1:14" x14ac:dyDescent="0.3">
      <c r="A435" s="77"/>
      <c r="B435" s="106"/>
      <c r="F435" s="124"/>
      <c r="G435" s="125"/>
      <c r="J435" s="125"/>
      <c r="L435" s="107"/>
      <c r="M435" s="108"/>
      <c r="N435" s="108"/>
    </row>
    <row r="436" spans="1:14" x14ac:dyDescent="0.3">
      <c r="A436" s="77"/>
      <c r="B436" s="106"/>
      <c r="F436" s="124"/>
      <c r="G436" s="125"/>
      <c r="J436" s="125"/>
      <c r="L436" s="107"/>
      <c r="M436" s="108"/>
      <c r="N436" s="108"/>
    </row>
    <row r="437" spans="1:14" x14ac:dyDescent="0.3">
      <c r="A437" s="77"/>
      <c r="B437" s="106"/>
      <c r="F437" s="124"/>
      <c r="G437" s="125"/>
      <c r="J437" s="125"/>
      <c r="L437" s="107"/>
      <c r="M437" s="108"/>
      <c r="N437" s="108"/>
    </row>
    <row r="438" spans="1:14" x14ac:dyDescent="0.3">
      <c r="A438" s="77"/>
      <c r="B438" s="106"/>
      <c r="F438" s="124"/>
      <c r="G438" s="125"/>
      <c r="J438" s="125"/>
      <c r="L438" s="107"/>
      <c r="M438" s="108"/>
      <c r="N438" s="108"/>
    </row>
    <row r="439" spans="1:14" x14ac:dyDescent="0.3">
      <c r="A439" s="77"/>
      <c r="B439" s="106"/>
      <c r="F439" s="124"/>
      <c r="G439" s="125"/>
      <c r="J439" s="125"/>
      <c r="L439" s="107"/>
      <c r="M439" s="108"/>
      <c r="N439" s="108"/>
    </row>
    <row r="440" spans="1:14" x14ac:dyDescent="0.3">
      <c r="A440" s="77"/>
      <c r="B440" s="106"/>
      <c r="F440" s="124"/>
      <c r="G440" s="125"/>
      <c r="J440" s="125"/>
      <c r="L440" s="107"/>
      <c r="M440" s="108"/>
      <c r="N440" s="108"/>
    </row>
    <row r="441" spans="1:14" x14ac:dyDescent="0.3">
      <c r="A441" s="77"/>
      <c r="B441" s="106"/>
      <c r="F441" s="124"/>
      <c r="G441" s="125"/>
      <c r="J441" s="125"/>
      <c r="L441" s="107"/>
      <c r="M441" s="108"/>
      <c r="N441" s="108"/>
    </row>
    <row r="442" spans="1:14" x14ac:dyDescent="0.3">
      <c r="A442" s="77"/>
      <c r="B442" s="106"/>
      <c r="F442" s="124"/>
      <c r="G442" s="125"/>
      <c r="J442" s="125"/>
      <c r="L442" s="107"/>
      <c r="M442" s="108"/>
      <c r="N442" s="108"/>
    </row>
    <row r="443" spans="1:14" x14ac:dyDescent="0.3">
      <c r="A443" s="77"/>
      <c r="B443" s="106"/>
      <c r="F443" s="124"/>
      <c r="G443" s="125"/>
      <c r="J443" s="125"/>
      <c r="L443" s="107"/>
      <c r="M443" s="108"/>
      <c r="N443" s="108"/>
    </row>
    <row r="444" spans="1:14" x14ac:dyDescent="0.3">
      <c r="A444" s="77"/>
      <c r="B444" s="106"/>
      <c r="F444" s="124"/>
      <c r="G444" s="125"/>
      <c r="J444" s="125"/>
      <c r="L444" s="107"/>
      <c r="M444" s="108"/>
      <c r="N444" s="108"/>
    </row>
    <row r="445" spans="1:14" x14ac:dyDescent="0.3">
      <c r="A445" s="77"/>
      <c r="B445" s="106"/>
      <c r="F445" s="124"/>
      <c r="G445" s="125"/>
      <c r="J445" s="125"/>
      <c r="L445" s="107"/>
      <c r="M445" s="108"/>
      <c r="N445" s="108"/>
    </row>
    <row r="446" spans="1:14" x14ac:dyDescent="0.3">
      <c r="A446" s="77"/>
      <c r="B446" s="106"/>
      <c r="F446" s="124"/>
      <c r="G446" s="125"/>
      <c r="J446" s="125"/>
      <c r="L446" s="107"/>
      <c r="M446" s="108"/>
      <c r="N446" s="108"/>
    </row>
    <row r="447" spans="1:14" x14ac:dyDescent="0.3">
      <c r="A447" s="77"/>
      <c r="B447" s="106"/>
      <c r="F447" s="124"/>
      <c r="G447" s="125"/>
      <c r="J447" s="125"/>
      <c r="L447" s="107"/>
      <c r="M447" s="108"/>
      <c r="N447" s="108"/>
    </row>
    <row r="448" spans="1:14" x14ac:dyDescent="0.3">
      <c r="A448" s="77"/>
      <c r="B448" s="106"/>
      <c r="F448" s="124"/>
      <c r="G448" s="125"/>
      <c r="J448" s="125"/>
      <c r="L448" s="107"/>
      <c r="M448" s="108"/>
      <c r="N448" s="108"/>
    </row>
    <row r="449" spans="1:14" x14ac:dyDescent="0.3">
      <c r="A449" s="77"/>
      <c r="B449" s="106"/>
      <c r="F449" s="124"/>
      <c r="G449" s="125"/>
      <c r="J449" s="125"/>
      <c r="L449" s="107"/>
      <c r="M449" s="108"/>
      <c r="N449" s="108"/>
    </row>
    <row r="450" spans="1:14" x14ac:dyDescent="0.3">
      <c r="A450" s="77"/>
      <c r="B450" s="106"/>
      <c r="F450" s="124"/>
      <c r="G450" s="125"/>
      <c r="J450" s="125"/>
      <c r="L450" s="107"/>
      <c r="M450" s="108"/>
      <c r="N450" s="108"/>
    </row>
    <row r="451" spans="1:14" x14ac:dyDescent="0.3">
      <c r="A451" s="77"/>
      <c r="B451" s="106"/>
      <c r="F451" s="124"/>
      <c r="G451" s="125"/>
      <c r="J451" s="125"/>
      <c r="L451" s="107"/>
      <c r="M451" s="108"/>
      <c r="N451" s="108"/>
    </row>
    <row r="452" spans="1:14" x14ac:dyDescent="0.3">
      <c r="A452" s="77"/>
      <c r="B452" s="106"/>
      <c r="F452" s="124"/>
      <c r="G452" s="125"/>
      <c r="J452" s="125"/>
      <c r="L452" s="107"/>
      <c r="M452" s="108"/>
      <c r="N452" s="108"/>
    </row>
    <row r="453" spans="1:14" x14ac:dyDescent="0.3">
      <c r="A453" s="77"/>
      <c r="B453" s="106"/>
      <c r="F453" s="124"/>
      <c r="G453" s="125"/>
      <c r="J453" s="125"/>
      <c r="L453" s="107"/>
      <c r="M453" s="108"/>
      <c r="N453" s="108"/>
    </row>
    <row r="454" spans="1:14" x14ac:dyDescent="0.3">
      <c r="A454" s="77"/>
      <c r="B454" s="106"/>
      <c r="F454" s="124"/>
      <c r="G454" s="125"/>
      <c r="J454" s="125"/>
      <c r="L454" s="107"/>
      <c r="M454" s="108"/>
      <c r="N454" s="108"/>
    </row>
    <row r="455" spans="1:14" x14ac:dyDescent="0.3">
      <c r="A455" s="77"/>
      <c r="B455" s="106"/>
      <c r="F455" s="124"/>
      <c r="G455" s="125"/>
      <c r="J455" s="125"/>
      <c r="L455" s="107"/>
      <c r="M455" s="108"/>
      <c r="N455" s="108"/>
    </row>
    <row r="456" spans="1:14" x14ac:dyDescent="0.3">
      <c r="A456" s="77"/>
      <c r="B456" s="106"/>
      <c r="F456" s="124"/>
      <c r="G456" s="125"/>
      <c r="J456" s="125"/>
      <c r="L456" s="107"/>
      <c r="M456" s="108"/>
      <c r="N456" s="108"/>
    </row>
    <row r="457" spans="1:14" x14ac:dyDescent="0.3">
      <c r="A457" s="77"/>
      <c r="B457" s="106"/>
      <c r="F457" s="124"/>
      <c r="G457" s="125"/>
      <c r="J457" s="125"/>
      <c r="L457" s="107"/>
      <c r="M457" s="108"/>
      <c r="N457" s="108"/>
    </row>
    <row r="458" spans="1:14" x14ac:dyDescent="0.3">
      <c r="A458" s="77"/>
      <c r="B458" s="106"/>
      <c r="F458" s="124"/>
      <c r="G458" s="125"/>
      <c r="J458" s="125"/>
      <c r="L458" s="107"/>
      <c r="M458" s="108"/>
      <c r="N458" s="108"/>
    </row>
    <row r="459" spans="1:14" x14ac:dyDescent="0.3">
      <c r="A459" s="77"/>
      <c r="B459" s="106"/>
      <c r="F459" s="124"/>
      <c r="G459" s="125"/>
      <c r="J459" s="125"/>
      <c r="L459" s="107"/>
      <c r="M459" s="108"/>
      <c r="N459" s="108"/>
    </row>
    <row r="460" spans="1:14" x14ac:dyDescent="0.3">
      <c r="A460" s="77"/>
      <c r="B460" s="106"/>
      <c r="F460" s="124"/>
      <c r="G460" s="125"/>
      <c r="J460" s="125"/>
      <c r="L460" s="107"/>
      <c r="M460" s="108"/>
      <c r="N460" s="108"/>
    </row>
    <row r="461" spans="1:14" x14ac:dyDescent="0.3">
      <c r="A461" s="77"/>
      <c r="B461" s="106"/>
      <c r="F461" s="124"/>
      <c r="G461" s="125"/>
      <c r="J461" s="125"/>
      <c r="L461" s="107"/>
      <c r="M461" s="108"/>
      <c r="N461" s="108"/>
    </row>
    <row r="462" spans="1:14" x14ac:dyDescent="0.3">
      <c r="A462" s="77"/>
      <c r="B462" s="106"/>
      <c r="F462" s="124"/>
      <c r="G462" s="125"/>
      <c r="J462" s="125"/>
      <c r="L462" s="107"/>
      <c r="M462" s="108"/>
      <c r="N462" s="108"/>
    </row>
    <row r="463" spans="1:14" x14ac:dyDescent="0.3">
      <c r="A463" s="77"/>
      <c r="B463" s="106"/>
      <c r="F463" s="124"/>
      <c r="G463" s="125"/>
      <c r="J463" s="125"/>
      <c r="L463" s="107"/>
      <c r="M463" s="108"/>
      <c r="N463" s="108"/>
    </row>
    <row r="464" spans="1:14" x14ac:dyDescent="0.3">
      <c r="A464" s="77"/>
      <c r="B464" s="106"/>
      <c r="F464" s="124"/>
      <c r="G464" s="125"/>
      <c r="J464" s="125"/>
      <c r="L464" s="107"/>
      <c r="M464" s="108"/>
      <c r="N464" s="108"/>
    </row>
    <row r="465" spans="1:14" x14ac:dyDescent="0.3">
      <c r="A465" s="77"/>
      <c r="B465" s="106"/>
      <c r="F465" s="124"/>
      <c r="G465" s="125"/>
      <c r="J465" s="125"/>
      <c r="L465" s="107"/>
      <c r="M465" s="108"/>
      <c r="N465" s="108"/>
    </row>
    <row r="466" spans="1:14" x14ac:dyDescent="0.3">
      <c r="A466" s="77"/>
      <c r="B466" s="106"/>
      <c r="F466" s="124"/>
      <c r="G466" s="125"/>
      <c r="J466" s="125"/>
      <c r="L466" s="107"/>
      <c r="M466" s="108"/>
      <c r="N466" s="108"/>
    </row>
    <row r="467" spans="1:14" x14ac:dyDescent="0.3">
      <c r="A467" s="77"/>
      <c r="B467" s="106"/>
      <c r="F467" s="124"/>
      <c r="G467" s="125"/>
      <c r="J467" s="125"/>
      <c r="L467" s="107"/>
      <c r="M467" s="108"/>
      <c r="N467" s="108"/>
    </row>
    <row r="468" spans="1:14" x14ac:dyDescent="0.3">
      <c r="A468" s="77"/>
      <c r="B468" s="106"/>
      <c r="F468" s="124"/>
      <c r="G468" s="125"/>
      <c r="J468" s="125"/>
      <c r="L468" s="107"/>
      <c r="M468" s="108"/>
      <c r="N468" s="108"/>
    </row>
    <row r="469" spans="1:14" x14ac:dyDescent="0.3">
      <c r="A469" s="77"/>
      <c r="B469" s="106"/>
      <c r="F469" s="124"/>
      <c r="G469" s="125"/>
      <c r="J469" s="125"/>
      <c r="L469" s="107"/>
      <c r="M469" s="108"/>
      <c r="N469" s="108"/>
    </row>
    <row r="470" spans="1:14" x14ac:dyDescent="0.3">
      <c r="A470" s="77"/>
      <c r="B470" s="106"/>
      <c r="F470" s="124"/>
      <c r="G470" s="125"/>
      <c r="J470" s="125"/>
      <c r="L470" s="107"/>
      <c r="M470" s="108"/>
      <c r="N470" s="108"/>
    </row>
    <row r="471" spans="1:14" x14ac:dyDescent="0.3">
      <c r="A471" s="77"/>
      <c r="B471" s="106"/>
      <c r="F471" s="124"/>
      <c r="G471" s="125"/>
      <c r="J471" s="125"/>
      <c r="L471" s="107"/>
      <c r="M471" s="108"/>
      <c r="N471" s="108"/>
    </row>
    <row r="472" spans="1:14" x14ac:dyDescent="0.3">
      <c r="A472" s="77"/>
      <c r="B472" s="106"/>
      <c r="F472" s="124"/>
      <c r="G472" s="125"/>
      <c r="J472" s="125"/>
      <c r="L472" s="107"/>
      <c r="M472" s="108"/>
      <c r="N472" s="108"/>
    </row>
    <row r="473" spans="1:14" x14ac:dyDescent="0.3">
      <c r="A473" s="77"/>
      <c r="B473" s="106"/>
      <c r="F473" s="124"/>
      <c r="G473" s="125"/>
      <c r="J473" s="125"/>
      <c r="L473" s="107"/>
      <c r="M473" s="108"/>
      <c r="N473" s="108"/>
    </row>
    <row r="474" spans="1:14" x14ac:dyDescent="0.3">
      <c r="A474" s="77"/>
      <c r="B474" s="106"/>
      <c r="F474" s="124"/>
      <c r="G474" s="125"/>
      <c r="J474" s="125"/>
      <c r="L474" s="107"/>
      <c r="M474" s="108"/>
      <c r="N474" s="108"/>
    </row>
    <row r="475" spans="1:14" x14ac:dyDescent="0.3">
      <c r="A475" s="77"/>
      <c r="B475" s="106"/>
      <c r="F475" s="124"/>
      <c r="G475" s="125"/>
      <c r="J475" s="125"/>
      <c r="L475" s="107"/>
      <c r="M475" s="108"/>
      <c r="N475" s="108"/>
    </row>
    <row r="476" spans="1:14" x14ac:dyDescent="0.3">
      <c r="A476" s="77"/>
      <c r="B476" s="106"/>
      <c r="F476" s="124"/>
      <c r="G476" s="125"/>
      <c r="J476" s="125"/>
      <c r="L476" s="107"/>
      <c r="M476" s="108"/>
      <c r="N476" s="108"/>
    </row>
    <row r="477" spans="1:14" x14ac:dyDescent="0.3">
      <c r="A477" s="77"/>
      <c r="B477" s="106"/>
      <c r="F477" s="124"/>
      <c r="G477" s="125"/>
      <c r="J477" s="125"/>
      <c r="L477" s="107"/>
      <c r="M477" s="108"/>
      <c r="N477" s="108"/>
    </row>
    <row r="478" spans="1:14" x14ac:dyDescent="0.3">
      <c r="A478" s="77"/>
      <c r="B478" s="106"/>
      <c r="F478" s="124"/>
      <c r="G478" s="125"/>
      <c r="J478" s="125"/>
      <c r="L478" s="107"/>
      <c r="M478" s="108"/>
      <c r="N478" s="108"/>
    </row>
    <row r="479" spans="1:14" x14ac:dyDescent="0.3">
      <c r="A479" s="77"/>
      <c r="B479" s="106"/>
      <c r="F479" s="124"/>
      <c r="G479" s="125"/>
      <c r="J479" s="125"/>
      <c r="L479" s="107"/>
      <c r="M479" s="108"/>
      <c r="N479" s="108"/>
    </row>
    <row r="480" spans="1:14" x14ac:dyDescent="0.3">
      <c r="A480" s="77"/>
      <c r="B480" s="106"/>
      <c r="F480" s="124"/>
      <c r="G480" s="125"/>
      <c r="J480" s="125"/>
      <c r="L480" s="107"/>
      <c r="M480" s="108"/>
      <c r="N480" s="108"/>
    </row>
    <row r="481" spans="1:14" x14ac:dyDescent="0.3">
      <c r="A481" s="77"/>
      <c r="B481" s="106"/>
      <c r="F481" s="124"/>
      <c r="G481" s="125"/>
      <c r="J481" s="125"/>
      <c r="L481" s="107"/>
      <c r="M481" s="108"/>
      <c r="N481" s="108"/>
    </row>
    <row r="482" spans="1:14" x14ac:dyDescent="0.3">
      <c r="A482" s="77"/>
      <c r="B482" s="106"/>
      <c r="F482" s="124"/>
      <c r="G482" s="125"/>
      <c r="J482" s="125"/>
      <c r="L482" s="107"/>
      <c r="M482" s="108"/>
      <c r="N482" s="108"/>
    </row>
    <row r="483" spans="1:14" x14ac:dyDescent="0.3">
      <c r="A483" s="77"/>
      <c r="B483" s="106"/>
      <c r="F483" s="124"/>
      <c r="G483" s="125"/>
      <c r="J483" s="125"/>
      <c r="L483" s="107"/>
      <c r="M483" s="108"/>
      <c r="N483" s="108"/>
    </row>
    <row r="484" spans="1:14" x14ac:dyDescent="0.3">
      <c r="A484" s="77"/>
      <c r="B484" s="106"/>
      <c r="F484" s="124"/>
      <c r="G484" s="125"/>
      <c r="J484" s="125"/>
      <c r="L484" s="107"/>
      <c r="M484" s="108"/>
      <c r="N484" s="108"/>
    </row>
    <row r="485" spans="1:14" x14ac:dyDescent="0.3">
      <c r="A485" s="77"/>
      <c r="B485" s="106"/>
      <c r="F485" s="124"/>
      <c r="G485" s="125"/>
      <c r="J485" s="125"/>
      <c r="L485" s="107"/>
      <c r="M485" s="108"/>
      <c r="N485" s="108"/>
    </row>
    <row r="486" spans="1:14" x14ac:dyDescent="0.3">
      <c r="A486" s="77"/>
      <c r="B486" s="106"/>
      <c r="F486" s="124"/>
      <c r="G486" s="125"/>
      <c r="J486" s="125"/>
      <c r="L486" s="107"/>
      <c r="M486" s="108"/>
      <c r="N486" s="108"/>
    </row>
    <row r="487" spans="1:14" x14ac:dyDescent="0.3">
      <c r="A487" s="77"/>
      <c r="B487" s="106"/>
      <c r="F487" s="124"/>
      <c r="G487" s="125"/>
      <c r="J487" s="125"/>
      <c r="L487" s="107"/>
      <c r="M487" s="108"/>
      <c r="N487" s="108"/>
    </row>
    <row r="488" spans="1:14" x14ac:dyDescent="0.3">
      <c r="A488" s="77"/>
      <c r="B488" s="106"/>
      <c r="F488" s="124"/>
      <c r="G488" s="125"/>
      <c r="J488" s="125"/>
      <c r="L488" s="107"/>
      <c r="M488" s="108"/>
      <c r="N488" s="108"/>
    </row>
    <row r="489" spans="1:14" x14ac:dyDescent="0.3">
      <c r="A489" s="77"/>
      <c r="B489" s="106"/>
      <c r="F489" s="124"/>
      <c r="G489" s="125"/>
      <c r="J489" s="125"/>
      <c r="L489" s="107"/>
      <c r="M489" s="108"/>
      <c r="N489" s="108"/>
    </row>
    <row r="490" spans="1:14" x14ac:dyDescent="0.3">
      <c r="A490" s="77"/>
      <c r="B490" s="106"/>
      <c r="F490" s="124"/>
      <c r="G490" s="125"/>
      <c r="J490" s="125"/>
      <c r="L490" s="107"/>
      <c r="M490" s="108"/>
      <c r="N490" s="108"/>
    </row>
    <row r="491" spans="1:14" x14ac:dyDescent="0.3">
      <c r="A491" s="77"/>
      <c r="B491" s="106"/>
      <c r="F491" s="124"/>
      <c r="G491" s="125"/>
      <c r="J491" s="125"/>
      <c r="L491" s="107"/>
      <c r="M491" s="108"/>
      <c r="N491" s="108"/>
    </row>
    <row r="492" spans="1:14" x14ac:dyDescent="0.3">
      <c r="A492" s="77"/>
      <c r="B492" s="106"/>
      <c r="F492" s="124"/>
      <c r="G492" s="125"/>
      <c r="J492" s="125"/>
      <c r="L492" s="107"/>
      <c r="M492" s="108"/>
      <c r="N492" s="108"/>
    </row>
    <row r="493" spans="1:14" x14ac:dyDescent="0.3">
      <c r="A493" s="77"/>
      <c r="B493" s="106"/>
      <c r="F493" s="124"/>
      <c r="G493" s="125"/>
      <c r="J493" s="125"/>
      <c r="L493" s="107"/>
      <c r="M493" s="108"/>
      <c r="N493" s="108"/>
    </row>
    <row r="494" spans="1:14" x14ac:dyDescent="0.3">
      <c r="A494" s="77"/>
      <c r="B494" s="106"/>
      <c r="F494" s="124"/>
      <c r="G494" s="125"/>
      <c r="J494" s="125"/>
      <c r="L494" s="107"/>
      <c r="M494" s="108"/>
      <c r="N494" s="108"/>
    </row>
    <row r="495" spans="1:14" x14ac:dyDescent="0.3">
      <c r="A495" s="77"/>
      <c r="B495" s="106"/>
      <c r="F495" s="124"/>
      <c r="G495" s="125"/>
      <c r="J495" s="125"/>
      <c r="L495" s="107"/>
      <c r="M495" s="108"/>
      <c r="N495" s="108"/>
    </row>
    <row r="496" spans="1:14" x14ac:dyDescent="0.3">
      <c r="A496" s="77"/>
      <c r="B496" s="106"/>
      <c r="F496" s="124"/>
      <c r="G496" s="125"/>
      <c r="J496" s="125"/>
      <c r="L496" s="107"/>
      <c r="M496" s="108"/>
      <c r="N496" s="108"/>
    </row>
    <row r="497" spans="1:14" x14ac:dyDescent="0.3">
      <c r="A497" s="77"/>
      <c r="B497" s="106"/>
      <c r="F497" s="124"/>
      <c r="G497" s="125"/>
      <c r="J497" s="125"/>
      <c r="L497" s="107"/>
      <c r="M497" s="108"/>
      <c r="N497" s="108"/>
    </row>
    <row r="498" spans="1:14" x14ac:dyDescent="0.3">
      <c r="A498" s="77"/>
      <c r="B498" s="106"/>
      <c r="F498" s="124"/>
      <c r="G498" s="125"/>
      <c r="J498" s="125"/>
      <c r="L498" s="107"/>
      <c r="M498" s="108"/>
      <c r="N498" s="108"/>
    </row>
    <row r="499" spans="1:14" x14ac:dyDescent="0.3">
      <c r="A499" s="77"/>
      <c r="B499" s="106"/>
      <c r="F499" s="124"/>
      <c r="G499" s="125"/>
      <c r="J499" s="125"/>
      <c r="L499" s="107"/>
      <c r="M499" s="108"/>
      <c r="N499" s="108"/>
    </row>
    <row r="500" spans="1:14" x14ac:dyDescent="0.3">
      <c r="A500" s="77"/>
      <c r="B500" s="106"/>
      <c r="F500" s="124"/>
      <c r="G500" s="125"/>
      <c r="J500" s="125"/>
      <c r="L500" s="107"/>
      <c r="M500" s="108"/>
      <c r="N500" s="108"/>
    </row>
    <row r="501" spans="1:14" x14ac:dyDescent="0.3">
      <c r="A501" s="77"/>
      <c r="B501" s="106"/>
      <c r="F501" s="124"/>
      <c r="G501" s="125"/>
      <c r="J501" s="125"/>
      <c r="L501" s="107"/>
      <c r="M501" s="108"/>
      <c r="N501" s="108"/>
    </row>
    <row r="502" spans="1:14" x14ac:dyDescent="0.3">
      <c r="A502" s="77"/>
      <c r="B502" s="106"/>
      <c r="F502" s="124"/>
      <c r="G502" s="125"/>
      <c r="J502" s="125"/>
      <c r="L502" s="107"/>
      <c r="M502" s="108"/>
      <c r="N502" s="108"/>
    </row>
    <row r="503" spans="1:14" x14ac:dyDescent="0.3">
      <c r="A503" s="77"/>
      <c r="B503" s="106"/>
      <c r="F503" s="124"/>
      <c r="G503" s="125"/>
      <c r="J503" s="125"/>
      <c r="L503" s="107"/>
      <c r="M503" s="108"/>
      <c r="N503" s="108"/>
    </row>
    <row r="504" spans="1:14" x14ac:dyDescent="0.3">
      <c r="A504" s="77"/>
      <c r="B504" s="106"/>
      <c r="F504" s="124"/>
      <c r="G504" s="125"/>
      <c r="J504" s="125"/>
      <c r="L504" s="107"/>
      <c r="M504" s="108"/>
      <c r="N504" s="108"/>
    </row>
    <row r="505" spans="1:14" x14ac:dyDescent="0.3">
      <c r="A505" s="77"/>
      <c r="B505" s="106"/>
      <c r="F505" s="124"/>
      <c r="G505" s="125"/>
      <c r="J505" s="125"/>
      <c r="L505" s="107"/>
      <c r="M505" s="108"/>
      <c r="N505" s="108"/>
    </row>
    <row r="506" spans="1:14" x14ac:dyDescent="0.3">
      <c r="A506" s="77"/>
      <c r="B506" s="106"/>
      <c r="F506" s="124"/>
      <c r="G506" s="125"/>
      <c r="J506" s="125"/>
      <c r="L506" s="107"/>
      <c r="M506" s="108"/>
      <c r="N506" s="108"/>
    </row>
    <row r="507" spans="1:14" x14ac:dyDescent="0.3">
      <c r="A507" s="77"/>
      <c r="B507" s="106"/>
      <c r="F507" s="124"/>
      <c r="G507" s="125"/>
      <c r="J507" s="125"/>
      <c r="L507" s="107"/>
      <c r="M507" s="108"/>
      <c r="N507" s="108"/>
    </row>
    <row r="508" spans="1:14" x14ac:dyDescent="0.3">
      <c r="A508" s="77"/>
      <c r="B508" s="106"/>
      <c r="F508" s="124"/>
      <c r="G508" s="125"/>
      <c r="J508" s="125"/>
      <c r="L508" s="107"/>
      <c r="M508" s="108"/>
      <c r="N508" s="108"/>
    </row>
    <row r="509" spans="1:14" x14ac:dyDescent="0.3">
      <c r="A509" s="77"/>
      <c r="B509" s="106"/>
      <c r="F509" s="124"/>
      <c r="G509" s="125"/>
      <c r="J509" s="125"/>
      <c r="L509" s="107"/>
      <c r="M509" s="108"/>
      <c r="N509" s="108"/>
    </row>
    <row r="510" spans="1:14" x14ac:dyDescent="0.3">
      <c r="A510" s="77"/>
      <c r="B510" s="106"/>
      <c r="F510" s="124"/>
      <c r="G510" s="125"/>
      <c r="J510" s="125"/>
      <c r="L510" s="107"/>
      <c r="M510" s="108"/>
      <c r="N510" s="108"/>
    </row>
    <row r="511" spans="1:14" x14ac:dyDescent="0.3">
      <c r="A511" s="77"/>
      <c r="B511" s="106"/>
      <c r="F511" s="124"/>
      <c r="G511" s="125"/>
      <c r="J511" s="125"/>
      <c r="L511" s="107"/>
      <c r="M511" s="108"/>
      <c r="N511" s="108"/>
    </row>
    <row r="512" spans="1:14" x14ac:dyDescent="0.3">
      <c r="A512" s="77"/>
      <c r="B512" s="106"/>
      <c r="F512" s="124"/>
      <c r="G512" s="125"/>
      <c r="J512" s="125"/>
      <c r="L512" s="107"/>
      <c r="M512" s="108"/>
      <c r="N512" s="108"/>
    </row>
    <row r="513" spans="1:14" x14ac:dyDescent="0.3">
      <c r="A513" s="77"/>
      <c r="B513" s="106"/>
      <c r="F513" s="124"/>
      <c r="G513" s="125"/>
      <c r="J513" s="125"/>
      <c r="L513" s="107"/>
      <c r="M513" s="108"/>
      <c r="N513" s="108"/>
    </row>
    <row r="514" spans="1:14" x14ac:dyDescent="0.3">
      <c r="A514" s="77"/>
      <c r="B514" s="106"/>
      <c r="F514" s="124"/>
      <c r="G514" s="125"/>
      <c r="J514" s="125"/>
      <c r="L514" s="107"/>
      <c r="M514" s="108"/>
      <c r="N514" s="108"/>
    </row>
    <row r="515" spans="1:14" x14ac:dyDescent="0.3">
      <c r="A515" s="77"/>
      <c r="B515" s="106"/>
      <c r="F515" s="124"/>
      <c r="G515" s="125"/>
      <c r="J515" s="125"/>
      <c r="L515" s="107"/>
      <c r="M515" s="108"/>
      <c r="N515" s="108"/>
    </row>
    <row r="516" spans="1:14" x14ac:dyDescent="0.3">
      <c r="A516" s="77"/>
      <c r="B516" s="106"/>
      <c r="F516" s="124"/>
      <c r="G516" s="125"/>
      <c r="J516" s="125"/>
      <c r="L516" s="107"/>
      <c r="M516" s="108"/>
      <c r="N516" s="108"/>
    </row>
    <row r="517" spans="1:14" x14ac:dyDescent="0.3">
      <c r="A517" s="77"/>
      <c r="B517" s="106"/>
      <c r="F517" s="124"/>
      <c r="G517" s="125"/>
      <c r="J517" s="125"/>
      <c r="L517" s="107"/>
      <c r="M517" s="108"/>
      <c r="N517" s="108"/>
    </row>
    <row r="518" spans="1:14" x14ac:dyDescent="0.3">
      <c r="A518" s="77"/>
      <c r="B518" s="106"/>
      <c r="F518" s="124"/>
      <c r="G518" s="125"/>
      <c r="J518" s="125"/>
      <c r="L518" s="107"/>
      <c r="M518" s="108"/>
      <c r="N518" s="108"/>
    </row>
    <row r="519" spans="1:14" x14ac:dyDescent="0.3">
      <c r="A519" s="77"/>
      <c r="B519" s="106"/>
      <c r="F519" s="124"/>
      <c r="G519" s="125"/>
      <c r="J519" s="125"/>
      <c r="L519" s="107"/>
      <c r="M519" s="108"/>
      <c r="N519" s="108"/>
    </row>
    <row r="520" spans="1:14" x14ac:dyDescent="0.3">
      <c r="A520" s="77"/>
      <c r="B520" s="106"/>
      <c r="F520" s="124"/>
      <c r="G520" s="125"/>
      <c r="J520" s="125"/>
      <c r="L520" s="107"/>
      <c r="M520" s="108"/>
      <c r="N520" s="108"/>
    </row>
    <row r="521" spans="1:14" x14ac:dyDescent="0.3">
      <c r="A521" s="77"/>
      <c r="B521" s="106"/>
      <c r="F521" s="124"/>
      <c r="G521" s="125"/>
      <c r="J521" s="125"/>
      <c r="L521" s="107"/>
      <c r="M521" s="108"/>
      <c r="N521" s="108"/>
    </row>
    <row r="522" spans="1:14" x14ac:dyDescent="0.3">
      <c r="A522" s="77"/>
      <c r="B522" s="106"/>
      <c r="F522" s="124"/>
      <c r="G522" s="125"/>
      <c r="J522" s="125"/>
      <c r="L522" s="107"/>
      <c r="M522" s="108"/>
      <c r="N522" s="108"/>
    </row>
    <row r="523" spans="1:14" x14ac:dyDescent="0.3">
      <c r="A523" s="77"/>
      <c r="B523" s="106"/>
      <c r="F523" s="124"/>
      <c r="G523" s="125"/>
      <c r="J523" s="125"/>
      <c r="L523" s="107"/>
      <c r="M523" s="108"/>
      <c r="N523" s="108"/>
    </row>
    <row r="524" spans="1:14" x14ac:dyDescent="0.3">
      <c r="A524" s="77"/>
      <c r="B524" s="106"/>
      <c r="F524" s="124"/>
      <c r="G524" s="125"/>
      <c r="J524" s="125"/>
      <c r="L524" s="107"/>
      <c r="M524" s="108"/>
      <c r="N524" s="108"/>
    </row>
    <row r="525" spans="1:14" x14ac:dyDescent="0.3">
      <c r="A525" s="77"/>
      <c r="B525" s="106"/>
      <c r="F525" s="124"/>
      <c r="G525" s="125"/>
      <c r="J525" s="125"/>
      <c r="L525" s="107"/>
      <c r="M525" s="108"/>
      <c r="N525" s="108"/>
    </row>
    <row r="526" spans="1:14" x14ac:dyDescent="0.3">
      <c r="A526" s="77"/>
      <c r="B526" s="106"/>
      <c r="F526" s="124"/>
      <c r="G526" s="125"/>
      <c r="J526" s="125"/>
      <c r="L526" s="107"/>
      <c r="M526" s="108"/>
      <c r="N526" s="108"/>
    </row>
    <row r="527" spans="1:14" x14ac:dyDescent="0.3">
      <c r="A527" s="77"/>
      <c r="B527" s="106"/>
      <c r="F527" s="124"/>
      <c r="G527" s="125"/>
      <c r="J527" s="125"/>
      <c r="L527" s="107"/>
      <c r="M527" s="108"/>
      <c r="N527" s="108"/>
    </row>
    <row r="528" spans="1:14" x14ac:dyDescent="0.3">
      <c r="A528" s="77"/>
      <c r="B528" s="106"/>
      <c r="F528" s="124"/>
      <c r="G528" s="125"/>
      <c r="J528" s="125"/>
      <c r="L528" s="107"/>
      <c r="M528" s="108"/>
      <c r="N528" s="108"/>
    </row>
    <row r="529" spans="1:14" x14ac:dyDescent="0.3">
      <c r="A529" s="77"/>
      <c r="B529" s="106"/>
      <c r="F529" s="124"/>
      <c r="G529" s="125"/>
      <c r="J529" s="125"/>
      <c r="L529" s="107"/>
      <c r="M529" s="108"/>
      <c r="N529" s="108"/>
    </row>
    <row r="530" spans="1:14" x14ac:dyDescent="0.3">
      <c r="A530" s="77"/>
      <c r="B530" s="106"/>
      <c r="F530" s="124"/>
      <c r="G530" s="125"/>
      <c r="J530" s="125"/>
      <c r="L530" s="107"/>
      <c r="M530" s="108"/>
      <c r="N530" s="108"/>
    </row>
    <row r="531" spans="1:14" x14ac:dyDescent="0.3">
      <c r="A531" s="77"/>
      <c r="B531" s="106"/>
      <c r="F531" s="124"/>
      <c r="G531" s="125"/>
      <c r="J531" s="125"/>
      <c r="L531" s="107"/>
      <c r="M531" s="108"/>
      <c r="N531" s="108"/>
    </row>
    <row r="532" spans="1:14" x14ac:dyDescent="0.3">
      <c r="A532" s="77"/>
      <c r="B532" s="106"/>
      <c r="F532" s="124"/>
      <c r="G532" s="125"/>
      <c r="J532" s="125"/>
      <c r="L532" s="107"/>
      <c r="M532" s="108"/>
      <c r="N532" s="108"/>
    </row>
    <row r="533" spans="1:14" x14ac:dyDescent="0.3">
      <c r="A533" s="77"/>
      <c r="B533" s="106"/>
      <c r="F533" s="124"/>
      <c r="G533" s="125"/>
      <c r="J533" s="125"/>
      <c r="L533" s="107"/>
      <c r="M533" s="108"/>
      <c r="N533" s="108"/>
    </row>
    <row r="534" spans="1:14" x14ac:dyDescent="0.3">
      <c r="A534" s="77"/>
      <c r="B534" s="106"/>
      <c r="F534" s="124"/>
      <c r="G534" s="125"/>
      <c r="J534" s="125"/>
      <c r="L534" s="107"/>
      <c r="M534" s="108"/>
      <c r="N534" s="108"/>
    </row>
    <row r="535" spans="1:14" x14ac:dyDescent="0.3">
      <c r="A535" s="77"/>
      <c r="B535" s="106"/>
      <c r="F535" s="124"/>
      <c r="G535" s="125"/>
      <c r="J535" s="125"/>
      <c r="L535" s="107"/>
      <c r="M535" s="108"/>
      <c r="N535" s="108"/>
    </row>
    <row r="536" spans="1:14" x14ac:dyDescent="0.3">
      <c r="A536" s="77"/>
      <c r="B536" s="106"/>
      <c r="F536" s="124"/>
      <c r="G536" s="125"/>
      <c r="J536" s="125"/>
      <c r="L536" s="107"/>
      <c r="M536" s="108"/>
      <c r="N536" s="108"/>
    </row>
    <row r="537" spans="1:14" x14ac:dyDescent="0.3">
      <c r="A537" s="77"/>
      <c r="B537" s="106"/>
      <c r="F537" s="124"/>
      <c r="G537" s="125"/>
      <c r="J537" s="125"/>
      <c r="L537" s="107"/>
      <c r="M537" s="108"/>
      <c r="N537" s="108"/>
    </row>
    <row r="538" spans="1:14" x14ac:dyDescent="0.3">
      <c r="A538" s="77"/>
      <c r="B538" s="106"/>
      <c r="F538" s="124"/>
      <c r="G538" s="125"/>
      <c r="J538" s="125"/>
      <c r="L538" s="107"/>
      <c r="M538" s="108"/>
      <c r="N538" s="108"/>
    </row>
    <row r="539" spans="1:14" x14ac:dyDescent="0.3">
      <c r="A539" s="77"/>
      <c r="B539" s="106"/>
      <c r="F539" s="124"/>
      <c r="G539" s="125"/>
      <c r="J539" s="125"/>
      <c r="L539" s="107"/>
      <c r="M539" s="108"/>
      <c r="N539" s="108"/>
    </row>
    <row r="540" spans="1:14" x14ac:dyDescent="0.3">
      <c r="A540" s="77"/>
      <c r="B540" s="106"/>
      <c r="F540" s="124"/>
      <c r="G540" s="125"/>
      <c r="J540" s="125"/>
      <c r="L540" s="107"/>
      <c r="M540" s="108"/>
      <c r="N540" s="108"/>
    </row>
    <row r="541" spans="1:14" x14ac:dyDescent="0.3">
      <c r="A541" s="77"/>
      <c r="B541" s="106"/>
      <c r="F541" s="124"/>
      <c r="G541" s="125"/>
      <c r="J541" s="125"/>
      <c r="L541" s="107"/>
      <c r="M541" s="108"/>
      <c r="N541" s="108"/>
    </row>
    <row r="542" spans="1:14" x14ac:dyDescent="0.3">
      <c r="A542" s="77"/>
      <c r="B542" s="106"/>
      <c r="F542" s="124"/>
      <c r="G542" s="125"/>
      <c r="J542" s="125"/>
      <c r="L542" s="107"/>
      <c r="M542" s="108"/>
      <c r="N542" s="108"/>
    </row>
    <row r="543" spans="1:14" x14ac:dyDescent="0.3">
      <c r="A543" s="77"/>
      <c r="B543" s="106"/>
      <c r="F543" s="124"/>
      <c r="G543" s="125"/>
      <c r="J543" s="125"/>
      <c r="L543" s="107"/>
      <c r="M543" s="108"/>
      <c r="N543" s="108"/>
    </row>
    <row r="544" spans="1:14" x14ac:dyDescent="0.3">
      <c r="A544" s="77"/>
      <c r="B544" s="106"/>
      <c r="F544" s="124"/>
      <c r="G544" s="125"/>
      <c r="J544" s="125"/>
      <c r="L544" s="107"/>
      <c r="M544" s="108"/>
      <c r="N544" s="108"/>
    </row>
    <row r="545" spans="1:14" x14ac:dyDescent="0.3">
      <c r="A545" s="77"/>
      <c r="B545" s="106"/>
      <c r="F545" s="124"/>
      <c r="G545" s="125"/>
      <c r="J545" s="125"/>
      <c r="L545" s="107"/>
      <c r="M545" s="108"/>
      <c r="N545" s="108"/>
    </row>
    <row r="546" spans="1:14" x14ac:dyDescent="0.3">
      <c r="A546" s="77"/>
      <c r="B546" s="106"/>
      <c r="F546" s="124"/>
      <c r="G546" s="125"/>
      <c r="J546" s="125"/>
      <c r="L546" s="107"/>
      <c r="M546" s="108"/>
      <c r="N546" s="108"/>
    </row>
    <row r="547" spans="1:14" x14ac:dyDescent="0.3">
      <c r="A547" s="77"/>
      <c r="B547" s="106"/>
      <c r="F547" s="124"/>
      <c r="G547" s="125"/>
      <c r="J547" s="125"/>
      <c r="L547" s="107"/>
      <c r="M547" s="108"/>
      <c r="N547" s="108"/>
    </row>
    <row r="548" spans="1:14" x14ac:dyDescent="0.3">
      <c r="A548" s="77"/>
      <c r="B548" s="106"/>
      <c r="F548" s="124"/>
      <c r="G548" s="125"/>
      <c r="J548" s="125"/>
      <c r="L548" s="107"/>
      <c r="M548" s="108"/>
      <c r="N548" s="108"/>
    </row>
    <row r="549" spans="1:14" x14ac:dyDescent="0.3">
      <c r="A549" s="77"/>
      <c r="B549" s="106"/>
      <c r="F549" s="124"/>
      <c r="G549" s="125"/>
      <c r="J549" s="125"/>
      <c r="L549" s="107"/>
      <c r="M549" s="108"/>
      <c r="N549" s="108"/>
    </row>
    <row r="550" spans="1:14" x14ac:dyDescent="0.3">
      <c r="A550" s="77"/>
      <c r="B550" s="106"/>
      <c r="F550" s="124"/>
      <c r="G550" s="125"/>
      <c r="J550" s="125"/>
      <c r="L550" s="107"/>
      <c r="M550" s="108"/>
      <c r="N550" s="108"/>
    </row>
    <row r="551" spans="1:14" x14ac:dyDescent="0.3">
      <c r="A551" s="77"/>
      <c r="B551" s="106"/>
      <c r="F551" s="124"/>
      <c r="G551" s="125"/>
      <c r="J551" s="125"/>
      <c r="L551" s="107"/>
      <c r="M551" s="108"/>
      <c r="N551" s="108"/>
    </row>
    <row r="552" spans="1:14" x14ac:dyDescent="0.3">
      <c r="A552" s="77"/>
      <c r="B552" s="106"/>
      <c r="F552" s="124"/>
      <c r="G552" s="125"/>
      <c r="J552" s="125"/>
      <c r="L552" s="107"/>
      <c r="M552" s="108"/>
      <c r="N552" s="108"/>
    </row>
    <row r="553" spans="1:14" x14ac:dyDescent="0.3">
      <c r="A553" s="77"/>
      <c r="B553" s="106"/>
      <c r="F553" s="124"/>
      <c r="G553" s="125"/>
      <c r="J553" s="125"/>
      <c r="L553" s="107"/>
      <c r="M553" s="108"/>
      <c r="N553" s="108"/>
    </row>
    <row r="554" spans="1:14" x14ac:dyDescent="0.3">
      <c r="A554" s="77"/>
      <c r="B554" s="106"/>
      <c r="F554" s="124"/>
      <c r="G554" s="125"/>
      <c r="J554" s="125"/>
      <c r="L554" s="107"/>
      <c r="M554" s="108"/>
      <c r="N554" s="108"/>
    </row>
    <row r="555" spans="1:14" x14ac:dyDescent="0.3">
      <c r="A555" s="77"/>
      <c r="B555" s="106"/>
      <c r="F555" s="124"/>
      <c r="G555" s="125"/>
      <c r="J555" s="125"/>
      <c r="L555" s="107"/>
      <c r="M555" s="108"/>
      <c r="N555" s="108"/>
    </row>
    <row r="556" spans="1:14" x14ac:dyDescent="0.3">
      <c r="A556" s="77"/>
      <c r="B556" s="106"/>
      <c r="F556" s="124"/>
      <c r="G556" s="125"/>
      <c r="J556" s="125"/>
      <c r="L556" s="107"/>
      <c r="M556" s="108"/>
      <c r="N556" s="108"/>
    </row>
    <row r="557" spans="1:14" x14ac:dyDescent="0.3">
      <c r="A557" s="77"/>
      <c r="B557" s="106"/>
      <c r="F557" s="124"/>
      <c r="G557" s="125"/>
      <c r="J557" s="125"/>
      <c r="L557" s="107"/>
      <c r="M557" s="108"/>
      <c r="N557" s="108"/>
    </row>
    <row r="558" spans="1:14" x14ac:dyDescent="0.3">
      <c r="A558" s="77"/>
      <c r="B558" s="106"/>
      <c r="F558" s="124"/>
      <c r="G558" s="125"/>
      <c r="J558" s="125"/>
      <c r="L558" s="107"/>
      <c r="M558" s="108"/>
      <c r="N558" s="108"/>
    </row>
    <row r="559" spans="1:14" x14ac:dyDescent="0.3">
      <c r="A559" s="77"/>
      <c r="B559" s="106"/>
      <c r="F559" s="124"/>
      <c r="G559" s="125"/>
      <c r="J559" s="125"/>
      <c r="L559" s="107"/>
      <c r="M559" s="108"/>
      <c r="N559" s="108"/>
    </row>
    <row r="560" spans="1:14" x14ac:dyDescent="0.3">
      <c r="A560" s="77"/>
      <c r="B560" s="106"/>
      <c r="F560" s="124"/>
      <c r="G560" s="125"/>
      <c r="J560" s="125"/>
      <c r="L560" s="107"/>
      <c r="M560" s="108"/>
      <c r="N560" s="108"/>
    </row>
    <row r="561" spans="1:14" x14ac:dyDescent="0.3">
      <c r="A561" s="77"/>
      <c r="B561" s="106"/>
      <c r="F561" s="124"/>
      <c r="G561" s="125"/>
      <c r="J561" s="125"/>
      <c r="L561" s="107"/>
      <c r="M561" s="108"/>
      <c r="N561" s="108"/>
    </row>
    <row r="562" spans="1:14" x14ac:dyDescent="0.3">
      <c r="A562" s="77"/>
      <c r="B562" s="106"/>
      <c r="F562" s="124"/>
      <c r="G562" s="125"/>
      <c r="J562" s="125"/>
      <c r="L562" s="107"/>
      <c r="M562" s="108"/>
      <c r="N562" s="108"/>
    </row>
    <row r="563" spans="1:14" x14ac:dyDescent="0.3">
      <c r="A563" s="77"/>
      <c r="B563" s="106"/>
      <c r="F563" s="124"/>
      <c r="G563" s="125"/>
      <c r="J563" s="125"/>
      <c r="L563" s="107"/>
      <c r="M563" s="108"/>
      <c r="N563" s="108"/>
    </row>
    <row r="564" spans="1:14" x14ac:dyDescent="0.3">
      <c r="A564" s="77"/>
      <c r="B564" s="106"/>
      <c r="F564" s="124"/>
      <c r="G564" s="125"/>
      <c r="J564" s="125"/>
      <c r="L564" s="107"/>
      <c r="M564" s="108"/>
      <c r="N564" s="108"/>
    </row>
    <row r="565" spans="1:14" x14ac:dyDescent="0.3">
      <c r="A565" s="77"/>
      <c r="B565" s="106"/>
      <c r="F565" s="124"/>
      <c r="G565" s="125"/>
      <c r="J565" s="125"/>
      <c r="L565" s="107"/>
      <c r="M565" s="108"/>
      <c r="N565" s="108"/>
    </row>
    <row r="566" spans="1:14" x14ac:dyDescent="0.3">
      <c r="A566" s="77"/>
      <c r="B566" s="106"/>
      <c r="F566" s="124"/>
      <c r="G566" s="125"/>
      <c r="J566" s="125"/>
      <c r="L566" s="107"/>
      <c r="M566" s="108"/>
      <c r="N566" s="108"/>
    </row>
    <row r="567" spans="1:14" x14ac:dyDescent="0.3">
      <c r="A567" s="77"/>
      <c r="B567" s="106"/>
      <c r="F567" s="124"/>
      <c r="G567" s="125"/>
      <c r="J567" s="125"/>
      <c r="L567" s="107"/>
      <c r="M567" s="108"/>
      <c r="N567" s="108"/>
    </row>
    <row r="568" spans="1:14" x14ac:dyDescent="0.3">
      <c r="A568" s="77"/>
      <c r="B568" s="106"/>
      <c r="F568" s="124"/>
      <c r="G568" s="125"/>
      <c r="J568" s="125"/>
      <c r="L568" s="107"/>
      <c r="M568" s="108"/>
      <c r="N568" s="108"/>
    </row>
    <row r="569" spans="1:14" x14ac:dyDescent="0.3">
      <c r="A569" s="77"/>
      <c r="B569" s="106"/>
      <c r="F569" s="124"/>
      <c r="G569" s="125"/>
      <c r="J569" s="125"/>
      <c r="L569" s="107"/>
      <c r="M569" s="108"/>
      <c r="N569" s="108"/>
    </row>
    <row r="570" spans="1:14" x14ac:dyDescent="0.3">
      <c r="A570" s="77"/>
      <c r="B570" s="106"/>
      <c r="F570" s="124"/>
      <c r="G570" s="125"/>
      <c r="J570" s="125"/>
      <c r="L570" s="107"/>
      <c r="M570" s="108"/>
      <c r="N570" s="108"/>
    </row>
    <row r="571" spans="1:14" x14ac:dyDescent="0.3">
      <c r="A571" s="77"/>
      <c r="B571" s="106"/>
      <c r="F571" s="124"/>
      <c r="G571" s="125"/>
      <c r="J571" s="125"/>
      <c r="L571" s="107"/>
      <c r="M571" s="108"/>
      <c r="N571" s="108"/>
    </row>
    <row r="572" spans="1:14" x14ac:dyDescent="0.3">
      <c r="A572" s="77"/>
      <c r="B572" s="106"/>
      <c r="F572" s="124"/>
      <c r="G572" s="125"/>
      <c r="J572" s="125"/>
      <c r="L572" s="107"/>
      <c r="M572" s="108"/>
      <c r="N572" s="108"/>
    </row>
    <row r="573" spans="1:14" x14ac:dyDescent="0.3">
      <c r="A573" s="77"/>
      <c r="B573" s="106"/>
      <c r="F573" s="124"/>
      <c r="G573" s="125"/>
      <c r="J573" s="125"/>
      <c r="L573" s="107"/>
      <c r="M573" s="108"/>
      <c r="N573" s="108"/>
    </row>
    <row r="574" spans="1:14" x14ac:dyDescent="0.3">
      <c r="A574" s="77"/>
      <c r="B574" s="106"/>
      <c r="F574" s="124"/>
      <c r="G574" s="125"/>
      <c r="J574" s="125"/>
      <c r="L574" s="107"/>
      <c r="M574" s="108"/>
      <c r="N574" s="108"/>
    </row>
    <row r="575" spans="1:14" x14ac:dyDescent="0.3">
      <c r="A575" s="77"/>
      <c r="B575" s="106"/>
      <c r="F575" s="124"/>
      <c r="G575" s="125"/>
      <c r="J575" s="125"/>
      <c r="L575" s="107"/>
      <c r="M575" s="108"/>
      <c r="N575" s="108"/>
    </row>
    <row r="576" spans="1:14" x14ac:dyDescent="0.3">
      <c r="A576" s="77"/>
      <c r="B576" s="106"/>
      <c r="F576" s="124"/>
      <c r="G576" s="125"/>
      <c r="J576" s="125"/>
      <c r="L576" s="107"/>
      <c r="M576" s="108"/>
      <c r="N576" s="108"/>
    </row>
    <row r="577" spans="1:14" x14ac:dyDescent="0.3">
      <c r="A577" s="77"/>
      <c r="B577" s="106"/>
      <c r="F577" s="124"/>
      <c r="G577" s="125"/>
      <c r="J577" s="125"/>
      <c r="L577" s="107"/>
      <c r="M577" s="108"/>
      <c r="N577" s="108"/>
    </row>
    <row r="578" spans="1:14" x14ac:dyDescent="0.3">
      <c r="A578" s="77"/>
      <c r="B578" s="106"/>
      <c r="F578" s="124"/>
      <c r="G578" s="125"/>
      <c r="J578" s="125"/>
      <c r="L578" s="107"/>
      <c r="M578" s="108"/>
      <c r="N578" s="108"/>
    </row>
    <row r="579" spans="1:14" x14ac:dyDescent="0.3">
      <c r="A579" s="77"/>
      <c r="B579" s="106"/>
      <c r="F579" s="124"/>
      <c r="G579" s="125"/>
      <c r="J579" s="125"/>
      <c r="L579" s="107"/>
      <c r="M579" s="108"/>
      <c r="N579" s="108"/>
    </row>
    <row r="580" spans="1:14" x14ac:dyDescent="0.3">
      <c r="A580" s="77"/>
      <c r="B580" s="106"/>
      <c r="F580" s="124"/>
      <c r="G580" s="125"/>
      <c r="J580" s="125"/>
      <c r="L580" s="107"/>
      <c r="M580" s="108"/>
      <c r="N580" s="108"/>
    </row>
    <row r="581" spans="1:14" x14ac:dyDescent="0.3">
      <c r="A581" s="77"/>
      <c r="B581" s="106"/>
      <c r="F581" s="124"/>
      <c r="G581" s="125"/>
      <c r="J581" s="125"/>
      <c r="L581" s="107"/>
      <c r="M581" s="108"/>
      <c r="N581" s="108"/>
    </row>
  </sheetData>
  <conditionalFormatting sqref="I2:I114">
    <cfRule type="cellIs" dxfId="54" priority="1" operator="equal">
      <formula>"REVISAR"</formula>
    </cfRule>
    <cfRule type="cellIs" dxfId="53" priority="2" operator="equal">
      <formula>"CORRECTO"</formula>
    </cfRule>
  </conditionalFormatting>
  <conditionalFormatting sqref="L2:L114">
    <cfRule type="cellIs" dxfId="52" priority="6" operator="equal">
      <formula>"APROBADO"</formula>
    </cfRule>
    <cfRule type="cellIs" dxfId="51" priority="7" operator="equal">
      <formula>"PENDIENTE"</formula>
    </cfRule>
    <cfRule type="cellIs" dxfId="50" priority="8" operator="equal">
      <formula>"PAGADO"</formula>
    </cfRule>
  </conditionalFormatting>
  <dataValidations count="1">
    <dataValidation type="list" allowBlank="1" showErrorMessage="1" sqref="L2:L108" xr:uid="{CE5729A7-E4CB-4608-971E-583CF2D918FE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4BFEB4A-8617-4234-BA4D-6DDD7894E3F3}">
          <x14:formula1>
            <xm:f>'CUENTAS'!$A$2:$A$59</xm:f>
          </x14:formula1>
          <xm:sqref>C2:C114</xm:sqref>
        </x14:dataValidation>
        <x14:dataValidation type="list" allowBlank="1" showInputMessage="1" showErrorMessage="1" xr:uid="{A1BCFD91-E362-4EED-AF2C-BBFC600440D5}">
          <x14:formula1>
            <xm:f>'CUENTAS'!$G$2:$G$8</xm:f>
          </x14:formula1>
          <xm:sqref>J2:J114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238DA-1A57-4593-8B79-280BAAE0D2AC}">
  <sheetPr>
    <tabColor theme="1" tint="4.9989318521683403E-2"/>
  </sheetPr>
  <dimension ref="A1:Q705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4.4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7.21875" style="83" customWidth="1"/>
    <col min="8" max="9" width="17.21875" style="97" customWidth="1"/>
    <col min="10" max="10" width="19" style="83" bestFit="1" customWidth="1"/>
    <col min="11" max="11" width="14.77734375" style="98" customWidth="1"/>
    <col min="12" max="12" width="11.21875" style="99" bestFit="1" customWidth="1"/>
    <col min="13" max="13" width="12.6640625" style="83"/>
    <col min="14" max="14" width="23.554687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77" customFormat="1" ht="25.8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5" t="s">
        <v>104</v>
      </c>
      <c r="N1" s="12" t="s">
        <v>105</v>
      </c>
    </row>
    <row r="2" spans="1:17" x14ac:dyDescent="0.3">
      <c r="A2" s="16" t="s">
        <v>656</v>
      </c>
      <c r="B2" s="16" t="s">
        <v>657</v>
      </c>
      <c r="C2" s="28" t="s">
        <v>19</v>
      </c>
      <c r="D2" s="28" t="str">
        <f>IFERROR(VLOOKUP($C2,CUENTAS[],2,0),"")</f>
        <v>DISEÑOS</v>
      </c>
      <c r="E2" s="28" t="str">
        <f>IFERROR(VLOOKUP($C2,CUENTAS[],3,0),"")</f>
        <v>MDE2025-001</v>
      </c>
      <c r="F2" s="86">
        <v>40000</v>
      </c>
      <c r="G2" s="86">
        <v>0</v>
      </c>
      <c r="H2" s="74">
        <v>40000</v>
      </c>
      <c r="I2" s="200" t="str">
        <f>IFERROR(IF(F2+G2&lt;&gt;H2,"REVISAR","CORRECTO"),"")</f>
        <v>CORRECTO</v>
      </c>
      <c r="J2" s="88" t="s">
        <v>3244</v>
      </c>
      <c r="K2" s="69" t="s">
        <v>361</v>
      </c>
      <c r="L2" s="84" t="s">
        <v>227</v>
      </c>
      <c r="M2" s="135">
        <v>45720</v>
      </c>
      <c r="N2" s="75" t="s">
        <v>371</v>
      </c>
      <c r="P2" s="89"/>
      <c r="Q2" s="89"/>
    </row>
    <row r="3" spans="1:17" x14ac:dyDescent="0.3">
      <c r="A3" s="16" t="s">
        <v>656</v>
      </c>
      <c r="B3" s="16" t="s">
        <v>658</v>
      </c>
      <c r="C3" s="28" t="s">
        <v>19</v>
      </c>
      <c r="D3" s="28" t="str">
        <f>IFERROR(VLOOKUP($C3,CUENTAS[],2,0),"")</f>
        <v>DISEÑOS</v>
      </c>
      <c r="E3" s="28" t="str">
        <f>IFERROR(VLOOKUP($C3,CUENTAS[],3,0),"")</f>
        <v>MDE2025-001</v>
      </c>
      <c r="F3" s="86">
        <v>8000</v>
      </c>
      <c r="G3" s="86">
        <v>0</v>
      </c>
      <c r="H3" s="74">
        <v>8000</v>
      </c>
      <c r="I3" s="200" t="str">
        <f t="shared" ref="I3:I66" si="0">IFERROR(IF(F3+G3&lt;&gt;H3,"REVISAR","CORRECTO"),"")</f>
        <v>CORRECTO</v>
      </c>
      <c r="J3" s="88" t="s">
        <v>3244</v>
      </c>
      <c r="K3" s="69" t="s">
        <v>361</v>
      </c>
      <c r="L3" s="84" t="s">
        <v>227</v>
      </c>
      <c r="M3" s="135">
        <v>45720</v>
      </c>
      <c r="N3" s="75" t="s">
        <v>371</v>
      </c>
      <c r="P3" s="89"/>
      <c r="Q3" s="89"/>
    </row>
    <row r="4" spans="1:17" x14ac:dyDescent="0.3">
      <c r="A4" s="16" t="s">
        <v>659</v>
      </c>
      <c r="B4" s="16" t="s">
        <v>660</v>
      </c>
      <c r="C4" s="28" t="s">
        <v>148</v>
      </c>
      <c r="D4" s="28" t="str">
        <f>IFERROR(VLOOKUP($C4,CUENTAS[],2,0),"")</f>
        <v>EVENTOS INTERNOS</v>
      </c>
      <c r="E4" s="28" t="str">
        <f>IFERROR(VLOOKUP($C4,CUENTAS[],3,0),"")</f>
        <v>MDE2025-008A</v>
      </c>
      <c r="F4" s="86">
        <v>10330.86</v>
      </c>
      <c r="G4" s="86">
        <v>1652.94</v>
      </c>
      <c r="H4" s="74">
        <v>11983.8</v>
      </c>
      <c r="I4" s="200" t="str">
        <f t="shared" si="0"/>
        <v>CORRECTO</v>
      </c>
      <c r="J4" s="88" t="s">
        <v>3244</v>
      </c>
      <c r="K4" s="69" t="s">
        <v>366</v>
      </c>
      <c r="L4" s="84" t="s">
        <v>227</v>
      </c>
      <c r="M4" s="135">
        <v>45720</v>
      </c>
      <c r="N4" s="75" t="s">
        <v>773</v>
      </c>
      <c r="P4" s="89"/>
      <c r="Q4" s="89"/>
    </row>
    <row r="5" spans="1:17" x14ac:dyDescent="0.3">
      <c r="A5" s="16" t="s">
        <v>559</v>
      </c>
      <c r="B5" s="16" t="s">
        <v>661</v>
      </c>
      <c r="C5" s="28" t="s">
        <v>19</v>
      </c>
      <c r="D5" s="28" t="str">
        <f>IFERROR(VLOOKUP($C5,CUENTAS[],2,0),"")</f>
        <v>DISEÑOS</v>
      </c>
      <c r="E5" s="28" t="str">
        <f>IFERROR(VLOOKUP($C5,CUENTAS[],3,0),"")</f>
        <v>MDE2025-001</v>
      </c>
      <c r="F5" s="86">
        <v>3800</v>
      </c>
      <c r="G5" s="86">
        <v>0</v>
      </c>
      <c r="H5" s="74">
        <v>3800</v>
      </c>
      <c r="I5" s="200" t="str">
        <f t="shared" si="0"/>
        <v>CORRECTO</v>
      </c>
      <c r="J5" s="88" t="s">
        <v>3244</v>
      </c>
      <c r="K5" s="69" t="s">
        <v>405</v>
      </c>
      <c r="L5" s="84" t="s">
        <v>227</v>
      </c>
      <c r="M5" s="136">
        <v>45720</v>
      </c>
      <c r="N5" s="75" t="s">
        <v>594</v>
      </c>
      <c r="P5" s="89"/>
      <c r="Q5" s="89"/>
    </row>
    <row r="6" spans="1:17" x14ac:dyDescent="0.3">
      <c r="A6" s="16" t="s">
        <v>662</v>
      </c>
      <c r="B6" s="16" t="s">
        <v>663</v>
      </c>
      <c r="C6" s="28" t="s">
        <v>19</v>
      </c>
      <c r="D6" s="28" t="str">
        <f>IFERROR(VLOOKUP($C6,CUENTAS[],2,0),"")</f>
        <v>DISEÑOS</v>
      </c>
      <c r="E6" s="28" t="str">
        <f>IFERROR(VLOOKUP($C6,CUENTAS[],3,0),"")</f>
        <v>MDE2025-001</v>
      </c>
      <c r="F6" s="86">
        <v>500</v>
      </c>
      <c r="G6" s="86">
        <v>0</v>
      </c>
      <c r="H6" s="74">
        <v>500</v>
      </c>
      <c r="I6" s="200" t="str">
        <f t="shared" si="0"/>
        <v>CORRECTO</v>
      </c>
      <c r="J6" s="88" t="s">
        <v>3244</v>
      </c>
      <c r="K6" s="69" t="s">
        <v>774</v>
      </c>
      <c r="L6" s="84" t="s">
        <v>227</v>
      </c>
      <c r="M6" s="135">
        <v>45720</v>
      </c>
      <c r="N6" s="75" t="s">
        <v>775</v>
      </c>
      <c r="P6" s="89"/>
      <c r="Q6" s="89"/>
    </row>
    <row r="7" spans="1:17" x14ac:dyDescent="0.3">
      <c r="A7" s="16" t="s">
        <v>664</v>
      </c>
      <c r="B7" s="16" t="s">
        <v>665</v>
      </c>
      <c r="C7" s="28" t="s">
        <v>224</v>
      </c>
      <c r="D7" s="28" t="str">
        <f>IFERROR(VLOOKUP($C7,CUENTAS[],2,0),"")</f>
        <v>MATERIALES</v>
      </c>
      <c r="E7" s="28" t="str">
        <f>IFERROR(VLOOKUP($C7,CUENTAS[],3,0),"")</f>
        <v>MDE2025-004</v>
      </c>
      <c r="F7" s="86">
        <v>3538.46</v>
      </c>
      <c r="G7" s="86">
        <v>566.15</v>
      </c>
      <c r="H7" s="74">
        <v>4104.6099999999997</v>
      </c>
      <c r="I7" s="200" t="str">
        <f t="shared" si="0"/>
        <v>CORRECTO</v>
      </c>
      <c r="J7" s="88" t="s">
        <v>3244</v>
      </c>
      <c r="K7" s="69" t="s">
        <v>407</v>
      </c>
      <c r="L7" s="84" t="s">
        <v>227</v>
      </c>
      <c r="M7" s="135">
        <v>45720</v>
      </c>
      <c r="N7" s="75" t="s">
        <v>776</v>
      </c>
      <c r="P7" s="89"/>
      <c r="Q7" s="89"/>
    </row>
    <row r="8" spans="1:17" x14ac:dyDescent="0.3">
      <c r="A8" s="16" t="s">
        <v>666</v>
      </c>
      <c r="B8" s="16" t="s">
        <v>667</v>
      </c>
      <c r="C8" s="28" t="s">
        <v>224</v>
      </c>
      <c r="D8" s="28" t="str">
        <f>IFERROR(VLOOKUP($C8,CUENTAS[],2,0),"")</f>
        <v>MATERIALES</v>
      </c>
      <c r="E8" s="28" t="str">
        <f>IFERROR(VLOOKUP($C8,CUENTAS[],3,0),"")</f>
        <v>MDE2025-004</v>
      </c>
      <c r="F8" s="86">
        <v>2048.88</v>
      </c>
      <c r="G8" s="86">
        <v>327.82</v>
      </c>
      <c r="H8" s="74">
        <v>2376.6999999999998</v>
      </c>
      <c r="I8" s="200" t="str">
        <f t="shared" si="0"/>
        <v>CORRECTO</v>
      </c>
      <c r="J8" s="88" t="s">
        <v>3244</v>
      </c>
      <c r="K8" s="69" t="s">
        <v>407</v>
      </c>
      <c r="L8" s="84" t="s">
        <v>227</v>
      </c>
      <c r="M8" s="135">
        <v>45720</v>
      </c>
      <c r="N8" s="75" t="s">
        <v>777</v>
      </c>
      <c r="P8" s="89"/>
      <c r="Q8" s="89"/>
    </row>
    <row r="9" spans="1:17" x14ac:dyDescent="0.3">
      <c r="A9" s="16" t="s">
        <v>284</v>
      </c>
      <c r="B9" s="16" t="s">
        <v>668</v>
      </c>
      <c r="C9" s="28" t="s">
        <v>224</v>
      </c>
      <c r="D9" s="28" t="str">
        <f>IFERROR(VLOOKUP($C9,CUENTAS[],2,0),"")</f>
        <v>MATERIALES</v>
      </c>
      <c r="E9" s="28" t="str">
        <f>IFERROR(VLOOKUP($C9,CUENTAS[],3,0),"")</f>
        <v>MDE2025-004</v>
      </c>
      <c r="F9" s="86">
        <v>103.45</v>
      </c>
      <c r="G9" s="86">
        <v>16.55</v>
      </c>
      <c r="H9" s="74">
        <v>120</v>
      </c>
      <c r="I9" s="200" t="str">
        <f t="shared" si="0"/>
        <v>CORRECTO</v>
      </c>
      <c r="J9" s="88" t="s">
        <v>3244</v>
      </c>
      <c r="K9" s="69" t="s">
        <v>365</v>
      </c>
      <c r="L9" s="84" t="s">
        <v>227</v>
      </c>
      <c r="M9" s="136">
        <v>45720</v>
      </c>
      <c r="N9" s="75" t="s">
        <v>778</v>
      </c>
      <c r="P9" s="89"/>
      <c r="Q9" s="89"/>
    </row>
    <row r="10" spans="1:17" x14ac:dyDescent="0.3">
      <c r="A10" s="16" t="s">
        <v>284</v>
      </c>
      <c r="B10" s="16" t="s">
        <v>669</v>
      </c>
      <c r="C10" s="28" t="s">
        <v>224</v>
      </c>
      <c r="D10" s="28" t="str">
        <f>IFERROR(VLOOKUP($C10,CUENTAS[],2,0),"")</f>
        <v>MATERIALES</v>
      </c>
      <c r="E10" s="28" t="str">
        <f>IFERROR(VLOOKUP($C10,CUENTAS[],3,0),"")</f>
        <v>MDE2025-004</v>
      </c>
      <c r="F10" s="86">
        <v>220</v>
      </c>
      <c r="G10" s="86">
        <v>0</v>
      </c>
      <c r="H10" s="74">
        <v>220</v>
      </c>
      <c r="I10" s="200" t="str">
        <f t="shared" si="0"/>
        <v>CORRECTO</v>
      </c>
      <c r="J10" s="88" t="s">
        <v>3244</v>
      </c>
      <c r="K10" s="69" t="s">
        <v>365</v>
      </c>
      <c r="L10" s="84" t="s">
        <v>227</v>
      </c>
      <c r="M10" s="136">
        <v>45720</v>
      </c>
      <c r="N10" s="75" t="s">
        <v>779</v>
      </c>
      <c r="P10" s="89"/>
      <c r="Q10" s="89"/>
    </row>
    <row r="11" spans="1:17" x14ac:dyDescent="0.3">
      <c r="A11" s="16" t="s">
        <v>284</v>
      </c>
      <c r="B11" s="16" t="s">
        <v>670</v>
      </c>
      <c r="C11" s="28" t="s">
        <v>224</v>
      </c>
      <c r="D11" s="28" t="str">
        <f>IFERROR(VLOOKUP($C11,CUENTAS[],2,0),"")</f>
        <v>MATERIALES</v>
      </c>
      <c r="E11" s="28" t="str">
        <f>IFERROR(VLOOKUP($C11,CUENTAS[],3,0),"")</f>
        <v>MDE2025-004</v>
      </c>
      <c r="F11" s="86">
        <v>3705.17</v>
      </c>
      <c r="G11" s="86">
        <v>592.83000000000004</v>
      </c>
      <c r="H11" s="74">
        <v>4298</v>
      </c>
      <c r="I11" s="200" t="str">
        <f t="shared" si="0"/>
        <v>CORRECTO</v>
      </c>
      <c r="J11" s="88" t="s">
        <v>3244</v>
      </c>
      <c r="K11" s="69" t="s">
        <v>365</v>
      </c>
      <c r="L11" s="84" t="s">
        <v>227</v>
      </c>
      <c r="M11" s="136">
        <v>45720</v>
      </c>
      <c r="N11" s="75" t="s">
        <v>780</v>
      </c>
      <c r="P11" s="89"/>
      <c r="Q11" s="89"/>
    </row>
    <row r="12" spans="1:17" x14ac:dyDescent="0.3">
      <c r="A12" s="16" t="s">
        <v>284</v>
      </c>
      <c r="B12" s="16" t="s">
        <v>671</v>
      </c>
      <c r="C12" s="28" t="s">
        <v>224</v>
      </c>
      <c r="D12" s="28" t="str">
        <f>IFERROR(VLOOKUP($C12,CUENTAS[],2,0),"")</f>
        <v>MATERIALES</v>
      </c>
      <c r="E12" s="28" t="str">
        <f>IFERROR(VLOOKUP($C12,CUENTAS[],3,0),"")</f>
        <v>MDE2025-004</v>
      </c>
      <c r="F12" s="86">
        <v>306.02999999999997</v>
      </c>
      <c r="G12" s="86">
        <v>48.96</v>
      </c>
      <c r="H12" s="74">
        <v>354.99</v>
      </c>
      <c r="I12" s="200" t="str">
        <f t="shared" si="0"/>
        <v>CORRECTO</v>
      </c>
      <c r="J12" s="88" t="s">
        <v>3244</v>
      </c>
      <c r="K12" s="69" t="s">
        <v>365</v>
      </c>
      <c r="L12" s="84" t="s">
        <v>227</v>
      </c>
      <c r="M12" s="136">
        <v>45720</v>
      </c>
      <c r="N12" s="75" t="s">
        <v>781</v>
      </c>
      <c r="P12" s="89"/>
      <c r="Q12" s="89"/>
    </row>
    <row r="13" spans="1:17" x14ac:dyDescent="0.3">
      <c r="A13" s="16" t="s">
        <v>672</v>
      </c>
      <c r="B13" s="16" t="s">
        <v>673</v>
      </c>
      <c r="C13" s="28" t="s">
        <v>224</v>
      </c>
      <c r="D13" s="28" t="str">
        <f>IFERROR(VLOOKUP($C13,CUENTAS[],2,0),"")</f>
        <v>MATERIALES</v>
      </c>
      <c r="E13" s="28" t="str">
        <f>IFERROR(VLOOKUP($C13,CUENTAS[],3,0),"")</f>
        <v>MDE2025-004</v>
      </c>
      <c r="F13" s="86">
        <v>7535</v>
      </c>
      <c r="G13" s="86">
        <v>1205.5999999999999</v>
      </c>
      <c r="H13" s="74">
        <v>8740.6</v>
      </c>
      <c r="I13" s="200" t="str">
        <f t="shared" si="0"/>
        <v>CORRECTO</v>
      </c>
      <c r="J13" s="88" t="s">
        <v>3244</v>
      </c>
      <c r="K13" s="69" t="s">
        <v>407</v>
      </c>
      <c r="L13" s="84" t="s">
        <v>227</v>
      </c>
      <c r="M13" s="136">
        <v>45720</v>
      </c>
      <c r="N13" s="75" t="s">
        <v>782</v>
      </c>
      <c r="P13" s="89"/>
      <c r="Q13" s="89"/>
    </row>
    <row r="14" spans="1:17" x14ac:dyDescent="0.3">
      <c r="A14" s="16" t="s">
        <v>284</v>
      </c>
      <c r="B14" s="16" t="s">
        <v>674</v>
      </c>
      <c r="C14" s="28" t="s">
        <v>224</v>
      </c>
      <c r="D14" s="28" t="str">
        <f>IFERROR(VLOOKUP($C14,CUENTAS[],2,0),"")</f>
        <v>MATERIALES</v>
      </c>
      <c r="E14" s="28" t="str">
        <f>IFERROR(VLOOKUP($C14,CUENTAS[],3,0),"")</f>
        <v>MDE2025-004</v>
      </c>
      <c r="F14" s="86">
        <v>1935</v>
      </c>
      <c r="G14" s="86">
        <v>0</v>
      </c>
      <c r="H14" s="74">
        <v>1935</v>
      </c>
      <c r="I14" s="200" t="str">
        <f t="shared" si="0"/>
        <v>CORRECTO</v>
      </c>
      <c r="J14" s="88" t="s">
        <v>3244</v>
      </c>
      <c r="K14" s="69" t="s">
        <v>365</v>
      </c>
      <c r="L14" s="84" t="s">
        <v>227</v>
      </c>
      <c r="M14" s="136">
        <v>45720</v>
      </c>
      <c r="N14" s="75" t="s">
        <v>783</v>
      </c>
      <c r="P14" s="89"/>
      <c r="Q14" s="89"/>
    </row>
    <row r="15" spans="1:17" x14ac:dyDescent="0.3">
      <c r="A15" s="16" t="s">
        <v>284</v>
      </c>
      <c r="B15" s="16" t="s">
        <v>675</v>
      </c>
      <c r="C15" s="28" t="s">
        <v>224</v>
      </c>
      <c r="D15" s="28" t="str">
        <f>IFERROR(VLOOKUP($C15,CUENTAS[],2,0),"")</f>
        <v>MATERIALES</v>
      </c>
      <c r="E15" s="28" t="str">
        <f>IFERROR(VLOOKUP($C15,CUENTAS[],3,0),"")</f>
        <v>MDE2025-004</v>
      </c>
      <c r="F15" s="86">
        <v>4860</v>
      </c>
      <c r="G15" s="86">
        <v>0</v>
      </c>
      <c r="H15" s="74">
        <v>4860</v>
      </c>
      <c r="I15" s="200" t="str">
        <f t="shared" si="0"/>
        <v>CORRECTO</v>
      </c>
      <c r="J15" s="88" t="s">
        <v>3244</v>
      </c>
      <c r="K15" s="69" t="s">
        <v>365</v>
      </c>
      <c r="L15" s="84" t="s">
        <v>227</v>
      </c>
      <c r="M15" s="136">
        <v>45720</v>
      </c>
      <c r="N15" s="75" t="s">
        <v>784</v>
      </c>
      <c r="P15" s="89"/>
      <c r="Q15" s="89"/>
    </row>
    <row r="16" spans="1:17" x14ac:dyDescent="0.3">
      <c r="A16" s="16" t="s">
        <v>284</v>
      </c>
      <c r="B16" s="16" t="s">
        <v>676</v>
      </c>
      <c r="C16" s="28" t="s">
        <v>224</v>
      </c>
      <c r="D16" s="28" t="str">
        <f>IFERROR(VLOOKUP($C16,CUENTAS[],2,0),"")</f>
        <v>MATERIALES</v>
      </c>
      <c r="E16" s="28" t="str">
        <f>IFERROR(VLOOKUP($C16,CUENTAS[],3,0),"")</f>
        <v>MDE2025-004</v>
      </c>
      <c r="F16" s="86">
        <v>642.21</v>
      </c>
      <c r="G16" s="86">
        <v>102.75</v>
      </c>
      <c r="H16" s="74">
        <v>744.96</v>
      </c>
      <c r="I16" s="200" t="str">
        <f t="shared" si="0"/>
        <v>CORRECTO</v>
      </c>
      <c r="J16" s="88" t="s">
        <v>3244</v>
      </c>
      <c r="K16" s="69" t="s">
        <v>365</v>
      </c>
      <c r="L16" s="84" t="s">
        <v>227</v>
      </c>
      <c r="M16" s="136">
        <v>45720</v>
      </c>
      <c r="N16" s="75" t="s">
        <v>785</v>
      </c>
      <c r="P16" s="89"/>
      <c r="Q16" s="89"/>
    </row>
    <row r="17" spans="1:17" x14ac:dyDescent="0.3">
      <c r="A17" s="16" t="s">
        <v>284</v>
      </c>
      <c r="B17" s="16" t="s">
        <v>677</v>
      </c>
      <c r="C17" s="28" t="s">
        <v>224</v>
      </c>
      <c r="D17" s="28" t="str">
        <f>IFERROR(VLOOKUP($C17,CUENTAS[],2,0),"")</f>
        <v>MATERIALES</v>
      </c>
      <c r="E17" s="28" t="str">
        <f>IFERROR(VLOOKUP($C17,CUENTAS[],3,0),"")</f>
        <v>MDE2025-004</v>
      </c>
      <c r="F17" s="86">
        <v>2625</v>
      </c>
      <c r="G17" s="86">
        <v>0</v>
      </c>
      <c r="H17" s="74">
        <v>2625</v>
      </c>
      <c r="I17" s="200" t="str">
        <f t="shared" si="0"/>
        <v>CORRECTO</v>
      </c>
      <c r="J17" s="88" t="s">
        <v>3244</v>
      </c>
      <c r="K17" s="69" t="s">
        <v>365</v>
      </c>
      <c r="L17" s="84" t="s">
        <v>227</v>
      </c>
      <c r="M17" s="136">
        <v>45720</v>
      </c>
      <c r="N17" s="75" t="s">
        <v>786</v>
      </c>
      <c r="P17" s="89"/>
      <c r="Q17" s="89"/>
    </row>
    <row r="18" spans="1:17" x14ac:dyDescent="0.3">
      <c r="A18" s="16" t="s">
        <v>284</v>
      </c>
      <c r="B18" s="16" t="s">
        <v>678</v>
      </c>
      <c r="C18" s="28" t="s">
        <v>224</v>
      </c>
      <c r="D18" s="28" t="str">
        <f>IFERROR(VLOOKUP($C18,CUENTAS[],2,0),"")</f>
        <v>MATERIALES</v>
      </c>
      <c r="E18" s="28" t="str">
        <f>IFERROR(VLOOKUP($C18,CUENTAS[],3,0),"")</f>
        <v>MDE2025-004</v>
      </c>
      <c r="F18" s="86">
        <v>50</v>
      </c>
      <c r="G18" s="86">
        <v>0</v>
      </c>
      <c r="H18" s="74">
        <v>50</v>
      </c>
      <c r="I18" s="200" t="str">
        <f t="shared" si="0"/>
        <v>CORRECTO</v>
      </c>
      <c r="J18" s="88" t="s">
        <v>3244</v>
      </c>
      <c r="K18" s="69" t="s">
        <v>365</v>
      </c>
      <c r="L18" s="84" t="s">
        <v>227</v>
      </c>
      <c r="M18" s="136">
        <v>45720</v>
      </c>
      <c r="N18" s="75">
        <v>464</v>
      </c>
      <c r="P18" s="89"/>
      <c r="Q18" s="89"/>
    </row>
    <row r="19" spans="1:17" x14ac:dyDescent="0.3">
      <c r="A19" s="16" t="s">
        <v>284</v>
      </c>
      <c r="B19" s="16" t="s">
        <v>679</v>
      </c>
      <c r="C19" s="28" t="s">
        <v>224</v>
      </c>
      <c r="D19" s="28" t="str">
        <f>IFERROR(VLOOKUP($C19,CUENTAS[],2,0),"")</f>
        <v>MATERIALES</v>
      </c>
      <c r="E19" s="28" t="str">
        <f>IFERROR(VLOOKUP($C19,CUENTAS[],3,0),"")</f>
        <v>MDE2025-004</v>
      </c>
      <c r="F19" s="86">
        <v>4070</v>
      </c>
      <c r="G19" s="86">
        <v>651.20000000000005</v>
      </c>
      <c r="H19" s="74">
        <v>4721.2</v>
      </c>
      <c r="I19" s="200" t="str">
        <f t="shared" si="0"/>
        <v>CORRECTO</v>
      </c>
      <c r="J19" s="88" t="s">
        <v>3244</v>
      </c>
      <c r="K19" s="69" t="s">
        <v>365</v>
      </c>
      <c r="L19" s="84" t="s">
        <v>227</v>
      </c>
      <c r="M19" s="136">
        <v>45720</v>
      </c>
      <c r="N19" s="75" t="s">
        <v>787</v>
      </c>
      <c r="P19" s="89"/>
      <c r="Q19" s="89"/>
    </row>
    <row r="20" spans="1:17" x14ac:dyDescent="0.3">
      <c r="A20" s="16" t="s">
        <v>284</v>
      </c>
      <c r="B20" s="16" t="s">
        <v>680</v>
      </c>
      <c r="C20" s="28" t="s">
        <v>224</v>
      </c>
      <c r="D20" s="28" t="str">
        <f>IFERROR(VLOOKUP($C20,CUENTAS[],2,0),"")</f>
        <v>MATERIALES</v>
      </c>
      <c r="E20" s="28" t="str">
        <f>IFERROR(VLOOKUP($C20,CUENTAS[],3,0),"")</f>
        <v>MDE2025-004</v>
      </c>
      <c r="F20" s="86">
        <v>2974.14</v>
      </c>
      <c r="G20" s="86">
        <v>475.86</v>
      </c>
      <c r="H20" s="74">
        <v>3450</v>
      </c>
      <c r="I20" s="200" t="str">
        <f t="shared" si="0"/>
        <v>CORRECTO</v>
      </c>
      <c r="J20" s="88" t="s">
        <v>3244</v>
      </c>
      <c r="K20" s="69" t="s">
        <v>365</v>
      </c>
      <c r="L20" s="84" t="s">
        <v>227</v>
      </c>
      <c r="M20" s="136">
        <v>45720</v>
      </c>
      <c r="N20" s="75" t="s">
        <v>788</v>
      </c>
      <c r="P20" s="89"/>
      <c r="Q20" s="89"/>
    </row>
    <row r="21" spans="1:17" x14ac:dyDescent="0.3">
      <c r="A21" s="16" t="s">
        <v>284</v>
      </c>
      <c r="B21" s="16" t="s">
        <v>681</v>
      </c>
      <c r="C21" s="28" t="s">
        <v>224</v>
      </c>
      <c r="D21" s="28" t="str">
        <f>IFERROR(VLOOKUP($C21,CUENTAS[],2,0),"")</f>
        <v>MATERIALES</v>
      </c>
      <c r="E21" s="28" t="str">
        <f>IFERROR(VLOOKUP($C21,CUENTAS[],3,0),"")</f>
        <v>MDE2025-004</v>
      </c>
      <c r="F21" s="86">
        <v>1370.69</v>
      </c>
      <c r="G21" s="86">
        <v>219.31</v>
      </c>
      <c r="H21" s="74">
        <v>1590</v>
      </c>
      <c r="I21" s="200" t="str">
        <f t="shared" si="0"/>
        <v>CORRECTO</v>
      </c>
      <c r="J21" s="88" t="s">
        <v>3244</v>
      </c>
      <c r="K21" s="69" t="s">
        <v>365</v>
      </c>
      <c r="L21" s="84" t="s">
        <v>227</v>
      </c>
      <c r="M21" s="136">
        <v>45720</v>
      </c>
      <c r="N21" s="75" t="s">
        <v>789</v>
      </c>
      <c r="P21" s="89"/>
      <c r="Q21" s="89"/>
    </row>
    <row r="22" spans="1:17" x14ac:dyDescent="0.3">
      <c r="A22" s="16" t="s">
        <v>682</v>
      </c>
      <c r="B22" s="16" t="s">
        <v>683</v>
      </c>
      <c r="C22" s="28" t="s">
        <v>109</v>
      </c>
      <c r="D22" s="28" t="str">
        <f>IFERROR(VLOOKUP($C22,CUENTAS[],2,0),"")</f>
        <v>LOGÍSTICA</v>
      </c>
      <c r="E22" s="28" t="str">
        <f>IFERROR(VLOOKUP($C22,CUENTAS[],3,0),"")</f>
        <v>MDE2025-006A</v>
      </c>
      <c r="F22" s="86">
        <v>19613.2</v>
      </c>
      <c r="G22" s="86">
        <v>3138.11</v>
      </c>
      <c r="H22" s="74">
        <v>22751.31</v>
      </c>
      <c r="I22" s="200" t="str">
        <f t="shared" si="0"/>
        <v>CORRECTO</v>
      </c>
      <c r="J22" s="88" t="s">
        <v>3244</v>
      </c>
      <c r="K22" s="69" t="s">
        <v>362</v>
      </c>
      <c r="L22" s="84" t="s">
        <v>227</v>
      </c>
      <c r="M22" s="136">
        <v>45720</v>
      </c>
      <c r="N22" s="75" t="s">
        <v>790</v>
      </c>
      <c r="P22" s="89"/>
      <c r="Q22" s="89"/>
    </row>
    <row r="23" spans="1:17" x14ac:dyDescent="0.3">
      <c r="A23" s="16" t="s">
        <v>230</v>
      </c>
      <c r="B23" s="16" t="s">
        <v>684</v>
      </c>
      <c r="C23" s="28" t="s">
        <v>110</v>
      </c>
      <c r="D23" s="28" t="str">
        <f>IFERROR(VLOOKUP($C23,CUENTAS[],2,0),"")</f>
        <v>GASTOS FIJOS</v>
      </c>
      <c r="E23" s="28" t="str">
        <f>IFERROR(VLOOKUP($C23,CUENTAS[],3,0),"")</f>
        <v>MDE2025-002D</v>
      </c>
      <c r="F23" s="86">
        <v>7327.59</v>
      </c>
      <c r="G23" s="86">
        <v>1172.4100000000001</v>
      </c>
      <c r="H23" s="74">
        <v>8500</v>
      </c>
      <c r="I23" s="200" t="str">
        <f t="shared" si="0"/>
        <v>CORRECTO</v>
      </c>
      <c r="J23" s="88" t="s">
        <v>3244</v>
      </c>
      <c r="K23" s="69" t="s">
        <v>363</v>
      </c>
      <c r="L23" s="84" t="s">
        <v>227</v>
      </c>
      <c r="M23" s="136">
        <v>45722</v>
      </c>
      <c r="N23" s="75" t="s">
        <v>791</v>
      </c>
      <c r="P23" s="89"/>
      <c r="Q23" s="89"/>
    </row>
    <row r="24" spans="1:17" x14ac:dyDescent="0.3">
      <c r="A24" s="16" t="s">
        <v>325</v>
      </c>
      <c r="B24" s="16" t="s">
        <v>685</v>
      </c>
      <c r="C24" s="28" t="s">
        <v>19</v>
      </c>
      <c r="D24" s="28" t="str">
        <f>IFERROR(VLOOKUP($C24,CUENTAS[],2,0),"")</f>
        <v>DISEÑOS</v>
      </c>
      <c r="E24" s="28" t="str">
        <f>IFERROR(VLOOKUP($C24,CUENTAS[],3,0),"")</f>
        <v>MDE2025-001</v>
      </c>
      <c r="F24" s="86">
        <v>10000</v>
      </c>
      <c r="G24" s="86">
        <v>1600</v>
      </c>
      <c r="H24" s="74">
        <v>11600</v>
      </c>
      <c r="I24" s="200" t="str">
        <f t="shared" si="0"/>
        <v>CORRECTO</v>
      </c>
      <c r="J24" s="88" t="s">
        <v>3244</v>
      </c>
      <c r="K24" s="69" t="s">
        <v>406</v>
      </c>
      <c r="L24" s="84" t="s">
        <v>227</v>
      </c>
      <c r="M24" s="136">
        <v>45722</v>
      </c>
      <c r="N24" s="75" t="s">
        <v>792</v>
      </c>
      <c r="P24" s="89"/>
      <c r="Q24" s="89"/>
    </row>
    <row r="25" spans="1:17" x14ac:dyDescent="0.3">
      <c r="A25" s="16" t="s">
        <v>283</v>
      </c>
      <c r="B25" s="16">
        <v>2434580</v>
      </c>
      <c r="C25" s="28" t="s">
        <v>120</v>
      </c>
      <c r="D25" s="28" t="str">
        <f>IFERROR(VLOOKUP($C25,CUENTAS[],2,0),"")</f>
        <v>TOKA</v>
      </c>
      <c r="E25" s="28" t="str">
        <f>IFERROR(VLOOKUP($C25,CUENTAS[],3,0),"")</f>
        <v>TOK2025-001C</v>
      </c>
      <c r="F25" s="86">
        <v>300</v>
      </c>
      <c r="G25" s="86">
        <v>48</v>
      </c>
      <c r="H25" s="74">
        <v>348</v>
      </c>
      <c r="I25" s="200" t="str">
        <f t="shared" si="0"/>
        <v>CORRECTO</v>
      </c>
      <c r="J25" s="88" t="s">
        <v>3244</v>
      </c>
      <c r="K25" s="69" t="s">
        <v>363</v>
      </c>
      <c r="L25" s="84" t="s">
        <v>227</v>
      </c>
      <c r="M25" s="136">
        <v>45722</v>
      </c>
      <c r="N25" s="75" t="s">
        <v>570</v>
      </c>
      <c r="P25" s="89"/>
      <c r="Q25" s="89"/>
    </row>
    <row r="26" spans="1:17" x14ac:dyDescent="0.3">
      <c r="A26" s="16" t="s">
        <v>562</v>
      </c>
      <c r="B26" s="16" t="s">
        <v>686</v>
      </c>
      <c r="C26" s="28" t="s">
        <v>201</v>
      </c>
      <c r="D26" s="28" t="str">
        <f>IFERROR(VLOOKUP($C26,CUENTAS[],2,0),"")</f>
        <v>ACTIVOS FIJOS</v>
      </c>
      <c r="E26" s="28" t="str">
        <f>IFERROR(VLOOKUP($C26,CUENTAS[],3,0),"")</f>
        <v>MDE2025-007I</v>
      </c>
      <c r="F26" s="86">
        <v>11500</v>
      </c>
      <c r="G26" s="86">
        <v>0</v>
      </c>
      <c r="H26" s="74">
        <v>11500</v>
      </c>
      <c r="I26" s="200" t="str">
        <f t="shared" si="0"/>
        <v>CORRECTO</v>
      </c>
      <c r="J26" s="88" t="s">
        <v>3244</v>
      </c>
      <c r="K26" s="69" t="s">
        <v>360</v>
      </c>
      <c r="L26" s="84" t="s">
        <v>227</v>
      </c>
      <c r="M26" s="136">
        <v>45723</v>
      </c>
      <c r="N26" s="75" t="s">
        <v>371</v>
      </c>
      <c r="P26" s="89"/>
      <c r="Q26" s="89"/>
    </row>
    <row r="27" spans="1:17" x14ac:dyDescent="0.3">
      <c r="A27" s="16" t="s">
        <v>236</v>
      </c>
      <c r="B27" s="16" t="s">
        <v>269</v>
      </c>
      <c r="C27" s="28" t="s">
        <v>201</v>
      </c>
      <c r="D27" s="28" t="str">
        <f>IFERROR(VLOOKUP($C27,CUENTAS[],2,0),"")</f>
        <v>ACTIVOS FIJOS</v>
      </c>
      <c r="E27" s="28" t="str">
        <f>IFERROR(VLOOKUP($C27,CUENTAS[],3,0),"")</f>
        <v>MDE2025-007I</v>
      </c>
      <c r="F27" s="86">
        <v>3500</v>
      </c>
      <c r="G27" s="86">
        <v>0</v>
      </c>
      <c r="H27" s="74">
        <v>3500</v>
      </c>
      <c r="I27" s="200" t="str">
        <f t="shared" si="0"/>
        <v>CORRECTO</v>
      </c>
      <c r="J27" s="88" t="s">
        <v>3244</v>
      </c>
      <c r="K27" s="69" t="s">
        <v>365</v>
      </c>
      <c r="L27" s="84" t="s">
        <v>227</v>
      </c>
      <c r="M27" s="136">
        <v>45723</v>
      </c>
      <c r="N27" s="75" t="s">
        <v>371</v>
      </c>
      <c r="P27" s="89"/>
      <c r="Q27" s="89"/>
    </row>
    <row r="28" spans="1:17" x14ac:dyDescent="0.3">
      <c r="A28" s="16" t="s">
        <v>238</v>
      </c>
      <c r="B28" s="16" t="s">
        <v>269</v>
      </c>
      <c r="C28" s="28" t="s">
        <v>201</v>
      </c>
      <c r="D28" s="28" t="str">
        <f>IFERROR(VLOOKUP($C28,CUENTAS[],2,0),"")</f>
        <v>ACTIVOS FIJOS</v>
      </c>
      <c r="E28" s="28" t="str">
        <f>IFERROR(VLOOKUP($C28,CUENTAS[],3,0),"")</f>
        <v>MDE2025-007I</v>
      </c>
      <c r="F28" s="86">
        <v>3200</v>
      </c>
      <c r="G28" s="86">
        <v>0</v>
      </c>
      <c r="H28" s="74">
        <v>3200</v>
      </c>
      <c r="I28" s="200" t="str">
        <f t="shared" si="0"/>
        <v>CORRECTO</v>
      </c>
      <c r="J28" s="88" t="s">
        <v>3244</v>
      </c>
      <c r="K28" s="69" t="s">
        <v>365</v>
      </c>
      <c r="L28" s="84" t="s">
        <v>227</v>
      </c>
      <c r="M28" s="136">
        <v>45723</v>
      </c>
      <c r="N28" s="75" t="s">
        <v>371</v>
      </c>
      <c r="P28" s="89"/>
      <c r="Q28" s="89"/>
    </row>
    <row r="29" spans="1:17" x14ac:dyDescent="0.3">
      <c r="A29" s="16" t="s">
        <v>240</v>
      </c>
      <c r="B29" s="16" t="s">
        <v>687</v>
      </c>
      <c r="C29" s="28" t="s">
        <v>223</v>
      </c>
      <c r="D29" s="28" t="str">
        <f>IFERROR(VLOOKUP($C29,CUENTAS[],2,0),"")</f>
        <v>MANTENIMIENTO</v>
      </c>
      <c r="E29" s="28" t="str">
        <f>IFERROR(VLOOKUP($C29,CUENTAS[],3,0),"")</f>
        <v>MDE2025-009B</v>
      </c>
      <c r="F29" s="86">
        <v>2500</v>
      </c>
      <c r="G29" s="86">
        <v>0</v>
      </c>
      <c r="H29" s="74">
        <v>2500</v>
      </c>
      <c r="I29" s="200" t="str">
        <f t="shared" si="0"/>
        <v>CORRECTO</v>
      </c>
      <c r="J29" s="88" t="s">
        <v>3244</v>
      </c>
      <c r="K29" s="69" t="s">
        <v>360</v>
      </c>
      <c r="L29" s="84" t="s">
        <v>227</v>
      </c>
      <c r="M29" s="136">
        <v>45723</v>
      </c>
      <c r="N29" s="75" t="s">
        <v>371</v>
      </c>
      <c r="P29" s="89"/>
      <c r="Q29" s="89"/>
    </row>
    <row r="30" spans="1:17" x14ac:dyDescent="0.3">
      <c r="A30" s="16" t="s">
        <v>244</v>
      </c>
      <c r="B30" s="16" t="s">
        <v>688</v>
      </c>
      <c r="C30" s="28" t="s">
        <v>223</v>
      </c>
      <c r="D30" s="28" t="str">
        <f>IFERROR(VLOOKUP($C30,CUENTAS[],2,0),"")</f>
        <v>MANTENIMIENTO</v>
      </c>
      <c r="E30" s="28" t="str">
        <f>IFERROR(VLOOKUP($C30,CUENTAS[],3,0),"")</f>
        <v>MDE2025-009B</v>
      </c>
      <c r="F30" s="86">
        <v>1200</v>
      </c>
      <c r="G30" s="86">
        <v>0</v>
      </c>
      <c r="H30" s="74">
        <v>1200</v>
      </c>
      <c r="I30" s="200" t="str">
        <f t="shared" si="0"/>
        <v>CORRECTO</v>
      </c>
      <c r="J30" s="88" t="s">
        <v>3244</v>
      </c>
      <c r="K30" s="69" t="s">
        <v>360</v>
      </c>
      <c r="L30" s="84" t="s">
        <v>227</v>
      </c>
      <c r="M30" s="136">
        <v>45723</v>
      </c>
      <c r="N30" s="75" t="s">
        <v>371</v>
      </c>
      <c r="P30" s="89"/>
      <c r="Q30" s="89"/>
    </row>
    <row r="31" spans="1:17" x14ac:dyDescent="0.3">
      <c r="A31" s="16" t="s">
        <v>244</v>
      </c>
      <c r="B31" s="16" t="s">
        <v>689</v>
      </c>
      <c r="C31" s="28" t="s">
        <v>223</v>
      </c>
      <c r="D31" s="28" t="str">
        <f>IFERROR(VLOOKUP($C31,CUENTAS[],2,0),"")</f>
        <v>MANTENIMIENTO</v>
      </c>
      <c r="E31" s="28" t="str">
        <f>IFERROR(VLOOKUP($C31,CUENTAS[],3,0),"")</f>
        <v>MDE2025-009B</v>
      </c>
      <c r="F31" s="86">
        <v>300</v>
      </c>
      <c r="G31" s="86">
        <v>0</v>
      </c>
      <c r="H31" s="74">
        <v>300</v>
      </c>
      <c r="I31" s="200" t="str">
        <f t="shared" si="0"/>
        <v>CORRECTO</v>
      </c>
      <c r="J31" s="88" t="s">
        <v>3244</v>
      </c>
      <c r="K31" s="69" t="s">
        <v>360</v>
      </c>
      <c r="L31" s="84" t="s">
        <v>227</v>
      </c>
      <c r="M31" s="136">
        <v>45723</v>
      </c>
      <c r="N31" s="75" t="s">
        <v>371</v>
      </c>
      <c r="P31" s="89"/>
      <c r="Q31" s="89"/>
    </row>
    <row r="32" spans="1:17" x14ac:dyDescent="0.3">
      <c r="A32" s="16" t="s">
        <v>244</v>
      </c>
      <c r="B32" s="16" t="s">
        <v>690</v>
      </c>
      <c r="C32" s="28" t="s">
        <v>223</v>
      </c>
      <c r="D32" s="28" t="str">
        <f>IFERROR(VLOOKUP($C32,CUENTAS[],2,0),"")</f>
        <v>MANTENIMIENTO</v>
      </c>
      <c r="E32" s="28" t="str">
        <f>IFERROR(VLOOKUP($C32,CUENTAS[],3,0),"")</f>
        <v>MDE2025-009B</v>
      </c>
      <c r="F32" s="86">
        <v>300</v>
      </c>
      <c r="G32" s="86">
        <v>0</v>
      </c>
      <c r="H32" s="74">
        <v>300</v>
      </c>
      <c r="I32" s="200" t="str">
        <f t="shared" si="0"/>
        <v>CORRECTO</v>
      </c>
      <c r="J32" s="88" t="s">
        <v>3244</v>
      </c>
      <c r="K32" s="69" t="s">
        <v>360</v>
      </c>
      <c r="L32" s="84" t="s">
        <v>227</v>
      </c>
      <c r="M32" s="136">
        <v>45723</v>
      </c>
      <c r="N32" s="75" t="s">
        <v>371</v>
      </c>
      <c r="P32" s="89"/>
      <c r="Q32" s="89"/>
    </row>
    <row r="33" spans="1:17" x14ac:dyDescent="0.3">
      <c r="A33" s="16" t="s">
        <v>244</v>
      </c>
      <c r="B33" s="16" t="s">
        <v>691</v>
      </c>
      <c r="C33" s="28" t="s">
        <v>201</v>
      </c>
      <c r="D33" s="28" t="str">
        <f>IFERROR(VLOOKUP($C33,CUENTAS[],2,0),"")</f>
        <v>ACTIVOS FIJOS</v>
      </c>
      <c r="E33" s="28" t="str">
        <f>IFERROR(VLOOKUP($C33,CUENTAS[],3,0),"")</f>
        <v>MDE2025-007I</v>
      </c>
      <c r="F33" s="86">
        <v>2000</v>
      </c>
      <c r="G33" s="86">
        <v>0</v>
      </c>
      <c r="H33" s="74">
        <v>2000</v>
      </c>
      <c r="I33" s="200" t="str">
        <f t="shared" si="0"/>
        <v>CORRECTO</v>
      </c>
      <c r="J33" s="88" t="s">
        <v>3244</v>
      </c>
      <c r="K33" s="69" t="s">
        <v>360</v>
      </c>
      <c r="L33" s="84" t="s">
        <v>227</v>
      </c>
      <c r="M33" s="136">
        <v>45723</v>
      </c>
      <c r="N33" s="75" t="s">
        <v>371</v>
      </c>
      <c r="P33" s="89"/>
      <c r="Q33" s="89"/>
    </row>
    <row r="34" spans="1:17" x14ac:dyDescent="0.3">
      <c r="A34" s="16" t="s">
        <v>692</v>
      </c>
      <c r="B34" s="16" t="s">
        <v>693</v>
      </c>
      <c r="C34" s="28" t="s">
        <v>224</v>
      </c>
      <c r="D34" s="28" t="str">
        <f>IFERROR(VLOOKUP($C34,CUENTAS[],2,0),"")</f>
        <v>MATERIALES</v>
      </c>
      <c r="E34" s="28" t="str">
        <f>IFERROR(VLOOKUP($C34,CUENTAS[],3,0),"")</f>
        <v>MDE2025-004</v>
      </c>
      <c r="F34" s="86">
        <v>1050</v>
      </c>
      <c r="G34" s="86">
        <v>168</v>
      </c>
      <c r="H34" s="74">
        <v>1218</v>
      </c>
      <c r="I34" s="200" t="str">
        <f t="shared" si="0"/>
        <v>CORRECTO</v>
      </c>
      <c r="J34" s="88" t="s">
        <v>3244</v>
      </c>
      <c r="K34" s="69" t="s">
        <v>407</v>
      </c>
      <c r="L34" s="84" t="s">
        <v>227</v>
      </c>
      <c r="M34" s="136">
        <v>45727</v>
      </c>
      <c r="N34" s="75" t="s">
        <v>793</v>
      </c>
      <c r="P34" s="89"/>
      <c r="Q34" s="89"/>
    </row>
    <row r="35" spans="1:17" x14ac:dyDescent="0.3">
      <c r="A35" s="16" t="s">
        <v>694</v>
      </c>
      <c r="B35" s="16" t="s">
        <v>695</v>
      </c>
      <c r="C35" s="28" t="s">
        <v>113</v>
      </c>
      <c r="D35" s="28" t="str">
        <f>IFERROR(VLOOKUP($C35,CUENTAS[],2,0),"")</f>
        <v>GASTOS VARIOS</v>
      </c>
      <c r="E35" s="28" t="str">
        <f>IFERROR(VLOOKUP($C35,CUENTAS[],3,0),"")</f>
        <v>MDE2025-003B</v>
      </c>
      <c r="F35" s="86">
        <v>1500</v>
      </c>
      <c r="G35" s="86">
        <v>0</v>
      </c>
      <c r="H35" s="74">
        <v>1500</v>
      </c>
      <c r="I35" s="200" t="str">
        <f t="shared" si="0"/>
        <v>CORRECTO</v>
      </c>
      <c r="J35" s="88" t="s">
        <v>3244</v>
      </c>
      <c r="K35" s="69" t="s">
        <v>774</v>
      </c>
      <c r="L35" s="84" t="s">
        <v>227</v>
      </c>
      <c r="M35" s="136">
        <v>45727</v>
      </c>
      <c r="N35" s="75" t="s">
        <v>584</v>
      </c>
      <c r="P35" s="89"/>
      <c r="Q35" s="89"/>
    </row>
    <row r="36" spans="1:17" x14ac:dyDescent="0.3">
      <c r="A36" s="16" t="s">
        <v>310</v>
      </c>
      <c r="B36" s="16" t="s">
        <v>696</v>
      </c>
      <c r="C36" s="28" t="s">
        <v>224</v>
      </c>
      <c r="D36" s="28" t="str">
        <f>IFERROR(VLOOKUP($C36,CUENTAS[],2,0),"")</f>
        <v>MATERIALES</v>
      </c>
      <c r="E36" s="28" t="str">
        <f>IFERROR(VLOOKUP($C36,CUENTAS[],3,0),"")</f>
        <v>MDE2025-004</v>
      </c>
      <c r="F36" s="86">
        <v>1897.45</v>
      </c>
      <c r="G36" s="86">
        <v>303.58999999999997</v>
      </c>
      <c r="H36" s="74">
        <v>2201.04</v>
      </c>
      <c r="I36" s="200" t="str">
        <f t="shared" si="0"/>
        <v>CORRECTO</v>
      </c>
      <c r="J36" s="88" t="s">
        <v>3244</v>
      </c>
      <c r="K36" s="69" t="s">
        <v>363</v>
      </c>
      <c r="L36" s="84" t="s">
        <v>227</v>
      </c>
      <c r="M36" s="136">
        <v>45727</v>
      </c>
      <c r="N36" s="75" t="s">
        <v>794</v>
      </c>
      <c r="P36" s="89"/>
      <c r="Q36" s="89"/>
    </row>
    <row r="37" spans="1:17" x14ac:dyDescent="0.3">
      <c r="A37" s="16" t="s">
        <v>662</v>
      </c>
      <c r="B37" s="16" t="s">
        <v>697</v>
      </c>
      <c r="C37" s="28" t="s">
        <v>19</v>
      </c>
      <c r="D37" s="28" t="str">
        <f>IFERROR(VLOOKUP($C37,CUENTAS[],2,0),"")</f>
        <v>DISEÑOS</v>
      </c>
      <c r="E37" s="28" t="str">
        <f>IFERROR(VLOOKUP($C37,CUENTAS[],3,0),"")</f>
        <v>MDE2025-001</v>
      </c>
      <c r="F37" s="86">
        <v>125</v>
      </c>
      <c r="G37" s="86">
        <v>0</v>
      </c>
      <c r="H37" s="74">
        <v>125</v>
      </c>
      <c r="I37" s="200" t="str">
        <f t="shared" si="0"/>
        <v>CORRECTO</v>
      </c>
      <c r="J37" s="88" t="s">
        <v>3244</v>
      </c>
      <c r="K37" s="69" t="s">
        <v>774</v>
      </c>
      <c r="L37" s="84" t="s">
        <v>227</v>
      </c>
      <c r="M37" s="136">
        <v>45727</v>
      </c>
      <c r="N37" s="75" t="s">
        <v>368</v>
      </c>
      <c r="P37" s="89"/>
      <c r="Q37" s="89"/>
    </row>
    <row r="38" spans="1:17" x14ac:dyDescent="0.3">
      <c r="A38" s="16" t="s">
        <v>682</v>
      </c>
      <c r="B38" s="16" t="s">
        <v>698</v>
      </c>
      <c r="C38" s="28" t="s">
        <v>109</v>
      </c>
      <c r="D38" s="28" t="str">
        <f>IFERROR(VLOOKUP($C38,CUENTAS[],2,0),"")</f>
        <v>LOGÍSTICA</v>
      </c>
      <c r="E38" s="28" t="str">
        <f>IFERROR(VLOOKUP($C38,CUENTAS[],3,0),"")</f>
        <v>MDE2025-006A</v>
      </c>
      <c r="F38" s="86">
        <v>23954</v>
      </c>
      <c r="G38" s="86">
        <v>3832.64</v>
      </c>
      <c r="H38" s="74">
        <v>27786.639999999999</v>
      </c>
      <c r="I38" s="200" t="str">
        <f t="shared" si="0"/>
        <v>CORRECTO</v>
      </c>
      <c r="J38" s="88" t="s">
        <v>3244</v>
      </c>
      <c r="K38" s="69" t="s">
        <v>362</v>
      </c>
      <c r="L38" s="84" t="s">
        <v>227</v>
      </c>
      <c r="M38" s="136">
        <v>45727</v>
      </c>
      <c r="N38" s="75" t="s">
        <v>795</v>
      </c>
      <c r="P38" s="89"/>
      <c r="Q38" s="89"/>
    </row>
    <row r="39" spans="1:17" x14ac:dyDescent="0.3">
      <c r="A39" s="16" t="s">
        <v>277</v>
      </c>
      <c r="B39" s="16" t="s">
        <v>699</v>
      </c>
      <c r="C39" s="28" t="s">
        <v>222</v>
      </c>
      <c r="D39" s="28" t="str">
        <f>IFERROR(VLOOKUP($C39,CUENTAS[],2,0),"")</f>
        <v>MANTENIMIENTO</v>
      </c>
      <c r="E39" s="28" t="str">
        <f>IFERROR(VLOOKUP($C39,CUENTAS[],3,0),"")</f>
        <v>MDE2025-009A</v>
      </c>
      <c r="F39" s="86">
        <v>2650</v>
      </c>
      <c r="G39" s="86">
        <v>0</v>
      </c>
      <c r="H39" s="74">
        <v>2650</v>
      </c>
      <c r="I39" s="200" t="str">
        <f t="shared" si="0"/>
        <v>CORRECTO</v>
      </c>
      <c r="J39" s="88" t="s">
        <v>3244</v>
      </c>
      <c r="K39" s="69" t="s">
        <v>363</v>
      </c>
      <c r="L39" s="84" t="s">
        <v>227</v>
      </c>
      <c r="M39" s="136">
        <v>45727</v>
      </c>
      <c r="N39" s="75" t="s">
        <v>796</v>
      </c>
      <c r="P39" s="89"/>
      <c r="Q39" s="89"/>
    </row>
    <row r="40" spans="1:17" x14ac:dyDescent="0.3">
      <c r="A40" s="16" t="s">
        <v>700</v>
      </c>
      <c r="B40" s="16" t="s">
        <v>701</v>
      </c>
      <c r="C40" s="28" t="s">
        <v>19</v>
      </c>
      <c r="D40" s="28" t="str">
        <f>IFERROR(VLOOKUP($C40,CUENTAS[],2,0),"")</f>
        <v>DISEÑOS</v>
      </c>
      <c r="E40" s="28" t="str">
        <f>IFERROR(VLOOKUP($C40,CUENTAS[],3,0),"")</f>
        <v>MDE2025-001</v>
      </c>
      <c r="F40" s="86">
        <v>382.76</v>
      </c>
      <c r="G40" s="86">
        <v>61.24</v>
      </c>
      <c r="H40" s="74">
        <v>444</v>
      </c>
      <c r="I40" s="200" t="str">
        <f t="shared" si="0"/>
        <v>CORRECTO</v>
      </c>
      <c r="J40" s="88" t="s">
        <v>3244</v>
      </c>
      <c r="K40" s="69" t="s">
        <v>774</v>
      </c>
      <c r="L40" s="84" t="s">
        <v>227</v>
      </c>
      <c r="M40" s="136">
        <v>45727</v>
      </c>
      <c r="N40" s="75" t="s">
        <v>797</v>
      </c>
      <c r="P40" s="89"/>
      <c r="Q40" s="89"/>
    </row>
    <row r="41" spans="1:17" x14ac:dyDescent="0.3">
      <c r="A41" s="16" t="s">
        <v>666</v>
      </c>
      <c r="B41" s="16" t="s">
        <v>702</v>
      </c>
      <c r="C41" s="28" t="s">
        <v>224</v>
      </c>
      <c r="D41" s="28" t="str">
        <f>IFERROR(VLOOKUP($C41,CUENTAS[],2,0),"")</f>
        <v>MATERIALES</v>
      </c>
      <c r="E41" s="28" t="str">
        <f>IFERROR(VLOOKUP($C41,CUENTAS[],3,0),"")</f>
        <v>MDE2025-004</v>
      </c>
      <c r="F41" s="86">
        <v>4962.5</v>
      </c>
      <c r="G41" s="86">
        <v>794</v>
      </c>
      <c r="H41" s="74">
        <v>5756.5</v>
      </c>
      <c r="I41" s="200" t="str">
        <f t="shared" si="0"/>
        <v>CORRECTO</v>
      </c>
      <c r="J41" s="88" t="s">
        <v>3244</v>
      </c>
      <c r="K41" s="69" t="s">
        <v>407</v>
      </c>
      <c r="L41" s="84" t="s">
        <v>227</v>
      </c>
      <c r="M41" s="136">
        <v>45727</v>
      </c>
      <c r="N41" s="75" t="s">
        <v>798</v>
      </c>
      <c r="P41" s="89"/>
      <c r="Q41" s="89"/>
    </row>
    <row r="42" spans="1:17" x14ac:dyDescent="0.3">
      <c r="A42" s="16" t="s">
        <v>281</v>
      </c>
      <c r="B42" s="16" t="s">
        <v>703</v>
      </c>
      <c r="C42" s="28" t="s">
        <v>128</v>
      </c>
      <c r="D42" s="28" t="str">
        <f>IFERROR(VLOOKUP($C42,CUENTAS[],2,0),"")</f>
        <v>GASTOS FIJOS</v>
      </c>
      <c r="E42" s="28" t="str">
        <f>IFERROR(VLOOKUP($C42,CUENTAS[],3,0),"")</f>
        <v>MDE2025-002I</v>
      </c>
      <c r="F42" s="86">
        <v>8000</v>
      </c>
      <c r="G42" s="86">
        <v>0</v>
      </c>
      <c r="H42" s="74">
        <v>8000</v>
      </c>
      <c r="I42" s="200" t="str">
        <f t="shared" si="0"/>
        <v>CORRECTO</v>
      </c>
      <c r="J42" s="88" t="s">
        <v>3244</v>
      </c>
      <c r="K42" s="69" t="s">
        <v>363</v>
      </c>
      <c r="L42" s="84" t="s">
        <v>227</v>
      </c>
      <c r="M42" s="136">
        <v>45727</v>
      </c>
      <c r="N42" s="75" t="s">
        <v>371</v>
      </c>
      <c r="P42" s="89"/>
      <c r="Q42" s="89"/>
    </row>
    <row r="43" spans="1:17" x14ac:dyDescent="0.3">
      <c r="A43" s="16" t="s">
        <v>275</v>
      </c>
      <c r="B43" s="16" t="s">
        <v>704</v>
      </c>
      <c r="C43" s="28" t="s">
        <v>121</v>
      </c>
      <c r="D43" s="28" t="str">
        <f>IFERROR(VLOOKUP($C43,CUENTAS[],2,0),"")</f>
        <v>GASTOS FIJOS</v>
      </c>
      <c r="E43" s="28" t="str">
        <f>IFERROR(VLOOKUP($C43,CUENTAS[],3,0),"")</f>
        <v>MDE2025-002K</v>
      </c>
      <c r="F43" s="86">
        <v>15525</v>
      </c>
      <c r="G43" s="86">
        <v>2484</v>
      </c>
      <c r="H43" s="74">
        <v>18009</v>
      </c>
      <c r="I43" s="200" t="str">
        <f t="shared" si="0"/>
        <v>CORRECTO</v>
      </c>
      <c r="J43" s="88" t="s">
        <v>3244</v>
      </c>
      <c r="K43" s="69" t="s">
        <v>363</v>
      </c>
      <c r="L43" s="84" t="s">
        <v>227</v>
      </c>
      <c r="M43" s="136">
        <v>45727</v>
      </c>
      <c r="N43" s="75" t="s">
        <v>799</v>
      </c>
      <c r="P43" s="89"/>
      <c r="Q43" s="89"/>
    </row>
    <row r="44" spans="1:17" x14ac:dyDescent="0.3">
      <c r="A44" s="16" t="s">
        <v>705</v>
      </c>
      <c r="B44" s="16" t="s">
        <v>706</v>
      </c>
      <c r="C44" s="28" t="s">
        <v>224</v>
      </c>
      <c r="D44" s="28" t="str">
        <f>IFERROR(VLOOKUP($C44,CUENTAS[],2,0),"")</f>
        <v>MATERIALES</v>
      </c>
      <c r="E44" s="28" t="str">
        <f>IFERROR(VLOOKUP($C44,CUENTAS[],3,0),"")</f>
        <v>MDE2025-004</v>
      </c>
      <c r="F44" s="86">
        <v>862.07</v>
      </c>
      <c r="G44" s="86">
        <v>137.93</v>
      </c>
      <c r="H44" s="74">
        <v>1000</v>
      </c>
      <c r="I44" s="200" t="str">
        <f t="shared" si="0"/>
        <v>CORRECTO</v>
      </c>
      <c r="J44" s="88" t="s">
        <v>3244</v>
      </c>
      <c r="K44" s="69" t="s">
        <v>407</v>
      </c>
      <c r="L44" s="84" t="s">
        <v>227</v>
      </c>
      <c r="M44" s="136">
        <v>45727</v>
      </c>
      <c r="N44" s="75" t="s">
        <v>800</v>
      </c>
      <c r="P44" s="89"/>
      <c r="Q44" s="89"/>
    </row>
    <row r="45" spans="1:17" x14ac:dyDescent="0.3">
      <c r="A45" s="16" t="s">
        <v>682</v>
      </c>
      <c r="B45" s="16" t="s">
        <v>707</v>
      </c>
      <c r="C45" s="28" t="s">
        <v>109</v>
      </c>
      <c r="D45" s="28" t="str">
        <f>IFERROR(VLOOKUP($C45,CUENTAS[],2,0),"")</f>
        <v>LOGÍSTICA</v>
      </c>
      <c r="E45" s="28" t="str">
        <f>IFERROR(VLOOKUP($C45,CUENTAS[],3,0),"")</f>
        <v>MDE2025-006A</v>
      </c>
      <c r="F45" s="86">
        <v>9806.61</v>
      </c>
      <c r="G45" s="86">
        <v>1569.05</v>
      </c>
      <c r="H45" s="74">
        <v>11375.66</v>
      </c>
      <c r="I45" s="200" t="str">
        <f t="shared" si="0"/>
        <v>CORRECTO</v>
      </c>
      <c r="J45" s="88" t="s">
        <v>3244</v>
      </c>
      <c r="K45" s="69" t="s">
        <v>362</v>
      </c>
      <c r="L45" s="84" t="s">
        <v>227</v>
      </c>
      <c r="M45" s="136">
        <v>45729</v>
      </c>
      <c r="N45" s="75" t="s">
        <v>801</v>
      </c>
      <c r="P45" s="89"/>
      <c r="Q45" s="89"/>
    </row>
    <row r="46" spans="1:17" x14ac:dyDescent="0.3">
      <c r="A46" s="16" t="s">
        <v>511</v>
      </c>
      <c r="B46" s="16" t="s">
        <v>708</v>
      </c>
      <c r="C46" s="28" t="s">
        <v>167</v>
      </c>
      <c r="D46" s="28" t="str">
        <f>IFERROR(VLOOKUP($C46,CUENTAS[],2,0),"")</f>
        <v>LOGÍSTICA</v>
      </c>
      <c r="E46" s="28" t="str">
        <f>IFERROR(VLOOKUP($C46,CUENTAS[],3,0),"")</f>
        <v>MDE2025-006D</v>
      </c>
      <c r="F46" s="86">
        <v>950</v>
      </c>
      <c r="G46" s="86">
        <v>0</v>
      </c>
      <c r="H46" s="74">
        <v>950</v>
      </c>
      <c r="I46" s="200" t="str">
        <f t="shared" si="0"/>
        <v>CORRECTO</v>
      </c>
      <c r="J46" s="88" t="s">
        <v>3244</v>
      </c>
      <c r="K46" s="69" t="s">
        <v>362</v>
      </c>
      <c r="L46" s="84" t="s">
        <v>227</v>
      </c>
      <c r="M46" s="136">
        <v>45729</v>
      </c>
      <c r="N46" s="75" t="s">
        <v>371</v>
      </c>
      <c r="P46" s="89"/>
      <c r="Q46" s="89"/>
    </row>
    <row r="47" spans="1:17" x14ac:dyDescent="0.3">
      <c r="A47" s="16" t="s">
        <v>288</v>
      </c>
      <c r="B47" s="16" t="s">
        <v>709</v>
      </c>
      <c r="C47" s="28" t="s">
        <v>151</v>
      </c>
      <c r="D47" s="28" t="str">
        <f>IFERROR(VLOOKUP($C47,CUENTAS[],2,0),"")</f>
        <v>GASTOS FIJOS</v>
      </c>
      <c r="E47" s="28" t="str">
        <f>IFERROR(VLOOKUP($C47,CUENTAS[],3,0),"")</f>
        <v>MDE2025-002F</v>
      </c>
      <c r="F47" s="86">
        <v>1598</v>
      </c>
      <c r="G47" s="86">
        <v>0</v>
      </c>
      <c r="H47" s="74">
        <v>1598</v>
      </c>
      <c r="I47" s="200" t="str">
        <f t="shared" si="0"/>
        <v>CORRECTO</v>
      </c>
      <c r="J47" s="88" t="s">
        <v>3244</v>
      </c>
      <c r="K47" s="69" t="s">
        <v>363</v>
      </c>
      <c r="L47" s="84" t="s">
        <v>227</v>
      </c>
      <c r="M47" s="136">
        <v>45729</v>
      </c>
      <c r="N47" s="75" t="s">
        <v>802</v>
      </c>
      <c r="P47" s="89"/>
      <c r="Q47" s="89"/>
    </row>
    <row r="48" spans="1:17" x14ac:dyDescent="0.3">
      <c r="A48" s="16" t="s">
        <v>341</v>
      </c>
      <c r="B48" s="16" t="s">
        <v>710</v>
      </c>
      <c r="C48" s="28" t="s">
        <v>140</v>
      </c>
      <c r="D48" s="28" t="str">
        <f>IFERROR(VLOOKUP($C48,CUENTAS[],2,0),"")</f>
        <v>LOGÍSTICA</v>
      </c>
      <c r="E48" s="28" t="str">
        <f>IFERROR(VLOOKUP($C48,CUENTAS[],3,0),"")</f>
        <v>MDE2025-006B</v>
      </c>
      <c r="F48" s="86">
        <v>300</v>
      </c>
      <c r="G48" s="86">
        <v>0</v>
      </c>
      <c r="H48" s="74">
        <v>300</v>
      </c>
      <c r="I48" s="200" t="str">
        <f t="shared" si="0"/>
        <v>CORRECTO</v>
      </c>
      <c r="J48" s="88" t="s">
        <v>3244</v>
      </c>
      <c r="K48" s="69" t="s">
        <v>362</v>
      </c>
      <c r="L48" s="84" t="s">
        <v>227</v>
      </c>
      <c r="M48" s="136">
        <v>45729</v>
      </c>
      <c r="N48" s="75" t="s">
        <v>803</v>
      </c>
      <c r="P48" s="89"/>
      <c r="Q48" s="89"/>
    </row>
    <row r="49" spans="1:17" x14ac:dyDescent="0.3">
      <c r="A49" s="16" t="s">
        <v>236</v>
      </c>
      <c r="B49" s="16" t="s">
        <v>711</v>
      </c>
      <c r="C49" s="28" t="s">
        <v>201</v>
      </c>
      <c r="D49" s="28" t="str">
        <f>IFERROR(VLOOKUP($C49,CUENTAS[],2,0),"")</f>
        <v>ACTIVOS FIJOS</v>
      </c>
      <c r="E49" s="28" t="str">
        <f>IFERROR(VLOOKUP($C49,CUENTAS[],3,0),"")</f>
        <v>MDE2025-007I</v>
      </c>
      <c r="F49" s="86">
        <v>3500</v>
      </c>
      <c r="G49" s="86">
        <v>0</v>
      </c>
      <c r="H49" s="74">
        <v>3500</v>
      </c>
      <c r="I49" s="200" t="str">
        <f t="shared" si="0"/>
        <v>CORRECTO</v>
      </c>
      <c r="J49" s="88" t="s">
        <v>3244</v>
      </c>
      <c r="K49" s="69" t="s">
        <v>365</v>
      </c>
      <c r="L49" s="84" t="s">
        <v>227</v>
      </c>
      <c r="M49" s="136">
        <v>45730</v>
      </c>
      <c r="N49" s="75" t="s">
        <v>371</v>
      </c>
      <c r="P49" s="89"/>
      <c r="Q49" s="89"/>
    </row>
    <row r="50" spans="1:17" x14ac:dyDescent="0.3">
      <c r="A50" s="16" t="s">
        <v>238</v>
      </c>
      <c r="B50" s="16" t="s">
        <v>711</v>
      </c>
      <c r="C50" s="28" t="s">
        <v>201</v>
      </c>
      <c r="D50" s="28" t="str">
        <f>IFERROR(VLOOKUP($C50,CUENTAS[],2,0),"")</f>
        <v>ACTIVOS FIJOS</v>
      </c>
      <c r="E50" s="28" t="str">
        <f>IFERROR(VLOOKUP($C50,CUENTAS[],3,0),"")</f>
        <v>MDE2025-007I</v>
      </c>
      <c r="F50" s="86">
        <v>3200</v>
      </c>
      <c r="G50" s="86">
        <v>0</v>
      </c>
      <c r="H50" s="74">
        <v>3200</v>
      </c>
      <c r="I50" s="200" t="str">
        <f t="shared" si="0"/>
        <v>CORRECTO</v>
      </c>
      <c r="J50" s="88" t="s">
        <v>3244</v>
      </c>
      <c r="K50" s="69" t="s">
        <v>365</v>
      </c>
      <c r="L50" s="84" t="s">
        <v>227</v>
      </c>
      <c r="M50" s="136">
        <v>45730</v>
      </c>
      <c r="N50" s="75" t="s">
        <v>371</v>
      </c>
      <c r="P50" s="89"/>
      <c r="Q50" s="89"/>
    </row>
    <row r="51" spans="1:17" x14ac:dyDescent="0.3">
      <c r="A51" s="16" t="s">
        <v>232</v>
      </c>
      <c r="B51" s="16" t="s">
        <v>712</v>
      </c>
      <c r="C51" s="28" t="s">
        <v>224</v>
      </c>
      <c r="D51" s="28" t="str">
        <f>IFERROR(VLOOKUP($C51,CUENTAS[],2,0),"")</f>
        <v>MATERIALES</v>
      </c>
      <c r="E51" s="28" t="str">
        <f>IFERROR(VLOOKUP($C51,CUENTAS[],3,0),"")</f>
        <v>MDE2025-004</v>
      </c>
      <c r="F51" s="86">
        <v>97017.29</v>
      </c>
      <c r="G51" s="86">
        <v>15522.76</v>
      </c>
      <c r="H51" s="74">
        <v>112540.05</v>
      </c>
      <c r="I51" s="200" t="str">
        <f t="shared" si="0"/>
        <v>CORRECTO</v>
      </c>
      <c r="J51" s="88" t="s">
        <v>3244</v>
      </c>
      <c r="K51" s="69" t="s">
        <v>407</v>
      </c>
      <c r="L51" s="84" t="s">
        <v>227</v>
      </c>
      <c r="M51" s="136">
        <v>45730</v>
      </c>
      <c r="N51" s="75" t="s">
        <v>831</v>
      </c>
      <c r="P51" s="89"/>
      <c r="Q51" s="89"/>
    </row>
    <row r="52" spans="1:17" x14ac:dyDescent="0.3">
      <c r="A52" s="16" t="s">
        <v>666</v>
      </c>
      <c r="B52" s="16" t="s">
        <v>713</v>
      </c>
      <c r="C52" s="28" t="s">
        <v>224</v>
      </c>
      <c r="D52" s="28" t="str">
        <f>IFERROR(VLOOKUP($C52,CUENTAS[],2,0),"")</f>
        <v>MATERIALES</v>
      </c>
      <c r="E52" s="28" t="str">
        <f>IFERROR(VLOOKUP($C52,CUENTAS[],3,0),"")</f>
        <v>MDE2025-004</v>
      </c>
      <c r="F52" s="86">
        <v>10177.17</v>
      </c>
      <c r="G52" s="86">
        <v>1628.33</v>
      </c>
      <c r="H52" s="74">
        <v>11805.5</v>
      </c>
      <c r="I52" s="200" t="str">
        <f t="shared" si="0"/>
        <v>CORRECTO</v>
      </c>
      <c r="J52" s="88" t="s">
        <v>3244</v>
      </c>
      <c r="K52" s="69" t="s">
        <v>407</v>
      </c>
      <c r="L52" s="84" t="s">
        <v>227</v>
      </c>
      <c r="M52" s="136">
        <v>45730</v>
      </c>
      <c r="N52" s="75" t="s">
        <v>804</v>
      </c>
      <c r="P52" s="89"/>
      <c r="Q52" s="89"/>
    </row>
    <row r="53" spans="1:17" x14ac:dyDescent="0.3">
      <c r="A53" s="16" t="s">
        <v>344</v>
      </c>
      <c r="B53" s="16" t="s">
        <v>714</v>
      </c>
      <c r="C53" s="28" t="s">
        <v>135</v>
      </c>
      <c r="D53" s="28" t="str">
        <f>IFERROR(VLOOKUP($C53,CUENTAS[],2,0),"")</f>
        <v>EVENTOS INTERNOS</v>
      </c>
      <c r="E53" s="28" t="str">
        <f>IFERROR(VLOOKUP($C53,CUENTAS[],3,0),"")</f>
        <v>MDE2025-008B</v>
      </c>
      <c r="F53" s="86">
        <v>350</v>
      </c>
      <c r="G53" s="86">
        <v>0</v>
      </c>
      <c r="H53" s="74">
        <v>350</v>
      </c>
      <c r="I53" s="200" t="str">
        <f t="shared" si="0"/>
        <v>CORRECTO</v>
      </c>
      <c r="J53" s="88" t="s">
        <v>3244</v>
      </c>
      <c r="K53" s="69" t="s">
        <v>357</v>
      </c>
      <c r="L53" s="84" t="s">
        <v>227</v>
      </c>
      <c r="M53" s="136">
        <v>45730</v>
      </c>
      <c r="N53" s="75" t="s">
        <v>371</v>
      </c>
      <c r="P53" s="89"/>
      <c r="Q53" s="89"/>
    </row>
    <row r="54" spans="1:17" x14ac:dyDescent="0.3">
      <c r="A54" s="16" t="s">
        <v>344</v>
      </c>
      <c r="B54" s="16" t="s">
        <v>715</v>
      </c>
      <c r="C54" s="28" t="s">
        <v>223</v>
      </c>
      <c r="D54" s="28" t="str">
        <f>IFERROR(VLOOKUP($C54,CUENTAS[],2,0),"")</f>
        <v>MANTENIMIENTO</v>
      </c>
      <c r="E54" s="28" t="str">
        <f>IFERROR(VLOOKUP($C54,CUENTAS[],3,0),"")</f>
        <v>MDE2025-009B</v>
      </c>
      <c r="F54" s="86">
        <v>500</v>
      </c>
      <c r="G54" s="86">
        <v>0</v>
      </c>
      <c r="H54" s="74">
        <v>500</v>
      </c>
      <c r="I54" s="200" t="str">
        <f t="shared" si="0"/>
        <v>CORRECTO</v>
      </c>
      <c r="J54" s="88" t="s">
        <v>3244</v>
      </c>
      <c r="K54" s="69" t="s">
        <v>357</v>
      </c>
      <c r="L54" s="84" t="s">
        <v>227</v>
      </c>
      <c r="M54" s="136">
        <v>45730</v>
      </c>
      <c r="N54" s="75" t="s">
        <v>371</v>
      </c>
      <c r="P54" s="89"/>
      <c r="Q54" s="89"/>
    </row>
    <row r="55" spans="1:17" x14ac:dyDescent="0.3">
      <c r="A55" s="16" t="s">
        <v>267</v>
      </c>
      <c r="B55" s="16" t="s">
        <v>716</v>
      </c>
      <c r="C55" s="28" t="s">
        <v>166</v>
      </c>
      <c r="D55" s="28" t="str">
        <f>IFERROR(VLOOKUP($C55,CUENTAS[],2,0),"")</f>
        <v>LOGÍSTICA</v>
      </c>
      <c r="E55" s="28" t="str">
        <f>IFERROR(VLOOKUP($C55,CUENTAS[],3,0),"")</f>
        <v>MDE2025-006C</v>
      </c>
      <c r="F55" s="86">
        <v>18771.52</v>
      </c>
      <c r="G55" s="86">
        <v>3003.44</v>
      </c>
      <c r="H55" s="74">
        <v>21774.959999999999</v>
      </c>
      <c r="I55" s="200" t="str">
        <f t="shared" si="0"/>
        <v>CORRECTO</v>
      </c>
      <c r="J55" s="88" t="s">
        <v>3244</v>
      </c>
      <c r="K55" s="69" t="s">
        <v>362</v>
      </c>
      <c r="L55" s="84" t="s">
        <v>227</v>
      </c>
      <c r="M55" s="136">
        <v>45730</v>
      </c>
      <c r="N55" s="75" t="s">
        <v>805</v>
      </c>
      <c r="P55" s="89"/>
      <c r="Q55" s="89"/>
    </row>
    <row r="56" spans="1:17" x14ac:dyDescent="0.3">
      <c r="A56" s="16" t="s">
        <v>283</v>
      </c>
      <c r="B56" s="16">
        <v>2443289</v>
      </c>
      <c r="C56" s="28" t="s">
        <v>120</v>
      </c>
      <c r="D56" s="28" t="str">
        <f>IFERROR(VLOOKUP($C56,CUENTAS[],2,0),"")</f>
        <v>TOKA</v>
      </c>
      <c r="E56" s="28" t="str">
        <f>IFERROR(VLOOKUP($C56,CUENTAS[],3,0),"")</f>
        <v>TOK2025-001C</v>
      </c>
      <c r="F56" s="86">
        <v>200</v>
      </c>
      <c r="G56" s="86">
        <v>32</v>
      </c>
      <c r="H56" s="74">
        <v>232</v>
      </c>
      <c r="I56" s="200" t="str">
        <f t="shared" si="0"/>
        <v>CORRECTO</v>
      </c>
      <c r="J56" s="88" t="s">
        <v>3244</v>
      </c>
      <c r="K56" s="69" t="s">
        <v>363</v>
      </c>
      <c r="L56" s="84" t="s">
        <v>227</v>
      </c>
      <c r="M56" s="136">
        <v>45730</v>
      </c>
      <c r="N56" s="75" t="s">
        <v>226</v>
      </c>
      <c r="P56" s="89"/>
      <c r="Q56" s="89"/>
    </row>
    <row r="57" spans="1:17" x14ac:dyDescent="0.3">
      <c r="A57" s="16" t="s">
        <v>283</v>
      </c>
      <c r="B57" s="16">
        <v>2441983</v>
      </c>
      <c r="C57" s="28" t="s">
        <v>120</v>
      </c>
      <c r="D57" s="28" t="str">
        <f>IFERROR(VLOOKUP($C57,CUENTAS[],2,0),"")</f>
        <v>TOKA</v>
      </c>
      <c r="E57" s="28" t="str">
        <f>IFERROR(VLOOKUP($C57,CUENTAS[],3,0),"")</f>
        <v>TOK2025-001C</v>
      </c>
      <c r="F57" s="86">
        <v>300</v>
      </c>
      <c r="G57" s="86">
        <v>48</v>
      </c>
      <c r="H57" s="74">
        <v>348</v>
      </c>
      <c r="I57" s="200" t="str">
        <f t="shared" si="0"/>
        <v>CORRECTO</v>
      </c>
      <c r="J57" s="88" t="s">
        <v>3244</v>
      </c>
      <c r="K57" s="69" t="s">
        <v>363</v>
      </c>
      <c r="L57" s="84" t="s">
        <v>227</v>
      </c>
      <c r="M57" s="136">
        <v>45730</v>
      </c>
      <c r="N57" s="75" t="s">
        <v>226</v>
      </c>
      <c r="P57" s="89"/>
      <c r="Q57" s="89"/>
    </row>
    <row r="58" spans="1:17" x14ac:dyDescent="0.3">
      <c r="A58" s="16" t="s">
        <v>248</v>
      </c>
      <c r="B58" s="16" t="s">
        <v>717</v>
      </c>
      <c r="C58" s="28" t="s">
        <v>109</v>
      </c>
      <c r="D58" s="28" t="str">
        <f>IFERROR(VLOOKUP($C58,CUENTAS[],2,0),"")</f>
        <v>LOGÍSTICA</v>
      </c>
      <c r="E58" s="28" t="str">
        <f>IFERROR(VLOOKUP($C58,CUENTAS[],3,0),"")</f>
        <v>MDE2025-006A</v>
      </c>
      <c r="F58" s="86">
        <v>8060</v>
      </c>
      <c r="G58" s="86">
        <v>1289.5999999999999</v>
      </c>
      <c r="H58" s="74">
        <v>9349.6</v>
      </c>
      <c r="I58" s="200" t="str">
        <f t="shared" si="0"/>
        <v>CORRECTO</v>
      </c>
      <c r="J58" s="88" t="s">
        <v>3244</v>
      </c>
      <c r="K58" s="69" t="s">
        <v>362</v>
      </c>
      <c r="L58" s="84" t="s">
        <v>227</v>
      </c>
      <c r="M58" s="136">
        <v>45734</v>
      </c>
      <c r="N58" s="75" t="s">
        <v>806</v>
      </c>
      <c r="P58" s="89"/>
      <c r="Q58" s="89"/>
    </row>
    <row r="59" spans="1:17" x14ac:dyDescent="0.3">
      <c r="A59" s="16" t="s">
        <v>666</v>
      </c>
      <c r="B59" s="16" t="s">
        <v>718</v>
      </c>
      <c r="C59" s="28" t="s">
        <v>224</v>
      </c>
      <c r="D59" s="28" t="str">
        <f>IFERROR(VLOOKUP($C59,CUENTAS[],2,0),"")</f>
        <v>MATERIALES</v>
      </c>
      <c r="E59" s="28" t="str">
        <f>IFERROR(VLOOKUP($C59,CUENTAS[],3,0),"")</f>
        <v>MDE2025-004</v>
      </c>
      <c r="F59" s="86">
        <v>4712.93</v>
      </c>
      <c r="G59" s="86">
        <v>754.07</v>
      </c>
      <c r="H59" s="74">
        <v>5467</v>
      </c>
      <c r="I59" s="200" t="str">
        <f t="shared" si="0"/>
        <v>CORRECTO</v>
      </c>
      <c r="J59" s="88" t="s">
        <v>3244</v>
      </c>
      <c r="K59" s="69" t="s">
        <v>407</v>
      </c>
      <c r="L59" s="84" t="s">
        <v>227</v>
      </c>
      <c r="M59" s="136">
        <v>45734</v>
      </c>
      <c r="N59" s="75" t="s">
        <v>795</v>
      </c>
      <c r="P59" s="89"/>
      <c r="Q59" s="89"/>
    </row>
    <row r="60" spans="1:17" x14ac:dyDescent="0.3">
      <c r="A60" s="16" t="s">
        <v>719</v>
      </c>
      <c r="B60" s="16" t="s">
        <v>720</v>
      </c>
      <c r="C60" s="28" t="s">
        <v>224</v>
      </c>
      <c r="D60" s="28" t="str">
        <f>IFERROR(VLOOKUP($C60,CUENTAS[],2,0),"")</f>
        <v>MATERIALES</v>
      </c>
      <c r="E60" s="28" t="str">
        <f>IFERROR(VLOOKUP($C60,CUENTAS[],3,0),"")</f>
        <v>MDE2025-004</v>
      </c>
      <c r="F60" s="86">
        <v>22252.12</v>
      </c>
      <c r="G60" s="86">
        <v>3560.34</v>
      </c>
      <c r="H60" s="74">
        <v>25812.46</v>
      </c>
      <c r="I60" s="200" t="str">
        <f t="shared" si="0"/>
        <v>CORRECTO</v>
      </c>
      <c r="J60" s="88" t="s">
        <v>3244</v>
      </c>
      <c r="K60" s="69" t="s">
        <v>407</v>
      </c>
      <c r="L60" s="84" t="s">
        <v>227</v>
      </c>
      <c r="M60" s="136">
        <v>45734</v>
      </c>
      <c r="N60" s="75" t="s">
        <v>807</v>
      </c>
      <c r="P60" s="89"/>
      <c r="Q60" s="89"/>
    </row>
    <row r="61" spans="1:17" x14ac:dyDescent="0.3">
      <c r="A61" s="16" t="s">
        <v>232</v>
      </c>
      <c r="B61" s="16" t="s">
        <v>721</v>
      </c>
      <c r="C61" s="28" t="s">
        <v>224</v>
      </c>
      <c r="D61" s="28" t="str">
        <f>IFERROR(VLOOKUP($C61,CUENTAS[],2,0),"")</f>
        <v>MATERIALES</v>
      </c>
      <c r="E61" s="28" t="str">
        <f>IFERROR(VLOOKUP($C61,CUENTAS[],3,0),"")</f>
        <v>MDE2025-004</v>
      </c>
      <c r="F61" s="86">
        <v>1878.5</v>
      </c>
      <c r="G61" s="86">
        <v>0</v>
      </c>
      <c r="H61" s="74">
        <v>1878.5</v>
      </c>
      <c r="I61" s="200" t="str">
        <f t="shared" si="0"/>
        <v>CORRECTO</v>
      </c>
      <c r="J61" s="88" t="s">
        <v>3244</v>
      </c>
      <c r="K61" s="69" t="s">
        <v>365</v>
      </c>
      <c r="L61" s="84" t="s">
        <v>227</v>
      </c>
      <c r="M61" s="136">
        <v>45734</v>
      </c>
      <c r="N61" s="75" t="s">
        <v>808</v>
      </c>
      <c r="P61" s="89"/>
      <c r="Q61" s="89"/>
    </row>
    <row r="62" spans="1:17" x14ac:dyDescent="0.3">
      <c r="A62" s="16" t="s">
        <v>232</v>
      </c>
      <c r="B62" s="16" t="s">
        <v>722</v>
      </c>
      <c r="C62" s="28" t="s">
        <v>224</v>
      </c>
      <c r="D62" s="28" t="str">
        <f>IFERROR(VLOOKUP($C62,CUENTAS[],2,0),"")</f>
        <v>MATERIALES</v>
      </c>
      <c r="E62" s="28" t="str">
        <f>IFERROR(VLOOKUP($C62,CUENTAS[],3,0),"")</f>
        <v>MDE2025-004</v>
      </c>
      <c r="F62" s="86">
        <v>1849.68</v>
      </c>
      <c r="G62" s="86">
        <v>0</v>
      </c>
      <c r="H62" s="74">
        <v>1849.68</v>
      </c>
      <c r="I62" s="200" t="str">
        <f t="shared" si="0"/>
        <v>CORRECTO</v>
      </c>
      <c r="J62" s="88" t="s">
        <v>3244</v>
      </c>
      <c r="K62" s="69" t="s">
        <v>365</v>
      </c>
      <c r="L62" s="84" t="s">
        <v>227</v>
      </c>
      <c r="M62" s="136">
        <v>45734</v>
      </c>
      <c r="N62" s="75" t="s">
        <v>809</v>
      </c>
      <c r="P62" s="89"/>
      <c r="Q62" s="89"/>
    </row>
    <row r="63" spans="1:17" x14ac:dyDescent="0.3">
      <c r="A63" s="16" t="s">
        <v>284</v>
      </c>
      <c r="B63" s="16" t="s">
        <v>723</v>
      </c>
      <c r="C63" s="28" t="s">
        <v>224</v>
      </c>
      <c r="D63" s="28" t="str">
        <f>IFERROR(VLOOKUP($C63,CUENTAS[],2,0),"")</f>
        <v>MATERIALES</v>
      </c>
      <c r="E63" s="28" t="str">
        <f>IFERROR(VLOOKUP($C63,CUENTAS[],3,0),"")</f>
        <v>MDE2025-004</v>
      </c>
      <c r="F63" s="86">
        <v>22973.13</v>
      </c>
      <c r="G63" s="86">
        <v>0</v>
      </c>
      <c r="H63" s="74">
        <v>22973.13</v>
      </c>
      <c r="I63" s="200" t="str">
        <f t="shared" si="0"/>
        <v>CORRECTO</v>
      </c>
      <c r="J63" s="88" t="s">
        <v>3244</v>
      </c>
      <c r="K63" s="69" t="s">
        <v>363</v>
      </c>
      <c r="L63" s="84" t="s">
        <v>227</v>
      </c>
      <c r="M63" s="136">
        <v>45734</v>
      </c>
      <c r="N63" s="75" t="s">
        <v>810</v>
      </c>
      <c r="P63" s="89"/>
      <c r="Q63" s="89"/>
    </row>
    <row r="64" spans="1:17" x14ac:dyDescent="0.3">
      <c r="A64" s="16" t="s">
        <v>724</v>
      </c>
      <c r="B64" s="16" t="s">
        <v>725</v>
      </c>
      <c r="C64" s="28" t="s">
        <v>224</v>
      </c>
      <c r="D64" s="28" t="str">
        <f>IFERROR(VLOOKUP($C64,CUENTAS[],2,0),"")</f>
        <v>MATERIALES</v>
      </c>
      <c r="E64" s="28" t="str">
        <f>IFERROR(VLOOKUP($C64,CUENTAS[],3,0),"")</f>
        <v>MDE2025-004</v>
      </c>
      <c r="F64" s="86">
        <v>13288</v>
      </c>
      <c r="G64" s="86">
        <v>0</v>
      </c>
      <c r="H64" s="74">
        <v>13288</v>
      </c>
      <c r="I64" s="200" t="str">
        <f t="shared" si="0"/>
        <v>CORRECTO</v>
      </c>
      <c r="J64" s="88" t="s">
        <v>3244</v>
      </c>
      <c r="K64" s="69" t="s">
        <v>407</v>
      </c>
      <c r="L64" s="84" t="s">
        <v>227</v>
      </c>
      <c r="M64" s="136">
        <v>45734</v>
      </c>
      <c r="N64" s="75" t="s">
        <v>811</v>
      </c>
      <c r="P64" s="89"/>
      <c r="Q64" s="89"/>
    </row>
    <row r="65" spans="1:17" x14ac:dyDescent="0.3">
      <c r="A65" s="16" t="s">
        <v>267</v>
      </c>
      <c r="B65" s="16" t="s">
        <v>726</v>
      </c>
      <c r="C65" s="28" t="s">
        <v>166</v>
      </c>
      <c r="D65" s="28" t="str">
        <f>IFERROR(VLOOKUP($C65,CUENTAS[],2,0),"")</f>
        <v>LOGÍSTICA</v>
      </c>
      <c r="E65" s="28" t="str">
        <f>IFERROR(VLOOKUP($C65,CUENTAS[],3,0),"")</f>
        <v>MDE2025-006C</v>
      </c>
      <c r="F65" s="86">
        <v>50266.38</v>
      </c>
      <c r="G65" s="86">
        <v>8042.62</v>
      </c>
      <c r="H65" s="74">
        <v>58309</v>
      </c>
      <c r="I65" s="200" t="str">
        <f t="shared" si="0"/>
        <v>CORRECTO</v>
      </c>
      <c r="J65" s="88" t="s">
        <v>3244</v>
      </c>
      <c r="K65" s="69" t="s">
        <v>362</v>
      </c>
      <c r="L65" s="84" t="s">
        <v>227</v>
      </c>
      <c r="M65" s="136">
        <v>45734</v>
      </c>
      <c r="N65" s="75" t="s">
        <v>812</v>
      </c>
      <c r="P65" s="89"/>
      <c r="Q65" s="89"/>
    </row>
    <row r="66" spans="1:17" x14ac:dyDescent="0.3">
      <c r="A66" s="16" t="s">
        <v>228</v>
      </c>
      <c r="B66" s="16" t="s">
        <v>727</v>
      </c>
      <c r="C66" s="28" t="s">
        <v>224</v>
      </c>
      <c r="D66" s="28" t="str">
        <f>IFERROR(VLOOKUP($C66,CUENTAS[],2,0),"")</f>
        <v>MATERIALES</v>
      </c>
      <c r="E66" s="28" t="str">
        <f>IFERROR(VLOOKUP($C66,CUENTAS[],3,0),"")</f>
        <v>MDE2025-004</v>
      </c>
      <c r="F66" s="86">
        <v>3200</v>
      </c>
      <c r="G66" s="86">
        <v>0</v>
      </c>
      <c r="H66" s="74">
        <v>3200</v>
      </c>
      <c r="I66" s="200" t="str">
        <f t="shared" si="0"/>
        <v>CORRECTO</v>
      </c>
      <c r="J66" s="88" t="s">
        <v>3244</v>
      </c>
      <c r="K66" s="69" t="s">
        <v>363</v>
      </c>
      <c r="L66" s="84" t="s">
        <v>227</v>
      </c>
      <c r="M66" s="136">
        <v>45734</v>
      </c>
      <c r="N66" s="75" t="s">
        <v>368</v>
      </c>
      <c r="P66" s="89"/>
      <c r="Q66" s="89"/>
    </row>
    <row r="67" spans="1:17" x14ac:dyDescent="0.3">
      <c r="A67" s="16" t="s">
        <v>228</v>
      </c>
      <c r="B67" s="16" t="s">
        <v>728</v>
      </c>
      <c r="C67" s="28" t="s">
        <v>224</v>
      </c>
      <c r="D67" s="28" t="str">
        <f>IFERROR(VLOOKUP($C67,CUENTAS[],2,0),"")</f>
        <v>MATERIALES</v>
      </c>
      <c r="E67" s="28" t="str">
        <f>IFERROR(VLOOKUP($C67,CUENTAS[],3,0),"")</f>
        <v>MDE2025-004</v>
      </c>
      <c r="F67" s="86">
        <v>40000</v>
      </c>
      <c r="G67" s="86">
        <v>0</v>
      </c>
      <c r="H67" s="74">
        <v>40000</v>
      </c>
      <c r="I67" s="200" t="str">
        <f t="shared" ref="I67:I130" si="1">IFERROR(IF(F67+G67&lt;&gt;H67,"REVISAR","CORRECTO"),"")</f>
        <v>CORRECTO</v>
      </c>
      <c r="J67" s="88" t="s">
        <v>3244</v>
      </c>
      <c r="K67" s="69" t="s">
        <v>363</v>
      </c>
      <c r="L67" s="84" t="s">
        <v>227</v>
      </c>
      <c r="M67" s="136">
        <v>45734</v>
      </c>
      <c r="N67" s="75" t="s">
        <v>368</v>
      </c>
      <c r="P67" s="89"/>
      <c r="Q67" s="89"/>
    </row>
    <row r="68" spans="1:17" x14ac:dyDescent="0.3">
      <c r="A68" s="16" t="s">
        <v>729</v>
      </c>
      <c r="B68" s="16" t="s">
        <v>730</v>
      </c>
      <c r="C68" s="28" t="s">
        <v>224</v>
      </c>
      <c r="D68" s="28" t="str">
        <f>IFERROR(VLOOKUP($C68,CUENTAS[],2,0),"")</f>
        <v>MATERIALES</v>
      </c>
      <c r="E68" s="28" t="str">
        <f>IFERROR(VLOOKUP($C68,CUENTAS[],3,0),"")</f>
        <v>MDE2025-004</v>
      </c>
      <c r="F68" s="86">
        <v>4397</v>
      </c>
      <c r="G68" s="86">
        <v>703.52</v>
      </c>
      <c r="H68" s="74">
        <v>5100.5200000000004</v>
      </c>
      <c r="I68" s="200" t="str">
        <f t="shared" si="1"/>
        <v>CORRECTO</v>
      </c>
      <c r="J68" s="88" t="s">
        <v>3244</v>
      </c>
      <c r="K68" s="69" t="s">
        <v>407</v>
      </c>
      <c r="L68" s="84" t="s">
        <v>227</v>
      </c>
      <c r="M68" s="136">
        <v>45735</v>
      </c>
      <c r="N68" s="75" t="s">
        <v>813</v>
      </c>
      <c r="P68" s="89"/>
      <c r="Q68" s="89"/>
    </row>
    <row r="69" spans="1:17" x14ac:dyDescent="0.3">
      <c r="A69" s="16" t="s">
        <v>731</v>
      </c>
      <c r="B69" s="16" t="s">
        <v>732</v>
      </c>
      <c r="C69" s="28" t="s">
        <v>224</v>
      </c>
      <c r="D69" s="28" t="str">
        <f>IFERROR(VLOOKUP($C69,CUENTAS[],2,0),"")</f>
        <v>MATERIALES</v>
      </c>
      <c r="E69" s="28" t="str">
        <f>IFERROR(VLOOKUP($C69,CUENTAS[],3,0),"")</f>
        <v>MDE2025-004</v>
      </c>
      <c r="F69" s="86">
        <v>25446.54</v>
      </c>
      <c r="G69" s="86">
        <v>4071.46</v>
      </c>
      <c r="H69" s="74">
        <v>29518</v>
      </c>
      <c r="I69" s="200" t="str">
        <f t="shared" si="1"/>
        <v>CORRECTO</v>
      </c>
      <c r="J69" s="88" t="s">
        <v>3244</v>
      </c>
      <c r="K69" s="69" t="s">
        <v>407</v>
      </c>
      <c r="L69" s="84" t="s">
        <v>227</v>
      </c>
      <c r="M69" s="136">
        <v>45735</v>
      </c>
      <c r="N69" s="75" t="s">
        <v>814</v>
      </c>
      <c r="P69" s="89"/>
      <c r="Q69" s="89"/>
    </row>
    <row r="70" spans="1:17" x14ac:dyDescent="0.3">
      <c r="A70" s="16" t="s">
        <v>228</v>
      </c>
      <c r="B70" s="16" t="s">
        <v>733</v>
      </c>
      <c r="C70" s="28" t="s">
        <v>224</v>
      </c>
      <c r="D70" s="28" t="str">
        <f>IFERROR(VLOOKUP($C70,CUENTAS[],2,0),"")</f>
        <v>MATERIALES</v>
      </c>
      <c r="E70" s="28" t="str">
        <f>IFERROR(VLOOKUP($C70,CUENTAS[],3,0),"")</f>
        <v>MDE2025-004</v>
      </c>
      <c r="F70" s="86">
        <v>1963</v>
      </c>
      <c r="G70" s="86">
        <v>0</v>
      </c>
      <c r="H70" s="74">
        <v>1963</v>
      </c>
      <c r="I70" s="200" t="str">
        <f t="shared" si="1"/>
        <v>CORRECTO</v>
      </c>
      <c r="J70" s="88" t="s">
        <v>3244</v>
      </c>
      <c r="K70" s="69" t="s">
        <v>363</v>
      </c>
      <c r="L70" s="84" t="s">
        <v>227</v>
      </c>
      <c r="M70" s="136">
        <v>45736</v>
      </c>
      <c r="N70" s="75" t="s">
        <v>578</v>
      </c>
      <c r="P70" s="89"/>
      <c r="Q70" s="89"/>
    </row>
    <row r="71" spans="1:17" x14ac:dyDescent="0.3">
      <c r="A71" s="16" t="s">
        <v>228</v>
      </c>
      <c r="B71" s="16" t="s">
        <v>734</v>
      </c>
      <c r="C71" s="28" t="s">
        <v>224</v>
      </c>
      <c r="D71" s="28" t="str">
        <f>IFERROR(VLOOKUP($C71,CUENTAS[],2,0),"")</f>
        <v>MATERIALES</v>
      </c>
      <c r="E71" s="28" t="str">
        <f>IFERROR(VLOOKUP($C71,CUENTAS[],3,0),"")</f>
        <v>MDE2025-004</v>
      </c>
      <c r="F71" s="86">
        <v>759</v>
      </c>
      <c r="G71" s="86">
        <v>0</v>
      </c>
      <c r="H71" s="74">
        <v>759</v>
      </c>
      <c r="I71" s="200" t="str">
        <f t="shared" si="1"/>
        <v>CORRECTO</v>
      </c>
      <c r="J71" s="88" t="s">
        <v>3244</v>
      </c>
      <c r="K71" s="69" t="s">
        <v>365</v>
      </c>
      <c r="L71" s="84" t="s">
        <v>227</v>
      </c>
      <c r="M71" s="136">
        <v>45736</v>
      </c>
      <c r="N71" s="75" t="s">
        <v>578</v>
      </c>
      <c r="P71" s="89"/>
      <c r="Q71" s="89"/>
    </row>
    <row r="72" spans="1:17" x14ac:dyDescent="0.3">
      <c r="A72" s="16" t="s">
        <v>228</v>
      </c>
      <c r="B72" s="16" t="s">
        <v>734</v>
      </c>
      <c r="C72" s="28" t="s">
        <v>224</v>
      </c>
      <c r="D72" s="28" t="str">
        <f>IFERROR(VLOOKUP($C72,CUENTAS[],2,0),"")</f>
        <v>MATERIALES</v>
      </c>
      <c r="E72" s="28" t="str">
        <f>IFERROR(VLOOKUP($C72,CUENTAS[],3,0),"")</f>
        <v>MDE2025-004</v>
      </c>
      <c r="F72" s="86">
        <v>3396</v>
      </c>
      <c r="G72" s="86">
        <v>0</v>
      </c>
      <c r="H72" s="74">
        <v>3396</v>
      </c>
      <c r="I72" s="200" t="str">
        <f t="shared" si="1"/>
        <v>CORRECTO</v>
      </c>
      <c r="J72" s="88" t="s">
        <v>3244</v>
      </c>
      <c r="K72" s="69" t="s">
        <v>365</v>
      </c>
      <c r="L72" s="84" t="s">
        <v>227</v>
      </c>
      <c r="M72" s="136">
        <v>45736</v>
      </c>
      <c r="N72" s="75" t="s">
        <v>578</v>
      </c>
      <c r="P72" s="89"/>
      <c r="Q72" s="89"/>
    </row>
    <row r="73" spans="1:17" x14ac:dyDescent="0.3">
      <c r="A73" s="16" t="s">
        <v>284</v>
      </c>
      <c r="B73" s="16" t="s">
        <v>735</v>
      </c>
      <c r="C73" s="28" t="s">
        <v>224</v>
      </c>
      <c r="D73" s="28" t="str">
        <f>IFERROR(VLOOKUP($C73,CUENTAS[],2,0),"")</f>
        <v>MATERIALES</v>
      </c>
      <c r="E73" s="28" t="str">
        <f>IFERROR(VLOOKUP($C73,CUENTAS[],3,0),"")</f>
        <v>MDE2025-004</v>
      </c>
      <c r="F73" s="86">
        <v>1509.7</v>
      </c>
      <c r="G73" s="86">
        <v>241.55</v>
      </c>
      <c r="H73" s="74">
        <v>1751.25</v>
      </c>
      <c r="I73" s="200" t="str">
        <f t="shared" si="1"/>
        <v>CORRECTO</v>
      </c>
      <c r="J73" s="88" t="s">
        <v>3244</v>
      </c>
      <c r="K73" s="69" t="s">
        <v>365</v>
      </c>
      <c r="L73" s="84" t="s">
        <v>227</v>
      </c>
      <c r="M73" s="136">
        <v>45736</v>
      </c>
      <c r="N73" s="75" t="s">
        <v>815</v>
      </c>
      <c r="P73" s="89"/>
      <c r="Q73" s="89"/>
    </row>
    <row r="74" spans="1:17" x14ac:dyDescent="0.3">
      <c r="A74" s="16" t="s">
        <v>666</v>
      </c>
      <c r="B74" s="16" t="s">
        <v>736</v>
      </c>
      <c r="C74" s="28" t="s">
        <v>224</v>
      </c>
      <c r="D74" s="28" t="str">
        <f>IFERROR(VLOOKUP($C74,CUENTAS[],2,0),"")</f>
        <v>MATERIALES</v>
      </c>
      <c r="E74" s="28" t="str">
        <f>IFERROR(VLOOKUP($C74,CUENTAS[],3,0),"")</f>
        <v>MDE2025-004</v>
      </c>
      <c r="F74" s="86">
        <v>2314.66</v>
      </c>
      <c r="G74" s="86">
        <v>370.34</v>
      </c>
      <c r="H74" s="74">
        <v>2685</v>
      </c>
      <c r="I74" s="200" t="str">
        <f t="shared" si="1"/>
        <v>CORRECTO</v>
      </c>
      <c r="J74" s="88" t="s">
        <v>3244</v>
      </c>
      <c r="K74" s="69" t="s">
        <v>407</v>
      </c>
      <c r="L74" s="84" t="s">
        <v>227</v>
      </c>
      <c r="M74" s="136">
        <v>45736</v>
      </c>
      <c r="N74" s="75" t="s">
        <v>816</v>
      </c>
      <c r="P74" s="89"/>
      <c r="Q74" s="89"/>
    </row>
    <row r="75" spans="1:17" x14ac:dyDescent="0.3">
      <c r="A75" s="16" t="s">
        <v>666</v>
      </c>
      <c r="B75" s="16" t="s">
        <v>737</v>
      </c>
      <c r="C75" s="28" t="s">
        <v>224</v>
      </c>
      <c r="D75" s="28" t="str">
        <f>IFERROR(VLOOKUP($C75,CUENTAS[],2,0),"")</f>
        <v>MATERIALES</v>
      </c>
      <c r="E75" s="28" t="str">
        <f>IFERROR(VLOOKUP($C75,CUENTAS[],3,0),"")</f>
        <v>MDE2025-004</v>
      </c>
      <c r="F75" s="86">
        <v>40541.379999999997</v>
      </c>
      <c r="G75" s="86">
        <v>6486.62</v>
      </c>
      <c r="H75" s="74">
        <v>47028</v>
      </c>
      <c r="I75" s="200" t="str">
        <f t="shared" si="1"/>
        <v>CORRECTO</v>
      </c>
      <c r="J75" s="88" t="s">
        <v>3244</v>
      </c>
      <c r="K75" s="69" t="s">
        <v>407</v>
      </c>
      <c r="L75" s="84" t="s">
        <v>227</v>
      </c>
      <c r="M75" s="136">
        <v>45736</v>
      </c>
      <c r="N75" s="75" t="s">
        <v>817</v>
      </c>
      <c r="P75" s="89"/>
      <c r="Q75" s="89"/>
    </row>
    <row r="76" spans="1:17" x14ac:dyDescent="0.3">
      <c r="A76" s="16" t="s">
        <v>228</v>
      </c>
      <c r="B76" s="16" t="s">
        <v>738</v>
      </c>
      <c r="C76" s="28" t="s">
        <v>222</v>
      </c>
      <c r="D76" s="28" t="str">
        <f>IFERROR(VLOOKUP($C76,CUENTAS[],2,0),"")</f>
        <v>MANTENIMIENTO</v>
      </c>
      <c r="E76" s="28" t="str">
        <f>IFERROR(VLOOKUP($C76,CUENTAS[],3,0),"")</f>
        <v>MDE2025-009A</v>
      </c>
      <c r="F76" s="86">
        <v>1344</v>
      </c>
      <c r="G76" s="86">
        <v>0</v>
      </c>
      <c r="H76" s="74">
        <v>1344</v>
      </c>
      <c r="I76" s="200" t="str">
        <f t="shared" si="1"/>
        <v>CORRECTO</v>
      </c>
      <c r="J76" s="88" t="s">
        <v>3244</v>
      </c>
      <c r="K76" s="69" t="s">
        <v>363</v>
      </c>
      <c r="L76" s="84" t="s">
        <v>227</v>
      </c>
      <c r="M76" s="136">
        <v>45736</v>
      </c>
      <c r="N76" s="75" t="s">
        <v>578</v>
      </c>
      <c r="P76" s="89"/>
      <c r="Q76" s="89"/>
    </row>
    <row r="77" spans="1:17" x14ac:dyDescent="0.3">
      <c r="A77" s="16" t="s">
        <v>228</v>
      </c>
      <c r="B77" s="16" t="s">
        <v>739</v>
      </c>
      <c r="C77" s="28" t="s">
        <v>224</v>
      </c>
      <c r="D77" s="28" t="str">
        <f>IFERROR(VLOOKUP($C77,CUENTAS[],2,0),"")</f>
        <v>MATERIALES</v>
      </c>
      <c r="E77" s="28" t="str">
        <f>IFERROR(VLOOKUP($C77,CUENTAS[],3,0),"")</f>
        <v>MDE2025-004</v>
      </c>
      <c r="F77" s="86">
        <v>3050</v>
      </c>
      <c r="G77" s="86">
        <v>0</v>
      </c>
      <c r="H77" s="74">
        <v>3050</v>
      </c>
      <c r="I77" s="200" t="str">
        <f t="shared" si="1"/>
        <v>CORRECTO</v>
      </c>
      <c r="J77" s="88" t="s">
        <v>3244</v>
      </c>
      <c r="K77" s="69" t="s">
        <v>365</v>
      </c>
      <c r="L77" s="84" t="s">
        <v>227</v>
      </c>
      <c r="M77" s="136">
        <v>45736</v>
      </c>
      <c r="N77" s="75" t="s">
        <v>578</v>
      </c>
      <c r="P77" s="89"/>
      <c r="Q77" s="89"/>
    </row>
    <row r="78" spans="1:17" x14ac:dyDescent="0.3">
      <c r="A78" s="16" t="s">
        <v>228</v>
      </c>
      <c r="B78" s="16" t="s">
        <v>740</v>
      </c>
      <c r="C78" s="28" t="s">
        <v>224</v>
      </c>
      <c r="D78" s="28" t="str">
        <f>IFERROR(VLOOKUP($C78,CUENTAS[],2,0),"")</f>
        <v>MATERIALES</v>
      </c>
      <c r="E78" s="28" t="str">
        <f>IFERROR(VLOOKUP($C78,CUENTAS[],3,0),"")</f>
        <v>MDE2025-004</v>
      </c>
      <c r="F78" s="86">
        <v>4828</v>
      </c>
      <c r="G78" s="86">
        <v>0</v>
      </c>
      <c r="H78" s="74">
        <v>4828</v>
      </c>
      <c r="I78" s="200" t="str">
        <f t="shared" si="1"/>
        <v>CORRECTO</v>
      </c>
      <c r="J78" s="88" t="s">
        <v>3244</v>
      </c>
      <c r="K78" s="69" t="s">
        <v>365</v>
      </c>
      <c r="L78" s="84" t="s">
        <v>227</v>
      </c>
      <c r="M78" s="136">
        <v>45736</v>
      </c>
      <c r="N78" s="75" t="s">
        <v>578</v>
      </c>
      <c r="P78" s="89"/>
      <c r="Q78" s="89"/>
    </row>
    <row r="79" spans="1:17" x14ac:dyDescent="0.3">
      <c r="A79" s="16" t="s">
        <v>228</v>
      </c>
      <c r="B79" s="16" t="s">
        <v>741</v>
      </c>
      <c r="C79" s="28" t="s">
        <v>168</v>
      </c>
      <c r="D79" s="28" t="str">
        <f>IFERROR(VLOOKUP($C79,CUENTAS[],2,0),"")</f>
        <v>ACTIVOS FIJOS</v>
      </c>
      <c r="E79" s="28" t="str">
        <f>IFERROR(VLOOKUP($C79,CUENTAS[],3,0),"")</f>
        <v>MDE2025-007B</v>
      </c>
      <c r="F79" s="86">
        <v>1600</v>
      </c>
      <c r="G79" s="86">
        <v>0</v>
      </c>
      <c r="H79" s="74">
        <v>1600</v>
      </c>
      <c r="I79" s="200" t="str">
        <f t="shared" si="1"/>
        <v>CORRECTO</v>
      </c>
      <c r="J79" s="88" t="s">
        <v>3244</v>
      </c>
      <c r="K79" s="69" t="s">
        <v>365</v>
      </c>
      <c r="L79" s="84" t="s">
        <v>227</v>
      </c>
      <c r="M79" s="136">
        <v>45736</v>
      </c>
      <c r="N79" s="75" t="s">
        <v>578</v>
      </c>
      <c r="P79" s="89"/>
      <c r="Q79" s="89"/>
    </row>
    <row r="80" spans="1:17" x14ac:dyDescent="0.3">
      <c r="A80" s="16" t="s">
        <v>682</v>
      </c>
      <c r="B80" s="16" t="s">
        <v>742</v>
      </c>
      <c r="C80" s="28" t="s">
        <v>109</v>
      </c>
      <c r="D80" s="28" t="str">
        <f>IFERROR(VLOOKUP($C80,CUENTAS[],2,0),"")</f>
        <v>LOGÍSTICA</v>
      </c>
      <c r="E80" s="28" t="str">
        <f>IFERROR(VLOOKUP($C80,CUENTAS[],3,0),"")</f>
        <v>MDE2025-006A</v>
      </c>
      <c r="F80" s="86">
        <v>22252.12</v>
      </c>
      <c r="G80" s="86">
        <v>3560.34</v>
      </c>
      <c r="H80" s="74">
        <v>25812.46</v>
      </c>
      <c r="I80" s="200" t="str">
        <f t="shared" si="1"/>
        <v>CORRECTO</v>
      </c>
      <c r="J80" s="88" t="s">
        <v>3244</v>
      </c>
      <c r="K80" s="69" t="s">
        <v>362</v>
      </c>
      <c r="L80" s="84" t="s">
        <v>227</v>
      </c>
      <c r="M80" s="136">
        <v>45736</v>
      </c>
      <c r="N80" s="75" t="s">
        <v>807</v>
      </c>
      <c r="P80" s="89"/>
      <c r="Q80" s="89"/>
    </row>
    <row r="81" spans="1:17" x14ac:dyDescent="0.3">
      <c r="A81" s="16" t="s">
        <v>236</v>
      </c>
      <c r="B81" s="16" t="s">
        <v>711</v>
      </c>
      <c r="C81" s="28" t="s">
        <v>201</v>
      </c>
      <c r="D81" s="28" t="str">
        <f>IFERROR(VLOOKUP($C81,CUENTAS[],2,0),"")</f>
        <v>ACTIVOS FIJOS</v>
      </c>
      <c r="E81" s="28" t="str">
        <f>IFERROR(VLOOKUP($C81,CUENTAS[],3,0),"")</f>
        <v>MDE2025-007I</v>
      </c>
      <c r="F81" s="86">
        <v>3500</v>
      </c>
      <c r="G81" s="86">
        <v>0</v>
      </c>
      <c r="H81" s="74">
        <v>3500</v>
      </c>
      <c r="I81" s="200" t="str">
        <f t="shared" si="1"/>
        <v>CORRECTO</v>
      </c>
      <c r="J81" s="88" t="s">
        <v>3244</v>
      </c>
      <c r="K81" s="69" t="s">
        <v>363</v>
      </c>
      <c r="L81" s="84" t="s">
        <v>227</v>
      </c>
      <c r="M81" s="136">
        <v>45737</v>
      </c>
      <c r="N81" s="75" t="s">
        <v>371</v>
      </c>
      <c r="P81" s="89"/>
      <c r="Q81" s="89"/>
    </row>
    <row r="82" spans="1:17" x14ac:dyDescent="0.3">
      <c r="A82" s="16" t="s">
        <v>238</v>
      </c>
      <c r="B82" s="16" t="s">
        <v>711</v>
      </c>
      <c r="C82" s="28" t="s">
        <v>201</v>
      </c>
      <c r="D82" s="28" t="str">
        <f>IFERROR(VLOOKUP($C82,CUENTAS[],2,0),"")</f>
        <v>ACTIVOS FIJOS</v>
      </c>
      <c r="E82" s="28" t="str">
        <f>IFERROR(VLOOKUP($C82,CUENTAS[],3,0),"")</f>
        <v>MDE2025-007I</v>
      </c>
      <c r="F82" s="86">
        <v>3200</v>
      </c>
      <c r="G82" s="86">
        <v>0</v>
      </c>
      <c r="H82" s="74">
        <v>3200</v>
      </c>
      <c r="I82" s="200" t="str">
        <f t="shared" si="1"/>
        <v>CORRECTO</v>
      </c>
      <c r="J82" s="88" t="s">
        <v>3244</v>
      </c>
      <c r="K82" s="69" t="s">
        <v>363</v>
      </c>
      <c r="L82" s="84" t="s">
        <v>227</v>
      </c>
      <c r="M82" s="136">
        <v>45737</v>
      </c>
      <c r="N82" s="75" t="s">
        <v>371</v>
      </c>
      <c r="P82" s="89"/>
      <c r="Q82" s="89"/>
    </row>
    <row r="83" spans="1:17" x14ac:dyDescent="0.3">
      <c r="A83" s="16" t="s">
        <v>270</v>
      </c>
      <c r="B83" s="16" t="s">
        <v>743</v>
      </c>
      <c r="C83" s="28" t="s">
        <v>201</v>
      </c>
      <c r="D83" s="28" t="str">
        <f>IFERROR(VLOOKUP($C83,CUENTAS[],2,0),"")</f>
        <v>ACTIVOS FIJOS</v>
      </c>
      <c r="E83" s="28" t="str">
        <f>IFERROR(VLOOKUP($C83,CUENTAS[],3,0),"")</f>
        <v>MDE2025-007I</v>
      </c>
      <c r="F83" s="86">
        <v>4050</v>
      </c>
      <c r="G83" s="86">
        <v>0</v>
      </c>
      <c r="H83" s="74">
        <v>4050</v>
      </c>
      <c r="I83" s="200" t="str">
        <f t="shared" si="1"/>
        <v>CORRECTO</v>
      </c>
      <c r="J83" s="88" t="s">
        <v>3244</v>
      </c>
      <c r="K83" s="69" t="s">
        <v>360</v>
      </c>
      <c r="L83" s="84" t="s">
        <v>227</v>
      </c>
      <c r="M83" s="136">
        <v>45737</v>
      </c>
      <c r="N83" s="75" t="s">
        <v>371</v>
      </c>
      <c r="P83" s="89"/>
      <c r="Q83" s="89"/>
    </row>
    <row r="84" spans="1:17" x14ac:dyDescent="0.3">
      <c r="A84" s="16" t="s">
        <v>284</v>
      </c>
      <c r="B84" s="16" t="s">
        <v>744</v>
      </c>
      <c r="C84" s="28" t="s">
        <v>224</v>
      </c>
      <c r="D84" s="28" t="str">
        <f>IFERROR(VLOOKUP($C84,CUENTAS[],2,0),"")</f>
        <v>MATERIALES</v>
      </c>
      <c r="E84" s="28" t="str">
        <f>IFERROR(VLOOKUP($C84,CUENTAS[],3,0),"")</f>
        <v>MDE2025-004</v>
      </c>
      <c r="F84" s="86">
        <v>288</v>
      </c>
      <c r="G84" s="86">
        <v>0</v>
      </c>
      <c r="H84" s="74">
        <v>288</v>
      </c>
      <c r="I84" s="200" t="str">
        <f t="shared" si="1"/>
        <v>CORRECTO</v>
      </c>
      <c r="J84" s="88" t="s">
        <v>3244</v>
      </c>
      <c r="K84" s="69" t="s">
        <v>365</v>
      </c>
      <c r="L84" s="84" t="s">
        <v>227</v>
      </c>
      <c r="M84" s="136">
        <v>45737</v>
      </c>
      <c r="N84" s="75" t="s">
        <v>818</v>
      </c>
      <c r="P84" s="89"/>
      <c r="Q84" s="89"/>
    </row>
    <row r="85" spans="1:17" x14ac:dyDescent="0.3">
      <c r="A85" s="16" t="s">
        <v>284</v>
      </c>
      <c r="B85" s="16" t="s">
        <v>745</v>
      </c>
      <c r="C85" s="28" t="s">
        <v>224</v>
      </c>
      <c r="D85" s="28" t="str">
        <f>IFERROR(VLOOKUP($C85,CUENTAS[],2,0),"")</f>
        <v>MATERIALES</v>
      </c>
      <c r="E85" s="28" t="str">
        <f>IFERROR(VLOOKUP($C85,CUENTAS[],3,0),"")</f>
        <v>MDE2025-004</v>
      </c>
      <c r="F85" s="86">
        <v>97.44</v>
      </c>
      <c r="G85" s="86">
        <v>0</v>
      </c>
      <c r="H85" s="74">
        <v>97.44</v>
      </c>
      <c r="I85" s="200" t="str">
        <f t="shared" si="1"/>
        <v>CORRECTO</v>
      </c>
      <c r="J85" s="88" t="s">
        <v>3244</v>
      </c>
      <c r="K85" s="69" t="s">
        <v>365</v>
      </c>
      <c r="L85" s="84" t="s">
        <v>227</v>
      </c>
      <c r="M85" s="136">
        <v>45737</v>
      </c>
      <c r="N85" s="75" t="s">
        <v>819</v>
      </c>
      <c r="P85" s="89"/>
      <c r="Q85" s="89"/>
    </row>
    <row r="86" spans="1:17" x14ac:dyDescent="0.3">
      <c r="A86" s="16" t="s">
        <v>284</v>
      </c>
      <c r="B86" s="16" t="s">
        <v>746</v>
      </c>
      <c r="C86" s="28" t="s">
        <v>224</v>
      </c>
      <c r="D86" s="28" t="str">
        <f>IFERROR(VLOOKUP($C86,CUENTAS[],2,0),"")</f>
        <v>MATERIALES</v>
      </c>
      <c r="E86" s="28" t="str">
        <f>IFERROR(VLOOKUP($C86,CUENTAS[],3,0),"")</f>
        <v>MDE2025-004</v>
      </c>
      <c r="F86" s="86">
        <v>1015.31</v>
      </c>
      <c r="G86" s="86">
        <v>162.44999999999999</v>
      </c>
      <c r="H86" s="74">
        <v>1177.76</v>
      </c>
      <c r="I86" s="200" t="str">
        <f t="shared" si="1"/>
        <v>CORRECTO</v>
      </c>
      <c r="J86" s="88" t="s">
        <v>3244</v>
      </c>
      <c r="K86" s="69" t="s">
        <v>365</v>
      </c>
      <c r="L86" s="84" t="s">
        <v>227</v>
      </c>
      <c r="M86" s="136">
        <v>45737</v>
      </c>
      <c r="N86" s="75" t="s">
        <v>820</v>
      </c>
      <c r="P86" s="89"/>
      <c r="Q86" s="89"/>
    </row>
    <row r="87" spans="1:17" x14ac:dyDescent="0.3">
      <c r="A87" s="16" t="s">
        <v>747</v>
      </c>
      <c r="B87" s="16" t="s">
        <v>748</v>
      </c>
      <c r="C87" s="28" t="s">
        <v>224</v>
      </c>
      <c r="D87" s="28" t="str">
        <f>IFERROR(VLOOKUP($C87,CUENTAS[],2,0),"")</f>
        <v>MATERIALES</v>
      </c>
      <c r="E87" s="28" t="str">
        <f>IFERROR(VLOOKUP($C87,CUENTAS[],3,0),"")</f>
        <v>MDE2025-004</v>
      </c>
      <c r="F87" s="86">
        <v>1237.5</v>
      </c>
      <c r="G87" s="86">
        <v>198</v>
      </c>
      <c r="H87" s="74">
        <v>1435.5</v>
      </c>
      <c r="I87" s="200" t="str">
        <f t="shared" si="1"/>
        <v>CORRECTO</v>
      </c>
      <c r="J87" s="88" t="s">
        <v>3244</v>
      </c>
      <c r="K87" s="69" t="s">
        <v>407</v>
      </c>
      <c r="L87" s="84" t="s">
        <v>227</v>
      </c>
      <c r="M87" s="136">
        <v>45740</v>
      </c>
      <c r="N87" s="75" t="s">
        <v>821</v>
      </c>
      <c r="P87" s="89"/>
      <c r="Q87" s="89"/>
    </row>
    <row r="88" spans="1:17" x14ac:dyDescent="0.3">
      <c r="A88" s="16" t="s">
        <v>749</v>
      </c>
      <c r="B88" s="16" t="s">
        <v>750</v>
      </c>
      <c r="C88" s="28" t="s">
        <v>222</v>
      </c>
      <c r="D88" s="28" t="str">
        <f>IFERROR(VLOOKUP($C88,CUENTAS[],2,0),"")</f>
        <v>MANTENIMIENTO</v>
      </c>
      <c r="E88" s="28" t="str">
        <f>IFERROR(VLOOKUP($C88,CUENTAS[],3,0),"")</f>
        <v>MDE2025-009A</v>
      </c>
      <c r="F88" s="86">
        <v>1423</v>
      </c>
      <c r="G88" s="86">
        <v>0</v>
      </c>
      <c r="H88" s="74">
        <v>1423</v>
      </c>
      <c r="I88" s="200" t="str">
        <f t="shared" si="1"/>
        <v>CORRECTO</v>
      </c>
      <c r="J88" s="88" t="s">
        <v>3244</v>
      </c>
      <c r="K88" s="69" t="s">
        <v>365</v>
      </c>
      <c r="L88" s="84" t="s">
        <v>227</v>
      </c>
      <c r="M88" s="136">
        <v>45741</v>
      </c>
      <c r="N88" s="75" t="s">
        <v>822</v>
      </c>
      <c r="P88" s="89"/>
      <c r="Q88" s="89"/>
    </row>
    <row r="89" spans="1:17" x14ac:dyDescent="0.3">
      <c r="A89" s="16" t="s">
        <v>250</v>
      </c>
      <c r="B89" s="16" t="s">
        <v>751</v>
      </c>
      <c r="C89" s="28" t="s">
        <v>110</v>
      </c>
      <c r="D89" s="28" t="str">
        <f>IFERROR(VLOOKUP($C89,CUENTAS[],2,0),"")</f>
        <v>GASTOS FIJOS</v>
      </c>
      <c r="E89" s="28" t="str">
        <f>IFERROR(VLOOKUP($C89,CUENTAS[],3,0),"")</f>
        <v>MDE2025-002D</v>
      </c>
      <c r="F89" s="86">
        <v>80000</v>
      </c>
      <c r="G89" s="86">
        <v>0</v>
      </c>
      <c r="H89" s="74">
        <v>80000</v>
      </c>
      <c r="I89" s="200" t="str">
        <f t="shared" si="1"/>
        <v>CORRECTO</v>
      </c>
      <c r="J89" s="88" t="s">
        <v>3244</v>
      </c>
      <c r="K89" s="69" t="s">
        <v>365</v>
      </c>
      <c r="L89" s="84" t="s">
        <v>227</v>
      </c>
      <c r="M89" s="136">
        <v>45741</v>
      </c>
      <c r="N89" s="75" t="s">
        <v>371</v>
      </c>
      <c r="P89" s="89"/>
      <c r="Q89" s="89"/>
    </row>
    <row r="90" spans="1:17" x14ac:dyDescent="0.3">
      <c r="A90" s="16" t="s">
        <v>559</v>
      </c>
      <c r="B90" s="16" t="s">
        <v>752</v>
      </c>
      <c r="C90" s="28" t="s">
        <v>19</v>
      </c>
      <c r="D90" s="28" t="str">
        <f>IFERROR(VLOOKUP($C90,CUENTAS[],2,0),"")</f>
        <v>DISEÑOS</v>
      </c>
      <c r="E90" s="28" t="str">
        <f>IFERROR(VLOOKUP($C90,CUENTAS[],3,0),"")</f>
        <v>MDE2025-001</v>
      </c>
      <c r="F90" s="86">
        <v>3200</v>
      </c>
      <c r="G90" s="86">
        <v>0</v>
      </c>
      <c r="H90" s="74">
        <v>3200</v>
      </c>
      <c r="I90" s="200" t="str">
        <f t="shared" si="1"/>
        <v>CORRECTO</v>
      </c>
      <c r="J90" s="88" t="s">
        <v>3244</v>
      </c>
      <c r="K90" s="69" t="s">
        <v>405</v>
      </c>
      <c r="L90" s="84" t="s">
        <v>227</v>
      </c>
      <c r="M90" s="136">
        <v>45741</v>
      </c>
      <c r="N90" s="75" t="s">
        <v>823</v>
      </c>
      <c r="P90" s="89"/>
      <c r="Q90" s="89"/>
    </row>
    <row r="91" spans="1:17" x14ac:dyDescent="0.3">
      <c r="A91" s="16" t="s">
        <v>341</v>
      </c>
      <c r="B91" s="16" t="s">
        <v>753</v>
      </c>
      <c r="C91" s="28" t="s">
        <v>161</v>
      </c>
      <c r="D91" s="28" t="str">
        <f>IFERROR(VLOOKUP($C91,CUENTAS[],2,0),"")</f>
        <v>LOGÍSTICA</v>
      </c>
      <c r="E91" s="28" t="str">
        <f>IFERROR(VLOOKUP($C91,CUENTAS[],3,0),"")</f>
        <v>MDE2025-003E</v>
      </c>
      <c r="F91" s="86">
        <v>100</v>
      </c>
      <c r="G91" s="86">
        <v>0</v>
      </c>
      <c r="H91" s="74">
        <v>100</v>
      </c>
      <c r="I91" s="200" t="str">
        <f t="shared" si="1"/>
        <v>CORRECTO</v>
      </c>
      <c r="J91" s="88" t="s">
        <v>3244</v>
      </c>
      <c r="K91" s="69" t="s">
        <v>362</v>
      </c>
      <c r="L91" s="84" t="s">
        <v>227</v>
      </c>
      <c r="M91" s="136">
        <v>45741</v>
      </c>
      <c r="N91" s="75" t="s">
        <v>824</v>
      </c>
      <c r="P91" s="89"/>
      <c r="Q91" s="89"/>
    </row>
    <row r="92" spans="1:17" x14ac:dyDescent="0.3">
      <c r="A92" s="16" t="s">
        <v>284</v>
      </c>
      <c r="B92" s="16" t="s">
        <v>754</v>
      </c>
      <c r="C92" s="28" t="s">
        <v>224</v>
      </c>
      <c r="D92" s="28" t="str">
        <f>IFERROR(VLOOKUP($C92,CUENTAS[],2,0),"")</f>
        <v>MATERIALES</v>
      </c>
      <c r="E92" s="28" t="str">
        <f>IFERROR(VLOOKUP($C92,CUENTAS[],3,0),"")</f>
        <v>MDE2025-004</v>
      </c>
      <c r="F92" s="86">
        <v>696.56</v>
      </c>
      <c r="G92" s="86">
        <v>111.44</v>
      </c>
      <c r="H92" s="74">
        <v>808</v>
      </c>
      <c r="I92" s="200" t="str">
        <f t="shared" si="1"/>
        <v>CORRECTO</v>
      </c>
      <c r="J92" s="88" t="s">
        <v>3244</v>
      </c>
      <c r="K92" s="69" t="s">
        <v>365</v>
      </c>
      <c r="L92" s="84" t="s">
        <v>227</v>
      </c>
      <c r="M92" s="136">
        <v>45741</v>
      </c>
      <c r="N92" s="75" t="s">
        <v>825</v>
      </c>
      <c r="P92" s="89"/>
      <c r="Q92" s="89"/>
    </row>
    <row r="93" spans="1:17" x14ac:dyDescent="0.3">
      <c r="A93" s="16" t="s">
        <v>284</v>
      </c>
      <c r="B93" s="16" t="s">
        <v>755</v>
      </c>
      <c r="C93" s="28" t="s">
        <v>224</v>
      </c>
      <c r="D93" s="28" t="str">
        <f>IFERROR(VLOOKUP($C93,CUENTAS[],2,0),"")</f>
        <v>MATERIALES</v>
      </c>
      <c r="E93" s="28" t="str">
        <f>IFERROR(VLOOKUP($C93,CUENTAS[],3,0),"")</f>
        <v>MDE2025-004</v>
      </c>
      <c r="F93" s="86">
        <v>586.86</v>
      </c>
      <c r="G93" s="86">
        <v>93.9</v>
      </c>
      <c r="H93" s="74">
        <v>680.76</v>
      </c>
      <c r="I93" s="200" t="str">
        <f t="shared" si="1"/>
        <v>CORRECTO</v>
      </c>
      <c r="J93" s="88" t="s">
        <v>3244</v>
      </c>
      <c r="K93" s="69" t="s">
        <v>365</v>
      </c>
      <c r="L93" s="84" t="s">
        <v>227</v>
      </c>
      <c r="M93" s="136">
        <v>45741</v>
      </c>
      <c r="N93" s="75" t="s">
        <v>826</v>
      </c>
      <c r="P93" s="89"/>
      <c r="Q93" s="89"/>
    </row>
    <row r="94" spans="1:17" x14ac:dyDescent="0.3">
      <c r="A94" s="16" t="s">
        <v>284</v>
      </c>
      <c r="B94" s="16" t="s">
        <v>756</v>
      </c>
      <c r="C94" s="28" t="s">
        <v>224</v>
      </c>
      <c r="D94" s="28" t="str">
        <f>IFERROR(VLOOKUP($C94,CUENTAS[],2,0),"")</f>
        <v>MATERIALES</v>
      </c>
      <c r="E94" s="28" t="str">
        <f>IFERROR(VLOOKUP($C94,CUENTAS[],3,0),"")</f>
        <v>MDE2025-004</v>
      </c>
      <c r="F94" s="86">
        <v>7514.72</v>
      </c>
      <c r="G94" s="86">
        <v>1202.3599999999999</v>
      </c>
      <c r="H94" s="74">
        <v>8717.08</v>
      </c>
      <c r="I94" s="200" t="str">
        <f t="shared" si="1"/>
        <v>CORRECTO</v>
      </c>
      <c r="J94" s="88" t="s">
        <v>3244</v>
      </c>
      <c r="K94" s="69" t="s">
        <v>365</v>
      </c>
      <c r="L94" s="84" t="s">
        <v>227</v>
      </c>
      <c r="M94" s="136">
        <v>45741</v>
      </c>
      <c r="N94" s="75" t="s">
        <v>827</v>
      </c>
      <c r="P94" s="89"/>
      <c r="Q94" s="89"/>
    </row>
    <row r="95" spans="1:17" x14ac:dyDescent="0.3">
      <c r="A95" s="16" t="s">
        <v>757</v>
      </c>
      <c r="B95" s="16" t="s">
        <v>758</v>
      </c>
      <c r="C95" s="28" t="s">
        <v>224</v>
      </c>
      <c r="D95" s="28" t="str">
        <f>IFERROR(VLOOKUP($C95,CUENTAS[],2,0),"")</f>
        <v>MATERIALES</v>
      </c>
      <c r="E95" s="28" t="str">
        <f>IFERROR(VLOOKUP($C95,CUENTAS[],3,0),"")</f>
        <v>MDE2025-004</v>
      </c>
      <c r="F95" s="86">
        <v>1997.6</v>
      </c>
      <c r="G95" s="86">
        <v>319.62</v>
      </c>
      <c r="H95" s="74">
        <v>2317.2199999999998</v>
      </c>
      <c r="I95" s="200" t="str">
        <f t="shared" si="1"/>
        <v>CORRECTO</v>
      </c>
      <c r="J95" s="88" t="s">
        <v>3244</v>
      </c>
      <c r="K95" s="69" t="s">
        <v>407</v>
      </c>
      <c r="L95" s="84" t="s">
        <v>227</v>
      </c>
      <c r="M95" s="136">
        <v>45741</v>
      </c>
      <c r="N95" s="75" t="s">
        <v>832</v>
      </c>
      <c r="P95" s="89"/>
      <c r="Q95" s="89"/>
    </row>
    <row r="96" spans="1:17" x14ac:dyDescent="0.3">
      <c r="A96" s="16" t="s">
        <v>759</v>
      </c>
      <c r="B96" s="16" t="s">
        <v>760</v>
      </c>
      <c r="C96" s="28" t="s">
        <v>224</v>
      </c>
      <c r="D96" s="28" t="str">
        <f>IFERROR(VLOOKUP($C96,CUENTAS[],2,0),"")</f>
        <v>MATERIALES</v>
      </c>
      <c r="E96" s="28" t="str">
        <f>IFERROR(VLOOKUP($C96,CUENTAS[],3,0),"")</f>
        <v>MDE2025-004</v>
      </c>
      <c r="F96" s="86">
        <v>3934.7</v>
      </c>
      <c r="G96" s="86">
        <v>629.54999999999995</v>
      </c>
      <c r="H96" s="74">
        <v>4564.25</v>
      </c>
      <c r="I96" s="200" t="str">
        <f t="shared" si="1"/>
        <v>CORRECTO</v>
      </c>
      <c r="J96" s="88" t="s">
        <v>3244</v>
      </c>
      <c r="K96" s="69" t="s">
        <v>407</v>
      </c>
      <c r="L96" s="84" t="s">
        <v>227</v>
      </c>
      <c r="M96" s="136">
        <v>45741</v>
      </c>
      <c r="N96" s="75" t="s">
        <v>828</v>
      </c>
      <c r="P96" s="89"/>
      <c r="Q96" s="89"/>
    </row>
    <row r="97" spans="1:17" x14ac:dyDescent="0.3">
      <c r="A97" s="16" t="s">
        <v>646</v>
      </c>
      <c r="B97" s="16" t="s">
        <v>761</v>
      </c>
      <c r="C97" s="28" t="s">
        <v>153</v>
      </c>
      <c r="D97" s="28" t="str">
        <f>IFERROR(VLOOKUP($C97,CUENTAS[],2,0),"")</f>
        <v>GASTOS FIJOS</v>
      </c>
      <c r="E97" s="28" t="str">
        <f>IFERROR(VLOOKUP($C97,CUENTAS[],3,0),"")</f>
        <v>MDE2025-002L</v>
      </c>
      <c r="F97" s="86">
        <v>1028.56</v>
      </c>
      <c r="G97" s="86">
        <v>0</v>
      </c>
      <c r="H97" s="74">
        <v>1028.56</v>
      </c>
      <c r="I97" s="200" t="str">
        <f t="shared" si="1"/>
        <v>CORRECTO</v>
      </c>
      <c r="J97" s="88" t="s">
        <v>3244</v>
      </c>
      <c r="K97" s="69" t="s">
        <v>364</v>
      </c>
      <c r="L97" s="84" t="s">
        <v>227</v>
      </c>
      <c r="M97" s="136">
        <v>45741</v>
      </c>
      <c r="N97" s="75" t="s">
        <v>371</v>
      </c>
      <c r="P97" s="89"/>
      <c r="Q97" s="89"/>
    </row>
    <row r="98" spans="1:17" x14ac:dyDescent="0.3">
      <c r="A98" s="16" t="s">
        <v>279</v>
      </c>
      <c r="B98" s="16" t="s">
        <v>762</v>
      </c>
      <c r="C98" s="28" t="s">
        <v>143</v>
      </c>
      <c r="D98" s="28" t="str">
        <f>IFERROR(VLOOKUP($C98,CUENTAS[],2,0),"")</f>
        <v>GASTOS FIJOS</v>
      </c>
      <c r="E98" s="28" t="str">
        <f>IFERROR(VLOOKUP($C98,CUENTAS[],3,0),"")</f>
        <v>MDE2025-002C</v>
      </c>
      <c r="F98" s="86">
        <v>6994</v>
      </c>
      <c r="G98" s="86">
        <v>0</v>
      </c>
      <c r="H98" s="74">
        <v>6994</v>
      </c>
      <c r="I98" s="200" t="str">
        <f t="shared" si="1"/>
        <v>CORRECTO</v>
      </c>
      <c r="J98" s="88" t="s">
        <v>3244</v>
      </c>
      <c r="K98" s="69" t="s">
        <v>365</v>
      </c>
      <c r="L98" s="84" t="s">
        <v>227</v>
      </c>
      <c r="M98" s="136">
        <v>45743</v>
      </c>
      <c r="N98" s="75" t="s">
        <v>368</v>
      </c>
      <c r="P98" s="89"/>
      <c r="Q98" s="89"/>
    </row>
    <row r="99" spans="1:17" x14ac:dyDescent="0.3">
      <c r="A99" s="16" t="s">
        <v>763</v>
      </c>
      <c r="B99" s="16" t="s">
        <v>764</v>
      </c>
      <c r="C99" s="28" t="s">
        <v>168</v>
      </c>
      <c r="D99" s="28" t="str">
        <f>IFERROR(VLOOKUP($C99,CUENTAS[],2,0),"")</f>
        <v>ACTIVOS FIJOS</v>
      </c>
      <c r="E99" s="28" t="str">
        <f>IFERROR(VLOOKUP($C99,CUENTAS[],3,0),"")</f>
        <v>MDE2025-007B</v>
      </c>
      <c r="F99" s="86">
        <v>28391.040000000001</v>
      </c>
      <c r="G99" s="86">
        <v>0</v>
      </c>
      <c r="H99" s="74">
        <v>28391.040000000001</v>
      </c>
      <c r="I99" s="200" t="str">
        <f t="shared" si="1"/>
        <v>CORRECTO</v>
      </c>
      <c r="J99" s="88" t="s">
        <v>3244</v>
      </c>
      <c r="K99" s="69" t="s">
        <v>365</v>
      </c>
      <c r="L99" s="84" t="s">
        <v>227</v>
      </c>
      <c r="M99" s="136">
        <v>45743</v>
      </c>
      <c r="N99" s="75" t="s">
        <v>829</v>
      </c>
      <c r="P99" s="89"/>
      <c r="Q99" s="89"/>
    </row>
    <row r="100" spans="1:17" x14ac:dyDescent="0.3">
      <c r="A100" s="16" t="s">
        <v>666</v>
      </c>
      <c r="B100" s="16" t="s">
        <v>765</v>
      </c>
      <c r="C100" s="28" t="s">
        <v>224</v>
      </c>
      <c r="D100" s="28" t="str">
        <f>IFERROR(VLOOKUP($C100,CUENTAS[],2,0),"")</f>
        <v>MATERIALES</v>
      </c>
      <c r="E100" s="28" t="str">
        <f>IFERROR(VLOOKUP($C100,CUENTAS[],3,0),"")</f>
        <v>MDE2025-004</v>
      </c>
      <c r="F100" s="86">
        <v>3333.63</v>
      </c>
      <c r="G100" s="86">
        <v>533.37</v>
      </c>
      <c r="H100" s="74">
        <v>3867</v>
      </c>
      <c r="I100" s="200" t="str">
        <f t="shared" si="1"/>
        <v>CORRECTO</v>
      </c>
      <c r="J100" s="88" t="s">
        <v>3244</v>
      </c>
      <c r="K100" s="69" t="s">
        <v>407</v>
      </c>
      <c r="L100" s="84" t="s">
        <v>227</v>
      </c>
      <c r="M100" s="136">
        <v>45743</v>
      </c>
      <c r="N100" s="75" t="s">
        <v>368</v>
      </c>
      <c r="P100" s="89"/>
      <c r="Q100" s="89"/>
    </row>
    <row r="101" spans="1:17" x14ac:dyDescent="0.3">
      <c r="A101" s="16" t="s">
        <v>275</v>
      </c>
      <c r="B101" s="16" t="s">
        <v>766</v>
      </c>
      <c r="C101" s="28" t="s">
        <v>121</v>
      </c>
      <c r="D101" s="28" t="str">
        <f>IFERROR(VLOOKUP($C101,CUENTAS[],2,0),"")</f>
        <v>GASTOS FIJOS</v>
      </c>
      <c r="E101" s="28" t="str">
        <f>IFERROR(VLOOKUP($C101,CUENTAS[],3,0),"")</f>
        <v>MDE2025-002K</v>
      </c>
      <c r="F101" s="86">
        <v>15525</v>
      </c>
      <c r="G101" s="86">
        <v>2484</v>
      </c>
      <c r="H101" s="74">
        <v>18009</v>
      </c>
      <c r="I101" s="200" t="str">
        <f t="shared" si="1"/>
        <v>CORRECTO</v>
      </c>
      <c r="J101" s="88" t="s">
        <v>3244</v>
      </c>
      <c r="K101" s="69" t="s">
        <v>363</v>
      </c>
      <c r="L101" s="84" t="s">
        <v>227</v>
      </c>
      <c r="M101" s="136">
        <v>45743</v>
      </c>
      <c r="N101" s="75" t="s">
        <v>830</v>
      </c>
      <c r="P101" s="89"/>
      <c r="Q101" s="89"/>
    </row>
    <row r="102" spans="1:17" x14ac:dyDescent="0.3">
      <c r="A102" s="16" t="s">
        <v>236</v>
      </c>
      <c r="B102" s="16" t="s">
        <v>767</v>
      </c>
      <c r="C102" s="28" t="s">
        <v>201</v>
      </c>
      <c r="D102" s="28" t="str">
        <f>IFERROR(VLOOKUP($C102,CUENTAS[],2,0),"")</f>
        <v>ACTIVOS FIJOS</v>
      </c>
      <c r="E102" s="28" t="str">
        <f>IFERROR(VLOOKUP($C102,CUENTAS[],3,0),"")</f>
        <v>MDE2025-007I</v>
      </c>
      <c r="F102" s="86">
        <v>3500</v>
      </c>
      <c r="G102" s="86">
        <v>0</v>
      </c>
      <c r="H102" s="74">
        <v>3500</v>
      </c>
      <c r="I102" s="200" t="str">
        <f t="shared" si="1"/>
        <v>CORRECTO</v>
      </c>
      <c r="J102" s="88" t="s">
        <v>3244</v>
      </c>
      <c r="K102" s="69" t="s">
        <v>363</v>
      </c>
      <c r="L102" s="84" t="s">
        <v>227</v>
      </c>
      <c r="M102" s="136">
        <v>45744</v>
      </c>
      <c r="N102" s="75" t="s">
        <v>371</v>
      </c>
      <c r="P102" s="89"/>
      <c r="Q102" s="89"/>
    </row>
    <row r="103" spans="1:17" x14ac:dyDescent="0.3">
      <c r="A103" s="16" t="s">
        <v>238</v>
      </c>
      <c r="B103" s="16" t="s">
        <v>767</v>
      </c>
      <c r="C103" s="28" t="s">
        <v>201</v>
      </c>
      <c r="D103" s="28" t="str">
        <f>IFERROR(VLOOKUP($C103,CUENTAS[],2,0),"")</f>
        <v>ACTIVOS FIJOS</v>
      </c>
      <c r="E103" s="28" t="str">
        <f>IFERROR(VLOOKUP($C103,CUENTAS[],3,0),"")</f>
        <v>MDE2025-007I</v>
      </c>
      <c r="F103" s="86">
        <v>3200</v>
      </c>
      <c r="G103" s="86">
        <v>0</v>
      </c>
      <c r="H103" s="74">
        <v>3200</v>
      </c>
      <c r="I103" s="200" t="str">
        <f t="shared" si="1"/>
        <v>CORRECTO</v>
      </c>
      <c r="J103" s="88" t="s">
        <v>3244</v>
      </c>
      <c r="K103" s="69" t="s">
        <v>363</v>
      </c>
      <c r="L103" s="84" t="s">
        <v>227</v>
      </c>
      <c r="M103" s="136">
        <v>45744</v>
      </c>
      <c r="N103" s="75" t="s">
        <v>371</v>
      </c>
      <c r="P103" s="89"/>
      <c r="Q103" s="89"/>
    </row>
    <row r="104" spans="1:17" x14ac:dyDescent="0.3">
      <c r="A104" s="16" t="s">
        <v>301</v>
      </c>
      <c r="B104" s="16" t="s">
        <v>768</v>
      </c>
      <c r="C104" s="28" t="s">
        <v>135</v>
      </c>
      <c r="D104" s="28" t="str">
        <f>IFERROR(VLOOKUP($C104,CUENTAS[],2,0),"")</f>
        <v>EVENTOS INTERNOS</v>
      </c>
      <c r="E104" s="28" t="str">
        <f>IFERROR(VLOOKUP($C104,CUENTAS[],3,0),"")</f>
        <v>MDE2025-008B</v>
      </c>
      <c r="F104" s="86">
        <v>1304.79</v>
      </c>
      <c r="G104" s="86">
        <v>0</v>
      </c>
      <c r="H104" s="74">
        <v>1304.79</v>
      </c>
      <c r="I104" s="200" t="str">
        <f t="shared" si="1"/>
        <v>CORRECTO</v>
      </c>
      <c r="J104" s="88" t="s">
        <v>3244</v>
      </c>
      <c r="K104" s="69" t="s">
        <v>364</v>
      </c>
      <c r="L104" s="84" t="s">
        <v>227</v>
      </c>
      <c r="M104" s="136">
        <v>45744</v>
      </c>
      <c r="N104" s="75" t="s">
        <v>371</v>
      </c>
      <c r="P104" s="89"/>
      <c r="Q104" s="89"/>
    </row>
    <row r="105" spans="1:17" x14ac:dyDescent="0.3">
      <c r="A105" s="16" t="s">
        <v>763</v>
      </c>
      <c r="B105" s="16" t="s">
        <v>769</v>
      </c>
      <c r="C105" s="28" t="s">
        <v>168</v>
      </c>
      <c r="D105" s="28" t="str">
        <f>IFERROR(VLOOKUP($C105,CUENTAS[],2,0),"")</f>
        <v>ACTIVOS FIJOS</v>
      </c>
      <c r="E105" s="28" t="str">
        <f>IFERROR(VLOOKUP($C105,CUENTAS[],3,0),"")</f>
        <v>MDE2025-007B</v>
      </c>
      <c r="F105" s="86">
        <v>3771.88</v>
      </c>
      <c r="G105" s="86">
        <v>0</v>
      </c>
      <c r="H105" s="74">
        <v>3771.88</v>
      </c>
      <c r="I105" s="200" t="str">
        <f t="shared" si="1"/>
        <v>CORRECTO</v>
      </c>
      <c r="J105" s="88" t="s">
        <v>3244</v>
      </c>
      <c r="K105" s="69" t="s">
        <v>363</v>
      </c>
      <c r="L105" s="84" t="s">
        <v>227</v>
      </c>
      <c r="M105" s="136">
        <v>45744</v>
      </c>
      <c r="N105" s="75" t="s">
        <v>829</v>
      </c>
      <c r="P105" s="89"/>
      <c r="Q105" s="89"/>
    </row>
    <row r="106" spans="1:17" x14ac:dyDescent="0.3">
      <c r="A106" s="16" t="s">
        <v>228</v>
      </c>
      <c r="B106" s="16" t="s">
        <v>770</v>
      </c>
      <c r="C106" s="28" t="s">
        <v>222</v>
      </c>
      <c r="D106" s="28" t="str">
        <f>IFERROR(VLOOKUP($C106,CUENTAS[],2,0),"")</f>
        <v>MANTENIMIENTO</v>
      </c>
      <c r="E106" s="28" t="str">
        <f>IFERROR(VLOOKUP($C106,CUENTAS[],3,0),"")</f>
        <v>MDE2025-009A</v>
      </c>
      <c r="F106" s="86">
        <v>334.47</v>
      </c>
      <c r="G106" s="86">
        <v>0</v>
      </c>
      <c r="H106" s="74">
        <v>334.47</v>
      </c>
      <c r="I106" s="200" t="str">
        <f t="shared" si="1"/>
        <v>CORRECTO</v>
      </c>
      <c r="J106" s="88" t="s">
        <v>3244</v>
      </c>
      <c r="K106" s="69" t="s">
        <v>365</v>
      </c>
      <c r="L106" s="84" t="s">
        <v>227</v>
      </c>
      <c r="M106" s="136">
        <v>45744</v>
      </c>
      <c r="N106" s="75" t="s">
        <v>578</v>
      </c>
      <c r="P106" s="89"/>
      <c r="Q106" s="89"/>
    </row>
    <row r="107" spans="1:17" x14ac:dyDescent="0.3">
      <c r="A107" s="16" t="s">
        <v>228</v>
      </c>
      <c r="B107" s="16" t="s">
        <v>771</v>
      </c>
      <c r="C107" s="28" t="s">
        <v>224</v>
      </c>
      <c r="D107" s="28" t="str">
        <f>IFERROR(VLOOKUP($C107,CUENTAS[],2,0),"")</f>
        <v>MATERIALES</v>
      </c>
      <c r="E107" s="28" t="str">
        <f>IFERROR(VLOOKUP($C107,CUENTAS[],3,0),"")</f>
        <v>MDE2025-004</v>
      </c>
      <c r="F107" s="86">
        <v>2250</v>
      </c>
      <c r="G107" s="86">
        <v>0</v>
      </c>
      <c r="H107" s="74">
        <v>2250</v>
      </c>
      <c r="I107" s="200" t="str">
        <f t="shared" si="1"/>
        <v>CORRECTO</v>
      </c>
      <c r="J107" s="88" t="s">
        <v>3244</v>
      </c>
      <c r="K107" s="69" t="s">
        <v>365</v>
      </c>
      <c r="L107" s="84" t="s">
        <v>227</v>
      </c>
      <c r="M107" s="136">
        <v>45744</v>
      </c>
      <c r="N107" s="75" t="s">
        <v>578</v>
      </c>
      <c r="P107" s="89"/>
      <c r="Q107" s="89"/>
    </row>
    <row r="108" spans="1:17" x14ac:dyDescent="0.3">
      <c r="A108" s="162" t="s">
        <v>244</v>
      </c>
      <c r="B108" s="162" t="s">
        <v>772</v>
      </c>
      <c r="C108" s="163" t="s">
        <v>201</v>
      </c>
      <c r="D108" s="163" t="str">
        <f>IFERROR(VLOOKUP($C108,CUENTAS[],2,0),"")</f>
        <v>ACTIVOS FIJOS</v>
      </c>
      <c r="E108" s="163" t="str">
        <f>IFERROR(VLOOKUP($C108,CUENTAS[],3,0),"")</f>
        <v>MDE2025-007I</v>
      </c>
      <c r="F108" s="169">
        <v>3000</v>
      </c>
      <c r="G108" s="169">
        <v>0</v>
      </c>
      <c r="H108" s="164">
        <v>3000</v>
      </c>
      <c r="I108" s="200" t="str">
        <f t="shared" si="1"/>
        <v>CORRECTO</v>
      </c>
      <c r="J108" s="88" t="s">
        <v>3244</v>
      </c>
      <c r="K108" s="165" t="s">
        <v>360</v>
      </c>
      <c r="L108" s="166" t="s">
        <v>227</v>
      </c>
      <c r="M108" s="167">
        <v>45744</v>
      </c>
      <c r="N108" s="168" t="s">
        <v>371</v>
      </c>
      <c r="P108" s="89"/>
      <c r="Q108" s="89"/>
    </row>
    <row r="109" spans="1:17" x14ac:dyDescent="0.3">
      <c r="A109" s="170" t="s">
        <v>963</v>
      </c>
      <c r="B109" s="170" t="s">
        <v>964</v>
      </c>
      <c r="C109" s="171" t="s">
        <v>113</v>
      </c>
      <c r="D109" s="163" t="str">
        <f>IFERROR(VLOOKUP($C109,CUENTAS[],2,0),"")</f>
        <v>GASTOS VARIOS</v>
      </c>
      <c r="E109" s="163" t="str">
        <f>IFERROR(VLOOKUP($C109,CUENTAS[],3,0),"")</f>
        <v>MDE2025-003B</v>
      </c>
      <c r="F109" s="177">
        <v>37.1</v>
      </c>
      <c r="G109" s="177">
        <v>2.56</v>
      </c>
      <c r="H109" s="172">
        <v>39.659999999999997</v>
      </c>
      <c r="I109" s="200" t="str">
        <f t="shared" si="1"/>
        <v>CORRECTO</v>
      </c>
      <c r="J109" s="105" t="s">
        <v>963</v>
      </c>
      <c r="K109" s="173" t="s">
        <v>980</v>
      </c>
      <c r="L109" s="174" t="s">
        <v>227</v>
      </c>
      <c r="M109" s="175">
        <v>45719</v>
      </c>
      <c r="N109" s="176"/>
      <c r="P109" s="89"/>
      <c r="Q109" s="89"/>
    </row>
    <row r="110" spans="1:17" x14ac:dyDescent="0.3">
      <c r="A110" s="16" t="s">
        <v>963</v>
      </c>
      <c r="B110" s="16" t="s">
        <v>965</v>
      </c>
      <c r="C110" s="28" t="s">
        <v>222</v>
      </c>
      <c r="D110" s="163" t="str">
        <f>IFERROR(VLOOKUP($C110,CUENTAS[],2,0),"")</f>
        <v>MANTENIMIENTO</v>
      </c>
      <c r="E110" s="163" t="str">
        <f>IFERROR(VLOOKUP($C110,CUENTAS[],3,0),"")</f>
        <v>MDE2025-009A</v>
      </c>
      <c r="F110" s="86">
        <v>51.53</v>
      </c>
      <c r="G110" s="86">
        <v>8.24</v>
      </c>
      <c r="H110" s="74">
        <v>59.77</v>
      </c>
      <c r="I110" s="200" t="str">
        <f t="shared" si="1"/>
        <v>CORRECTO</v>
      </c>
      <c r="J110" s="88" t="s">
        <v>963</v>
      </c>
      <c r="K110" s="69" t="s">
        <v>357</v>
      </c>
      <c r="L110" s="84" t="s">
        <v>227</v>
      </c>
      <c r="M110" s="136">
        <v>45719</v>
      </c>
      <c r="N110" s="75"/>
      <c r="P110" s="89"/>
      <c r="Q110" s="89"/>
    </row>
    <row r="111" spans="1:17" x14ac:dyDescent="0.3">
      <c r="A111" s="16" t="s">
        <v>963</v>
      </c>
      <c r="B111" s="16" t="s">
        <v>966</v>
      </c>
      <c r="C111" s="28" t="s">
        <v>109</v>
      </c>
      <c r="D111" s="163" t="str">
        <f>IFERROR(VLOOKUP($C111,CUENTAS[],2,0),"")</f>
        <v>LOGÍSTICA</v>
      </c>
      <c r="E111" s="163" t="str">
        <f>IFERROR(VLOOKUP($C111,CUENTAS[],3,0),"")</f>
        <v>MDE2025-006A</v>
      </c>
      <c r="F111" s="86">
        <v>203.06</v>
      </c>
      <c r="G111" s="86">
        <v>32.49</v>
      </c>
      <c r="H111" s="74">
        <v>235.55</v>
      </c>
      <c r="I111" s="200" t="str">
        <f t="shared" si="1"/>
        <v>CORRECTO</v>
      </c>
      <c r="J111" s="88" t="s">
        <v>963</v>
      </c>
      <c r="K111" s="69" t="s">
        <v>980</v>
      </c>
      <c r="L111" s="84" t="s">
        <v>227</v>
      </c>
      <c r="M111" s="136">
        <v>45736</v>
      </c>
      <c r="N111" s="75"/>
      <c r="P111" s="89"/>
      <c r="Q111" s="89"/>
    </row>
    <row r="112" spans="1:17" x14ac:dyDescent="0.3">
      <c r="A112" s="16" t="s">
        <v>963</v>
      </c>
      <c r="B112" s="16" t="s">
        <v>967</v>
      </c>
      <c r="C112" s="28" t="s">
        <v>222</v>
      </c>
      <c r="D112" s="163" t="str">
        <f>IFERROR(VLOOKUP($C112,CUENTAS[],2,0),"")</f>
        <v>MANTENIMIENTO</v>
      </c>
      <c r="E112" s="163" t="str">
        <f>IFERROR(VLOOKUP($C112,CUENTAS[],3,0),"")</f>
        <v>MDE2025-009A</v>
      </c>
      <c r="F112" s="86">
        <v>9.14</v>
      </c>
      <c r="G112" s="86">
        <v>0.86</v>
      </c>
      <c r="H112" s="74">
        <v>10</v>
      </c>
      <c r="I112" s="200" t="str">
        <f t="shared" si="1"/>
        <v>CORRECTO</v>
      </c>
      <c r="J112" s="88" t="s">
        <v>963</v>
      </c>
      <c r="K112" s="69" t="s">
        <v>980</v>
      </c>
      <c r="L112" s="84" t="s">
        <v>227</v>
      </c>
      <c r="M112" s="136">
        <v>45736</v>
      </c>
      <c r="N112" s="75"/>
      <c r="P112" s="89"/>
      <c r="Q112" s="89"/>
    </row>
    <row r="113" spans="1:17" x14ac:dyDescent="0.3">
      <c r="A113" s="16" t="s">
        <v>963</v>
      </c>
      <c r="B113" s="16" t="s">
        <v>968</v>
      </c>
      <c r="C113" s="28" t="s">
        <v>130</v>
      </c>
      <c r="D113" s="163" t="str">
        <f>IFERROR(VLOOKUP($C113,CUENTAS[],2,0),"")</f>
        <v>MATERIALES</v>
      </c>
      <c r="E113" s="163" t="str">
        <f>IFERROR(VLOOKUP($C113,CUENTAS[],3,0),"")</f>
        <v>MDE2025-004A</v>
      </c>
      <c r="F113" s="86">
        <v>325.87</v>
      </c>
      <c r="G113" s="86">
        <v>52.13</v>
      </c>
      <c r="H113" s="74">
        <v>378</v>
      </c>
      <c r="I113" s="200" t="str">
        <f t="shared" si="1"/>
        <v>CORRECTO</v>
      </c>
      <c r="J113" s="88" t="s">
        <v>963</v>
      </c>
      <c r="K113" s="69" t="s">
        <v>980</v>
      </c>
      <c r="L113" s="84" t="s">
        <v>227</v>
      </c>
      <c r="M113" s="136">
        <v>45737</v>
      </c>
      <c r="N113" s="75"/>
      <c r="P113" s="89"/>
      <c r="Q113" s="89"/>
    </row>
    <row r="114" spans="1:17" x14ac:dyDescent="0.3">
      <c r="A114" s="16" t="s">
        <v>963</v>
      </c>
      <c r="B114" s="16" t="s">
        <v>969</v>
      </c>
      <c r="C114" s="28" t="s">
        <v>130</v>
      </c>
      <c r="D114" s="163" t="str">
        <f>IFERROR(VLOOKUP($C114,CUENTAS[],2,0),"")</f>
        <v>MATERIALES</v>
      </c>
      <c r="E114" s="163" t="str">
        <f>IFERROR(VLOOKUP($C114,CUENTAS[],3,0),"")</f>
        <v>MDE2025-004A</v>
      </c>
      <c r="F114" s="86">
        <v>154.38</v>
      </c>
      <c r="G114" s="86">
        <v>24.7</v>
      </c>
      <c r="H114" s="74">
        <v>179.08</v>
      </c>
      <c r="I114" s="200" t="str">
        <f t="shared" si="1"/>
        <v>CORRECTO</v>
      </c>
      <c r="J114" s="88" t="s">
        <v>963</v>
      </c>
      <c r="K114" s="69" t="s">
        <v>980</v>
      </c>
      <c r="L114" s="84" t="s">
        <v>227</v>
      </c>
      <c r="M114" s="136">
        <v>45737</v>
      </c>
      <c r="N114" s="75"/>
      <c r="P114" s="89"/>
      <c r="Q114" s="89"/>
    </row>
    <row r="115" spans="1:17" x14ac:dyDescent="0.3">
      <c r="A115" s="16" t="s">
        <v>963</v>
      </c>
      <c r="B115" s="16" t="s">
        <v>970</v>
      </c>
      <c r="C115" s="28" t="s">
        <v>130</v>
      </c>
      <c r="D115" s="163" t="str">
        <f>IFERROR(VLOOKUP($C115,CUENTAS[],2,0),"")</f>
        <v>MATERIALES</v>
      </c>
      <c r="E115" s="163" t="str">
        <f>IFERROR(VLOOKUP($C115,CUENTAS[],3,0),"")</f>
        <v>MDE2025-004A</v>
      </c>
      <c r="F115" s="86">
        <v>163.78</v>
      </c>
      <c r="G115" s="86">
        <v>26.16</v>
      </c>
      <c r="H115" s="74">
        <v>189.94</v>
      </c>
      <c r="I115" s="200" t="str">
        <f t="shared" si="1"/>
        <v>CORRECTO</v>
      </c>
      <c r="J115" s="88" t="s">
        <v>963</v>
      </c>
      <c r="K115" s="69" t="s">
        <v>980</v>
      </c>
      <c r="L115" s="84" t="s">
        <v>227</v>
      </c>
      <c r="M115" s="136">
        <v>45737</v>
      </c>
      <c r="N115" s="75"/>
      <c r="P115" s="89"/>
      <c r="Q115" s="89"/>
    </row>
    <row r="116" spans="1:17" x14ac:dyDescent="0.3">
      <c r="A116" s="16" t="s">
        <v>963</v>
      </c>
      <c r="B116" s="16" t="s">
        <v>971</v>
      </c>
      <c r="C116" s="28" t="s">
        <v>201</v>
      </c>
      <c r="D116" s="163" t="str">
        <f>IFERROR(VLOOKUP($C116,CUENTAS[],2,0),"")</f>
        <v>ACTIVOS FIJOS</v>
      </c>
      <c r="E116" s="163" t="str">
        <f>IFERROR(VLOOKUP($C116,CUENTAS[],3,0),"")</f>
        <v>MDE2025-007I</v>
      </c>
      <c r="F116" s="86">
        <v>78.64</v>
      </c>
      <c r="G116" s="86">
        <v>12.58</v>
      </c>
      <c r="H116" s="74">
        <v>91.22</v>
      </c>
      <c r="I116" s="200" t="str">
        <f t="shared" si="1"/>
        <v>CORRECTO</v>
      </c>
      <c r="J116" s="88" t="s">
        <v>963</v>
      </c>
      <c r="K116" s="69" t="s">
        <v>980</v>
      </c>
      <c r="L116" s="84" t="s">
        <v>227</v>
      </c>
      <c r="M116" s="136">
        <v>45798</v>
      </c>
      <c r="N116" s="75"/>
      <c r="P116" s="89"/>
      <c r="Q116" s="89"/>
    </row>
    <row r="117" spans="1:17" x14ac:dyDescent="0.3">
      <c r="A117" s="16" t="s">
        <v>963</v>
      </c>
      <c r="B117" s="16" t="s">
        <v>972</v>
      </c>
      <c r="C117" s="28" t="s">
        <v>201</v>
      </c>
      <c r="D117" s="163" t="str">
        <f>IFERROR(VLOOKUP($C117,CUENTAS[],2,0),"")</f>
        <v>ACTIVOS FIJOS</v>
      </c>
      <c r="E117" s="163" t="str">
        <f>IFERROR(VLOOKUP($C117,CUENTAS[],3,0),"")</f>
        <v>MDE2025-007I</v>
      </c>
      <c r="F117" s="86">
        <v>3106.9</v>
      </c>
      <c r="G117" s="86">
        <v>497.1</v>
      </c>
      <c r="H117" s="74">
        <v>3604</v>
      </c>
      <c r="I117" s="200" t="str">
        <f t="shared" si="1"/>
        <v>CORRECTO</v>
      </c>
      <c r="J117" s="88" t="s">
        <v>963</v>
      </c>
      <c r="K117" s="69" t="s">
        <v>980</v>
      </c>
      <c r="L117" s="84" t="s">
        <v>227</v>
      </c>
      <c r="M117" s="136">
        <v>45798</v>
      </c>
      <c r="N117" s="75"/>
      <c r="P117" s="89"/>
      <c r="Q117" s="89"/>
    </row>
    <row r="118" spans="1:17" x14ac:dyDescent="0.3">
      <c r="A118" s="16" t="s">
        <v>963</v>
      </c>
      <c r="B118" s="16" t="s">
        <v>973</v>
      </c>
      <c r="C118" s="28" t="s">
        <v>222</v>
      </c>
      <c r="D118" s="163" t="str">
        <f>IFERROR(VLOOKUP($C118,CUENTAS[],2,0),"")</f>
        <v>MANTENIMIENTO</v>
      </c>
      <c r="E118" s="163" t="str">
        <f>IFERROR(VLOOKUP($C118,CUENTAS[],3,0),"")</f>
        <v>MDE2025-009A</v>
      </c>
      <c r="F118" s="86">
        <v>14.83</v>
      </c>
      <c r="G118" s="86">
        <v>0.86</v>
      </c>
      <c r="H118" s="74">
        <v>15.69</v>
      </c>
      <c r="I118" s="200" t="str">
        <f t="shared" si="1"/>
        <v>CORRECTO</v>
      </c>
      <c r="J118" s="88" t="s">
        <v>963</v>
      </c>
      <c r="K118" s="69" t="s">
        <v>981</v>
      </c>
      <c r="L118" s="84" t="s">
        <v>227</v>
      </c>
      <c r="M118" s="136">
        <v>45798</v>
      </c>
      <c r="N118" s="75"/>
      <c r="P118" s="89"/>
      <c r="Q118" s="89"/>
    </row>
    <row r="119" spans="1:17" x14ac:dyDescent="0.3">
      <c r="A119" s="16" t="s">
        <v>963</v>
      </c>
      <c r="B119" s="16" t="s">
        <v>974</v>
      </c>
      <c r="C119" s="28" t="s">
        <v>222</v>
      </c>
      <c r="D119" s="163" t="str">
        <f>IFERROR(VLOOKUP($C119,CUENTAS[],2,0),"")</f>
        <v>MANTENIMIENTO</v>
      </c>
      <c r="E119" s="163" t="str">
        <f>IFERROR(VLOOKUP($C119,CUENTAS[],3,0),"")</f>
        <v>MDE2025-009A</v>
      </c>
      <c r="F119" s="86">
        <v>30.6</v>
      </c>
      <c r="G119" s="86">
        <v>4.9000000000000004</v>
      </c>
      <c r="H119" s="74">
        <v>35.5</v>
      </c>
      <c r="I119" s="200" t="str">
        <f t="shared" si="1"/>
        <v>CORRECTO</v>
      </c>
      <c r="J119" s="88" t="s">
        <v>963</v>
      </c>
      <c r="K119" s="69" t="s">
        <v>980</v>
      </c>
      <c r="L119" s="84" t="s">
        <v>227</v>
      </c>
      <c r="M119" s="136">
        <v>45742</v>
      </c>
      <c r="N119" s="75"/>
      <c r="P119" s="89"/>
      <c r="Q119" s="89"/>
    </row>
    <row r="120" spans="1:17" x14ac:dyDescent="0.3">
      <c r="A120" s="16" t="s">
        <v>963</v>
      </c>
      <c r="B120" s="16" t="s">
        <v>975</v>
      </c>
      <c r="C120" s="28" t="s">
        <v>222</v>
      </c>
      <c r="D120" s="163" t="str">
        <f>IFERROR(VLOOKUP($C120,CUENTAS[],2,0),"")</f>
        <v>MANTENIMIENTO</v>
      </c>
      <c r="E120" s="163" t="str">
        <f>IFERROR(VLOOKUP($C120,CUENTAS[],3,0),"")</f>
        <v>MDE2025-009A</v>
      </c>
      <c r="F120" s="86">
        <v>14.3</v>
      </c>
      <c r="G120" s="86">
        <v>2.2000000000000002</v>
      </c>
      <c r="H120" s="74">
        <v>16.5</v>
      </c>
      <c r="I120" s="200" t="str">
        <f t="shared" si="1"/>
        <v>CORRECTO</v>
      </c>
      <c r="J120" s="88" t="s">
        <v>963</v>
      </c>
      <c r="K120" s="69" t="s">
        <v>980</v>
      </c>
      <c r="L120" s="84" t="s">
        <v>227</v>
      </c>
      <c r="M120" s="136">
        <v>45742</v>
      </c>
      <c r="N120" s="75"/>
      <c r="P120" s="89"/>
      <c r="Q120" s="89"/>
    </row>
    <row r="121" spans="1:17" x14ac:dyDescent="0.3">
      <c r="A121" s="16" t="s">
        <v>963</v>
      </c>
      <c r="B121" s="16" t="s">
        <v>976</v>
      </c>
      <c r="C121" s="28" t="s">
        <v>222</v>
      </c>
      <c r="D121" s="163" t="str">
        <f>IFERROR(VLOOKUP($C121,CUENTAS[],2,0),"")</f>
        <v>MANTENIMIENTO</v>
      </c>
      <c r="E121" s="163" t="str">
        <f>IFERROR(VLOOKUP($C121,CUENTAS[],3,0),"")</f>
        <v>MDE2025-009A</v>
      </c>
      <c r="F121" s="86">
        <v>17.850000000000001</v>
      </c>
      <c r="G121" s="86">
        <v>2.85</v>
      </c>
      <c r="H121" s="74">
        <v>20.7</v>
      </c>
      <c r="I121" s="200" t="str">
        <f t="shared" si="1"/>
        <v>CORRECTO</v>
      </c>
      <c r="J121" s="88" t="s">
        <v>963</v>
      </c>
      <c r="K121" s="69" t="s">
        <v>980</v>
      </c>
      <c r="L121" s="84" t="s">
        <v>227</v>
      </c>
      <c r="M121" s="136">
        <v>45742</v>
      </c>
      <c r="N121" s="75" t="s">
        <v>982</v>
      </c>
      <c r="P121" s="89"/>
      <c r="Q121" s="89"/>
    </row>
    <row r="122" spans="1:17" x14ac:dyDescent="0.3">
      <c r="A122" s="16" t="s">
        <v>963</v>
      </c>
      <c r="B122" s="16" t="s">
        <v>977</v>
      </c>
      <c r="C122" s="28" t="s">
        <v>222</v>
      </c>
      <c r="D122" s="163" t="str">
        <f>IFERROR(VLOOKUP($C122,CUENTAS[],2,0),"")</f>
        <v>MANTENIMIENTO</v>
      </c>
      <c r="E122" s="163" t="str">
        <f>IFERROR(VLOOKUP($C122,CUENTAS[],3,0),"")</f>
        <v>MDE2025-009A</v>
      </c>
      <c r="F122" s="86">
        <v>30.25</v>
      </c>
      <c r="G122" s="86">
        <v>4.8499999999999996</v>
      </c>
      <c r="H122" s="74">
        <v>35.1</v>
      </c>
      <c r="I122" s="200" t="str">
        <f t="shared" si="1"/>
        <v>CORRECTO</v>
      </c>
      <c r="J122" s="88" t="s">
        <v>963</v>
      </c>
      <c r="K122" s="69" t="s">
        <v>980</v>
      </c>
      <c r="L122" s="84" t="s">
        <v>227</v>
      </c>
      <c r="M122" s="136">
        <v>45742</v>
      </c>
      <c r="N122" s="75"/>
      <c r="P122" s="89"/>
      <c r="Q122" s="89"/>
    </row>
    <row r="123" spans="1:17" x14ac:dyDescent="0.3">
      <c r="A123" s="16" t="s">
        <v>963</v>
      </c>
      <c r="B123" s="16" t="s">
        <v>978</v>
      </c>
      <c r="C123" s="28" t="s">
        <v>222</v>
      </c>
      <c r="D123" s="163" t="str">
        <f>IFERROR(VLOOKUP($C123,CUENTAS[],2,0),"")</f>
        <v>MANTENIMIENTO</v>
      </c>
      <c r="E123" s="163" t="str">
        <f>IFERROR(VLOOKUP($C123,CUENTAS[],3,0),"")</f>
        <v>MDE2025-009A</v>
      </c>
      <c r="F123" s="86">
        <v>17.46</v>
      </c>
      <c r="G123" s="86">
        <v>2.8</v>
      </c>
      <c r="H123" s="74">
        <v>20.260000000000002</v>
      </c>
      <c r="I123" s="200" t="str">
        <f t="shared" si="1"/>
        <v>CORRECTO</v>
      </c>
      <c r="J123" s="88" t="s">
        <v>963</v>
      </c>
      <c r="K123" s="69" t="s">
        <v>980</v>
      </c>
      <c r="L123" s="84" t="s">
        <v>227</v>
      </c>
      <c r="M123" s="136">
        <v>45742</v>
      </c>
      <c r="N123" s="75"/>
      <c r="P123" s="89"/>
      <c r="Q123" s="89"/>
    </row>
    <row r="124" spans="1:17" x14ac:dyDescent="0.3">
      <c r="A124" s="16"/>
      <c r="B124" s="16" t="s">
        <v>979</v>
      </c>
      <c r="C124" s="28" t="s">
        <v>222</v>
      </c>
      <c r="D124" s="163" t="str">
        <f>IFERROR(VLOOKUP($C124,CUENTAS[],2,0),"")</f>
        <v>MANTENIMIENTO</v>
      </c>
      <c r="E124" s="163" t="str">
        <f>IFERROR(VLOOKUP($C124,CUENTAS[],3,0),"")</f>
        <v>MDE2025-009A</v>
      </c>
      <c r="F124" s="86">
        <v>34.5</v>
      </c>
      <c r="G124" s="86">
        <v>5.5</v>
      </c>
      <c r="H124" s="74">
        <v>40</v>
      </c>
      <c r="I124" s="200" t="str">
        <f t="shared" si="1"/>
        <v>CORRECTO</v>
      </c>
      <c r="J124" s="88" t="s">
        <v>963</v>
      </c>
      <c r="K124" s="69" t="s">
        <v>980</v>
      </c>
      <c r="L124" s="84" t="s">
        <v>227</v>
      </c>
      <c r="M124" s="136">
        <v>45744</v>
      </c>
      <c r="N124" s="75"/>
      <c r="P124" s="89"/>
      <c r="Q124" s="89"/>
    </row>
    <row r="125" spans="1:17" x14ac:dyDescent="0.3">
      <c r="A125" s="16" t="s">
        <v>1040</v>
      </c>
      <c r="B125" s="16" t="s">
        <v>1041</v>
      </c>
      <c r="C125" s="28" t="s">
        <v>224</v>
      </c>
      <c r="D125" s="163" t="str">
        <f>IFERROR(VLOOKUP($C125,CUENTAS[],2,0),"")</f>
        <v>MATERIALES</v>
      </c>
      <c r="E125" s="163" t="str">
        <f>IFERROR(VLOOKUP($C125,CUENTAS[],3,0),"")</f>
        <v>MDE2025-004</v>
      </c>
      <c r="F125" s="86">
        <v>17533.439999999999</v>
      </c>
      <c r="G125" s="86">
        <v>2805.36</v>
      </c>
      <c r="H125" s="74">
        <v>20338.8</v>
      </c>
      <c r="I125" s="200" t="str">
        <f t="shared" si="1"/>
        <v>CORRECTO</v>
      </c>
      <c r="J125" s="88" t="s">
        <v>225</v>
      </c>
      <c r="K125" s="69" t="s">
        <v>894</v>
      </c>
      <c r="L125" s="84" t="s">
        <v>227</v>
      </c>
      <c r="M125" s="136">
        <v>45729</v>
      </c>
      <c r="N125" s="75" t="s">
        <v>1051</v>
      </c>
      <c r="P125" s="89"/>
      <c r="Q125" s="89"/>
    </row>
    <row r="126" spans="1:17" x14ac:dyDescent="0.3">
      <c r="A126" s="16" t="s">
        <v>1040</v>
      </c>
      <c r="B126" s="16" t="s">
        <v>1042</v>
      </c>
      <c r="C126" s="28" t="s">
        <v>224</v>
      </c>
      <c r="D126" s="163" t="str">
        <f>IFERROR(VLOOKUP($C126,CUENTAS[],2,0),"")</f>
        <v>MATERIALES</v>
      </c>
      <c r="E126" s="163" t="str">
        <f>IFERROR(VLOOKUP($C126,CUENTAS[],3,0),"")</f>
        <v>MDE2025-004</v>
      </c>
      <c r="F126" s="86">
        <v>2662.08</v>
      </c>
      <c r="G126" s="86">
        <v>425.93</v>
      </c>
      <c r="H126" s="74">
        <v>3088.01</v>
      </c>
      <c r="I126" s="200" t="str">
        <f t="shared" si="1"/>
        <v>CORRECTO</v>
      </c>
      <c r="J126" s="88" t="s">
        <v>225</v>
      </c>
      <c r="K126" s="69" t="s">
        <v>894</v>
      </c>
      <c r="L126" s="84" t="s">
        <v>227</v>
      </c>
      <c r="M126" s="136">
        <v>45729</v>
      </c>
      <c r="N126" s="75" t="s">
        <v>1052</v>
      </c>
      <c r="P126" s="89"/>
      <c r="Q126" s="89"/>
    </row>
    <row r="127" spans="1:17" x14ac:dyDescent="0.3">
      <c r="A127" s="16" t="s">
        <v>890</v>
      </c>
      <c r="B127" s="16" t="s">
        <v>1043</v>
      </c>
      <c r="C127" s="28" t="s">
        <v>224</v>
      </c>
      <c r="D127" s="163" t="str">
        <f>IFERROR(VLOOKUP($C127,CUENTAS[],2,0),"")</f>
        <v>MATERIALES</v>
      </c>
      <c r="E127" s="163" t="str">
        <f>IFERROR(VLOOKUP($C127,CUENTAS[],3,0),"")</f>
        <v>MDE2025-004</v>
      </c>
      <c r="F127" s="86">
        <v>586.35</v>
      </c>
      <c r="G127" s="86">
        <v>93.82</v>
      </c>
      <c r="H127" s="74">
        <v>680.17</v>
      </c>
      <c r="I127" s="200" t="str">
        <f t="shared" si="1"/>
        <v>CORRECTO</v>
      </c>
      <c r="J127" s="88" t="s">
        <v>225</v>
      </c>
      <c r="K127" s="69" t="s">
        <v>894</v>
      </c>
      <c r="L127" s="84" t="s">
        <v>227</v>
      </c>
      <c r="M127" s="136">
        <v>45730</v>
      </c>
      <c r="N127" s="75" t="s">
        <v>1053</v>
      </c>
      <c r="P127" s="89"/>
      <c r="Q127" s="89"/>
    </row>
    <row r="128" spans="1:17" x14ac:dyDescent="0.3">
      <c r="A128" s="16" t="s">
        <v>890</v>
      </c>
      <c r="B128" s="16" t="s">
        <v>1044</v>
      </c>
      <c r="C128" s="28" t="s">
        <v>224</v>
      </c>
      <c r="D128" s="163" t="str">
        <f>IFERROR(VLOOKUP($C128,CUENTAS[],2,0),"")</f>
        <v>MATERIALES</v>
      </c>
      <c r="E128" s="163" t="str">
        <f>IFERROR(VLOOKUP($C128,CUENTAS[],3,0),"")</f>
        <v>MDE2025-004</v>
      </c>
      <c r="F128" s="86">
        <v>2795.95</v>
      </c>
      <c r="G128" s="86">
        <v>447.35</v>
      </c>
      <c r="H128" s="74">
        <v>3243.3</v>
      </c>
      <c r="I128" s="200" t="str">
        <f t="shared" si="1"/>
        <v>CORRECTO</v>
      </c>
      <c r="J128" s="88" t="s">
        <v>225</v>
      </c>
      <c r="K128" s="69" t="s">
        <v>894</v>
      </c>
      <c r="L128" s="84" t="s">
        <v>227</v>
      </c>
      <c r="M128" s="136">
        <v>45730</v>
      </c>
      <c r="N128" s="75" t="s">
        <v>1054</v>
      </c>
      <c r="P128" s="89"/>
      <c r="Q128" s="89"/>
    </row>
    <row r="129" spans="1:17" x14ac:dyDescent="0.3">
      <c r="A129" s="16" t="s">
        <v>1045</v>
      </c>
      <c r="B129" s="16" t="s">
        <v>1046</v>
      </c>
      <c r="C129" s="28" t="s">
        <v>224</v>
      </c>
      <c r="D129" s="163" t="str">
        <f>IFERROR(VLOOKUP($C129,CUENTAS[],2,0),"")</f>
        <v>MATERIALES</v>
      </c>
      <c r="E129" s="163" t="str">
        <f>IFERROR(VLOOKUP($C129,CUENTAS[],3,0),"")</f>
        <v>MDE2025-004</v>
      </c>
      <c r="F129" s="86">
        <v>169.38</v>
      </c>
      <c r="G129" s="86">
        <v>27.1</v>
      </c>
      <c r="H129" s="74">
        <v>196.48</v>
      </c>
      <c r="I129" s="200" t="str">
        <f t="shared" si="1"/>
        <v>CORRECTO</v>
      </c>
      <c r="J129" s="88" t="s">
        <v>225</v>
      </c>
      <c r="K129" s="69" t="s">
        <v>894</v>
      </c>
      <c r="L129" s="84" t="s">
        <v>227</v>
      </c>
      <c r="M129" s="136">
        <v>45730</v>
      </c>
      <c r="N129" s="75" t="s">
        <v>1055</v>
      </c>
      <c r="P129" s="89"/>
      <c r="Q129" s="89"/>
    </row>
    <row r="130" spans="1:17" x14ac:dyDescent="0.3">
      <c r="A130" s="16" t="s">
        <v>619</v>
      </c>
      <c r="B130" s="16" t="s">
        <v>1047</v>
      </c>
      <c r="C130" s="28" t="s">
        <v>224</v>
      </c>
      <c r="D130" s="163" t="str">
        <f>IFERROR(VLOOKUP($C130,CUENTAS[],2,0),"")</f>
        <v>MATERIALES</v>
      </c>
      <c r="E130" s="163" t="str">
        <f>IFERROR(VLOOKUP($C130,CUENTAS[],3,0),"")</f>
        <v>MDE2025-004</v>
      </c>
      <c r="F130" s="86">
        <v>137.93</v>
      </c>
      <c r="G130" s="86">
        <v>22.07</v>
      </c>
      <c r="H130" s="74">
        <v>160</v>
      </c>
      <c r="I130" s="200" t="str">
        <f t="shared" si="1"/>
        <v>CORRECTO</v>
      </c>
      <c r="J130" s="88" t="s">
        <v>225</v>
      </c>
      <c r="K130" s="69" t="s">
        <v>894</v>
      </c>
      <c r="L130" s="84" t="s">
        <v>227</v>
      </c>
      <c r="M130" s="136">
        <v>45730</v>
      </c>
      <c r="N130" s="75" t="s">
        <v>1056</v>
      </c>
      <c r="P130" s="89"/>
      <c r="Q130" s="89"/>
    </row>
    <row r="131" spans="1:17" x14ac:dyDescent="0.3">
      <c r="A131" s="16" t="s">
        <v>878</v>
      </c>
      <c r="B131" s="16" t="s">
        <v>1048</v>
      </c>
      <c r="C131" s="28" t="s">
        <v>224</v>
      </c>
      <c r="D131" s="163" t="str">
        <f>IFERROR(VLOOKUP($C131,CUENTAS[],2,0),"")</f>
        <v>MATERIALES</v>
      </c>
      <c r="E131" s="163" t="str">
        <f>IFERROR(VLOOKUP($C131,CUENTAS[],3,0),"")</f>
        <v>MDE2025-004</v>
      </c>
      <c r="F131" s="86">
        <v>12311.58</v>
      </c>
      <c r="G131" s="86">
        <v>1969.85</v>
      </c>
      <c r="H131" s="74">
        <v>14281.43</v>
      </c>
      <c r="I131" s="200" t="str">
        <f t="shared" ref="I131:I194" si="2">IFERROR(IF(F131+G131&lt;&gt;H131,"REVISAR","CORRECTO"),"")</f>
        <v>CORRECTO</v>
      </c>
      <c r="J131" s="88" t="s">
        <v>225</v>
      </c>
      <c r="K131" s="69" t="s">
        <v>894</v>
      </c>
      <c r="L131" s="84" t="s">
        <v>227</v>
      </c>
      <c r="M131" s="136">
        <v>45730</v>
      </c>
      <c r="N131" s="75" t="s">
        <v>1057</v>
      </c>
      <c r="P131" s="89"/>
      <c r="Q131" s="89"/>
    </row>
    <row r="132" spans="1:17" x14ac:dyDescent="0.3">
      <c r="A132" s="16" t="s">
        <v>855</v>
      </c>
      <c r="B132" s="16" t="s">
        <v>1049</v>
      </c>
      <c r="C132" s="28" t="s">
        <v>224</v>
      </c>
      <c r="D132" s="163" t="str">
        <f>IFERROR(VLOOKUP($C132,CUENTAS[],2,0),"")</f>
        <v>MATERIALES</v>
      </c>
      <c r="E132" s="163" t="str">
        <f>IFERROR(VLOOKUP($C132,CUENTAS[],3,0),"")</f>
        <v>MDE2025-004</v>
      </c>
      <c r="F132" s="86">
        <v>606.89</v>
      </c>
      <c r="G132" s="86">
        <v>97.11</v>
      </c>
      <c r="H132" s="74">
        <v>704</v>
      </c>
      <c r="I132" s="200" t="str">
        <f t="shared" si="2"/>
        <v>CORRECTO</v>
      </c>
      <c r="J132" s="88" t="s">
        <v>225</v>
      </c>
      <c r="K132" s="69" t="s">
        <v>894</v>
      </c>
      <c r="L132" s="84" t="s">
        <v>227</v>
      </c>
      <c r="M132" s="136">
        <v>45730</v>
      </c>
      <c r="N132" s="75" t="s">
        <v>1058</v>
      </c>
      <c r="P132" s="89"/>
      <c r="Q132" s="89"/>
    </row>
    <row r="133" spans="1:17" x14ac:dyDescent="0.3">
      <c r="A133" s="16" t="s">
        <v>463</v>
      </c>
      <c r="B133" s="16" t="s">
        <v>1050</v>
      </c>
      <c r="C133" s="28" t="s">
        <v>224</v>
      </c>
      <c r="D133" s="28" t="str">
        <f>IFERROR(VLOOKUP($C133,CUENTAS[],2,0),"")</f>
        <v>MATERIALES</v>
      </c>
      <c r="E133" s="28" t="str">
        <f>IFERROR(VLOOKUP($C133,CUENTAS[],3,0),"")</f>
        <v>MDE2025-004</v>
      </c>
      <c r="F133" s="86">
        <v>233.36</v>
      </c>
      <c r="G133" s="86">
        <v>37.340000000000003</v>
      </c>
      <c r="H133" s="74">
        <v>270.7</v>
      </c>
      <c r="I133" s="200" t="str">
        <f t="shared" si="2"/>
        <v>CORRECTO</v>
      </c>
      <c r="J133" s="88" t="s">
        <v>225</v>
      </c>
      <c r="K133" s="69" t="s">
        <v>894</v>
      </c>
      <c r="L133" s="84" t="s">
        <v>227</v>
      </c>
      <c r="M133" s="136">
        <v>45730</v>
      </c>
      <c r="N133" s="75" t="s">
        <v>1059</v>
      </c>
      <c r="P133" s="89"/>
      <c r="Q133" s="89"/>
    </row>
    <row r="134" spans="1:17" x14ac:dyDescent="0.3">
      <c r="A134" s="5" t="s">
        <v>228</v>
      </c>
      <c r="B134" s="100" t="s">
        <v>996</v>
      </c>
      <c r="C134" s="28" t="s">
        <v>223</v>
      </c>
      <c r="D134" s="28" t="str">
        <f>IFERROR(VLOOKUP($C134,CUENTAS[],2,0),"")</f>
        <v>MANTENIMIENTO</v>
      </c>
      <c r="E134" s="28" t="str">
        <f>IFERROR(VLOOKUP($C134,CUENTAS[],3,0),"")</f>
        <v>MDE2025-009B</v>
      </c>
      <c r="F134" s="144">
        <v>514.54</v>
      </c>
      <c r="G134" s="145">
        <v>82.33</v>
      </c>
      <c r="H134" s="128">
        <v>596.87</v>
      </c>
      <c r="I134" s="200" t="str">
        <f t="shared" si="2"/>
        <v>CORRECTO</v>
      </c>
      <c r="J134" s="88" t="s">
        <v>133</v>
      </c>
      <c r="K134" s="141" t="s">
        <v>360</v>
      </c>
      <c r="L134" s="142" t="s">
        <v>227</v>
      </c>
      <c r="M134" s="139">
        <v>45750</v>
      </c>
      <c r="N134" s="143" t="s">
        <v>1012</v>
      </c>
      <c r="P134" s="89"/>
      <c r="Q134" s="89"/>
    </row>
    <row r="135" spans="1:17" x14ac:dyDescent="0.3">
      <c r="A135" s="5" t="s">
        <v>228</v>
      </c>
      <c r="B135" s="100" t="s">
        <v>997</v>
      </c>
      <c r="C135" s="28" t="s">
        <v>223</v>
      </c>
      <c r="D135" s="28" t="str">
        <f>IFERROR(VLOOKUP($C135,CUENTAS[],2,0),"")</f>
        <v>MANTENIMIENTO</v>
      </c>
      <c r="E135" s="28" t="str">
        <f>IFERROR(VLOOKUP($C135,CUENTAS[],3,0),"")</f>
        <v>MDE2025-009B</v>
      </c>
      <c r="F135" s="144">
        <v>4154.76</v>
      </c>
      <c r="G135" s="145">
        <v>664.76</v>
      </c>
      <c r="H135" s="128">
        <v>4819.5200000000004</v>
      </c>
      <c r="I135" s="200" t="str">
        <f t="shared" si="2"/>
        <v>CORRECTO</v>
      </c>
      <c r="J135" s="88" t="s">
        <v>133</v>
      </c>
      <c r="K135" s="141" t="s">
        <v>360</v>
      </c>
      <c r="L135" s="142" t="s">
        <v>227</v>
      </c>
      <c r="M135" s="139">
        <v>45750</v>
      </c>
      <c r="N135" s="143" t="s">
        <v>1013</v>
      </c>
      <c r="P135" s="89"/>
      <c r="Q135" s="89"/>
    </row>
    <row r="136" spans="1:17" x14ac:dyDescent="0.3">
      <c r="A136" s="21" t="s">
        <v>228</v>
      </c>
      <c r="B136" s="104" t="s">
        <v>996</v>
      </c>
      <c r="C136" s="28" t="s">
        <v>223</v>
      </c>
      <c r="D136" s="28" t="str">
        <f>IFERROR(VLOOKUP($C136,CUENTAS[],2,0),"")</f>
        <v>MANTENIMIENTO</v>
      </c>
      <c r="E136" s="28" t="str">
        <f>IFERROR(VLOOKUP($C136,CUENTAS[],3,0),"")</f>
        <v>MDE2025-009B</v>
      </c>
      <c r="F136" s="144">
        <v>19433.21</v>
      </c>
      <c r="G136" s="145">
        <v>0</v>
      </c>
      <c r="H136" s="128">
        <v>19433.21</v>
      </c>
      <c r="I136" s="200" t="str">
        <f t="shared" si="2"/>
        <v>CORRECTO</v>
      </c>
      <c r="J136" s="88" t="s">
        <v>133</v>
      </c>
      <c r="K136" s="141" t="s">
        <v>360</v>
      </c>
      <c r="L136" s="142" t="s">
        <v>227</v>
      </c>
      <c r="M136" s="139">
        <v>45747</v>
      </c>
      <c r="N136" s="146" t="s">
        <v>1014</v>
      </c>
      <c r="P136" s="89"/>
      <c r="Q136" s="89"/>
    </row>
    <row r="137" spans="1:17" x14ac:dyDescent="0.3">
      <c r="A137" s="21" t="s">
        <v>228</v>
      </c>
      <c r="B137" s="104" t="s">
        <v>998</v>
      </c>
      <c r="C137" s="28" t="s">
        <v>134</v>
      </c>
      <c r="D137" s="28" t="str">
        <f>IFERROR(VLOOKUP($C137,CUENTAS[],2,0),"")</f>
        <v>GASTOS FIJOS</v>
      </c>
      <c r="E137" s="28" t="str">
        <f>IFERROR(VLOOKUP($C137,CUENTAS[],3,0),"")</f>
        <v>MDE2025-002J</v>
      </c>
      <c r="F137" s="144">
        <v>610.78</v>
      </c>
      <c r="G137" s="145">
        <v>0</v>
      </c>
      <c r="H137" s="128">
        <v>610.78</v>
      </c>
      <c r="I137" s="200" t="str">
        <f t="shared" si="2"/>
        <v>CORRECTO</v>
      </c>
      <c r="J137" s="88" t="s">
        <v>133</v>
      </c>
      <c r="K137" s="141" t="s">
        <v>360</v>
      </c>
      <c r="L137" s="142" t="s">
        <v>227</v>
      </c>
      <c r="M137" s="139">
        <v>45750</v>
      </c>
      <c r="N137" s="146" t="s">
        <v>410</v>
      </c>
      <c r="P137" s="89"/>
      <c r="Q137" s="89"/>
    </row>
    <row r="138" spans="1:17" x14ac:dyDescent="0.3">
      <c r="A138" s="21" t="s">
        <v>228</v>
      </c>
      <c r="B138" s="104" t="s">
        <v>999</v>
      </c>
      <c r="C138" s="28" t="s">
        <v>139</v>
      </c>
      <c r="D138" s="28" t="str">
        <f>IFERROR(VLOOKUP($C138,CUENTAS[],2,0),"")</f>
        <v>ACTIVOS FIJOS</v>
      </c>
      <c r="E138" s="28" t="str">
        <f>IFERROR(VLOOKUP($C138,CUENTAS[],3,0),"")</f>
        <v>MDE2025-007E</v>
      </c>
      <c r="F138" s="144">
        <v>5799</v>
      </c>
      <c r="G138" s="145">
        <v>0</v>
      </c>
      <c r="H138" s="128">
        <v>5799</v>
      </c>
      <c r="I138" s="200" t="str">
        <f t="shared" si="2"/>
        <v>CORRECTO</v>
      </c>
      <c r="J138" s="88" t="s">
        <v>133</v>
      </c>
      <c r="K138" s="141" t="s">
        <v>774</v>
      </c>
      <c r="L138" s="142" t="s">
        <v>227</v>
      </c>
      <c r="M138" s="139">
        <v>45747</v>
      </c>
      <c r="N138" s="146" t="s">
        <v>410</v>
      </c>
      <c r="P138" s="89"/>
      <c r="Q138" s="89"/>
    </row>
    <row r="139" spans="1:17" x14ac:dyDescent="0.3">
      <c r="A139" s="21" t="s">
        <v>228</v>
      </c>
      <c r="B139" s="104" t="s">
        <v>997</v>
      </c>
      <c r="C139" s="28" t="s">
        <v>223</v>
      </c>
      <c r="D139" s="28" t="str">
        <f>IFERROR(VLOOKUP($C139,CUENTAS[],2,0),"")</f>
        <v>MANTENIMIENTO</v>
      </c>
      <c r="E139" s="28" t="str">
        <f>IFERROR(VLOOKUP($C139,CUENTAS[],3,0),"")</f>
        <v>MDE2025-009B</v>
      </c>
      <c r="F139" s="144">
        <v>10278.84</v>
      </c>
      <c r="G139" s="145">
        <v>1644.61</v>
      </c>
      <c r="H139" s="128">
        <v>11923.45</v>
      </c>
      <c r="I139" s="200" t="str">
        <f t="shared" si="2"/>
        <v>CORRECTO</v>
      </c>
      <c r="J139" s="88" t="s">
        <v>133</v>
      </c>
      <c r="K139" s="141" t="s">
        <v>360</v>
      </c>
      <c r="L139" s="142" t="s">
        <v>227</v>
      </c>
      <c r="M139" s="139">
        <v>45747</v>
      </c>
      <c r="N139" s="146" t="s">
        <v>1015</v>
      </c>
      <c r="P139" s="89"/>
      <c r="Q139" s="89"/>
    </row>
    <row r="140" spans="1:17" x14ac:dyDescent="0.3">
      <c r="A140" s="21" t="s">
        <v>228</v>
      </c>
      <c r="B140" s="104" t="s">
        <v>401</v>
      </c>
      <c r="C140" s="28" t="s">
        <v>151</v>
      </c>
      <c r="D140" s="28" t="str">
        <f>IFERROR(VLOOKUP($C140,CUENTAS[],2,0),"")</f>
        <v>GASTOS FIJOS</v>
      </c>
      <c r="E140" s="28" t="str">
        <f>IFERROR(VLOOKUP($C140,CUENTAS[],3,0),"")</f>
        <v>MDE2025-002F</v>
      </c>
      <c r="F140" s="144">
        <v>3148</v>
      </c>
      <c r="G140" s="145">
        <v>0</v>
      </c>
      <c r="H140" s="128">
        <v>3148</v>
      </c>
      <c r="I140" s="200" t="str">
        <f t="shared" si="2"/>
        <v>CORRECTO</v>
      </c>
      <c r="J140" s="88" t="s">
        <v>133</v>
      </c>
      <c r="K140" s="141" t="s">
        <v>360</v>
      </c>
      <c r="L140" s="142" t="s">
        <v>227</v>
      </c>
      <c r="M140" s="139">
        <v>45750</v>
      </c>
      <c r="N140" s="146"/>
      <c r="P140" s="89"/>
      <c r="Q140" s="89"/>
    </row>
    <row r="141" spans="1:17" x14ac:dyDescent="0.3">
      <c r="A141" s="21" t="s">
        <v>228</v>
      </c>
      <c r="B141" s="104" t="s">
        <v>1000</v>
      </c>
      <c r="C141" s="28" t="s">
        <v>151</v>
      </c>
      <c r="D141" s="28" t="str">
        <f>IFERROR(VLOOKUP($C141,CUENTAS[],2,0),"")</f>
        <v>GASTOS FIJOS</v>
      </c>
      <c r="E141" s="28" t="str">
        <f>IFERROR(VLOOKUP($C141,CUENTAS[],3,0),"")</f>
        <v>MDE2025-002F</v>
      </c>
      <c r="F141" s="144">
        <v>-1.1100000000000001</v>
      </c>
      <c r="G141" s="145">
        <v>0</v>
      </c>
      <c r="H141" s="128">
        <v>-1.1100000000000001</v>
      </c>
      <c r="I141" s="200" t="str">
        <f t="shared" si="2"/>
        <v>CORRECTO</v>
      </c>
      <c r="J141" s="88" t="s">
        <v>133</v>
      </c>
      <c r="K141" s="141"/>
      <c r="L141" s="142" t="s">
        <v>227</v>
      </c>
      <c r="M141" s="139"/>
      <c r="N141" s="146"/>
      <c r="P141" s="89"/>
      <c r="Q141" s="89"/>
    </row>
    <row r="142" spans="1:17" x14ac:dyDescent="0.3">
      <c r="A142" s="21" t="s">
        <v>228</v>
      </c>
      <c r="B142" s="104" t="s">
        <v>1000</v>
      </c>
      <c r="C142" s="28" t="s">
        <v>151</v>
      </c>
      <c r="D142" s="28" t="str">
        <f>IFERROR(VLOOKUP($C142,CUENTAS[],2,0),"")</f>
        <v>GASTOS FIJOS</v>
      </c>
      <c r="E142" s="28" t="str">
        <f>IFERROR(VLOOKUP($C142,CUENTAS[],3,0),"")</f>
        <v>MDE2025-002F</v>
      </c>
      <c r="F142" s="144">
        <v>-0.74</v>
      </c>
      <c r="G142" s="145">
        <v>0</v>
      </c>
      <c r="H142" s="128">
        <v>-0.74</v>
      </c>
      <c r="I142" s="200" t="str">
        <f t="shared" si="2"/>
        <v>CORRECTO</v>
      </c>
      <c r="J142" s="88" t="s">
        <v>133</v>
      </c>
      <c r="K142" s="141"/>
      <c r="L142" s="142" t="s">
        <v>227</v>
      </c>
      <c r="M142" s="139"/>
      <c r="N142" s="146"/>
      <c r="P142" s="89"/>
      <c r="Q142" s="89"/>
    </row>
    <row r="143" spans="1:17" x14ac:dyDescent="0.3">
      <c r="A143" s="21" t="s">
        <v>228</v>
      </c>
      <c r="B143" s="104" t="s">
        <v>1000</v>
      </c>
      <c r="C143" s="28" t="s">
        <v>151</v>
      </c>
      <c r="D143" s="28" t="str">
        <f>IFERROR(VLOOKUP($C143,CUENTAS[],2,0),"")</f>
        <v>GASTOS FIJOS</v>
      </c>
      <c r="E143" s="28" t="str">
        <f>IFERROR(VLOOKUP($C143,CUENTAS[],3,0),"")</f>
        <v>MDE2025-002F</v>
      </c>
      <c r="F143" s="144">
        <v>-0.74</v>
      </c>
      <c r="G143" s="145">
        <v>0</v>
      </c>
      <c r="H143" s="128">
        <v>-0.74</v>
      </c>
      <c r="I143" s="200" t="str">
        <f t="shared" si="2"/>
        <v>CORRECTO</v>
      </c>
      <c r="J143" s="88" t="s">
        <v>133</v>
      </c>
      <c r="K143" s="141"/>
      <c r="L143" s="142" t="s">
        <v>227</v>
      </c>
      <c r="M143" s="139"/>
      <c r="N143" s="146"/>
      <c r="P143" s="89"/>
      <c r="Q143" s="89"/>
    </row>
    <row r="144" spans="1:17" x14ac:dyDescent="0.3">
      <c r="A144" s="21" t="s">
        <v>228</v>
      </c>
      <c r="B144" s="104" t="s">
        <v>1001</v>
      </c>
      <c r="C144" s="28" t="s">
        <v>151</v>
      </c>
      <c r="D144" s="28" t="str">
        <f>IFERROR(VLOOKUP($C144,CUENTAS[],2,0),"")</f>
        <v>GASTOS FIJOS</v>
      </c>
      <c r="E144" s="28" t="str">
        <f>IFERROR(VLOOKUP($C144,CUENTAS[],3,0),"")</f>
        <v>MDE2025-002F</v>
      </c>
      <c r="F144" s="144">
        <v>-89</v>
      </c>
      <c r="G144" s="145">
        <v>0</v>
      </c>
      <c r="H144" s="128">
        <v>-89</v>
      </c>
      <c r="I144" s="200" t="str">
        <f t="shared" si="2"/>
        <v>CORRECTO</v>
      </c>
      <c r="J144" s="88" t="s">
        <v>133</v>
      </c>
      <c r="K144" s="141"/>
      <c r="L144" s="142" t="s">
        <v>227</v>
      </c>
      <c r="M144" s="139"/>
      <c r="N144" s="146"/>
      <c r="P144" s="89"/>
      <c r="Q144" s="89"/>
    </row>
    <row r="145" spans="1:17" x14ac:dyDescent="0.3">
      <c r="A145" s="21" t="s">
        <v>1002</v>
      </c>
      <c r="B145" s="104" t="s">
        <v>1003</v>
      </c>
      <c r="C145" s="28" t="s">
        <v>151</v>
      </c>
      <c r="D145" s="28" t="str">
        <f>IFERROR(VLOOKUP($C145,CUENTAS[],2,0),"")</f>
        <v>GASTOS FIJOS</v>
      </c>
      <c r="E145" s="28" t="str">
        <f>IFERROR(VLOOKUP($C145,CUENTAS[],3,0),"")</f>
        <v>MDE2025-002F</v>
      </c>
      <c r="F145" s="144">
        <v>-180</v>
      </c>
      <c r="G145" s="145">
        <v>0</v>
      </c>
      <c r="H145" s="128">
        <v>-180</v>
      </c>
      <c r="I145" s="200" t="str">
        <f t="shared" si="2"/>
        <v>CORRECTO</v>
      </c>
      <c r="J145" s="88" t="s">
        <v>133</v>
      </c>
      <c r="K145" s="141"/>
      <c r="L145" s="142" t="s">
        <v>227</v>
      </c>
      <c r="M145" s="139"/>
      <c r="N145" s="146"/>
      <c r="P145" s="89"/>
      <c r="Q145" s="89"/>
    </row>
    <row r="146" spans="1:17" x14ac:dyDescent="0.3">
      <c r="A146" s="21" t="s">
        <v>1002</v>
      </c>
      <c r="B146" s="104" t="s">
        <v>1003</v>
      </c>
      <c r="C146" s="28" t="s">
        <v>151</v>
      </c>
      <c r="D146" s="28" t="str">
        <f>IFERROR(VLOOKUP($C146,CUENTAS[],2,0),"")</f>
        <v>GASTOS FIJOS</v>
      </c>
      <c r="E146" s="28" t="str">
        <f>IFERROR(VLOOKUP($C146,CUENTAS[],3,0),"")</f>
        <v>MDE2025-002F</v>
      </c>
      <c r="F146" s="144">
        <v>-54.83</v>
      </c>
      <c r="G146" s="145">
        <v>0</v>
      </c>
      <c r="H146" s="128">
        <v>-54.83</v>
      </c>
      <c r="I146" s="200" t="str">
        <f t="shared" si="2"/>
        <v>CORRECTO</v>
      </c>
      <c r="J146" s="88" t="s">
        <v>133</v>
      </c>
      <c r="K146" s="141"/>
      <c r="L146" s="142" t="s">
        <v>227</v>
      </c>
      <c r="M146" s="139"/>
      <c r="N146" s="146"/>
      <c r="P146" s="89"/>
      <c r="Q146" s="89"/>
    </row>
    <row r="147" spans="1:17" x14ac:dyDescent="0.3">
      <c r="A147" s="21" t="s">
        <v>1004</v>
      </c>
      <c r="B147" s="104" t="s">
        <v>1005</v>
      </c>
      <c r="C147" s="28" t="s">
        <v>151</v>
      </c>
      <c r="D147" s="28" t="str">
        <f>IFERROR(VLOOKUP($C147,CUENTAS[],2,0),"")</f>
        <v>GASTOS FIJOS</v>
      </c>
      <c r="E147" s="28" t="str">
        <f>IFERROR(VLOOKUP($C147,CUENTAS[],3,0),"")</f>
        <v>MDE2025-002F</v>
      </c>
      <c r="F147" s="144">
        <v>-173.28</v>
      </c>
      <c r="G147" s="145">
        <v>0</v>
      </c>
      <c r="H147" s="128">
        <v>-173.28</v>
      </c>
      <c r="I147" s="200" t="str">
        <f t="shared" si="2"/>
        <v>CORRECTO</v>
      </c>
      <c r="J147" s="88" t="s">
        <v>133</v>
      </c>
      <c r="K147" s="141"/>
      <c r="L147" s="142" t="s">
        <v>227</v>
      </c>
      <c r="M147" s="139"/>
      <c r="N147" s="146"/>
      <c r="P147" s="89"/>
      <c r="Q147" s="89"/>
    </row>
    <row r="148" spans="1:17" x14ac:dyDescent="0.3">
      <c r="A148" s="21" t="s">
        <v>228</v>
      </c>
      <c r="B148" s="104" t="s">
        <v>1006</v>
      </c>
      <c r="C148" s="28" t="s">
        <v>151</v>
      </c>
      <c r="D148" s="28" t="str">
        <f>IFERROR(VLOOKUP($C148,CUENTAS[],2,0),"")</f>
        <v>GASTOS FIJOS</v>
      </c>
      <c r="E148" s="28" t="str">
        <f>IFERROR(VLOOKUP($C148,CUENTAS[],3,0),"")</f>
        <v>MDE2025-002F</v>
      </c>
      <c r="F148" s="144">
        <v>-282.67</v>
      </c>
      <c r="G148" s="145">
        <v>0</v>
      </c>
      <c r="H148" s="128">
        <v>-282.67</v>
      </c>
      <c r="I148" s="200" t="str">
        <f t="shared" si="2"/>
        <v>CORRECTO</v>
      </c>
      <c r="J148" s="88" t="s">
        <v>133</v>
      </c>
      <c r="K148" s="141"/>
      <c r="L148" s="142" t="s">
        <v>227</v>
      </c>
      <c r="M148" s="139"/>
      <c r="N148" s="146"/>
      <c r="P148" s="89"/>
      <c r="Q148" s="89"/>
    </row>
    <row r="149" spans="1:17" x14ac:dyDescent="0.3">
      <c r="A149" s="21" t="s">
        <v>228</v>
      </c>
      <c r="B149" s="104" t="s">
        <v>1007</v>
      </c>
      <c r="C149" s="28" t="s">
        <v>168</v>
      </c>
      <c r="D149" s="28" t="str">
        <f>IFERROR(VLOOKUP($C149,CUENTAS[],2,0),"")</f>
        <v>ACTIVOS FIJOS</v>
      </c>
      <c r="E149" s="28" t="str">
        <f>IFERROR(VLOOKUP($C149,CUENTAS[],3,0),"")</f>
        <v>MDE2025-007B</v>
      </c>
      <c r="F149" s="144">
        <v>7649.67</v>
      </c>
      <c r="G149" s="145">
        <v>0</v>
      </c>
      <c r="H149" s="128">
        <v>7649.67</v>
      </c>
      <c r="I149" s="200" t="str">
        <f t="shared" si="2"/>
        <v>CORRECTO</v>
      </c>
      <c r="J149" s="88" t="s">
        <v>133</v>
      </c>
      <c r="K149" s="141" t="s">
        <v>360</v>
      </c>
      <c r="L149" s="142" t="s">
        <v>227</v>
      </c>
      <c r="M149" s="139">
        <v>45750</v>
      </c>
      <c r="N149" s="146"/>
      <c r="P149" s="89"/>
      <c r="Q149" s="89"/>
    </row>
    <row r="150" spans="1:17" x14ac:dyDescent="0.3">
      <c r="A150" s="21" t="s">
        <v>228</v>
      </c>
      <c r="B150" s="104" t="s">
        <v>401</v>
      </c>
      <c r="C150" s="28" t="s">
        <v>151</v>
      </c>
      <c r="D150" s="28" t="str">
        <f>IFERROR(VLOOKUP($C150,CUENTAS[],2,0),"")</f>
        <v>GASTOS FIJOS</v>
      </c>
      <c r="E150" s="28" t="str">
        <f>IFERROR(VLOOKUP($C150,CUENTAS[],3,0),"")</f>
        <v>MDE2025-002F</v>
      </c>
      <c r="F150" s="144">
        <v>1045</v>
      </c>
      <c r="G150" s="145">
        <v>0</v>
      </c>
      <c r="H150" s="128">
        <v>1045</v>
      </c>
      <c r="I150" s="200" t="str">
        <f t="shared" si="2"/>
        <v>CORRECTO</v>
      </c>
      <c r="J150" s="88" t="s">
        <v>133</v>
      </c>
      <c r="K150" s="141" t="s">
        <v>360</v>
      </c>
      <c r="L150" s="142" t="s">
        <v>227</v>
      </c>
      <c r="M150" s="139">
        <v>45750</v>
      </c>
      <c r="N150" s="146"/>
      <c r="P150" s="89"/>
      <c r="Q150" s="89"/>
    </row>
    <row r="151" spans="1:17" x14ac:dyDescent="0.3">
      <c r="A151" s="21" t="s">
        <v>1004</v>
      </c>
      <c r="B151" s="104" t="s">
        <v>1008</v>
      </c>
      <c r="C151" s="28" t="s">
        <v>141</v>
      </c>
      <c r="D151" s="28" t="str">
        <f>IFERROR(VLOOKUP($C151,CUENTAS[],2,0),"")</f>
        <v>GASTOS VARIOS</v>
      </c>
      <c r="E151" s="28" t="str">
        <f>IFERROR(VLOOKUP($C151,CUENTAS[],3,0),"")</f>
        <v>MDE2025-003L</v>
      </c>
      <c r="F151" s="144">
        <v>33382.660000000003</v>
      </c>
      <c r="G151" s="145">
        <v>0</v>
      </c>
      <c r="H151" s="128">
        <v>33382.660000000003</v>
      </c>
      <c r="I151" s="200" t="str">
        <f t="shared" si="2"/>
        <v>CORRECTO</v>
      </c>
      <c r="J151" s="88" t="s">
        <v>133</v>
      </c>
      <c r="K151" s="141" t="s">
        <v>1016</v>
      </c>
      <c r="L151" s="142" t="s">
        <v>227</v>
      </c>
      <c r="M151" s="139">
        <v>45750</v>
      </c>
      <c r="N151" s="146"/>
      <c r="P151" s="89"/>
      <c r="Q151" s="89"/>
    </row>
    <row r="152" spans="1:17" x14ac:dyDescent="0.3">
      <c r="A152" s="21" t="s">
        <v>1004</v>
      </c>
      <c r="B152" s="104" t="s">
        <v>1009</v>
      </c>
      <c r="C152" s="28" t="s">
        <v>141</v>
      </c>
      <c r="D152" s="28" t="str">
        <f>IFERROR(VLOOKUP($C152,CUENTAS[],2,0),"")</f>
        <v>GASTOS VARIOS</v>
      </c>
      <c r="E152" s="28" t="str">
        <f>IFERROR(VLOOKUP($C152,CUENTAS[],3,0),"")</f>
        <v>MDE2025-003L</v>
      </c>
      <c r="F152" s="144">
        <v>1663.65</v>
      </c>
      <c r="G152" s="145">
        <v>0</v>
      </c>
      <c r="H152" s="128">
        <v>1663.65</v>
      </c>
      <c r="I152" s="200" t="str">
        <f t="shared" si="2"/>
        <v>CORRECTO</v>
      </c>
      <c r="J152" s="88" t="s">
        <v>133</v>
      </c>
      <c r="K152" s="141" t="s">
        <v>1017</v>
      </c>
      <c r="L152" s="142" t="s">
        <v>227</v>
      </c>
      <c r="M152" s="139">
        <v>45750</v>
      </c>
      <c r="N152" s="146"/>
      <c r="P152" s="89"/>
      <c r="Q152" s="89"/>
    </row>
    <row r="153" spans="1:17" x14ac:dyDescent="0.3">
      <c r="A153" s="21" t="s">
        <v>1004</v>
      </c>
      <c r="B153" s="104" t="s">
        <v>1010</v>
      </c>
      <c r="C153" s="28" t="s">
        <v>141</v>
      </c>
      <c r="D153" s="28" t="str">
        <f>IFERROR(VLOOKUP($C153,CUENTAS[],2,0),"")</f>
        <v>GASTOS VARIOS</v>
      </c>
      <c r="E153" s="28" t="str">
        <f>IFERROR(VLOOKUP($C153,CUENTAS[],3,0),"")</f>
        <v>MDE2025-003L</v>
      </c>
      <c r="F153" s="144">
        <v>266.18</v>
      </c>
      <c r="G153" s="145">
        <v>0</v>
      </c>
      <c r="H153" s="128">
        <v>266.18</v>
      </c>
      <c r="I153" s="200" t="str">
        <f t="shared" si="2"/>
        <v>CORRECTO</v>
      </c>
      <c r="J153" s="88" t="s">
        <v>133</v>
      </c>
      <c r="K153" s="141" t="s">
        <v>1017</v>
      </c>
      <c r="L153" s="142" t="s">
        <v>227</v>
      </c>
      <c r="M153" s="139">
        <v>45750</v>
      </c>
      <c r="N153" s="146"/>
      <c r="P153" s="89"/>
      <c r="Q153" s="89"/>
    </row>
    <row r="154" spans="1:17" x14ac:dyDescent="0.3">
      <c r="A154" s="21" t="s">
        <v>1004</v>
      </c>
      <c r="B154" s="104" t="s">
        <v>1011</v>
      </c>
      <c r="C154" s="28" t="s">
        <v>141</v>
      </c>
      <c r="D154" s="28" t="str">
        <f>IFERROR(VLOOKUP($C154,CUENTAS[],2,0),"")</f>
        <v>GASTOS VARIOS</v>
      </c>
      <c r="E154" s="28" t="str">
        <f>IFERROR(VLOOKUP($C154,CUENTAS[],3,0),"")</f>
        <v>MDE2025-003L</v>
      </c>
      <c r="F154" s="144">
        <v>9242.52</v>
      </c>
      <c r="G154" s="145">
        <v>0</v>
      </c>
      <c r="H154" s="128">
        <v>9242.52</v>
      </c>
      <c r="I154" s="200" t="str">
        <f t="shared" si="2"/>
        <v>CORRECTO</v>
      </c>
      <c r="J154" s="88" t="s">
        <v>133</v>
      </c>
      <c r="K154" s="141" t="s">
        <v>1017</v>
      </c>
      <c r="L154" s="142" t="s">
        <v>227</v>
      </c>
      <c r="M154" s="139">
        <v>45750</v>
      </c>
      <c r="N154" s="146"/>
      <c r="P154" s="89"/>
      <c r="Q154" s="89"/>
    </row>
    <row r="155" spans="1:17" x14ac:dyDescent="0.3">
      <c r="A155" s="6" t="s">
        <v>833</v>
      </c>
      <c r="B155" s="109" t="s">
        <v>834</v>
      </c>
      <c r="C155" s="28" t="s">
        <v>224</v>
      </c>
      <c r="D155" s="28" t="str">
        <f>IFERROR(VLOOKUP($C155,CUENTAS[],2,0),"")</f>
        <v>MATERIALES</v>
      </c>
      <c r="E155" s="28" t="str">
        <f>IFERROR(VLOOKUP($C155,CUENTAS[],3,0),"")</f>
        <v>MDE2025-004</v>
      </c>
      <c r="F155" s="86">
        <v>129.31</v>
      </c>
      <c r="G155" s="129">
        <v>20.69</v>
      </c>
      <c r="H155" s="126">
        <v>150</v>
      </c>
      <c r="I155" s="200" t="str">
        <f t="shared" si="2"/>
        <v>CORRECTO</v>
      </c>
      <c r="J155" s="88" t="s">
        <v>3246</v>
      </c>
      <c r="K155" s="101" t="s">
        <v>894</v>
      </c>
      <c r="L155" s="95" t="s">
        <v>227</v>
      </c>
      <c r="M155" s="110">
        <v>45720</v>
      </c>
      <c r="N155" s="8" t="s">
        <v>895</v>
      </c>
      <c r="P155" s="89"/>
      <c r="Q155" s="89"/>
    </row>
    <row r="156" spans="1:17" x14ac:dyDescent="0.3">
      <c r="A156" s="6" t="s">
        <v>835</v>
      </c>
      <c r="B156" s="109" t="s">
        <v>836</v>
      </c>
      <c r="C156" s="28" t="s">
        <v>224</v>
      </c>
      <c r="D156" s="28" t="str">
        <f>IFERROR(VLOOKUP($C156,CUENTAS[],2,0),"")</f>
        <v>MATERIALES</v>
      </c>
      <c r="E156" s="28" t="str">
        <f>IFERROR(VLOOKUP($C156,CUENTAS[],3,0),"")</f>
        <v>MDE2025-004</v>
      </c>
      <c r="F156" s="86">
        <v>150</v>
      </c>
      <c r="G156" s="129">
        <v>0</v>
      </c>
      <c r="H156" s="126">
        <v>150</v>
      </c>
      <c r="I156" s="200" t="str">
        <f t="shared" si="2"/>
        <v>CORRECTO</v>
      </c>
      <c r="J156" s="88" t="s">
        <v>3246</v>
      </c>
      <c r="K156" s="101" t="s">
        <v>894</v>
      </c>
      <c r="L156" s="95" t="s">
        <v>227</v>
      </c>
      <c r="M156" s="110">
        <v>45719</v>
      </c>
      <c r="N156" s="8" t="s">
        <v>896</v>
      </c>
      <c r="P156" s="89"/>
      <c r="Q156" s="89"/>
    </row>
    <row r="157" spans="1:17" x14ac:dyDescent="0.3">
      <c r="A157" s="6" t="s">
        <v>837</v>
      </c>
      <c r="B157" s="109" t="s">
        <v>838</v>
      </c>
      <c r="C157" s="28" t="s">
        <v>224</v>
      </c>
      <c r="D157" s="28" t="str">
        <f>IFERROR(VLOOKUP($C157,CUENTAS[],2,0),"")</f>
        <v>MATERIALES</v>
      </c>
      <c r="E157" s="28" t="str">
        <f>IFERROR(VLOOKUP($C157,CUENTAS[],3,0),"")</f>
        <v>MDE2025-004</v>
      </c>
      <c r="F157" s="86">
        <v>3068.97</v>
      </c>
      <c r="G157" s="129">
        <v>491.03</v>
      </c>
      <c r="H157" s="126">
        <v>3560</v>
      </c>
      <c r="I157" s="200" t="str">
        <f t="shared" si="2"/>
        <v>CORRECTO</v>
      </c>
      <c r="J157" s="88" t="s">
        <v>3246</v>
      </c>
      <c r="K157" s="101" t="s">
        <v>894</v>
      </c>
      <c r="L157" s="95" t="s">
        <v>227</v>
      </c>
      <c r="M157" s="110">
        <v>45719</v>
      </c>
      <c r="N157" s="8" t="s">
        <v>897</v>
      </c>
      <c r="P157" s="89"/>
      <c r="Q157" s="89"/>
    </row>
    <row r="158" spans="1:17" x14ac:dyDescent="0.3">
      <c r="A158" s="6" t="s">
        <v>839</v>
      </c>
      <c r="B158" s="109" t="s">
        <v>840</v>
      </c>
      <c r="C158" s="28" t="s">
        <v>224</v>
      </c>
      <c r="D158" s="28" t="str">
        <f>IFERROR(VLOOKUP($C158,CUENTAS[],2,0),"")</f>
        <v>MATERIALES</v>
      </c>
      <c r="E158" s="28" t="str">
        <f>IFERROR(VLOOKUP($C158,CUENTAS[],3,0),"")</f>
        <v>MDE2025-004</v>
      </c>
      <c r="F158" s="86">
        <v>1500.7</v>
      </c>
      <c r="G158" s="129">
        <v>240.11</v>
      </c>
      <c r="H158" s="126">
        <v>1740.81</v>
      </c>
      <c r="I158" s="200" t="str">
        <f t="shared" si="2"/>
        <v>CORRECTO</v>
      </c>
      <c r="J158" s="88" t="s">
        <v>3246</v>
      </c>
      <c r="K158" s="101" t="s">
        <v>894</v>
      </c>
      <c r="L158" s="95" t="s">
        <v>227</v>
      </c>
      <c r="M158" s="110">
        <v>45719</v>
      </c>
      <c r="N158" s="8" t="s">
        <v>898</v>
      </c>
      <c r="P158" s="89"/>
      <c r="Q158" s="89"/>
    </row>
    <row r="159" spans="1:17" x14ac:dyDescent="0.3">
      <c r="A159" s="6" t="s">
        <v>833</v>
      </c>
      <c r="B159" s="109" t="s">
        <v>841</v>
      </c>
      <c r="C159" s="28" t="s">
        <v>125</v>
      </c>
      <c r="D159" s="28" t="str">
        <f>IFERROR(VLOOKUP($C159,CUENTAS[],2,0),"")</f>
        <v>GASTOS FIJOS</v>
      </c>
      <c r="E159" s="28" t="str">
        <f>IFERROR(VLOOKUP($C159,CUENTAS[],3,0),"")</f>
        <v>MDE2025-002B</v>
      </c>
      <c r="F159" s="86">
        <v>440</v>
      </c>
      <c r="G159" s="129">
        <v>0</v>
      </c>
      <c r="H159" s="126">
        <v>440</v>
      </c>
      <c r="I159" s="200" t="str">
        <f t="shared" si="2"/>
        <v>CORRECTO</v>
      </c>
      <c r="J159" s="88" t="s">
        <v>3246</v>
      </c>
      <c r="K159" s="101" t="s">
        <v>894</v>
      </c>
      <c r="L159" s="95" t="s">
        <v>227</v>
      </c>
      <c r="M159" s="110">
        <v>45720</v>
      </c>
      <c r="N159" s="8" t="s">
        <v>899</v>
      </c>
      <c r="P159" s="89"/>
      <c r="Q159" s="89"/>
    </row>
    <row r="160" spans="1:17" x14ac:dyDescent="0.3">
      <c r="A160" s="6" t="s">
        <v>833</v>
      </c>
      <c r="B160" s="109" t="s">
        <v>842</v>
      </c>
      <c r="C160" s="28" t="s">
        <v>222</v>
      </c>
      <c r="D160" s="28" t="str">
        <f>IFERROR(VLOOKUP($C160,CUENTAS[],2,0),"")</f>
        <v>MANTENIMIENTO</v>
      </c>
      <c r="E160" s="28" t="str">
        <f>IFERROR(VLOOKUP($C160,CUENTAS[],3,0),"")</f>
        <v>MDE2025-009A</v>
      </c>
      <c r="F160" s="86">
        <v>200</v>
      </c>
      <c r="G160" s="129">
        <v>0</v>
      </c>
      <c r="H160" s="126">
        <v>200</v>
      </c>
      <c r="I160" s="200" t="str">
        <f t="shared" si="2"/>
        <v>CORRECTO</v>
      </c>
      <c r="J160" s="88" t="s">
        <v>3246</v>
      </c>
      <c r="K160" s="101" t="s">
        <v>894</v>
      </c>
      <c r="L160" s="95" t="s">
        <v>227</v>
      </c>
      <c r="M160" s="110">
        <v>45720</v>
      </c>
      <c r="N160" s="8" t="s">
        <v>899</v>
      </c>
      <c r="P160" s="89"/>
      <c r="Q160" s="89"/>
    </row>
    <row r="161" spans="1:17" x14ac:dyDescent="0.3">
      <c r="A161" s="6" t="s">
        <v>843</v>
      </c>
      <c r="B161" s="109" t="s">
        <v>844</v>
      </c>
      <c r="C161" s="28" t="s">
        <v>125</v>
      </c>
      <c r="D161" s="28" t="str">
        <f>IFERROR(VLOOKUP($C161,CUENTAS[],2,0),"")</f>
        <v>GASTOS FIJOS</v>
      </c>
      <c r="E161" s="28" t="str">
        <f>IFERROR(VLOOKUP($C161,CUENTAS[],3,0),"")</f>
        <v>MDE2025-002B</v>
      </c>
      <c r="F161" s="86">
        <v>169</v>
      </c>
      <c r="G161" s="129">
        <v>0</v>
      </c>
      <c r="H161" s="126">
        <v>169</v>
      </c>
      <c r="I161" s="200" t="str">
        <f t="shared" si="2"/>
        <v>CORRECTO</v>
      </c>
      <c r="J161" s="88" t="s">
        <v>3246</v>
      </c>
      <c r="K161" s="101" t="s">
        <v>894</v>
      </c>
      <c r="L161" s="95" t="s">
        <v>227</v>
      </c>
      <c r="M161" s="110">
        <v>45720</v>
      </c>
      <c r="N161" s="8" t="s">
        <v>900</v>
      </c>
      <c r="P161" s="89"/>
      <c r="Q161" s="89"/>
    </row>
    <row r="162" spans="1:17" x14ac:dyDescent="0.3">
      <c r="A162" s="6" t="s">
        <v>845</v>
      </c>
      <c r="B162" s="109" t="s">
        <v>846</v>
      </c>
      <c r="C162" s="28" t="s">
        <v>224</v>
      </c>
      <c r="D162" s="28" t="str">
        <f>IFERROR(VLOOKUP($C162,CUENTAS[],2,0),"")</f>
        <v>MATERIALES</v>
      </c>
      <c r="E162" s="28" t="str">
        <f>IFERROR(VLOOKUP($C162,CUENTAS[],3,0),"")</f>
        <v>MDE2025-004</v>
      </c>
      <c r="F162" s="86">
        <v>172.41</v>
      </c>
      <c r="G162" s="129">
        <v>27.59</v>
      </c>
      <c r="H162" s="126">
        <v>200</v>
      </c>
      <c r="I162" s="200" t="str">
        <f t="shared" si="2"/>
        <v>CORRECTO</v>
      </c>
      <c r="J162" s="88" t="s">
        <v>3246</v>
      </c>
      <c r="K162" s="101" t="s">
        <v>894</v>
      </c>
      <c r="L162" s="95" t="s">
        <v>227</v>
      </c>
      <c r="M162" s="110">
        <v>45721</v>
      </c>
      <c r="N162" s="8" t="s">
        <v>901</v>
      </c>
      <c r="P162" s="89"/>
      <c r="Q162" s="89"/>
    </row>
    <row r="163" spans="1:17" x14ac:dyDescent="0.3">
      <c r="A163" s="6" t="s">
        <v>847</v>
      </c>
      <c r="B163" s="109" t="s">
        <v>848</v>
      </c>
      <c r="C163" s="28" t="s">
        <v>224</v>
      </c>
      <c r="D163" s="28" t="str">
        <f>IFERROR(VLOOKUP($C163,CUENTAS[],2,0),"")</f>
        <v>MATERIALES</v>
      </c>
      <c r="E163" s="28" t="str">
        <f>IFERROR(VLOOKUP($C163,CUENTAS[],3,0),"")</f>
        <v>MDE2025-004</v>
      </c>
      <c r="F163" s="86">
        <v>2016.29</v>
      </c>
      <c r="G163" s="129">
        <v>322.61</v>
      </c>
      <c r="H163" s="126">
        <v>2338.9</v>
      </c>
      <c r="I163" s="200" t="str">
        <f t="shared" si="2"/>
        <v>CORRECTO</v>
      </c>
      <c r="J163" s="88" t="s">
        <v>3246</v>
      </c>
      <c r="K163" s="101" t="s">
        <v>894</v>
      </c>
      <c r="L163" s="95" t="s">
        <v>227</v>
      </c>
      <c r="M163" s="110">
        <v>45721</v>
      </c>
      <c r="N163" s="8" t="s">
        <v>902</v>
      </c>
      <c r="P163" s="89"/>
      <c r="Q163" s="89"/>
    </row>
    <row r="164" spans="1:17" x14ac:dyDescent="0.3">
      <c r="A164" s="6" t="s">
        <v>849</v>
      </c>
      <c r="B164" s="109" t="s">
        <v>850</v>
      </c>
      <c r="C164" s="28" t="s">
        <v>224</v>
      </c>
      <c r="D164" s="28" t="str">
        <f>IFERROR(VLOOKUP($C164,CUENTAS[],2,0),"")</f>
        <v>MATERIALES</v>
      </c>
      <c r="E164" s="28" t="str">
        <f>IFERROR(VLOOKUP($C164,CUENTAS[],3,0),"")</f>
        <v>MDE2025-004</v>
      </c>
      <c r="F164" s="86">
        <v>2689.65</v>
      </c>
      <c r="G164" s="129">
        <v>430.35</v>
      </c>
      <c r="H164" s="126">
        <v>3120</v>
      </c>
      <c r="I164" s="200" t="str">
        <f t="shared" si="2"/>
        <v>CORRECTO</v>
      </c>
      <c r="J164" s="88" t="s">
        <v>3246</v>
      </c>
      <c r="K164" s="101" t="s">
        <v>894</v>
      </c>
      <c r="L164" s="95" t="s">
        <v>227</v>
      </c>
      <c r="M164" s="110">
        <v>45721</v>
      </c>
      <c r="N164" s="8" t="s">
        <v>903</v>
      </c>
      <c r="P164" s="89"/>
      <c r="Q164" s="89"/>
    </row>
    <row r="165" spans="1:17" x14ac:dyDescent="0.3">
      <c r="A165" s="6" t="s">
        <v>851</v>
      </c>
      <c r="B165" s="109" t="s">
        <v>852</v>
      </c>
      <c r="C165" s="28" t="s">
        <v>224</v>
      </c>
      <c r="D165" s="28" t="str">
        <f>IFERROR(VLOOKUP($C165,CUENTAS[],2,0),"")</f>
        <v>MATERIALES</v>
      </c>
      <c r="E165" s="28" t="str">
        <f>IFERROR(VLOOKUP($C165,CUENTAS[],3,0),"")</f>
        <v>MDE2025-004</v>
      </c>
      <c r="F165" s="86">
        <v>1602</v>
      </c>
      <c r="G165" s="129">
        <v>256.32</v>
      </c>
      <c r="H165" s="126">
        <v>1858.32</v>
      </c>
      <c r="I165" s="200" t="str">
        <f t="shared" si="2"/>
        <v>CORRECTO</v>
      </c>
      <c r="J165" s="88" t="s">
        <v>3246</v>
      </c>
      <c r="K165" s="101" t="s">
        <v>894</v>
      </c>
      <c r="L165" s="95" t="s">
        <v>227</v>
      </c>
      <c r="M165" s="110">
        <v>45721</v>
      </c>
      <c r="N165" s="8" t="s">
        <v>904</v>
      </c>
      <c r="P165" s="89"/>
      <c r="Q165" s="89"/>
    </row>
    <row r="166" spans="1:17" x14ac:dyDescent="0.3">
      <c r="A166" s="6" t="s">
        <v>853</v>
      </c>
      <c r="B166" s="109" t="s">
        <v>854</v>
      </c>
      <c r="C166" s="28" t="s">
        <v>224</v>
      </c>
      <c r="D166" s="28" t="str">
        <f>IFERROR(VLOOKUP($C166,CUENTAS[],2,0),"")</f>
        <v>MATERIALES</v>
      </c>
      <c r="E166" s="28" t="str">
        <f>IFERROR(VLOOKUP($C166,CUENTAS[],3,0),"")</f>
        <v>MDE2025-004</v>
      </c>
      <c r="F166" s="86">
        <v>711.2</v>
      </c>
      <c r="G166" s="129">
        <v>113.79</v>
      </c>
      <c r="H166" s="126">
        <v>824.99</v>
      </c>
      <c r="I166" s="200" t="str">
        <f t="shared" si="2"/>
        <v>CORRECTO</v>
      </c>
      <c r="J166" s="88" t="s">
        <v>3246</v>
      </c>
      <c r="K166" s="101" t="s">
        <v>894</v>
      </c>
      <c r="L166" s="95" t="s">
        <v>227</v>
      </c>
      <c r="M166" s="110">
        <v>45721</v>
      </c>
      <c r="N166" s="8" t="s">
        <v>905</v>
      </c>
      <c r="P166" s="89"/>
      <c r="Q166" s="89"/>
    </row>
    <row r="167" spans="1:17" x14ac:dyDescent="0.3">
      <c r="A167" s="6" t="s">
        <v>855</v>
      </c>
      <c r="B167" s="109" t="s">
        <v>856</v>
      </c>
      <c r="C167" s="28" t="s">
        <v>224</v>
      </c>
      <c r="D167" s="28" t="str">
        <f>IFERROR(VLOOKUP($C167,CUENTAS[],2,0),"")</f>
        <v>MATERIALES</v>
      </c>
      <c r="E167" s="28" t="str">
        <f>IFERROR(VLOOKUP($C167,CUENTAS[],3,0),"")</f>
        <v>MDE2025-004</v>
      </c>
      <c r="F167" s="86">
        <v>1283.0999999999999</v>
      </c>
      <c r="G167" s="129">
        <v>205.3</v>
      </c>
      <c r="H167" s="126">
        <v>1488.4</v>
      </c>
      <c r="I167" s="200" t="str">
        <f t="shared" si="2"/>
        <v>CORRECTO</v>
      </c>
      <c r="J167" s="88" t="s">
        <v>3246</v>
      </c>
      <c r="K167" s="101" t="s">
        <v>894</v>
      </c>
      <c r="L167" s="95" t="s">
        <v>227</v>
      </c>
      <c r="M167" s="110">
        <v>45720</v>
      </c>
      <c r="N167" s="8" t="s">
        <v>906</v>
      </c>
      <c r="P167" s="89"/>
      <c r="Q167" s="89"/>
    </row>
    <row r="168" spans="1:17" x14ac:dyDescent="0.3">
      <c r="A168" s="6" t="s">
        <v>857</v>
      </c>
      <c r="B168" s="109" t="s">
        <v>858</v>
      </c>
      <c r="C168" s="28" t="s">
        <v>224</v>
      </c>
      <c r="D168" s="28" t="str">
        <f>IFERROR(VLOOKUP($C168,CUENTAS[],2,0),"")</f>
        <v>MATERIALES</v>
      </c>
      <c r="E168" s="28" t="str">
        <f>IFERROR(VLOOKUP($C168,CUENTAS[],3,0),"")</f>
        <v>MDE2025-004</v>
      </c>
      <c r="F168" s="86">
        <v>1549.83</v>
      </c>
      <c r="G168" s="129">
        <v>247.97</v>
      </c>
      <c r="H168" s="126">
        <v>1797.8</v>
      </c>
      <c r="I168" s="200" t="str">
        <f t="shared" si="2"/>
        <v>CORRECTO</v>
      </c>
      <c r="J168" s="88" t="s">
        <v>3246</v>
      </c>
      <c r="K168" s="101" t="s">
        <v>894</v>
      </c>
      <c r="L168" s="95" t="s">
        <v>227</v>
      </c>
      <c r="M168" s="110">
        <v>45723</v>
      </c>
      <c r="N168" s="8" t="s">
        <v>907</v>
      </c>
      <c r="P168" s="89"/>
      <c r="Q168" s="89"/>
    </row>
    <row r="169" spans="1:17" x14ac:dyDescent="0.3">
      <c r="A169" s="6" t="s">
        <v>859</v>
      </c>
      <c r="B169" s="109" t="s">
        <v>860</v>
      </c>
      <c r="C169" s="28" t="s">
        <v>224</v>
      </c>
      <c r="D169" s="28" t="str">
        <f>IFERROR(VLOOKUP($C169,CUENTAS[],2,0),"")</f>
        <v>MATERIALES</v>
      </c>
      <c r="E169" s="28" t="str">
        <f>IFERROR(VLOOKUP($C169,CUENTAS[],3,0),"")</f>
        <v>MDE2025-004</v>
      </c>
      <c r="F169" s="86">
        <v>375</v>
      </c>
      <c r="G169" s="129">
        <v>60</v>
      </c>
      <c r="H169" s="126">
        <v>435</v>
      </c>
      <c r="I169" s="200" t="str">
        <f t="shared" si="2"/>
        <v>CORRECTO</v>
      </c>
      <c r="J169" s="88" t="s">
        <v>3246</v>
      </c>
      <c r="K169" s="101" t="s">
        <v>894</v>
      </c>
      <c r="L169" s="95" t="s">
        <v>227</v>
      </c>
      <c r="M169" s="110">
        <v>45723</v>
      </c>
      <c r="N169" s="8" t="s">
        <v>908</v>
      </c>
      <c r="P169" s="89"/>
      <c r="Q169" s="89"/>
    </row>
    <row r="170" spans="1:17" x14ac:dyDescent="0.3">
      <c r="A170" s="6" t="s">
        <v>851</v>
      </c>
      <c r="B170" s="109" t="s">
        <v>861</v>
      </c>
      <c r="C170" s="28" t="s">
        <v>224</v>
      </c>
      <c r="D170" s="28" t="str">
        <f>IFERROR(VLOOKUP($C170,CUENTAS[],2,0),"")</f>
        <v>MATERIALES</v>
      </c>
      <c r="E170" s="28" t="str">
        <f>IFERROR(VLOOKUP($C170,CUENTAS[],3,0),"")</f>
        <v>MDE2025-004</v>
      </c>
      <c r="F170" s="86">
        <v>1945</v>
      </c>
      <c r="G170" s="129">
        <v>311.2</v>
      </c>
      <c r="H170" s="126">
        <v>2256.1999999999998</v>
      </c>
      <c r="I170" s="200" t="str">
        <f t="shared" si="2"/>
        <v>CORRECTO</v>
      </c>
      <c r="J170" s="88" t="s">
        <v>3246</v>
      </c>
      <c r="K170" s="101" t="s">
        <v>894</v>
      </c>
      <c r="L170" s="95" t="s">
        <v>227</v>
      </c>
      <c r="M170" s="110">
        <v>45723</v>
      </c>
      <c r="N170" s="8" t="s">
        <v>909</v>
      </c>
      <c r="P170" s="89"/>
      <c r="Q170" s="89"/>
    </row>
    <row r="171" spans="1:17" x14ac:dyDescent="0.3">
      <c r="A171" s="6" t="s">
        <v>862</v>
      </c>
      <c r="B171" s="109" t="s">
        <v>863</v>
      </c>
      <c r="C171" s="28" t="s">
        <v>224</v>
      </c>
      <c r="D171" s="28" t="str">
        <f>IFERROR(VLOOKUP($C171,CUENTAS[],2,0),"")</f>
        <v>MATERIALES</v>
      </c>
      <c r="E171" s="28" t="str">
        <f>IFERROR(VLOOKUP($C171,CUENTAS[],3,0),"")</f>
        <v>MDE2025-004</v>
      </c>
      <c r="F171" s="86">
        <v>376.73</v>
      </c>
      <c r="G171" s="129">
        <v>60.29</v>
      </c>
      <c r="H171" s="126">
        <v>437.02</v>
      </c>
      <c r="I171" s="200" t="str">
        <f t="shared" si="2"/>
        <v>CORRECTO</v>
      </c>
      <c r="J171" s="88" t="s">
        <v>3246</v>
      </c>
      <c r="K171" s="101" t="s">
        <v>894</v>
      </c>
      <c r="L171" s="95" t="s">
        <v>227</v>
      </c>
      <c r="M171" s="110">
        <v>45723</v>
      </c>
      <c r="N171" s="8" t="s">
        <v>910</v>
      </c>
      <c r="P171" s="89"/>
      <c r="Q171" s="89"/>
    </row>
    <row r="172" spans="1:17" x14ac:dyDescent="0.3">
      <c r="A172" s="6" t="s">
        <v>864</v>
      </c>
      <c r="B172" s="109" t="s">
        <v>865</v>
      </c>
      <c r="C172" s="28" t="s">
        <v>224</v>
      </c>
      <c r="D172" s="28" t="str">
        <f>IFERROR(VLOOKUP($C172,CUENTAS[],2,0),"")</f>
        <v>MATERIALES</v>
      </c>
      <c r="E172" s="28" t="str">
        <f>IFERROR(VLOOKUP($C172,CUENTAS[],3,0),"")</f>
        <v>MDE2025-004</v>
      </c>
      <c r="F172" s="86">
        <v>387.07</v>
      </c>
      <c r="G172" s="129">
        <v>61.93</v>
      </c>
      <c r="H172" s="126">
        <v>449</v>
      </c>
      <c r="I172" s="200" t="str">
        <f t="shared" si="2"/>
        <v>CORRECTO</v>
      </c>
      <c r="J172" s="88" t="s">
        <v>3246</v>
      </c>
      <c r="K172" s="101" t="s">
        <v>894</v>
      </c>
      <c r="L172" s="95" t="s">
        <v>227</v>
      </c>
      <c r="M172" s="110">
        <v>45723</v>
      </c>
      <c r="N172" s="8" t="s">
        <v>911</v>
      </c>
      <c r="P172" s="89"/>
      <c r="Q172" s="89"/>
    </row>
    <row r="173" spans="1:17" x14ac:dyDescent="0.3">
      <c r="A173" s="6" t="s">
        <v>866</v>
      </c>
      <c r="B173" s="109" t="s">
        <v>867</v>
      </c>
      <c r="C173" s="28" t="s">
        <v>224</v>
      </c>
      <c r="D173" s="28" t="str">
        <f>IFERROR(VLOOKUP($C173,CUENTAS[],2,0),"")</f>
        <v>MATERIALES</v>
      </c>
      <c r="E173" s="28" t="str">
        <f>IFERROR(VLOOKUP($C173,CUENTAS[],3,0),"")</f>
        <v>MDE2025-004</v>
      </c>
      <c r="F173" s="86">
        <v>350</v>
      </c>
      <c r="G173" s="129">
        <v>56</v>
      </c>
      <c r="H173" s="126">
        <v>406</v>
      </c>
      <c r="I173" s="200" t="str">
        <f t="shared" si="2"/>
        <v>CORRECTO</v>
      </c>
      <c r="J173" s="88" t="s">
        <v>3246</v>
      </c>
      <c r="K173" s="101" t="s">
        <v>894</v>
      </c>
      <c r="L173" s="95" t="s">
        <v>227</v>
      </c>
      <c r="M173" s="110">
        <v>45723</v>
      </c>
      <c r="N173" s="8" t="s">
        <v>912</v>
      </c>
      <c r="P173" s="89"/>
      <c r="Q173" s="89"/>
    </row>
    <row r="174" spans="1:17" x14ac:dyDescent="0.3">
      <c r="A174" s="6" t="s">
        <v>868</v>
      </c>
      <c r="B174" s="109" t="s">
        <v>869</v>
      </c>
      <c r="C174" s="28" t="s">
        <v>224</v>
      </c>
      <c r="D174" s="28" t="str">
        <f>IFERROR(VLOOKUP($C174,CUENTAS[],2,0),"")</f>
        <v>MATERIALES</v>
      </c>
      <c r="E174" s="28" t="str">
        <f>IFERROR(VLOOKUP($C174,CUENTAS[],3,0),"")</f>
        <v>MDE2025-004</v>
      </c>
      <c r="F174" s="86">
        <v>1262.0899999999999</v>
      </c>
      <c r="G174" s="129">
        <v>201.93</v>
      </c>
      <c r="H174" s="126">
        <v>1464.02</v>
      </c>
      <c r="I174" s="200" t="str">
        <f t="shared" si="2"/>
        <v>CORRECTO</v>
      </c>
      <c r="J174" s="88" t="s">
        <v>3246</v>
      </c>
      <c r="K174" s="101" t="s">
        <v>894</v>
      </c>
      <c r="L174" s="95" t="s">
        <v>227</v>
      </c>
      <c r="M174" s="110">
        <v>45723</v>
      </c>
      <c r="N174" s="8" t="s">
        <v>913</v>
      </c>
      <c r="P174" s="89"/>
      <c r="Q174" s="89"/>
    </row>
    <row r="175" spans="1:17" x14ac:dyDescent="0.3">
      <c r="A175" s="6" t="s">
        <v>833</v>
      </c>
      <c r="B175" s="109" t="s">
        <v>870</v>
      </c>
      <c r="C175" s="28" t="s">
        <v>224</v>
      </c>
      <c r="D175" s="28" t="str">
        <f>IFERROR(VLOOKUP($C175,CUENTAS[],2,0),"")</f>
        <v>MATERIALES</v>
      </c>
      <c r="E175" s="28" t="str">
        <f>IFERROR(VLOOKUP($C175,CUENTAS[],3,0),"")</f>
        <v>MDE2025-004</v>
      </c>
      <c r="F175" s="86">
        <v>146.55000000000001</v>
      </c>
      <c r="G175" s="129">
        <v>23.45</v>
      </c>
      <c r="H175" s="126">
        <v>170</v>
      </c>
      <c r="I175" s="200" t="str">
        <f t="shared" si="2"/>
        <v>CORRECTO</v>
      </c>
      <c r="J175" s="88" t="s">
        <v>3246</v>
      </c>
      <c r="K175" s="101" t="s">
        <v>894</v>
      </c>
      <c r="L175" s="95" t="s">
        <v>227</v>
      </c>
      <c r="M175" s="110">
        <v>45727</v>
      </c>
      <c r="N175" s="8" t="s">
        <v>914</v>
      </c>
      <c r="P175" s="89"/>
      <c r="Q175" s="89"/>
    </row>
    <row r="176" spans="1:17" x14ac:dyDescent="0.3">
      <c r="A176" s="6" t="s">
        <v>871</v>
      </c>
      <c r="B176" s="109" t="s">
        <v>872</v>
      </c>
      <c r="C176" s="28" t="s">
        <v>224</v>
      </c>
      <c r="D176" s="28" t="str">
        <f>IFERROR(VLOOKUP($C176,CUENTAS[],2,0),"")</f>
        <v>MATERIALES</v>
      </c>
      <c r="E176" s="28" t="str">
        <f>IFERROR(VLOOKUP($C176,CUENTAS[],3,0),"")</f>
        <v>MDE2025-004</v>
      </c>
      <c r="F176" s="86">
        <v>5628.89</v>
      </c>
      <c r="G176" s="129">
        <v>900.62</v>
      </c>
      <c r="H176" s="126">
        <v>6529.51</v>
      </c>
      <c r="I176" s="200" t="str">
        <f t="shared" si="2"/>
        <v>CORRECTO</v>
      </c>
      <c r="J176" s="88" t="s">
        <v>3246</v>
      </c>
      <c r="K176" s="101" t="s">
        <v>894</v>
      </c>
      <c r="L176" s="95" t="s">
        <v>227</v>
      </c>
      <c r="M176" s="110">
        <v>45728</v>
      </c>
      <c r="N176" s="8" t="s">
        <v>915</v>
      </c>
      <c r="P176" s="89"/>
      <c r="Q176" s="89"/>
    </row>
    <row r="177" spans="1:17" x14ac:dyDescent="0.3">
      <c r="A177" s="6" t="s">
        <v>873</v>
      </c>
      <c r="B177" s="109" t="s">
        <v>874</v>
      </c>
      <c r="C177" s="28" t="s">
        <v>224</v>
      </c>
      <c r="D177" s="28" t="str">
        <f>IFERROR(VLOOKUP($C177,CUENTAS[],2,0),"")</f>
        <v>MATERIALES</v>
      </c>
      <c r="E177" s="28" t="str">
        <f>IFERROR(VLOOKUP($C177,CUENTAS[],3,0),"")</f>
        <v>MDE2025-004</v>
      </c>
      <c r="F177" s="86">
        <v>264.01</v>
      </c>
      <c r="G177" s="129">
        <v>42.24</v>
      </c>
      <c r="H177" s="126">
        <v>306.25</v>
      </c>
      <c r="I177" s="200" t="str">
        <f t="shared" si="2"/>
        <v>CORRECTO</v>
      </c>
      <c r="J177" s="88" t="s">
        <v>3246</v>
      </c>
      <c r="K177" s="101" t="s">
        <v>894</v>
      </c>
      <c r="L177" s="95" t="s">
        <v>227</v>
      </c>
      <c r="M177" s="110">
        <v>45728</v>
      </c>
      <c r="N177" s="8" t="s">
        <v>916</v>
      </c>
      <c r="P177" s="89"/>
      <c r="Q177" s="89"/>
    </row>
    <row r="178" spans="1:17" x14ac:dyDescent="0.3">
      <c r="A178" s="6" t="s">
        <v>875</v>
      </c>
      <c r="B178" s="109" t="s">
        <v>876</v>
      </c>
      <c r="C178" s="28" t="s">
        <v>224</v>
      </c>
      <c r="D178" s="28" t="str">
        <f>IFERROR(VLOOKUP($C178,CUENTAS[],2,0),"")</f>
        <v>MATERIALES</v>
      </c>
      <c r="E178" s="28" t="str">
        <f>IFERROR(VLOOKUP($C178,CUENTAS[],3,0),"")</f>
        <v>MDE2025-004</v>
      </c>
      <c r="F178" s="86">
        <v>223</v>
      </c>
      <c r="G178" s="129">
        <v>0</v>
      </c>
      <c r="H178" s="126">
        <v>223</v>
      </c>
      <c r="I178" s="200" t="str">
        <f t="shared" si="2"/>
        <v>CORRECTO</v>
      </c>
      <c r="J178" s="88" t="s">
        <v>3246</v>
      </c>
      <c r="K178" s="101" t="s">
        <v>894</v>
      </c>
      <c r="L178" s="95" t="s">
        <v>227</v>
      </c>
      <c r="M178" s="110">
        <v>45728</v>
      </c>
      <c r="N178" s="8" t="s">
        <v>917</v>
      </c>
      <c r="P178" s="89"/>
      <c r="Q178" s="89"/>
    </row>
    <row r="179" spans="1:17" x14ac:dyDescent="0.3">
      <c r="A179" s="6" t="s">
        <v>608</v>
      </c>
      <c r="B179" s="109" t="s">
        <v>877</v>
      </c>
      <c r="C179" s="28" t="s">
        <v>224</v>
      </c>
      <c r="D179" s="28" t="str">
        <f>IFERROR(VLOOKUP($C179,CUENTAS[],2,0),"")</f>
        <v>MATERIALES</v>
      </c>
      <c r="E179" s="28" t="str">
        <f>IFERROR(VLOOKUP($C179,CUENTAS[],3,0),"")</f>
        <v>MDE2025-004</v>
      </c>
      <c r="F179" s="86">
        <v>287</v>
      </c>
      <c r="G179" s="129">
        <v>0</v>
      </c>
      <c r="H179" s="126">
        <v>287</v>
      </c>
      <c r="I179" s="200" t="str">
        <f t="shared" si="2"/>
        <v>CORRECTO</v>
      </c>
      <c r="J179" s="88" t="s">
        <v>3246</v>
      </c>
      <c r="K179" s="101" t="s">
        <v>894</v>
      </c>
      <c r="L179" s="95" t="s">
        <v>227</v>
      </c>
      <c r="M179" s="110">
        <v>45728</v>
      </c>
      <c r="N179" s="8" t="s">
        <v>918</v>
      </c>
      <c r="P179" s="89"/>
      <c r="Q179" s="89"/>
    </row>
    <row r="180" spans="1:17" x14ac:dyDescent="0.3">
      <c r="A180" s="6" t="s">
        <v>878</v>
      </c>
      <c r="B180" s="109" t="s">
        <v>879</v>
      </c>
      <c r="C180" s="28" t="s">
        <v>224</v>
      </c>
      <c r="D180" s="28" t="str">
        <f>IFERROR(VLOOKUP($C180,CUENTAS[],2,0),"")</f>
        <v>MATERIALES</v>
      </c>
      <c r="E180" s="28" t="str">
        <f>IFERROR(VLOOKUP($C180,CUENTAS[],3,0),"")</f>
        <v>MDE2025-004</v>
      </c>
      <c r="F180" s="86">
        <v>437.17</v>
      </c>
      <c r="G180" s="129">
        <v>69.95</v>
      </c>
      <c r="H180" s="126">
        <v>507.12</v>
      </c>
      <c r="I180" s="200" t="str">
        <f t="shared" si="2"/>
        <v>CORRECTO</v>
      </c>
      <c r="J180" s="88" t="s">
        <v>3246</v>
      </c>
      <c r="K180" s="101" t="s">
        <v>894</v>
      </c>
      <c r="L180" s="95" t="s">
        <v>227</v>
      </c>
      <c r="M180" s="110">
        <v>45728</v>
      </c>
      <c r="N180" s="8" t="s">
        <v>919</v>
      </c>
      <c r="P180" s="89"/>
      <c r="Q180" s="89"/>
    </row>
    <row r="181" spans="1:17" x14ac:dyDescent="0.3">
      <c r="A181" s="6" t="s">
        <v>875</v>
      </c>
      <c r="B181" s="109" t="s">
        <v>880</v>
      </c>
      <c r="C181" s="28" t="s">
        <v>224</v>
      </c>
      <c r="D181" s="28" t="str">
        <f>IFERROR(VLOOKUP($C181,CUENTAS[],2,0),"")</f>
        <v>MATERIALES</v>
      </c>
      <c r="E181" s="28" t="str">
        <f>IFERROR(VLOOKUP($C181,CUENTAS[],3,0),"")</f>
        <v>MDE2025-004</v>
      </c>
      <c r="F181" s="86">
        <v>318</v>
      </c>
      <c r="G181" s="129">
        <v>0</v>
      </c>
      <c r="H181" s="126">
        <v>318</v>
      </c>
      <c r="I181" s="200" t="str">
        <f t="shared" si="2"/>
        <v>CORRECTO</v>
      </c>
      <c r="J181" s="88" t="s">
        <v>3246</v>
      </c>
      <c r="K181" s="101" t="s">
        <v>894</v>
      </c>
      <c r="L181" s="95" t="s">
        <v>227</v>
      </c>
      <c r="M181" s="110">
        <v>45728</v>
      </c>
      <c r="N181" s="8" t="s">
        <v>920</v>
      </c>
      <c r="P181" s="89"/>
      <c r="Q181" s="89"/>
    </row>
    <row r="182" spans="1:17" x14ac:dyDescent="0.3">
      <c r="A182" s="6" t="s">
        <v>881</v>
      </c>
      <c r="B182" s="109" t="s">
        <v>882</v>
      </c>
      <c r="C182" s="28" t="s">
        <v>224</v>
      </c>
      <c r="D182" s="28" t="str">
        <f>IFERROR(VLOOKUP($C182,CUENTAS[],2,0),"")</f>
        <v>MATERIALES</v>
      </c>
      <c r="E182" s="28" t="str">
        <f>IFERROR(VLOOKUP($C182,CUENTAS[],3,0),"")</f>
        <v>MDE2025-004</v>
      </c>
      <c r="F182" s="86">
        <v>4387.93</v>
      </c>
      <c r="G182" s="129">
        <v>702.07</v>
      </c>
      <c r="H182" s="126">
        <v>5090</v>
      </c>
      <c r="I182" s="200" t="str">
        <f t="shared" si="2"/>
        <v>CORRECTO</v>
      </c>
      <c r="J182" s="88" t="s">
        <v>3246</v>
      </c>
      <c r="K182" s="101" t="s">
        <v>894</v>
      </c>
      <c r="L182" s="95" t="s">
        <v>227</v>
      </c>
      <c r="M182" s="110">
        <v>45729</v>
      </c>
      <c r="N182" s="8" t="s">
        <v>921</v>
      </c>
      <c r="P182" s="89"/>
      <c r="Q182" s="89"/>
    </row>
    <row r="183" spans="1:17" x14ac:dyDescent="0.3">
      <c r="A183" s="6" t="s">
        <v>883</v>
      </c>
      <c r="B183" s="109" t="s">
        <v>884</v>
      </c>
      <c r="C183" s="28" t="s">
        <v>224</v>
      </c>
      <c r="D183" s="28" t="str">
        <f>IFERROR(VLOOKUP($C183,CUENTAS[],2,0),"")</f>
        <v>MATERIALES</v>
      </c>
      <c r="E183" s="28" t="str">
        <f>IFERROR(VLOOKUP($C183,CUENTAS[],3,0),"")</f>
        <v>MDE2025-004</v>
      </c>
      <c r="F183" s="86">
        <v>860</v>
      </c>
      <c r="G183" s="129">
        <v>0</v>
      </c>
      <c r="H183" s="126">
        <v>860</v>
      </c>
      <c r="I183" s="200" t="str">
        <f t="shared" si="2"/>
        <v>CORRECTO</v>
      </c>
      <c r="J183" s="88" t="s">
        <v>3246</v>
      </c>
      <c r="K183" s="101" t="s">
        <v>922</v>
      </c>
      <c r="L183" s="95" t="s">
        <v>227</v>
      </c>
      <c r="M183" s="110">
        <v>45729</v>
      </c>
      <c r="N183" s="8" t="s">
        <v>923</v>
      </c>
      <c r="P183" s="89"/>
      <c r="Q183" s="89"/>
    </row>
    <row r="184" spans="1:17" x14ac:dyDescent="0.3">
      <c r="A184" s="6" t="s">
        <v>885</v>
      </c>
      <c r="B184" s="109" t="s">
        <v>886</v>
      </c>
      <c r="C184" s="28" t="s">
        <v>222</v>
      </c>
      <c r="D184" s="28" t="str">
        <f>IFERROR(VLOOKUP($C184,CUENTAS[],2,0),"")</f>
        <v>MANTENIMIENTO</v>
      </c>
      <c r="E184" s="28" t="str">
        <f>IFERROR(VLOOKUP($C184,CUENTAS[],3,0),"")</f>
        <v>MDE2025-009A</v>
      </c>
      <c r="F184" s="86">
        <v>127.59</v>
      </c>
      <c r="G184" s="129">
        <v>20.41</v>
      </c>
      <c r="H184" s="126">
        <v>148</v>
      </c>
      <c r="I184" s="200" t="str">
        <f t="shared" si="2"/>
        <v>CORRECTO</v>
      </c>
      <c r="J184" s="88" t="s">
        <v>3246</v>
      </c>
      <c r="K184" s="101" t="s">
        <v>623</v>
      </c>
      <c r="L184" s="95" t="s">
        <v>227</v>
      </c>
      <c r="M184" s="110">
        <v>45729</v>
      </c>
      <c r="N184" s="8" t="s">
        <v>924</v>
      </c>
      <c r="P184" s="89"/>
      <c r="Q184" s="89"/>
    </row>
    <row r="185" spans="1:17" x14ac:dyDescent="0.3">
      <c r="A185" s="6" t="s">
        <v>887</v>
      </c>
      <c r="B185" s="109" t="s">
        <v>888</v>
      </c>
      <c r="C185" s="28" t="s">
        <v>224</v>
      </c>
      <c r="D185" s="28" t="str">
        <f>IFERROR(VLOOKUP($C185,CUENTAS[],2,0),"")</f>
        <v>MATERIALES</v>
      </c>
      <c r="E185" s="28" t="str">
        <f>IFERROR(VLOOKUP($C185,CUENTAS[],3,0),"")</f>
        <v>MDE2025-004</v>
      </c>
      <c r="F185" s="86">
        <v>665.6</v>
      </c>
      <c r="G185" s="129">
        <v>106.49</v>
      </c>
      <c r="H185" s="126">
        <v>772.09</v>
      </c>
      <c r="I185" s="200" t="str">
        <f t="shared" si="2"/>
        <v>CORRECTO</v>
      </c>
      <c r="J185" s="88" t="s">
        <v>3246</v>
      </c>
      <c r="K185" s="101" t="s">
        <v>894</v>
      </c>
      <c r="L185" s="95" t="s">
        <v>227</v>
      </c>
      <c r="M185" s="110">
        <v>45729</v>
      </c>
      <c r="N185" s="8" t="s">
        <v>925</v>
      </c>
      <c r="P185" s="89"/>
      <c r="Q185" s="89"/>
    </row>
    <row r="186" spans="1:17" x14ac:dyDescent="0.3">
      <c r="A186" s="6" t="s">
        <v>833</v>
      </c>
      <c r="B186" s="109" t="s">
        <v>889</v>
      </c>
      <c r="C186" s="28" t="s">
        <v>222</v>
      </c>
      <c r="D186" s="28" t="str">
        <f>IFERROR(VLOOKUP($C186,CUENTAS[],2,0),"")</f>
        <v>MANTENIMIENTO</v>
      </c>
      <c r="E186" s="28" t="str">
        <f>IFERROR(VLOOKUP($C186,CUENTAS[],3,0),"")</f>
        <v>MDE2025-009A</v>
      </c>
      <c r="F186" s="86">
        <v>110.14</v>
      </c>
      <c r="G186" s="129">
        <v>17.86</v>
      </c>
      <c r="H186" s="126">
        <v>128</v>
      </c>
      <c r="I186" s="200" t="str">
        <f t="shared" si="2"/>
        <v>CORRECTO</v>
      </c>
      <c r="J186" s="88" t="s">
        <v>3246</v>
      </c>
      <c r="K186" s="101" t="s">
        <v>623</v>
      </c>
      <c r="L186" s="95" t="s">
        <v>227</v>
      </c>
      <c r="M186" s="110">
        <v>45736</v>
      </c>
      <c r="N186" s="8" t="s">
        <v>926</v>
      </c>
      <c r="P186" s="89"/>
      <c r="Q186" s="89"/>
    </row>
    <row r="187" spans="1:17" x14ac:dyDescent="0.3">
      <c r="A187" s="6" t="s">
        <v>890</v>
      </c>
      <c r="B187" s="109" t="s">
        <v>891</v>
      </c>
      <c r="C187" s="28" t="s">
        <v>224</v>
      </c>
      <c r="D187" s="28" t="str">
        <f>IFERROR(VLOOKUP($C187,CUENTAS[],2,0),"")</f>
        <v>MATERIALES</v>
      </c>
      <c r="E187" s="28" t="str">
        <f>IFERROR(VLOOKUP($C187,CUENTAS[],3,0),"")</f>
        <v>MDE2025-004</v>
      </c>
      <c r="F187" s="86">
        <v>1172.7</v>
      </c>
      <c r="G187" s="129">
        <v>187.63</v>
      </c>
      <c r="H187" s="126">
        <v>1360.33</v>
      </c>
      <c r="I187" s="200" t="str">
        <f t="shared" si="2"/>
        <v>CORRECTO</v>
      </c>
      <c r="J187" s="88" t="s">
        <v>3246</v>
      </c>
      <c r="K187" s="101" t="s">
        <v>425</v>
      </c>
      <c r="L187" s="95" t="s">
        <v>227</v>
      </c>
      <c r="M187" s="110">
        <v>45744</v>
      </c>
      <c r="N187" s="8" t="s">
        <v>927</v>
      </c>
      <c r="P187" s="89"/>
      <c r="Q187" s="89"/>
    </row>
    <row r="188" spans="1:17" x14ac:dyDescent="0.3">
      <c r="A188" s="6" t="s">
        <v>892</v>
      </c>
      <c r="B188" s="109" t="s">
        <v>893</v>
      </c>
      <c r="C188" s="28" t="s">
        <v>109</v>
      </c>
      <c r="D188" s="28" t="str">
        <f>IFERROR(VLOOKUP($C188,CUENTAS[],2,0),"")</f>
        <v>LOGÍSTICA</v>
      </c>
      <c r="E188" s="28" t="str">
        <f>IFERROR(VLOOKUP($C188,CUENTAS[],3,0),"")</f>
        <v>MDE2025-006A</v>
      </c>
      <c r="F188" s="86">
        <v>1125.01</v>
      </c>
      <c r="G188" s="129">
        <v>180</v>
      </c>
      <c r="H188" s="126">
        <v>1305.01</v>
      </c>
      <c r="I188" s="200" t="str">
        <f t="shared" si="2"/>
        <v>CORRECTO</v>
      </c>
      <c r="J188" s="88" t="s">
        <v>3246</v>
      </c>
      <c r="K188" s="101" t="s">
        <v>362</v>
      </c>
      <c r="L188" s="95" t="s">
        <v>227</v>
      </c>
      <c r="M188" s="110">
        <v>45747</v>
      </c>
      <c r="N188" s="8" t="s">
        <v>928</v>
      </c>
      <c r="P188" s="89"/>
      <c r="Q188" s="89"/>
    </row>
    <row r="189" spans="1:17" x14ac:dyDescent="0.3">
      <c r="A189" s="6" t="s">
        <v>650</v>
      </c>
      <c r="B189" s="109" t="s">
        <v>983</v>
      </c>
      <c r="C189" s="28" t="s">
        <v>167</v>
      </c>
      <c r="D189" s="28" t="str">
        <f>IFERROR(VLOOKUP($C189,CUENTAS[],2,0),"")</f>
        <v>LOGÍSTICA</v>
      </c>
      <c r="E189" s="28" t="str">
        <f>IFERROR(VLOOKUP($C189,CUENTAS[],3,0),"")</f>
        <v>MDE2025-006D</v>
      </c>
      <c r="F189" s="86">
        <v>306.02999999999997</v>
      </c>
      <c r="G189" s="129">
        <v>48.97</v>
      </c>
      <c r="H189" s="126">
        <v>355</v>
      </c>
      <c r="I189" s="200" t="str">
        <f t="shared" si="2"/>
        <v>CORRECTO</v>
      </c>
      <c r="J189" s="88" t="s">
        <v>654</v>
      </c>
      <c r="K189" s="101" t="s">
        <v>922</v>
      </c>
      <c r="L189" s="95" t="s">
        <v>227</v>
      </c>
      <c r="M189" s="110">
        <v>45720</v>
      </c>
      <c r="N189" s="8" t="s">
        <v>993</v>
      </c>
      <c r="P189" s="89"/>
      <c r="Q189" s="89"/>
    </row>
    <row r="190" spans="1:17" x14ac:dyDescent="0.3">
      <c r="A190" s="6" t="s">
        <v>650</v>
      </c>
      <c r="B190" s="109" t="s">
        <v>984</v>
      </c>
      <c r="C190" s="28" t="s">
        <v>167</v>
      </c>
      <c r="D190" s="28" t="str">
        <f>IFERROR(VLOOKUP($C190,CUENTAS[],2,0),"")</f>
        <v>LOGÍSTICA</v>
      </c>
      <c r="E190" s="28" t="str">
        <f>IFERROR(VLOOKUP($C190,CUENTAS[],3,0),"")</f>
        <v>MDE2025-006D</v>
      </c>
      <c r="F190" s="86">
        <v>143.1</v>
      </c>
      <c r="G190" s="129">
        <v>22.9</v>
      </c>
      <c r="H190" s="126">
        <v>166</v>
      </c>
      <c r="I190" s="200" t="str">
        <f t="shared" si="2"/>
        <v>CORRECTO</v>
      </c>
      <c r="J190" s="88" t="s">
        <v>654</v>
      </c>
      <c r="K190" s="101" t="s">
        <v>922</v>
      </c>
      <c r="L190" s="95" t="s">
        <v>227</v>
      </c>
      <c r="M190" s="110">
        <v>45720</v>
      </c>
      <c r="N190" s="8" t="s">
        <v>993</v>
      </c>
      <c r="P190" s="89"/>
      <c r="Q190" s="89"/>
    </row>
    <row r="191" spans="1:17" x14ac:dyDescent="0.3">
      <c r="A191" s="6" t="s">
        <v>650</v>
      </c>
      <c r="B191" s="109" t="s">
        <v>985</v>
      </c>
      <c r="C191" s="28" t="s">
        <v>167</v>
      </c>
      <c r="D191" s="28" t="str">
        <f>IFERROR(VLOOKUP($C191,CUENTAS[],2,0),"")</f>
        <v>LOGÍSTICA</v>
      </c>
      <c r="E191" s="28" t="str">
        <f>IFERROR(VLOOKUP($C191,CUENTAS[],3,0),"")</f>
        <v>MDE2025-006D</v>
      </c>
      <c r="F191" s="86">
        <v>315.52</v>
      </c>
      <c r="G191" s="129">
        <v>50.48</v>
      </c>
      <c r="H191" s="126">
        <v>366</v>
      </c>
      <c r="I191" s="200" t="str">
        <f t="shared" si="2"/>
        <v>CORRECTO</v>
      </c>
      <c r="J191" s="88" t="s">
        <v>654</v>
      </c>
      <c r="K191" s="101" t="s">
        <v>425</v>
      </c>
      <c r="L191" s="95" t="s">
        <v>227</v>
      </c>
      <c r="M191" s="110">
        <v>45730</v>
      </c>
      <c r="N191" s="8" t="s">
        <v>994</v>
      </c>
      <c r="P191" s="89"/>
      <c r="Q191" s="89"/>
    </row>
    <row r="192" spans="1:17" x14ac:dyDescent="0.3">
      <c r="A192" s="6" t="s">
        <v>650</v>
      </c>
      <c r="B192" s="109" t="s">
        <v>986</v>
      </c>
      <c r="C192" s="28" t="s">
        <v>167</v>
      </c>
      <c r="D192" s="28" t="str">
        <f>IFERROR(VLOOKUP($C192,CUENTAS[],2,0),"")</f>
        <v>LOGÍSTICA</v>
      </c>
      <c r="E192" s="28" t="str">
        <f>IFERROR(VLOOKUP($C192,CUENTAS[],3,0),"")</f>
        <v>MDE2025-006D</v>
      </c>
      <c r="F192" s="86">
        <v>315.52</v>
      </c>
      <c r="G192" s="129">
        <v>50.48</v>
      </c>
      <c r="H192" s="126">
        <v>366</v>
      </c>
      <c r="I192" s="200" t="str">
        <f t="shared" si="2"/>
        <v>CORRECTO</v>
      </c>
      <c r="J192" s="88" t="s">
        <v>654</v>
      </c>
      <c r="K192" s="101" t="s">
        <v>360</v>
      </c>
      <c r="L192" s="95" t="s">
        <v>227</v>
      </c>
      <c r="M192" s="110">
        <v>45730</v>
      </c>
      <c r="N192" s="8" t="s">
        <v>994</v>
      </c>
      <c r="P192" s="89"/>
      <c r="Q192" s="89"/>
    </row>
    <row r="193" spans="1:17" x14ac:dyDescent="0.3">
      <c r="A193" s="6" t="s">
        <v>650</v>
      </c>
      <c r="B193" s="109" t="s">
        <v>987</v>
      </c>
      <c r="C193" s="28" t="s">
        <v>167</v>
      </c>
      <c r="D193" s="28" t="str">
        <f>IFERROR(VLOOKUP($C193,CUENTAS[],2,0),"")</f>
        <v>LOGÍSTICA</v>
      </c>
      <c r="E193" s="28" t="str">
        <f>IFERROR(VLOOKUP($C193,CUENTAS[],3,0),"")</f>
        <v>MDE2025-006D</v>
      </c>
      <c r="F193" s="86">
        <v>313.8</v>
      </c>
      <c r="G193" s="129">
        <v>50.2</v>
      </c>
      <c r="H193" s="126">
        <v>364</v>
      </c>
      <c r="I193" s="200" t="str">
        <f t="shared" si="2"/>
        <v>CORRECTO</v>
      </c>
      <c r="J193" s="88" t="s">
        <v>654</v>
      </c>
      <c r="K193" s="101" t="s">
        <v>360</v>
      </c>
      <c r="L193" s="95" t="s">
        <v>227</v>
      </c>
      <c r="M193" s="110">
        <v>45730</v>
      </c>
      <c r="N193" s="8" t="s">
        <v>994</v>
      </c>
      <c r="P193" s="89"/>
      <c r="Q193" s="89"/>
    </row>
    <row r="194" spans="1:17" x14ac:dyDescent="0.3">
      <c r="A194" s="6" t="s">
        <v>650</v>
      </c>
      <c r="B194" s="109" t="s">
        <v>988</v>
      </c>
      <c r="C194" s="28" t="s">
        <v>167</v>
      </c>
      <c r="D194" s="28" t="str">
        <f>IFERROR(VLOOKUP($C194,CUENTAS[],2,0),"")</f>
        <v>LOGÍSTICA</v>
      </c>
      <c r="E194" s="28" t="str">
        <f>IFERROR(VLOOKUP($C194,CUENTAS[],3,0),"")</f>
        <v>MDE2025-006D</v>
      </c>
      <c r="F194" s="86">
        <v>94.83</v>
      </c>
      <c r="G194" s="129">
        <v>15.17</v>
      </c>
      <c r="H194" s="126">
        <v>110</v>
      </c>
      <c r="I194" s="200" t="str">
        <f t="shared" si="2"/>
        <v>CORRECTO</v>
      </c>
      <c r="J194" s="88" t="s">
        <v>654</v>
      </c>
      <c r="K194" s="101" t="s">
        <v>961</v>
      </c>
      <c r="L194" s="95" t="s">
        <v>227</v>
      </c>
      <c r="M194" s="110">
        <v>45730</v>
      </c>
      <c r="N194" s="8" t="s">
        <v>994</v>
      </c>
      <c r="P194" s="89"/>
      <c r="Q194" s="89"/>
    </row>
    <row r="195" spans="1:17" x14ac:dyDescent="0.3">
      <c r="A195" s="6" t="s">
        <v>650</v>
      </c>
      <c r="B195" s="109" t="s">
        <v>989</v>
      </c>
      <c r="C195" s="28" t="s">
        <v>167</v>
      </c>
      <c r="D195" s="28" t="str">
        <f>IFERROR(VLOOKUP($C195,CUENTAS[],2,0),"")</f>
        <v>LOGÍSTICA</v>
      </c>
      <c r="E195" s="28" t="str">
        <f>IFERROR(VLOOKUP($C195,CUENTAS[],3,0),"")</f>
        <v>MDE2025-006D</v>
      </c>
      <c r="F195" s="86">
        <v>574.14</v>
      </c>
      <c r="G195" s="129">
        <v>91.86</v>
      </c>
      <c r="H195" s="126">
        <v>666</v>
      </c>
      <c r="I195" s="200" t="str">
        <f t="shared" ref="I195:I232" si="3">IFERROR(IF(F195+G195&lt;&gt;H195,"REVISAR","CORRECTO"),"")</f>
        <v>CORRECTO</v>
      </c>
      <c r="J195" s="88" t="s">
        <v>654</v>
      </c>
      <c r="K195" s="101" t="s">
        <v>362</v>
      </c>
      <c r="L195" s="95" t="s">
        <v>227</v>
      </c>
      <c r="M195" s="110">
        <v>45740</v>
      </c>
      <c r="N195" s="8" t="s">
        <v>995</v>
      </c>
      <c r="P195" s="89"/>
      <c r="Q195" s="89"/>
    </row>
    <row r="196" spans="1:17" x14ac:dyDescent="0.3">
      <c r="A196" s="6" t="s">
        <v>650</v>
      </c>
      <c r="B196" s="109" t="s">
        <v>990</v>
      </c>
      <c r="C196" s="28" t="s">
        <v>167</v>
      </c>
      <c r="D196" s="28" t="str">
        <f>IFERROR(VLOOKUP($C196,CUENTAS[],2,0),"")</f>
        <v>LOGÍSTICA</v>
      </c>
      <c r="E196" s="28" t="str">
        <f>IFERROR(VLOOKUP($C196,CUENTAS[],3,0),"")</f>
        <v>MDE2025-006D</v>
      </c>
      <c r="F196" s="86">
        <v>287.07</v>
      </c>
      <c r="G196" s="129">
        <v>45.93</v>
      </c>
      <c r="H196" s="126">
        <v>333</v>
      </c>
      <c r="I196" s="200" t="str">
        <f t="shared" si="3"/>
        <v>CORRECTO</v>
      </c>
      <c r="J196" s="88" t="s">
        <v>654</v>
      </c>
      <c r="K196" s="101" t="s">
        <v>425</v>
      </c>
      <c r="L196" s="95" t="s">
        <v>227</v>
      </c>
      <c r="M196" s="110">
        <v>45740</v>
      </c>
      <c r="N196" s="8" t="s">
        <v>995</v>
      </c>
      <c r="P196" s="89"/>
      <c r="Q196" s="89"/>
    </row>
    <row r="197" spans="1:17" x14ac:dyDescent="0.3">
      <c r="A197" s="6" t="s">
        <v>650</v>
      </c>
      <c r="B197" s="109" t="s">
        <v>991</v>
      </c>
      <c r="C197" s="28" t="s">
        <v>167</v>
      </c>
      <c r="D197" s="28" t="str">
        <f>IFERROR(VLOOKUP($C197,CUENTAS[],2,0),"")</f>
        <v>LOGÍSTICA</v>
      </c>
      <c r="E197" s="28" t="str">
        <f>IFERROR(VLOOKUP($C197,CUENTAS[],3,0),"")</f>
        <v>MDE2025-006D</v>
      </c>
      <c r="F197" s="86">
        <v>1578.82</v>
      </c>
      <c r="G197" s="129">
        <v>252.61</v>
      </c>
      <c r="H197" s="126">
        <v>1831.43</v>
      </c>
      <c r="I197" s="200" t="str">
        <f t="shared" si="3"/>
        <v>CORRECTO</v>
      </c>
      <c r="J197" s="88" t="s">
        <v>654</v>
      </c>
      <c r="K197" s="101" t="s">
        <v>360</v>
      </c>
      <c r="L197" s="95" t="s">
        <v>227</v>
      </c>
      <c r="M197" s="110">
        <v>45740</v>
      </c>
      <c r="N197" s="8" t="s">
        <v>995</v>
      </c>
      <c r="P197" s="89"/>
      <c r="Q197" s="89"/>
    </row>
    <row r="198" spans="1:17" x14ac:dyDescent="0.3">
      <c r="A198" s="6" t="s">
        <v>650</v>
      </c>
      <c r="B198" s="109" t="s">
        <v>992</v>
      </c>
      <c r="C198" s="28" t="s">
        <v>167</v>
      </c>
      <c r="D198" s="28" t="str">
        <f>IFERROR(VLOOKUP($C198,CUENTAS[],2,0),"")</f>
        <v>LOGÍSTICA</v>
      </c>
      <c r="E198" s="28" t="str">
        <f>IFERROR(VLOOKUP($C198,CUENTAS[],3,0),"")</f>
        <v>MDE2025-006D</v>
      </c>
      <c r="F198" s="86">
        <v>143.1</v>
      </c>
      <c r="G198" s="129">
        <v>22.9</v>
      </c>
      <c r="H198" s="126">
        <v>166</v>
      </c>
      <c r="I198" s="200" t="str">
        <f t="shared" si="3"/>
        <v>CORRECTO</v>
      </c>
      <c r="J198" s="88" t="s">
        <v>654</v>
      </c>
      <c r="K198" s="101" t="s">
        <v>961</v>
      </c>
      <c r="L198" s="95" t="s">
        <v>227</v>
      </c>
      <c r="M198" s="110">
        <v>45740</v>
      </c>
      <c r="N198" s="8" t="s">
        <v>995</v>
      </c>
      <c r="P198" s="89"/>
      <c r="Q198" s="89"/>
    </row>
    <row r="199" spans="1:17" x14ac:dyDescent="0.3">
      <c r="A199" s="6" t="s">
        <v>1018</v>
      </c>
      <c r="B199" s="109" t="s">
        <v>1019</v>
      </c>
      <c r="C199" s="28" t="s">
        <v>117</v>
      </c>
      <c r="D199" s="28" t="str">
        <f>IFERROR(VLOOKUP($C199,CUENTAS[],2,0),"")</f>
        <v>GASTOS VARIOS</v>
      </c>
      <c r="E199" s="28" t="str">
        <f>IFERROR(VLOOKUP($C199,CUENTAS[],3,0),"")</f>
        <v>MDE2025-003D</v>
      </c>
      <c r="F199" s="86">
        <v>346.15</v>
      </c>
      <c r="G199" s="129">
        <v>53.85</v>
      </c>
      <c r="H199" s="126">
        <v>400</v>
      </c>
      <c r="I199" s="200" t="str">
        <f t="shared" si="3"/>
        <v>CORRECTO</v>
      </c>
      <c r="J199" s="88" t="s">
        <v>3245</v>
      </c>
      <c r="K199" s="101" t="s">
        <v>922</v>
      </c>
      <c r="L199" s="95" t="s">
        <v>227</v>
      </c>
      <c r="M199" s="110">
        <v>45723</v>
      </c>
      <c r="N199" s="8" t="s">
        <v>1032</v>
      </c>
      <c r="P199" s="89"/>
      <c r="Q199" s="89"/>
    </row>
    <row r="200" spans="1:17" x14ac:dyDescent="0.3">
      <c r="A200" s="6" t="s">
        <v>1020</v>
      </c>
      <c r="B200" s="109" t="s">
        <v>1021</v>
      </c>
      <c r="C200" s="28" t="s">
        <v>117</v>
      </c>
      <c r="D200" s="28" t="str">
        <f>IFERROR(VLOOKUP($C200,CUENTAS[],2,0),"")</f>
        <v>GASTOS VARIOS</v>
      </c>
      <c r="E200" s="28" t="str">
        <f>IFERROR(VLOOKUP($C200,CUENTAS[],3,0),"")</f>
        <v>MDE2025-003D</v>
      </c>
      <c r="F200" s="86">
        <v>300</v>
      </c>
      <c r="G200" s="129">
        <v>0</v>
      </c>
      <c r="H200" s="126">
        <v>300</v>
      </c>
      <c r="I200" s="200" t="str">
        <f t="shared" si="3"/>
        <v>CORRECTO</v>
      </c>
      <c r="J200" s="88" t="s">
        <v>3245</v>
      </c>
      <c r="K200" s="101" t="s">
        <v>472</v>
      </c>
      <c r="L200" s="95" t="s">
        <v>227</v>
      </c>
      <c r="M200" s="110">
        <v>45728</v>
      </c>
      <c r="N200" s="8" t="s">
        <v>1033</v>
      </c>
      <c r="P200" s="89"/>
      <c r="Q200" s="89"/>
    </row>
    <row r="201" spans="1:17" x14ac:dyDescent="0.3">
      <c r="A201" s="6" t="s">
        <v>1022</v>
      </c>
      <c r="B201" s="109" t="s">
        <v>1023</v>
      </c>
      <c r="C201" s="28" t="s">
        <v>117</v>
      </c>
      <c r="D201" s="28" t="str">
        <f>IFERROR(VLOOKUP($C201,CUENTAS[],2,0),"")</f>
        <v>GASTOS VARIOS</v>
      </c>
      <c r="E201" s="28" t="str">
        <f>IFERROR(VLOOKUP($C201,CUENTAS[],3,0),"")</f>
        <v>MDE2025-003D</v>
      </c>
      <c r="F201" s="86">
        <v>606.04</v>
      </c>
      <c r="G201" s="129">
        <v>93.96</v>
      </c>
      <c r="H201" s="126">
        <v>700</v>
      </c>
      <c r="I201" s="200" t="str">
        <f t="shared" si="3"/>
        <v>CORRECTO</v>
      </c>
      <c r="J201" s="88" t="s">
        <v>3245</v>
      </c>
      <c r="K201" s="101" t="s">
        <v>425</v>
      </c>
      <c r="L201" s="95" t="s">
        <v>227</v>
      </c>
      <c r="M201" s="110">
        <v>45729</v>
      </c>
      <c r="N201" s="8" t="s">
        <v>1034</v>
      </c>
      <c r="P201" s="89"/>
      <c r="Q201" s="89"/>
    </row>
    <row r="202" spans="1:17" x14ac:dyDescent="0.3">
      <c r="A202" s="6" t="s">
        <v>1022</v>
      </c>
      <c r="B202" s="109" t="s">
        <v>1024</v>
      </c>
      <c r="C202" s="28" t="s">
        <v>117</v>
      </c>
      <c r="D202" s="28" t="str">
        <f>IFERROR(VLOOKUP($C202,CUENTAS[],2,0),"")</f>
        <v>GASTOS VARIOS</v>
      </c>
      <c r="E202" s="28" t="str">
        <f>IFERROR(VLOOKUP($C202,CUENTAS[],3,0),"")</f>
        <v>MDE2025-003D</v>
      </c>
      <c r="F202" s="86">
        <v>432.88</v>
      </c>
      <c r="G202" s="129">
        <v>67.12</v>
      </c>
      <c r="H202" s="126">
        <v>500</v>
      </c>
      <c r="I202" s="200" t="str">
        <f t="shared" si="3"/>
        <v>CORRECTO</v>
      </c>
      <c r="J202" s="88" t="s">
        <v>3245</v>
      </c>
      <c r="K202" s="101" t="s">
        <v>425</v>
      </c>
      <c r="L202" s="95" t="s">
        <v>227</v>
      </c>
      <c r="M202" s="110">
        <v>45734</v>
      </c>
      <c r="N202" s="8" t="s">
        <v>1035</v>
      </c>
      <c r="P202" s="89"/>
      <c r="Q202" s="89"/>
    </row>
    <row r="203" spans="1:17" x14ac:dyDescent="0.3">
      <c r="A203" s="6" t="s">
        <v>1025</v>
      </c>
      <c r="B203" s="109" t="s">
        <v>1026</v>
      </c>
      <c r="C203" s="28" t="s">
        <v>117</v>
      </c>
      <c r="D203" s="28" t="str">
        <f>IFERROR(VLOOKUP($C203,CUENTAS[],2,0),"")</f>
        <v>GASTOS VARIOS</v>
      </c>
      <c r="E203" s="28" t="str">
        <f>IFERROR(VLOOKUP($C203,CUENTAS[],3,0),"")</f>
        <v>MDE2025-003D</v>
      </c>
      <c r="F203" s="86">
        <v>346.14</v>
      </c>
      <c r="G203" s="129">
        <v>53.86</v>
      </c>
      <c r="H203" s="126">
        <v>400</v>
      </c>
      <c r="I203" s="200" t="str">
        <f t="shared" si="3"/>
        <v>CORRECTO</v>
      </c>
      <c r="J203" s="88" t="s">
        <v>3245</v>
      </c>
      <c r="K203" s="101" t="s">
        <v>425</v>
      </c>
      <c r="L203" s="95" t="s">
        <v>227</v>
      </c>
      <c r="M203" s="110">
        <v>45735</v>
      </c>
      <c r="N203" s="8" t="s">
        <v>1036</v>
      </c>
      <c r="P203" s="89"/>
      <c r="Q203" s="89"/>
    </row>
    <row r="204" spans="1:17" x14ac:dyDescent="0.3">
      <c r="A204" s="6" t="s">
        <v>1022</v>
      </c>
      <c r="B204" s="109" t="s">
        <v>1027</v>
      </c>
      <c r="C204" s="28" t="s">
        <v>117</v>
      </c>
      <c r="D204" s="28" t="str">
        <f>IFERROR(VLOOKUP($C204,CUENTAS[],2,0),"")</f>
        <v>GASTOS VARIOS</v>
      </c>
      <c r="E204" s="28" t="str">
        <f>IFERROR(VLOOKUP($C204,CUENTAS[],3,0),"")</f>
        <v>MDE2025-003D</v>
      </c>
      <c r="F204" s="86">
        <v>1531.49</v>
      </c>
      <c r="G204" s="129">
        <v>0</v>
      </c>
      <c r="H204" s="126">
        <v>1531.49</v>
      </c>
      <c r="I204" s="200" t="str">
        <f t="shared" si="3"/>
        <v>CORRECTO</v>
      </c>
      <c r="J204" s="88" t="s">
        <v>3245</v>
      </c>
      <c r="K204" s="101" t="s">
        <v>360</v>
      </c>
      <c r="L204" s="95" t="s">
        <v>227</v>
      </c>
      <c r="M204" s="110">
        <v>45735</v>
      </c>
      <c r="N204" s="8" t="s">
        <v>1037</v>
      </c>
      <c r="P204" s="89"/>
      <c r="Q204" s="89"/>
    </row>
    <row r="205" spans="1:17" x14ac:dyDescent="0.3">
      <c r="A205" s="6" t="s">
        <v>1028</v>
      </c>
      <c r="B205" s="109" t="s">
        <v>1029</v>
      </c>
      <c r="C205" s="28" t="s">
        <v>117</v>
      </c>
      <c r="D205" s="28" t="str">
        <f>IFERROR(VLOOKUP($C205,CUENTAS[],2,0),"")</f>
        <v>GASTOS VARIOS</v>
      </c>
      <c r="E205" s="28" t="str">
        <f>IFERROR(VLOOKUP($C205,CUENTAS[],3,0),"")</f>
        <v>MDE2025-003D</v>
      </c>
      <c r="F205" s="86">
        <v>259.61</v>
      </c>
      <c r="G205" s="129">
        <v>40.39</v>
      </c>
      <c r="H205" s="126">
        <v>300</v>
      </c>
      <c r="I205" s="200" t="str">
        <f t="shared" si="3"/>
        <v>CORRECTO</v>
      </c>
      <c r="J205" s="88" t="s">
        <v>3245</v>
      </c>
      <c r="K205" s="101" t="s">
        <v>961</v>
      </c>
      <c r="L205" s="95" t="s">
        <v>227</v>
      </c>
      <c r="M205" s="110">
        <v>45743</v>
      </c>
      <c r="N205" s="8" t="s">
        <v>1038</v>
      </c>
      <c r="P205" s="89"/>
      <c r="Q205" s="89"/>
    </row>
    <row r="206" spans="1:17" x14ac:dyDescent="0.3">
      <c r="A206" s="6" t="s">
        <v>1030</v>
      </c>
      <c r="B206" s="109" t="s">
        <v>1031</v>
      </c>
      <c r="C206" s="28" t="s">
        <v>117</v>
      </c>
      <c r="D206" s="28" t="str">
        <f>IFERROR(VLOOKUP($C206,CUENTAS[],2,0),"")</f>
        <v>GASTOS VARIOS</v>
      </c>
      <c r="E206" s="28" t="str">
        <f>IFERROR(VLOOKUP($C206,CUENTAS[],3,0),"")</f>
        <v>MDE2025-003D</v>
      </c>
      <c r="F206" s="86">
        <v>259.77</v>
      </c>
      <c r="G206" s="129">
        <v>40.229999999999997</v>
      </c>
      <c r="H206" s="126">
        <v>300</v>
      </c>
      <c r="I206" s="200" t="str">
        <f t="shared" si="3"/>
        <v>CORRECTO</v>
      </c>
      <c r="J206" s="88" t="s">
        <v>3245</v>
      </c>
      <c r="K206" s="101" t="s">
        <v>472</v>
      </c>
      <c r="L206" s="95" t="s">
        <v>227</v>
      </c>
      <c r="M206" s="110">
        <v>45740</v>
      </c>
      <c r="N206" s="8" t="s">
        <v>1039</v>
      </c>
      <c r="P206" s="89"/>
      <c r="Q206" s="89"/>
    </row>
    <row r="207" spans="1:17" ht="14.25" customHeight="1" x14ac:dyDescent="0.3">
      <c r="A207" s="115" t="s">
        <v>461</v>
      </c>
      <c r="B207" s="115" t="s">
        <v>941</v>
      </c>
      <c r="C207" s="28" t="s">
        <v>177</v>
      </c>
      <c r="D207" s="28" t="str">
        <f>IFERROR(VLOOKUP($C207,CUENTAS[],2,0),"")</f>
        <v>GASTOS FIJOS</v>
      </c>
      <c r="E207" s="28" t="str">
        <f>IFERROR(VLOOKUP($C207,CUENTAS[],3,0),"")</f>
        <v>MDE2025-002A</v>
      </c>
      <c r="F207" s="86">
        <v>700</v>
      </c>
      <c r="G207" s="129">
        <v>0</v>
      </c>
      <c r="H207" s="130">
        <v>700</v>
      </c>
      <c r="I207" s="200" t="str">
        <f t="shared" si="3"/>
        <v>CORRECTO</v>
      </c>
      <c r="J207" s="88" t="s">
        <v>137</v>
      </c>
      <c r="K207" s="116" t="s">
        <v>363</v>
      </c>
      <c r="L207" s="95" t="s">
        <v>227</v>
      </c>
      <c r="M207" s="159">
        <v>45722</v>
      </c>
      <c r="N207" s="118" t="s">
        <v>470</v>
      </c>
      <c r="P207" s="89"/>
      <c r="Q207" s="89"/>
    </row>
    <row r="208" spans="1:17" ht="14.25" customHeight="1" x14ac:dyDescent="0.3">
      <c r="A208" s="115" t="s">
        <v>942</v>
      </c>
      <c r="B208" s="115" t="s">
        <v>943</v>
      </c>
      <c r="C208" s="28" t="s">
        <v>115</v>
      </c>
      <c r="D208" s="28" t="str">
        <f>IFERROR(VLOOKUP($C208,CUENTAS[],2,0),"")</f>
        <v>GASTOS FIJOS</v>
      </c>
      <c r="E208" s="28" t="str">
        <f>IFERROR(VLOOKUP($C208,CUENTAS[],3,0),"")</f>
        <v>MDE2025-002E</v>
      </c>
      <c r="F208" s="86">
        <v>496</v>
      </c>
      <c r="G208" s="129">
        <v>0</v>
      </c>
      <c r="H208" s="131">
        <v>496</v>
      </c>
      <c r="I208" s="200" t="str">
        <f t="shared" si="3"/>
        <v>CORRECTO</v>
      </c>
      <c r="J208" s="88" t="s">
        <v>137</v>
      </c>
      <c r="K208" s="116" t="s">
        <v>363</v>
      </c>
      <c r="L208" s="95" t="s">
        <v>227</v>
      </c>
      <c r="M208" s="159">
        <v>45723</v>
      </c>
      <c r="N208" s="22" t="s">
        <v>368</v>
      </c>
      <c r="P208" s="89"/>
      <c r="Q208" s="89"/>
    </row>
    <row r="209" spans="1:17" ht="14.25" customHeight="1" x14ac:dyDescent="0.3">
      <c r="A209" s="115" t="s">
        <v>944</v>
      </c>
      <c r="B209" s="115" t="s">
        <v>945</v>
      </c>
      <c r="C209" s="28" t="s">
        <v>159</v>
      </c>
      <c r="D209" s="28" t="str">
        <f>IFERROR(VLOOKUP($C209,CUENTAS[],2,0),"")</f>
        <v>GASTOS VARIOS</v>
      </c>
      <c r="E209" s="28" t="str">
        <f>IFERROR(VLOOKUP($C209,CUENTAS[],3,0),"")</f>
        <v>MDE2025-003A</v>
      </c>
      <c r="F209" s="86">
        <v>40</v>
      </c>
      <c r="G209" s="129">
        <v>0</v>
      </c>
      <c r="H209" s="131">
        <v>40</v>
      </c>
      <c r="I209" s="200" t="str">
        <f t="shared" si="3"/>
        <v>CORRECTO</v>
      </c>
      <c r="J209" s="88" t="s">
        <v>137</v>
      </c>
      <c r="K209" s="116" t="s">
        <v>407</v>
      </c>
      <c r="L209" s="95" t="s">
        <v>227</v>
      </c>
      <c r="M209" s="159">
        <v>45730</v>
      </c>
      <c r="N209" s="22" t="s">
        <v>917</v>
      </c>
      <c r="P209" s="89"/>
      <c r="Q209" s="89"/>
    </row>
    <row r="210" spans="1:17" ht="14.25" customHeight="1" x14ac:dyDescent="0.3">
      <c r="A210" s="115" t="s">
        <v>461</v>
      </c>
      <c r="B210" s="115" t="s">
        <v>946</v>
      </c>
      <c r="C210" s="28" t="s">
        <v>177</v>
      </c>
      <c r="D210" s="28" t="str">
        <f>IFERROR(VLOOKUP($C210,CUENTAS[],2,0),"")</f>
        <v>GASTOS FIJOS</v>
      </c>
      <c r="E210" s="28" t="str">
        <f>IFERROR(VLOOKUP($C210,CUENTAS[],3,0),"")</f>
        <v>MDE2025-002A</v>
      </c>
      <c r="F210" s="86">
        <v>700</v>
      </c>
      <c r="G210" s="129">
        <v>0</v>
      </c>
      <c r="H210" s="131">
        <v>700</v>
      </c>
      <c r="I210" s="200" t="str">
        <f t="shared" si="3"/>
        <v>CORRECTO</v>
      </c>
      <c r="J210" s="88" t="s">
        <v>137</v>
      </c>
      <c r="K210" s="116" t="s">
        <v>363</v>
      </c>
      <c r="L210" s="95" t="s">
        <v>227</v>
      </c>
      <c r="M210" s="159">
        <v>45729</v>
      </c>
      <c r="N210" s="22" t="s">
        <v>470</v>
      </c>
      <c r="P210" s="89"/>
      <c r="Q210" s="89"/>
    </row>
    <row r="211" spans="1:17" ht="14.25" customHeight="1" x14ac:dyDescent="0.3">
      <c r="A211" s="115" t="s">
        <v>461</v>
      </c>
      <c r="B211" s="115" t="s">
        <v>947</v>
      </c>
      <c r="C211" s="28" t="s">
        <v>177</v>
      </c>
      <c r="D211" s="28" t="str">
        <f>IFERROR(VLOOKUP($C211,CUENTAS[],2,0),"")</f>
        <v>GASTOS FIJOS</v>
      </c>
      <c r="E211" s="28" t="str">
        <f>IFERROR(VLOOKUP($C211,CUENTAS[],3,0),"")</f>
        <v>MDE2025-002A</v>
      </c>
      <c r="F211" s="86">
        <v>700</v>
      </c>
      <c r="G211" s="129">
        <v>0</v>
      </c>
      <c r="H211" s="131">
        <v>700</v>
      </c>
      <c r="I211" s="200" t="str">
        <f t="shared" si="3"/>
        <v>CORRECTO</v>
      </c>
      <c r="J211" s="88" t="s">
        <v>137</v>
      </c>
      <c r="K211" s="116" t="s">
        <v>363</v>
      </c>
      <c r="L211" s="95" t="s">
        <v>227</v>
      </c>
      <c r="M211" s="159">
        <v>45736</v>
      </c>
      <c r="N211" s="22" t="s">
        <v>470</v>
      </c>
      <c r="P211" s="89"/>
      <c r="Q211" s="89"/>
    </row>
    <row r="212" spans="1:17" ht="14.25" customHeight="1" x14ac:dyDescent="0.3">
      <c r="A212" s="115" t="s">
        <v>948</v>
      </c>
      <c r="B212" s="115" t="s">
        <v>949</v>
      </c>
      <c r="C212" s="28" t="s">
        <v>125</v>
      </c>
      <c r="D212" s="28" t="str">
        <f>IFERROR(VLOOKUP($C212,CUENTAS[],2,0),"")</f>
        <v>GASTOS FIJOS</v>
      </c>
      <c r="E212" s="28" t="str">
        <f>IFERROR(VLOOKUP($C212,CUENTAS[],3,0),"")</f>
        <v>MDE2025-002B</v>
      </c>
      <c r="F212" s="86">
        <v>840</v>
      </c>
      <c r="G212" s="129">
        <v>0</v>
      </c>
      <c r="H212" s="131">
        <v>840</v>
      </c>
      <c r="I212" s="200" t="str">
        <f t="shared" si="3"/>
        <v>CORRECTO</v>
      </c>
      <c r="J212" s="88" t="s">
        <v>137</v>
      </c>
      <c r="K212" s="116" t="s">
        <v>363</v>
      </c>
      <c r="L212" s="95" t="s">
        <v>227</v>
      </c>
      <c r="M212" s="159">
        <v>45737</v>
      </c>
      <c r="N212" s="22" t="s">
        <v>959</v>
      </c>
      <c r="P212" s="89"/>
      <c r="Q212" s="89"/>
    </row>
    <row r="213" spans="1:17" ht="14.25" customHeight="1" x14ac:dyDescent="0.3">
      <c r="A213" s="115" t="s">
        <v>894</v>
      </c>
      <c r="B213" s="115" t="s">
        <v>950</v>
      </c>
      <c r="C213" s="28" t="s">
        <v>117</v>
      </c>
      <c r="D213" s="28" t="str">
        <f>IFERROR(VLOOKUP($C213,CUENTAS[],2,0),"")</f>
        <v>GASTOS VARIOS</v>
      </c>
      <c r="E213" s="28" t="str">
        <f>IFERROR(VLOOKUP($C213,CUENTAS[],3,0),"")</f>
        <v>MDE2025-003D</v>
      </c>
      <c r="F213" s="86">
        <v>350</v>
      </c>
      <c r="G213" s="129">
        <v>0</v>
      </c>
      <c r="H213" s="131">
        <v>350</v>
      </c>
      <c r="I213" s="200" t="str">
        <f t="shared" si="3"/>
        <v>CORRECTO</v>
      </c>
      <c r="J213" s="88" t="s">
        <v>137</v>
      </c>
      <c r="K213" s="116" t="s">
        <v>472</v>
      </c>
      <c r="L213" s="95" t="s">
        <v>227</v>
      </c>
      <c r="M213" s="159">
        <v>45741</v>
      </c>
      <c r="N213" s="22" t="s">
        <v>960</v>
      </c>
      <c r="P213" s="89"/>
      <c r="Q213" s="89"/>
    </row>
    <row r="214" spans="1:17" ht="14.25" customHeight="1" x14ac:dyDescent="0.3">
      <c r="A214" s="115" t="s">
        <v>855</v>
      </c>
      <c r="B214" s="115" t="s">
        <v>951</v>
      </c>
      <c r="C214" s="28" t="s">
        <v>224</v>
      </c>
      <c r="D214" s="28" t="str">
        <f>IFERROR(VLOOKUP($C214,CUENTAS[],2,0),"")</f>
        <v>MATERIALES</v>
      </c>
      <c r="E214" s="28" t="str">
        <f>IFERROR(VLOOKUP($C214,CUENTAS[],3,0),"")</f>
        <v>MDE2025-004</v>
      </c>
      <c r="F214" s="86">
        <v>257</v>
      </c>
      <c r="G214" s="129">
        <v>0</v>
      </c>
      <c r="H214" s="131">
        <v>257</v>
      </c>
      <c r="I214" s="200" t="str">
        <f t="shared" si="3"/>
        <v>CORRECTO</v>
      </c>
      <c r="J214" s="88" t="s">
        <v>137</v>
      </c>
      <c r="K214" s="116" t="s">
        <v>407</v>
      </c>
      <c r="L214" s="95" t="s">
        <v>227</v>
      </c>
      <c r="M214" s="159">
        <v>45742</v>
      </c>
      <c r="N214" s="22" t="s">
        <v>430</v>
      </c>
      <c r="P214" s="89"/>
      <c r="Q214" s="89"/>
    </row>
    <row r="215" spans="1:17" ht="14.25" customHeight="1" x14ac:dyDescent="0.3">
      <c r="A215" s="115" t="s">
        <v>461</v>
      </c>
      <c r="B215" s="115" t="s">
        <v>952</v>
      </c>
      <c r="C215" s="28" t="s">
        <v>177</v>
      </c>
      <c r="D215" s="28" t="str">
        <f>IFERROR(VLOOKUP($C215,CUENTAS[],2,0),"")</f>
        <v>GASTOS FIJOS</v>
      </c>
      <c r="E215" s="28" t="str">
        <f>IFERROR(VLOOKUP($C215,CUENTAS[],3,0),"")</f>
        <v>MDE2025-002A</v>
      </c>
      <c r="F215" s="86">
        <v>700</v>
      </c>
      <c r="G215" s="129">
        <v>0</v>
      </c>
      <c r="H215" s="131">
        <v>700</v>
      </c>
      <c r="I215" s="200" t="str">
        <f t="shared" si="3"/>
        <v>CORRECTO</v>
      </c>
      <c r="J215" s="88" t="s">
        <v>137</v>
      </c>
      <c r="K215" s="116" t="s">
        <v>363</v>
      </c>
      <c r="L215" s="95" t="s">
        <v>227</v>
      </c>
      <c r="M215" s="159">
        <v>45743</v>
      </c>
      <c r="N215" s="22" t="s">
        <v>470</v>
      </c>
      <c r="P215" s="89"/>
      <c r="Q215" s="89"/>
    </row>
    <row r="216" spans="1:17" ht="14.25" customHeight="1" x14ac:dyDescent="0.3">
      <c r="A216" s="115" t="s">
        <v>953</v>
      </c>
      <c r="B216" s="115" t="s">
        <v>954</v>
      </c>
      <c r="C216" s="28" t="s">
        <v>140</v>
      </c>
      <c r="D216" s="28" t="str">
        <f>IFERROR(VLOOKUP($C216,CUENTAS[],2,0),"")</f>
        <v>LOGÍSTICA</v>
      </c>
      <c r="E216" s="28" t="str">
        <f>IFERROR(VLOOKUP($C216,CUENTAS[],3,0),"")</f>
        <v>MDE2025-006B</v>
      </c>
      <c r="F216" s="86">
        <v>100</v>
      </c>
      <c r="G216" s="129">
        <v>0</v>
      </c>
      <c r="H216" s="131">
        <v>100</v>
      </c>
      <c r="I216" s="200" t="str">
        <f t="shared" si="3"/>
        <v>CORRECTO</v>
      </c>
      <c r="J216" s="88" t="s">
        <v>137</v>
      </c>
      <c r="K216" s="116" t="s">
        <v>922</v>
      </c>
      <c r="L216" s="95" t="s">
        <v>227</v>
      </c>
      <c r="M216" s="159">
        <v>45743</v>
      </c>
      <c r="N216" s="22" t="s">
        <v>470</v>
      </c>
      <c r="P216" s="89"/>
      <c r="Q216" s="89"/>
    </row>
    <row r="217" spans="1:17" ht="14.25" customHeight="1" x14ac:dyDescent="0.3">
      <c r="A217" s="115" t="s">
        <v>608</v>
      </c>
      <c r="B217" s="115" t="s">
        <v>955</v>
      </c>
      <c r="C217" s="28" t="s">
        <v>222</v>
      </c>
      <c r="D217" s="28" t="str">
        <f>IFERROR(VLOOKUP($C217,CUENTAS[],2,0),"")</f>
        <v>MANTENIMIENTO</v>
      </c>
      <c r="E217" s="28" t="str">
        <f>IFERROR(VLOOKUP($C217,CUENTAS[],3,0),"")</f>
        <v>MDE2025-009A</v>
      </c>
      <c r="F217" s="86">
        <v>345</v>
      </c>
      <c r="G217" s="129">
        <v>0</v>
      </c>
      <c r="H217" s="131">
        <v>345</v>
      </c>
      <c r="I217" s="200" t="str">
        <f t="shared" si="3"/>
        <v>CORRECTO</v>
      </c>
      <c r="J217" s="88" t="s">
        <v>137</v>
      </c>
      <c r="K217" s="116" t="s">
        <v>623</v>
      </c>
      <c r="L217" s="95" t="s">
        <v>227</v>
      </c>
      <c r="M217" s="159">
        <v>45743</v>
      </c>
      <c r="N217" s="22" t="s">
        <v>920</v>
      </c>
      <c r="P217" s="89"/>
      <c r="Q217" s="89"/>
    </row>
    <row r="218" spans="1:17" ht="14.25" customHeight="1" x14ac:dyDescent="0.3">
      <c r="A218" s="115" t="s">
        <v>944</v>
      </c>
      <c r="B218" s="115" t="s">
        <v>956</v>
      </c>
      <c r="C218" s="28" t="s">
        <v>159</v>
      </c>
      <c r="D218" s="28" t="str">
        <f>IFERROR(VLOOKUP($C218,CUENTAS[],2,0),"")</f>
        <v>GASTOS VARIOS</v>
      </c>
      <c r="E218" s="28" t="str">
        <f>IFERROR(VLOOKUP($C218,CUENTAS[],3,0),"")</f>
        <v>MDE2025-003A</v>
      </c>
      <c r="F218" s="86">
        <v>50</v>
      </c>
      <c r="G218" s="129">
        <v>0</v>
      </c>
      <c r="H218" s="131">
        <v>50</v>
      </c>
      <c r="I218" s="200" t="str">
        <f t="shared" si="3"/>
        <v>CORRECTO</v>
      </c>
      <c r="J218" s="88" t="s">
        <v>137</v>
      </c>
      <c r="K218" s="116" t="s">
        <v>404</v>
      </c>
      <c r="L218" s="95" t="s">
        <v>227</v>
      </c>
      <c r="M218" s="159">
        <v>45720</v>
      </c>
      <c r="N218" s="22" t="s">
        <v>470</v>
      </c>
      <c r="P218" s="89"/>
      <c r="Q218" s="89"/>
    </row>
    <row r="219" spans="1:17" ht="14.25" customHeight="1" x14ac:dyDescent="0.3">
      <c r="A219" s="115" t="s">
        <v>957</v>
      </c>
      <c r="B219" s="115" t="s">
        <v>958</v>
      </c>
      <c r="C219" s="28" t="s">
        <v>168</v>
      </c>
      <c r="D219" s="28" t="str">
        <f>IFERROR(VLOOKUP($C219,CUENTAS[],2,0),"")</f>
        <v>ACTIVOS FIJOS</v>
      </c>
      <c r="E219" s="28" t="str">
        <f>IFERROR(VLOOKUP($C219,CUENTAS[],3,0),"")</f>
        <v>MDE2025-007B</v>
      </c>
      <c r="F219" s="86">
        <v>689.66</v>
      </c>
      <c r="G219" s="129">
        <v>110.34</v>
      </c>
      <c r="H219" s="131">
        <v>800</v>
      </c>
      <c r="I219" s="200" t="str">
        <f t="shared" si="3"/>
        <v>CORRECTO</v>
      </c>
      <c r="J219" s="88" t="s">
        <v>137</v>
      </c>
      <c r="K219" s="116" t="s">
        <v>961</v>
      </c>
      <c r="L219" s="95" t="s">
        <v>227</v>
      </c>
      <c r="M219" s="159">
        <v>45735</v>
      </c>
      <c r="N219" s="22" t="s">
        <v>962</v>
      </c>
      <c r="P219" s="89"/>
      <c r="Q219" s="89"/>
    </row>
    <row r="220" spans="1:17" x14ac:dyDescent="0.3">
      <c r="A220" s="120" t="s">
        <v>929</v>
      </c>
      <c r="B220" s="120" t="s">
        <v>930</v>
      </c>
      <c r="C220" s="28" t="s">
        <v>153</v>
      </c>
      <c r="D220" s="28" t="str">
        <f>IFERROR(VLOOKUP($C220,CUENTAS[],2,0),"")</f>
        <v>GASTOS FIJOS</v>
      </c>
      <c r="E220" s="28" t="str">
        <f>IFERROR(VLOOKUP($C220,CUENTAS[],3,0),"")</f>
        <v>MDE2025-002L</v>
      </c>
      <c r="F220" s="86">
        <v>28151.54</v>
      </c>
      <c r="G220" s="129">
        <v>0</v>
      </c>
      <c r="H220" s="132">
        <v>28151.54</v>
      </c>
      <c r="I220" s="200" t="str">
        <f t="shared" si="3"/>
        <v>CORRECTO</v>
      </c>
      <c r="J220" s="88" t="s">
        <v>3244</v>
      </c>
      <c r="K220" s="121" t="s">
        <v>364</v>
      </c>
      <c r="L220" s="95" t="s">
        <v>227</v>
      </c>
      <c r="M220" s="122">
        <v>45719</v>
      </c>
      <c r="N220" s="123" t="s">
        <v>371</v>
      </c>
    </row>
    <row r="221" spans="1:17" x14ac:dyDescent="0.3">
      <c r="A221" s="120" t="s">
        <v>929</v>
      </c>
      <c r="B221" s="120" t="s">
        <v>931</v>
      </c>
      <c r="C221" s="28" t="s">
        <v>153</v>
      </c>
      <c r="D221" s="28" t="str">
        <f>IFERROR(VLOOKUP($C221,CUENTAS[],2,0),"")</f>
        <v>GASTOS FIJOS</v>
      </c>
      <c r="E221" s="28" t="str">
        <f>IFERROR(VLOOKUP($C221,CUENTAS[],3,0),"")</f>
        <v>MDE2025-002L</v>
      </c>
      <c r="F221" s="86">
        <v>20899.75</v>
      </c>
      <c r="G221" s="129">
        <v>0</v>
      </c>
      <c r="H221" s="132">
        <v>20899.75</v>
      </c>
      <c r="I221" s="200" t="str">
        <f t="shared" si="3"/>
        <v>CORRECTO</v>
      </c>
      <c r="J221" s="88" t="s">
        <v>3244</v>
      </c>
      <c r="K221" s="121" t="s">
        <v>364</v>
      </c>
      <c r="L221" s="95" t="s">
        <v>227</v>
      </c>
      <c r="M221" s="122">
        <v>45726</v>
      </c>
      <c r="N221" s="123" t="s">
        <v>371</v>
      </c>
    </row>
    <row r="222" spans="1:17" x14ac:dyDescent="0.3">
      <c r="A222" s="120" t="s">
        <v>929</v>
      </c>
      <c r="B222" s="120" t="s">
        <v>932</v>
      </c>
      <c r="C222" s="28" t="s">
        <v>153</v>
      </c>
      <c r="D222" s="28" t="str">
        <f>IFERROR(VLOOKUP($C222,CUENTAS[],2,0),"")</f>
        <v>GASTOS FIJOS</v>
      </c>
      <c r="E222" s="28" t="str">
        <f>IFERROR(VLOOKUP($C222,CUENTAS[],3,0),"")</f>
        <v>MDE2025-002L</v>
      </c>
      <c r="F222" s="86">
        <v>24859.11</v>
      </c>
      <c r="G222" s="129">
        <v>0</v>
      </c>
      <c r="H222" s="132">
        <v>24859.11</v>
      </c>
      <c r="I222" s="200" t="str">
        <f t="shared" si="3"/>
        <v>CORRECTO</v>
      </c>
      <c r="J222" s="88" t="s">
        <v>3244</v>
      </c>
      <c r="K222" s="121" t="s">
        <v>364</v>
      </c>
      <c r="L222" s="95" t="s">
        <v>227</v>
      </c>
      <c r="M222" s="122">
        <v>45733</v>
      </c>
      <c r="N222" s="123" t="s">
        <v>371</v>
      </c>
    </row>
    <row r="223" spans="1:17" x14ac:dyDescent="0.3">
      <c r="A223" s="120" t="s">
        <v>929</v>
      </c>
      <c r="B223" s="120" t="s">
        <v>933</v>
      </c>
      <c r="C223" s="28" t="s">
        <v>178</v>
      </c>
      <c r="D223" s="28" t="str">
        <f>IFERROR(VLOOKUP($C223,CUENTAS[],2,0),"")</f>
        <v>GASTOS FIJOS</v>
      </c>
      <c r="E223" s="28" t="str">
        <f>IFERROR(VLOOKUP($C223,CUENTAS[],3,0),"")</f>
        <v>MDE2025-002O</v>
      </c>
      <c r="F223" s="86">
        <v>49406.52</v>
      </c>
      <c r="G223" s="129">
        <v>0</v>
      </c>
      <c r="H223" s="132">
        <v>49406.52</v>
      </c>
      <c r="I223" s="200" t="str">
        <f t="shared" si="3"/>
        <v>CORRECTO</v>
      </c>
      <c r="J223" s="88" t="s">
        <v>3244</v>
      </c>
      <c r="K223" s="121" t="s">
        <v>364</v>
      </c>
      <c r="L223" s="95" t="s">
        <v>227</v>
      </c>
      <c r="M223" s="122">
        <v>45731</v>
      </c>
      <c r="N223" s="123" t="s">
        <v>371</v>
      </c>
    </row>
    <row r="224" spans="1:17" x14ac:dyDescent="0.3">
      <c r="A224" s="120" t="s">
        <v>929</v>
      </c>
      <c r="B224" s="120" t="s">
        <v>934</v>
      </c>
      <c r="C224" s="28" t="s">
        <v>178</v>
      </c>
      <c r="D224" s="28" t="str">
        <f>IFERROR(VLOOKUP($C224,CUENTAS[],2,0),"")</f>
        <v>GASTOS FIJOS</v>
      </c>
      <c r="E224" s="28" t="str">
        <f>IFERROR(VLOOKUP($C224,CUENTAS[],3,0),"")</f>
        <v>MDE2025-002O</v>
      </c>
      <c r="F224" s="86">
        <v>142605.48000000001</v>
      </c>
      <c r="G224" s="129">
        <v>0</v>
      </c>
      <c r="H224" s="132">
        <v>142605.48000000001</v>
      </c>
      <c r="I224" s="200" t="str">
        <f t="shared" si="3"/>
        <v>CORRECTO</v>
      </c>
      <c r="J224" s="88" t="s">
        <v>3244</v>
      </c>
      <c r="K224" s="121" t="s">
        <v>364</v>
      </c>
      <c r="L224" s="95" t="s">
        <v>227</v>
      </c>
      <c r="M224" s="122">
        <v>45731</v>
      </c>
      <c r="N224" s="123" t="s">
        <v>371</v>
      </c>
    </row>
    <row r="225" spans="1:16" x14ac:dyDescent="0.3">
      <c r="A225" s="120" t="s">
        <v>929</v>
      </c>
      <c r="B225" s="120" t="s">
        <v>935</v>
      </c>
      <c r="C225" s="28" t="s">
        <v>157</v>
      </c>
      <c r="D225" s="28" t="str">
        <f>IFERROR(VLOOKUP($C225,CUENTAS[],2,0),"")</f>
        <v>GASTOS FIJOS</v>
      </c>
      <c r="E225" s="28" t="str">
        <f>IFERROR(VLOOKUP($C225,CUENTAS[],3,0),"")</f>
        <v>MDE2025-002Q</v>
      </c>
      <c r="F225" s="86">
        <v>-2750</v>
      </c>
      <c r="G225" s="129">
        <v>0</v>
      </c>
      <c r="H225" s="132">
        <v>-2750</v>
      </c>
      <c r="I225" s="200" t="str">
        <f t="shared" si="3"/>
        <v>CORRECTO</v>
      </c>
      <c r="J225" s="88" t="s">
        <v>3244</v>
      </c>
      <c r="K225" s="121" t="s">
        <v>364</v>
      </c>
      <c r="L225" s="95" t="s">
        <v>227</v>
      </c>
      <c r="M225" s="122">
        <v>45731</v>
      </c>
      <c r="N225" s="123" t="s">
        <v>371</v>
      </c>
    </row>
    <row r="226" spans="1:16" x14ac:dyDescent="0.3">
      <c r="A226" s="120" t="s">
        <v>929</v>
      </c>
      <c r="B226" s="120" t="s">
        <v>936</v>
      </c>
      <c r="C226" s="28" t="s">
        <v>153</v>
      </c>
      <c r="D226" s="28" t="str">
        <f>IFERROR(VLOOKUP($C226,CUENTAS[],2,0),"")</f>
        <v>GASTOS FIJOS</v>
      </c>
      <c r="E226" s="28" t="str">
        <f>IFERROR(VLOOKUP($C226,CUENTAS[],3,0),"")</f>
        <v>MDE2025-002L</v>
      </c>
      <c r="F226" s="86">
        <v>30056.5</v>
      </c>
      <c r="G226" s="129">
        <v>0</v>
      </c>
      <c r="H226" s="132">
        <v>30056.5</v>
      </c>
      <c r="I226" s="200" t="str">
        <f t="shared" si="3"/>
        <v>CORRECTO</v>
      </c>
      <c r="J226" s="88" t="s">
        <v>3244</v>
      </c>
      <c r="K226" s="121" t="s">
        <v>364</v>
      </c>
      <c r="L226" s="95" t="s">
        <v>227</v>
      </c>
      <c r="M226" s="122">
        <v>45740</v>
      </c>
      <c r="N226" s="123" t="s">
        <v>371</v>
      </c>
    </row>
    <row r="227" spans="1:16" x14ac:dyDescent="0.3">
      <c r="A227" s="120" t="s">
        <v>929</v>
      </c>
      <c r="B227" s="120" t="s">
        <v>937</v>
      </c>
      <c r="C227" s="28" t="s">
        <v>153</v>
      </c>
      <c r="D227" s="28" t="str">
        <f>IFERROR(VLOOKUP($C227,CUENTAS[],2,0),"")</f>
        <v>GASTOS FIJOS</v>
      </c>
      <c r="E227" s="28" t="str">
        <f>IFERROR(VLOOKUP($C227,CUENTAS[],3,0),"")</f>
        <v>MDE2025-002L</v>
      </c>
      <c r="F227" s="86">
        <v>28925.61</v>
      </c>
      <c r="G227" s="129">
        <v>0</v>
      </c>
      <c r="H227" s="132">
        <v>28925.61</v>
      </c>
      <c r="I227" s="200" t="str">
        <f t="shared" si="3"/>
        <v>CORRECTO</v>
      </c>
      <c r="J227" s="88" t="s">
        <v>3244</v>
      </c>
      <c r="K227" s="121" t="s">
        <v>364</v>
      </c>
      <c r="L227" s="95" t="s">
        <v>227</v>
      </c>
      <c r="M227" s="122">
        <v>45747</v>
      </c>
      <c r="N227" s="123" t="s">
        <v>371</v>
      </c>
    </row>
    <row r="228" spans="1:16" x14ac:dyDescent="0.3">
      <c r="A228" s="120" t="s">
        <v>929</v>
      </c>
      <c r="B228" s="120" t="s">
        <v>938</v>
      </c>
      <c r="C228" s="28" t="s">
        <v>178</v>
      </c>
      <c r="D228" s="28" t="str">
        <f>IFERROR(VLOOKUP($C228,CUENTAS[],2,0),"")</f>
        <v>GASTOS FIJOS</v>
      </c>
      <c r="E228" s="28" t="str">
        <f>IFERROR(VLOOKUP($C228,CUENTAS[],3,0),"")</f>
        <v>MDE2025-002O</v>
      </c>
      <c r="F228" s="86">
        <v>49406.52</v>
      </c>
      <c r="G228" s="129">
        <v>0</v>
      </c>
      <c r="H228" s="132">
        <v>49406.52</v>
      </c>
      <c r="I228" s="200" t="str">
        <f t="shared" si="3"/>
        <v>CORRECTO</v>
      </c>
      <c r="J228" s="88" t="s">
        <v>3244</v>
      </c>
      <c r="K228" s="121" t="s">
        <v>364</v>
      </c>
      <c r="L228" s="95" t="s">
        <v>227</v>
      </c>
      <c r="M228" s="122">
        <v>45747</v>
      </c>
      <c r="N228" s="123" t="s">
        <v>371</v>
      </c>
    </row>
    <row r="229" spans="1:16" x14ac:dyDescent="0.3">
      <c r="A229" s="120" t="s">
        <v>929</v>
      </c>
      <c r="B229" s="120" t="s">
        <v>939</v>
      </c>
      <c r="C229" s="28" t="s">
        <v>178</v>
      </c>
      <c r="D229" s="28" t="str">
        <f>IFERROR(VLOOKUP($C229,CUENTAS[],2,0),"")</f>
        <v>GASTOS FIJOS</v>
      </c>
      <c r="E229" s="28" t="str">
        <f>IFERROR(VLOOKUP($C229,CUENTAS[],3,0),"")</f>
        <v>MDE2025-002O</v>
      </c>
      <c r="F229" s="86">
        <v>155838.79</v>
      </c>
      <c r="G229" s="129">
        <v>0</v>
      </c>
      <c r="H229" s="132">
        <v>155838.79</v>
      </c>
      <c r="I229" s="200" t="str">
        <f t="shared" si="3"/>
        <v>CORRECTO</v>
      </c>
      <c r="J229" s="88" t="s">
        <v>3244</v>
      </c>
      <c r="K229" s="121" t="s">
        <v>364</v>
      </c>
      <c r="L229" s="95" t="s">
        <v>227</v>
      </c>
      <c r="M229" s="122">
        <v>45747</v>
      </c>
      <c r="N229" s="123" t="s">
        <v>371</v>
      </c>
    </row>
    <row r="230" spans="1:16" x14ac:dyDescent="0.3">
      <c r="A230" s="120" t="s">
        <v>929</v>
      </c>
      <c r="B230" s="120" t="s">
        <v>935</v>
      </c>
      <c r="C230" s="28" t="s">
        <v>157</v>
      </c>
      <c r="D230" s="28" t="str">
        <f>IFERROR(VLOOKUP($C230,CUENTAS[],2,0),"")</f>
        <v>GASTOS FIJOS</v>
      </c>
      <c r="E230" s="28" t="str">
        <f>IFERROR(VLOOKUP($C230,CUENTAS[],3,0),"")</f>
        <v>MDE2025-002Q</v>
      </c>
      <c r="F230" s="86">
        <v>-7750</v>
      </c>
      <c r="G230" s="129">
        <v>0</v>
      </c>
      <c r="H230" s="132">
        <v>-7750</v>
      </c>
      <c r="I230" s="200" t="str">
        <f t="shared" si="3"/>
        <v>CORRECTO</v>
      </c>
      <c r="J230" s="88" t="s">
        <v>3244</v>
      </c>
      <c r="K230" s="121" t="s">
        <v>364</v>
      </c>
      <c r="L230" s="95" t="s">
        <v>227</v>
      </c>
      <c r="M230" s="122">
        <v>45747</v>
      </c>
      <c r="N230" s="123" t="s">
        <v>371</v>
      </c>
    </row>
    <row r="231" spans="1:16" x14ac:dyDescent="0.3">
      <c r="A231" s="120" t="s">
        <v>929</v>
      </c>
      <c r="B231" s="120" t="s">
        <v>940</v>
      </c>
      <c r="C231" s="28" t="s">
        <v>178</v>
      </c>
      <c r="D231" s="28" t="str">
        <f>IFERROR(VLOOKUP($C231,CUENTAS[],2,0),"")</f>
        <v>GASTOS FIJOS</v>
      </c>
      <c r="E231" s="28" t="str">
        <f>IFERROR(VLOOKUP($C231,CUENTAS[],3,0),"")</f>
        <v>MDE2025-002O</v>
      </c>
      <c r="F231" s="86">
        <v>7000</v>
      </c>
      <c r="G231" s="129">
        <v>0</v>
      </c>
      <c r="H231" s="132">
        <v>7000</v>
      </c>
      <c r="I231" s="200" t="str">
        <f t="shared" si="3"/>
        <v>CORRECTO</v>
      </c>
      <c r="J231" s="88" t="s">
        <v>3244</v>
      </c>
      <c r="K231" s="121" t="s">
        <v>364</v>
      </c>
      <c r="L231" s="95" t="s">
        <v>227</v>
      </c>
      <c r="M231" s="122">
        <v>45747</v>
      </c>
      <c r="N231" s="123" t="s">
        <v>371</v>
      </c>
    </row>
    <row r="232" spans="1:16" x14ac:dyDescent="0.3">
      <c r="A232" s="120" t="s">
        <v>290</v>
      </c>
      <c r="B232" s="120" t="s">
        <v>645</v>
      </c>
      <c r="C232" s="28" t="s">
        <v>157</v>
      </c>
      <c r="D232" s="28" t="str">
        <f>IFERROR(VLOOKUP($C232,CUENTAS[],2,0),"")</f>
        <v>GASTOS FIJOS</v>
      </c>
      <c r="E232" s="28" t="str">
        <f>IFERROR(VLOOKUP($C232,CUENTAS[],3,0),"")</f>
        <v>MDE2025-002Q</v>
      </c>
      <c r="F232" s="86">
        <v>4000</v>
      </c>
      <c r="G232" s="129">
        <v>0</v>
      </c>
      <c r="H232" s="132">
        <v>4000</v>
      </c>
      <c r="I232" s="200" t="str">
        <f t="shared" si="3"/>
        <v>CORRECTO</v>
      </c>
      <c r="J232" s="88" t="s">
        <v>3244</v>
      </c>
      <c r="K232" s="121" t="s">
        <v>364</v>
      </c>
      <c r="L232" s="95" t="s">
        <v>227</v>
      </c>
      <c r="M232" s="122">
        <v>45736</v>
      </c>
      <c r="N232" s="123" t="s">
        <v>371</v>
      </c>
    </row>
    <row r="233" spans="1:16" x14ac:dyDescent="0.3">
      <c r="A233" s="77"/>
      <c r="B233" s="106"/>
      <c r="F233" s="124"/>
      <c r="G233" s="125"/>
      <c r="J233" s="125"/>
      <c r="L233" s="107"/>
      <c r="M233" s="108"/>
      <c r="N233" s="108"/>
    </row>
    <row r="234" spans="1:16" x14ac:dyDescent="0.3">
      <c r="A234" s="77"/>
      <c r="B234" s="106"/>
      <c r="F234" s="124"/>
      <c r="G234" s="125"/>
      <c r="J234" s="125"/>
      <c r="L234" s="107"/>
      <c r="M234" s="108"/>
      <c r="N234" s="108"/>
    </row>
    <row r="235" spans="1:16" ht="13.8" x14ac:dyDescent="0.3">
      <c r="A235" s="77"/>
      <c r="B235" s="106"/>
      <c r="F235" s="124"/>
      <c r="L235" s="107"/>
      <c r="M235" s="108"/>
      <c r="N235" s="4" t="s">
        <v>106</v>
      </c>
      <c r="O235" s="7">
        <f>+SUM(F:F)</f>
        <v>1553929.2700000005</v>
      </c>
    </row>
    <row r="236" spans="1:16" ht="13.8" x14ac:dyDescent="0.3">
      <c r="A236" s="77"/>
      <c r="B236" s="106"/>
      <c r="F236" s="124"/>
      <c r="L236" s="107"/>
      <c r="M236" s="108"/>
      <c r="N236" s="4" t="s">
        <v>107</v>
      </c>
      <c r="O236" s="7">
        <f>+SUM(G:G)</f>
        <v>91686.11</v>
      </c>
    </row>
    <row r="237" spans="1:16" ht="15.6" x14ac:dyDescent="0.3">
      <c r="A237" s="77"/>
      <c r="B237" s="106"/>
      <c r="F237" s="124"/>
      <c r="L237" s="107"/>
      <c r="M237" s="108"/>
      <c r="N237" s="29" t="s">
        <v>149</v>
      </c>
      <c r="O237" s="7">
        <f>+SUM(H:H)</f>
        <v>1645615.3800000006</v>
      </c>
      <c r="P237" s="31">
        <f>O237-O236-O235</f>
        <v>0</v>
      </c>
    </row>
    <row r="238" spans="1:16" x14ac:dyDescent="0.3">
      <c r="A238" s="77"/>
      <c r="B238" s="106"/>
      <c r="F238" s="124"/>
      <c r="L238" s="107"/>
      <c r="M238" s="108"/>
      <c r="N238" s="77"/>
      <c r="O238" s="67" t="str">
        <f>IF(P237&lt;&gt;0,"REVISAR CAPTURA","")</f>
        <v/>
      </c>
    </row>
    <row r="239" spans="1:16" x14ac:dyDescent="0.3">
      <c r="A239" s="77"/>
      <c r="B239" s="106"/>
      <c r="F239" s="124"/>
      <c r="G239" s="125"/>
      <c r="J239" s="125"/>
      <c r="L239" s="107"/>
      <c r="M239" s="108"/>
      <c r="N239" s="108"/>
    </row>
    <row r="240" spans="1:16" x14ac:dyDescent="0.3">
      <c r="A240" s="77"/>
      <c r="B240" s="106"/>
      <c r="F240" s="124"/>
      <c r="G240" s="125"/>
      <c r="J240" s="125"/>
      <c r="L240" s="107"/>
      <c r="M240" s="108"/>
      <c r="N240" s="108"/>
    </row>
    <row r="241" spans="1:14" x14ac:dyDescent="0.3">
      <c r="A241" s="77"/>
      <c r="B241" s="106"/>
      <c r="F241" s="124"/>
      <c r="G241" s="125"/>
      <c r="J241" s="125"/>
      <c r="L241" s="107"/>
      <c r="M241" s="108"/>
      <c r="N241" s="108"/>
    </row>
    <row r="242" spans="1:14" x14ac:dyDescent="0.3">
      <c r="A242" s="77"/>
      <c r="B242" s="106"/>
      <c r="F242" s="124"/>
      <c r="G242" s="125"/>
      <c r="J242" s="125"/>
      <c r="L242" s="107"/>
      <c r="M242" s="108"/>
      <c r="N242" s="108"/>
    </row>
    <row r="243" spans="1:14" x14ac:dyDescent="0.3">
      <c r="A243" s="77"/>
      <c r="B243" s="106"/>
      <c r="F243" s="124"/>
      <c r="G243" s="125"/>
      <c r="J243" s="125"/>
      <c r="L243" s="107"/>
      <c r="M243" s="108"/>
      <c r="N243" s="108"/>
    </row>
    <row r="244" spans="1:14" x14ac:dyDescent="0.3">
      <c r="A244" s="77"/>
      <c r="B244" s="106"/>
      <c r="F244" s="124"/>
      <c r="G244" s="125"/>
      <c r="J244" s="125"/>
      <c r="L244" s="107"/>
      <c r="M244" s="108"/>
      <c r="N244" s="108"/>
    </row>
    <row r="245" spans="1:14" x14ac:dyDescent="0.3">
      <c r="A245" s="77"/>
      <c r="B245" s="106"/>
      <c r="F245" s="124"/>
      <c r="G245" s="125"/>
      <c r="J245" s="125"/>
      <c r="L245" s="107"/>
      <c r="M245" s="108"/>
      <c r="N245" s="108"/>
    </row>
    <row r="246" spans="1:14" x14ac:dyDescent="0.3">
      <c r="A246" s="77"/>
      <c r="B246" s="106"/>
      <c r="F246" s="124"/>
      <c r="G246" s="125"/>
      <c r="J246" s="125"/>
      <c r="L246" s="107"/>
      <c r="M246" s="108"/>
      <c r="N246" s="108"/>
    </row>
    <row r="247" spans="1:14" x14ac:dyDescent="0.3">
      <c r="A247" s="77"/>
      <c r="B247" s="106"/>
      <c r="F247" s="124"/>
      <c r="G247" s="125"/>
      <c r="J247" s="125"/>
      <c r="L247" s="107"/>
      <c r="M247" s="108"/>
      <c r="N247" s="108"/>
    </row>
    <row r="248" spans="1:14" x14ac:dyDescent="0.3">
      <c r="A248" s="77"/>
      <c r="B248" s="106"/>
      <c r="F248" s="124"/>
      <c r="G248" s="125"/>
      <c r="J248" s="125"/>
      <c r="L248" s="107"/>
      <c r="M248" s="108"/>
      <c r="N248" s="108"/>
    </row>
    <row r="249" spans="1:14" x14ac:dyDescent="0.3">
      <c r="A249" s="77"/>
      <c r="B249" s="106"/>
      <c r="F249" s="124"/>
      <c r="G249" s="125"/>
      <c r="J249" s="125"/>
      <c r="L249" s="107"/>
      <c r="M249" s="108"/>
      <c r="N249" s="108"/>
    </row>
    <row r="250" spans="1:14" x14ac:dyDescent="0.3">
      <c r="A250" s="77"/>
      <c r="B250" s="106"/>
      <c r="F250" s="124"/>
      <c r="G250" s="125"/>
      <c r="J250" s="125"/>
      <c r="L250" s="107"/>
      <c r="M250" s="108"/>
      <c r="N250" s="108"/>
    </row>
    <row r="251" spans="1:14" x14ac:dyDescent="0.3">
      <c r="A251" s="77"/>
      <c r="B251" s="106"/>
      <c r="F251" s="124"/>
      <c r="G251" s="125"/>
      <c r="J251" s="125"/>
      <c r="L251" s="107"/>
      <c r="M251" s="108"/>
      <c r="N251" s="108"/>
    </row>
    <row r="252" spans="1:14" x14ac:dyDescent="0.3">
      <c r="A252" s="77"/>
      <c r="B252" s="106"/>
      <c r="F252" s="124"/>
      <c r="G252" s="125"/>
      <c r="J252" s="125"/>
      <c r="L252" s="107"/>
      <c r="M252" s="108"/>
      <c r="N252" s="108"/>
    </row>
    <row r="253" spans="1:14" x14ac:dyDescent="0.3">
      <c r="A253" s="77"/>
      <c r="B253" s="106"/>
      <c r="F253" s="124"/>
      <c r="G253" s="125"/>
      <c r="J253" s="125"/>
      <c r="L253" s="107"/>
      <c r="M253" s="108"/>
      <c r="N253" s="108"/>
    </row>
    <row r="254" spans="1:14" x14ac:dyDescent="0.3">
      <c r="A254" s="77"/>
      <c r="B254" s="106"/>
      <c r="F254" s="124"/>
      <c r="G254" s="125"/>
      <c r="J254" s="125"/>
      <c r="L254" s="107"/>
      <c r="M254" s="108"/>
      <c r="N254" s="108"/>
    </row>
    <row r="255" spans="1:14" x14ac:dyDescent="0.3">
      <c r="A255" s="77"/>
      <c r="B255" s="106"/>
      <c r="F255" s="124"/>
      <c r="G255" s="125"/>
      <c r="J255" s="125"/>
      <c r="L255" s="107"/>
      <c r="M255" s="108"/>
      <c r="N255" s="108"/>
    </row>
    <row r="256" spans="1:14" x14ac:dyDescent="0.3">
      <c r="A256" s="77"/>
      <c r="B256" s="106"/>
      <c r="F256" s="124"/>
      <c r="G256" s="125"/>
      <c r="J256" s="125"/>
      <c r="L256" s="107"/>
      <c r="M256" s="108"/>
      <c r="N256" s="108"/>
    </row>
    <row r="257" spans="1:14" x14ac:dyDescent="0.3">
      <c r="A257" s="77"/>
      <c r="B257" s="106"/>
      <c r="F257" s="124"/>
      <c r="G257" s="125"/>
      <c r="J257" s="125"/>
      <c r="L257" s="107"/>
      <c r="M257" s="108"/>
      <c r="N257" s="108"/>
    </row>
    <row r="258" spans="1:14" x14ac:dyDescent="0.3">
      <c r="A258" s="77"/>
      <c r="B258" s="106"/>
      <c r="F258" s="124"/>
      <c r="G258" s="125"/>
      <c r="J258" s="125"/>
      <c r="L258" s="107"/>
      <c r="M258" s="108"/>
      <c r="N258" s="108"/>
    </row>
    <row r="259" spans="1:14" x14ac:dyDescent="0.3">
      <c r="A259" s="77"/>
      <c r="B259" s="106"/>
      <c r="F259" s="124"/>
      <c r="G259" s="125"/>
      <c r="J259" s="125"/>
      <c r="L259" s="107"/>
      <c r="M259" s="108"/>
      <c r="N259" s="108"/>
    </row>
    <row r="260" spans="1:14" x14ac:dyDescent="0.3">
      <c r="A260" s="77"/>
      <c r="B260" s="106"/>
      <c r="F260" s="124"/>
      <c r="G260" s="125"/>
      <c r="J260" s="125"/>
      <c r="L260" s="107"/>
      <c r="M260" s="108"/>
      <c r="N260" s="108"/>
    </row>
    <row r="261" spans="1:14" x14ac:dyDescent="0.3">
      <c r="A261" s="77"/>
      <c r="B261" s="106"/>
      <c r="F261" s="124"/>
      <c r="G261" s="125"/>
      <c r="J261" s="125"/>
      <c r="L261" s="107"/>
      <c r="M261" s="108"/>
      <c r="N261" s="108"/>
    </row>
    <row r="262" spans="1:14" x14ac:dyDescent="0.3">
      <c r="A262" s="77"/>
      <c r="B262" s="106"/>
      <c r="F262" s="124"/>
      <c r="G262" s="125"/>
      <c r="J262" s="125"/>
      <c r="L262" s="107"/>
      <c r="M262" s="108"/>
      <c r="N262" s="108"/>
    </row>
    <row r="263" spans="1:14" x14ac:dyDescent="0.3">
      <c r="A263" s="77"/>
      <c r="B263" s="106"/>
      <c r="F263" s="124"/>
      <c r="G263" s="125"/>
      <c r="J263" s="125"/>
      <c r="L263" s="107"/>
      <c r="M263" s="108"/>
      <c r="N263" s="108"/>
    </row>
    <row r="264" spans="1:14" x14ac:dyDescent="0.3">
      <c r="A264" s="77"/>
      <c r="B264" s="106"/>
      <c r="F264" s="124"/>
      <c r="G264" s="125"/>
      <c r="J264" s="125"/>
      <c r="L264" s="107"/>
      <c r="M264" s="108"/>
      <c r="N264" s="108"/>
    </row>
    <row r="265" spans="1:14" x14ac:dyDescent="0.3">
      <c r="A265" s="77"/>
      <c r="B265" s="106"/>
      <c r="F265" s="124"/>
      <c r="G265" s="125"/>
      <c r="J265" s="125"/>
      <c r="L265" s="107"/>
      <c r="M265" s="108"/>
      <c r="N265" s="108"/>
    </row>
    <row r="266" spans="1:14" x14ac:dyDescent="0.3">
      <c r="A266" s="77"/>
      <c r="B266" s="106"/>
      <c r="F266" s="124"/>
      <c r="G266" s="125"/>
      <c r="J266" s="125"/>
      <c r="L266" s="107"/>
      <c r="M266" s="108"/>
      <c r="N266" s="108"/>
    </row>
    <row r="267" spans="1:14" x14ac:dyDescent="0.3">
      <c r="A267" s="77"/>
      <c r="B267" s="106"/>
      <c r="F267" s="124"/>
      <c r="G267" s="125"/>
      <c r="J267" s="125"/>
      <c r="L267" s="107"/>
      <c r="M267" s="108"/>
      <c r="N267" s="108"/>
    </row>
    <row r="268" spans="1:14" x14ac:dyDescent="0.3">
      <c r="A268" s="77"/>
      <c r="B268" s="106"/>
      <c r="F268" s="124"/>
      <c r="G268" s="125"/>
      <c r="J268" s="125"/>
      <c r="L268" s="107"/>
      <c r="M268" s="108"/>
      <c r="N268" s="108"/>
    </row>
    <row r="269" spans="1:14" x14ac:dyDescent="0.3">
      <c r="A269" s="77"/>
      <c r="B269" s="106"/>
      <c r="F269" s="124"/>
      <c r="G269" s="125"/>
      <c r="J269" s="125"/>
      <c r="L269" s="107"/>
      <c r="M269" s="108"/>
      <c r="N269" s="108"/>
    </row>
    <row r="270" spans="1:14" x14ac:dyDescent="0.3">
      <c r="A270" s="77"/>
      <c r="B270" s="106"/>
      <c r="F270" s="124"/>
      <c r="G270" s="125"/>
      <c r="J270" s="125"/>
      <c r="L270" s="107"/>
      <c r="M270" s="108"/>
      <c r="N270" s="108"/>
    </row>
    <row r="271" spans="1:14" x14ac:dyDescent="0.3">
      <c r="A271" s="77"/>
      <c r="B271" s="106"/>
      <c r="F271" s="124"/>
      <c r="G271" s="125"/>
      <c r="J271" s="125"/>
      <c r="L271" s="107"/>
      <c r="M271" s="108"/>
      <c r="N271" s="108"/>
    </row>
    <row r="272" spans="1:14" x14ac:dyDescent="0.3">
      <c r="A272" s="77"/>
      <c r="B272" s="106"/>
      <c r="F272" s="124"/>
      <c r="G272" s="125"/>
      <c r="J272" s="125"/>
      <c r="L272" s="107"/>
      <c r="M272" s="108"/>
      <c r="N272" s="108"/>
    </row>
    <row r="273" spans="1:14" x14ac:dyDescent="0.3">
      <c r="A273" s="77"/>
      <c r="B273" s="106"/>
      <c r="F273" s="124"/>
      <c r="G273" s="125"/>
      <c r="J273" s="125"/>
      <c r="L273" s="107"/>
      <c r="M273" s="108"/>
      <c r="N273" s="108"/>
    </row>
    <row r="274" spans="1:14" x14ac:dyDescent="0.3">
      <c r="A274" s="77"/>
      <c r="B274" s="106"/>
      <c r="F274" s="124"/>
      <c r="G274" s="125"/>
      <c r="J274" s="125"/>
      <c r="L274" s="107"/>
      <c r="M274" s="108"/>
      <c r="N274" s="108"/>
    </row>
    <row r="275" spans="1:14" x14ac:dyDescent="0.3">
      <c r="A275" s="77"/>
      <c r="B275" s="106"/>
      <c r="F275" s="124"/>
      <c r="G275" s="125"/>
      <c r="J275" s="125"/>
      <c r="L275" s="107"/>
      <c r="M275" s="108"/>
      <c r="N275" s="108"/>
    </row>
    <row r="276" spans="1:14" x14ac:dyDescent="0.3">
      <c r="A276" s="77"/>
      <c r="B276" s="106"/>
      <c r="F276" s="124"/>
      <c r="G276" s="125"/>
      <c r="J276" s="125"/>
      <c r="L276" s="107"/>
      <c r="M276" s="108"/>
      <c r="N276" s="108"/>
    </row>
    <row r="277" spans="1:14" x14ac:dyDescent="0.3">
      <c r="A277" s="77"/>
      <c r="B277" s="106"/>
      <c r="F277" s="124"/>
      <c r="G277" s="125"/>
      <c r="J277" s="125"/>
      <c r="L277" s="107"/>
      <c r="M277" s="108"/>
      <c r="N277" s="108"/>
    </row>
    <row r="278" spans="1:14" x14ac:dyDescent="0.3">
      <c r="A278" s="77"/>
      <c r="B278" s="106"/>
      <c r="F278" s="124"/>
      <c r="G278" s="125"/>
      <c r="J278" s="125"/>
      <c r="L278" s="107"/>
      <c r="M278" s="108"/>
      <c r="N278" s="108"/>
    </row>
    <row r="279" spans="1:14" x14ac:dyDescent="0.3">
      <c r="A279" s="77"/>
      <c r="B279" s="106"/>
      <c r="F279" s="124"/>
      <c r="G279" s="125"/>
      <c r="J279" s="125"/>
      <c r="L279" s="107"/>
      <c r="M279" s="108"/>
      <c r="N279" s="108"/>
    </row>
    <row r="280" spans="1:14" x14ac:dyDescent="0.3">
      <c r="A280" s="77"/>
      <c r="B280" s="106"/>
      <c r="F280" s="124"/>
      <c r="G280" s="125"/>
      <c r="J280" s="125"/>
      <c r="L280" s="107"/>
      <c r="M280" s="108"/>
      <c r="N280" s="108"/>
    </row>
    <row r="281" spans="1:14" x14ac:dyDescent="0.3">
      <c r="A281" s="77"/>
      <c r="B281" s="106"/>
      <c r="F281" s="124"/>
      <c r="G281" s="125"/>
      <c r="J281" s="125"/>
      <c r="L281" s="107"/>
      <c r="M281" s="108"/>
      <c r="N281" s="108"/>
    </row>
    <row r="282" spans="1:14" x14ac:dyDescent="0.3">
      <c r="A282" s="77"/>
      <c r="B282" s="106"/>
      <c r="F282" s="124"/>
      <c r="G282" s="125"/>
      <c r="J282" s="125"/>
      <c r="L282" s="107"/>
      <c r="M282" s="108"/>
      <c r="N282" s="108"/>
    </row>
    <row r="283" spans="1:14" x14ac:dyDescent="0.3">
      <c r="A283" s="77"/>
      <c r="B283" s="106"/>
      <c r="F283" s="124"/>
      <c r="G283" s="125"/>
      <c r="J283" s="125"/>
      <c r="L283" s="107"/>
      <c r="M283" s="108"/>
      <c r="N283" s="108"/>
    </row>
    <row r="284" spans="1:14" x14ac:dyDescent="0.3">
      <c r="A284" s="77"/>
      <c r="B284" s="106"/>
      <c r="F284" s="124"/>
      <c r="G284" s="125"/>
      <c r="J284" s="125"/>
      <c r="L284" s="107"/>
      <c r="M284" s="108"/>
      <c r="N284" s="108"/>
    </row>
    <row r="285" spans="1:14" x14ac:dyDescent="0.3">
      <c r="A285" s="77"/>
      <c r="B285" s="106"/>
      <c r="F285" s="124"/>
      <c r="G285" s="125"/>
      <c r="J285" s="125"/>
      <c r="L285" s="107"/>
      <c r="M285" s="108"/>
      <c r="N285" s="108"/>
    </row>
    <row r="286" spans="1:14" x14ac:dyDescent="0.3">
      <c r="A286" s="77"/>
      <c r="B286" s="106"/>
      <c r="F286" s="124"/>
      <c r="G286" s="125"/>
      <c r="J286" s="125"/>
      <c r="L286" s="107"/>
      <c r="M286" s="108"/>
      <c r="N286" s="108"/>
    </row>
    <row r="287" spans="1:14" x14ac:dyDescent="0.3">
      <c r="A287" s="77"/>
      <c r="B287" s="106"/>
      <c r="F287" s="124"/>
      <c r="G287" s="125"/>
      <c r="J287" s="125"/>
      <c r="L287" s="107"/>
      <c r="M287" s="108"/>
      <c r="N287" s="108"/>
    </row>
    <row r="288" spans="1:14" x14ac:dyDescent="0.3">
      <c r="A288" s="77"/>
      <c r="B288" s="106"/>
      <c r="F288" s="124"/>
      <c r="G288" s="125"/>
      <c r="J288" s="125"/>
      <c r="L288" s="107"/>
      <c r="M288" s="108"/>
      <c r="N288" s="108"/>
    </row>
    <row r="289" spans="1:14" x14ac:dyDescent="0.3">
      <c r="A289" s="77"/>
      <c r="B289" s="106"/>
      <c r="F289" s="124"/>
      <c r="G289" s="125"/>
      <c r="J289" s="125"/>
      <c r="L289" s="107"/>
      <c r="M289" s="108"/>
      <c r="N289" s="108"/>
    </row>
    <row r="290" spans="1:14" x14ac:dyDescent="0.3">
      <c r="A290" s="77"/>
      <c r="B290" s="106"/>
      <c r="F290" s="124"/>
      <c r="G290" s="125"/>
      <c r="J290" s="125"/>
      <c r="L290" s="107"/>
      <c r="M290" s="108"/>
      <c r="N290" s="108"/>
    </row>
    <row r="291" spans="1:14" x14ac:dyDescent="0.3">
      <c r="A291" s="77"/>
      <c r="B291" s="106"/>
      <c r="F291" s="124"/>
      <c r="G291" s="125"/>
      <c r="J291" s="125"/>
      <c r="L291" s="107"/>
      <c r="M291" s="108"/>
      <c r="N291" s="108"/>
    </row>
    <row r="292" spans="1:14" x14ac:dyDescent="0.3">
      <c r="A292" s="77"/>
      <c r="B292" s="106"/>
      <c r="F292" s="124"/>
      <c r="G292" s="125"/>
      <c r="J292" s="125"/>
      <c r="L292" s="107"/>
      <c r="M292" s="108"/>
      <c r="N292" s="108"/>
    </row>
    <row r="293" spans="1:14" x14ac:dyDescent="0.3">
      <c r="A293" s="77"/>
      <c r="B293" s="106"/>
      <c r="F293" s="124"/>
      <c r="G293" s="125"/>
      <c r="J293" s="125"/>
      <c r="L293" s="107"/>
      <c r="M293" s="108"/>
      <c r="N293" s="108"/>
    </row>
    <row r="294" spans="1:14" x14ac:dyDescent="0.3">
      <c r="A294" s="77"/>
      <c r="B294" s="106"/>
      <c r="F294" s="124"/>
      <c r="G294" s="125"/>
      <c r="J294" s="125"/>
      <c r="L294" s="107"/>
      <c r="M294" s="108"/>
      <c r="N294" s="108"/>
    </row>
    <row r="295" spans="1:14" x14ac:dyDescent="0.3">
      <c r="A295" s="77"/>
      <c r="B295" s="106"/>
      <c r="F295" s="124"/>
      <c r="G295" s="125"/>
      <c r="J295" s="125"/>
      <c r="L295" s="107"/>
      <c r="M295" s="108"/>
      <c r="N295" s="108"/>
    </row>
    <row r="296" spans="1:14" x14ac:dyDescent="0.3">
      <c r="A296" s="77"/>
      <c r="B296" s="106"/>
      <c r="F296" s="124"/>
      <c r="G296" s="125"/>
      <c r="J296" s="125"/>
      <c r="L296" s="107"/>
      <c r="M296" s="108"/>
      <c r="N296" s="108"/>
    </row>
    <row r="297" spans="1:14" x14ac:dyDescent="0.3">
      <c r="A297" s="77"/>
      <c r="B297" s="106"/>
      <c r="F297" s="124"/>
      <c r="G297" s="125"/>
      <c r="J297" s="125"/>
      <c r="L297" s="107"/>
      <c r="M297" s="108"/>
      <c r="N297" s="108"/>
    </row>
    <row r="298" spans="1:14" x14ac:dyDescent="0.3">
      <c r="A298" s="77"/>
      <c r="B298" s="106"/>
      <c r="F298" s="124"/>
      <c r="G298" s="125"/>
      <c r="J298" s="125"/>
      <c r="L298" s="107"/>
      <c r="M298" s="108"/>
      <c r="N298" s="108"/>
    </row>
    <row r="299" spans="1:14" x14ac:dyDescent="0.3">
      <c r="A299" s="77"/>
      <c r="B299" s="106"/>
      <c r="F299" s="124"/>
      <c r="G299" s="125"/>
      <c r="J299" s="125"/>
      <c r="L299" s="107"/>
      <c r="M299" s="108"/>
      <c r="N299" s="108"/>
    </row>
    <row r="300" spans="1:14" x14ac:dyDescent="0.3">
      <c r="A300" s="77"/>
      <c r="B300" s="106"/>
      <c r="F300" s="124"/>
      <c r="G300" s="125"/>
      <c r="J300" s="125"/>
      <c r="L300" s="107"/>
      <c r="M300" s="108"/>
      <c r="N300" s="108"/>
    </row>
    <row r="301" spans="1:14" x14ac:dyDescent="0.3">
      <c r="A301" s="77"/>
      <c r="B301" s="106"/>
      <c r="F301" s="124"/>
      <c r="G301" s="125"/>
      <c r="J301" s="125"/>
      <c r="L301" s="107"/>
      <c r="M301" s="108"/>
      <c r="N301" s="108"/>
    </row>
    <row r="302" spans="1:14" x14ac:dyDescent="0.3">
      <c r="A302" s="77"/>
      <c r="B302" s="106"/>
      <c r="F302" s="124"/>
      <c r="G302" s="125"/>
      <c r="J302" s="125"/>
      <c r="L302" s="107"/>
      <c r="M302" s="108"/>
      <c r="N302" s="108"/>
    </row>
    <row r="303" spans="1:14" x14ac:dyDescent="0.3">
      <c r="A303" s="77"/>
      <c r="B303" s="106"/>
      <c r="F303" s="124"/>
      <c r="G303" s="125"/>
      <c r="J303" s="125"/>
      <c r="L303" s="107"/>
      <c r="M303" s="108"/>
      <c r="N303" s="108"/>
    </row>
    <row r="304" spans="1:14" x14ac:dyDescent="0.3">
      <c r="A304" s="77"/>
      <c r="B304" s="106"/>
      <c r="F304" s="124"/>
      <c r="G304" s="125"/>
      <c r="J304" s="125"/>
      <c r="L304" s="107"/>
      <c r="M304" s="108"/>
      <c r="N304" s="108"/>
    </row>
    <row r="305" spans="1:14" x14ac:dyDescent="0.3">
      <c r="A305" s="77"/>
      <c r="B305" s="106"/>
      <c r="F305" s="124"/>
      <c r="G305" s="125"/>
      <c r="J305" s="125"/>
      <c r="L305" s="107"/>
      <c r="M305" s="108"/>
      <c r="N305" s="108"/>
    </row>
    <row r="306" spans="1:14" x14ac:dyDescent="0.3">
      <c r="A306" s="77"/>
      <c r="B306" s="106"/>
      <c r="F306" s="124"/>
      <c r="G306" s="125"/>
      <c r="J306" s="125"/>
      <c r="L306" s="107"/>
      <c r="M306" s="108"/>
      <c r="N306" s="108"/>
    </row>
    <row r="307" spans="1:14" x14ac:dyDescent="0.3">
      <c r="A307" s="77"/>
      <c r="B307" s="106"/>
      <c r="F307" s="124"/>
      <c r="G307" s="125"/>
      <c r="J307" s="125"/>
      <c r="L307" s="107"/>
      <c r="M307" s="108"/>
      <c r="N307" s="108"/>
    </row>
    <row r="308" spans="1:14" x14ac:dyDescent="0.3">
      <c r="A308" s="77"/>
      <c r="B308" s="106"/>
      <c r="F308" s="124"/>
      <c r="G308" s="125"/>
      <c r="J308" s="125"/>
      <c r="L308" s="107"/>
      <c r="M308" s="108"/>
      <c r="N308" s="108"/>
    </row>
    <row r="309" spans="1:14" x14ac:dyDescent="0.3">
      <c r="A309" s="77"/>
      <c r="B309" s="106"/>
      <c r="F309" s="124"/>
      <c r="G309" s="125"/>
      <c r="J309" s="125"/>
      <c r="L309" s="107"/>
      <c r="M309" s="108"/>
      <c r="N309" s="108"/>
    </row>
    <row r="310" spans="1:14" x14ac:dyDescent="0.3">
      <c r="A310" s="77"/>
      <c r="B310" s="106"/>
      <c r="F310" s="124"/>
      <c r="G310" s="125"/>
      <c r="J310" s="125"/>
      <c r="L310" s="107"/>
      <c r="M310" s="108"/>
      <c r="N310" s="108"/>
    </row>
    <row r="311" spans="1:14" x14ac:dyDescent="0.3">
      <c r="A311" s="77"/>
      <c r="B311" s="106"/>
      <c r="F311" s="124"/>
      <c r="G311" s="125"/>
      <c r="J311" s="125"/>
      <c r="L311" s="107"/>
      <c r="M311" s="108"/>
      <c r="N311" s="108"/>
    </row>
    <row r="312" spans="1:14" x14ac:dyDescent="0.3">
      <c r="A312" s="77"/>
      <c r="B312" s="106"/>
      <c r="F312" s="124"/>
      <c r="G312" s="125"/>
      <c r="J312" s="125"/>
      <c r="L312" s="107"/>
      <c r="M312" s="108"/>
      <c r="N312" s="108"/>
    </row>
    <row r="313" spans="1:14" x14ac:dyDescent="0.3">
      <c r="A313" s="77"/>
      <c r="B313" s="106"/>
      <c r="F313" s="124"/>
      <c r="G313" s="125"/>
      <c r="J313" s="125"/>
      <c r="L313" s="107"/>
      <c r="M313" s="108"/>
      <c r="N313" s="108"/>
    </row>
    <row r="314" spans="1:14" x14ac:dyDescent="0.3">
      <c r="A314" s="77"/>
      <c r="B314" s="106"/>
      <c r="F314" s="124"/>
      <c r="G314" s="125"/>
      <c r="J314" s="125"/>
      <c r="L314" s="107"/>
      <c r="M314" s="108"/>
      <c r="N314" s="108"/>
    </row>
    <row r="315" spans="1:14" x14ac:dyDescent="0.3">
      <c r="A315" s="77"/>
      <c r="B315" s="106"/>
      <c r="F315" s="124"/>
      <c r="G315" s="125"/>
      <c r="J315" s="125"/>
      <c r="L315" s="107"/>
      <c r="M315" s="108"/>
      <c r="N315" s="108"/>
    </row>
    <row r="316" spans="1:14" x14ac:dyDescent="0.3">
      <c r="A316" s="77"/>
      <c r="B316" s="106"/>
      <c r="F316" s="124"/>
      <c r="G316" s="125"/>
      <c r="J316" s="125"/>
      <c r="L316" s="107"/>
      <c r="M316" s="108"/>
      <c r="N316" s="108"/>
    </row>
    <row r="317" spans="1:14" x14ac:dyDescent="0.3">
      <c r="A317" s="77"/>
      <c r="B317" s="106"/>
      <c r="F317" s="124"/>
      <c r="G317" s="125"/>
      <c r="J317" s="125"/>
      <c r="L317" s="107"/>
      <c r="M317" s="108"/>
      <c r="N317" s="108"/>
    </row>
    <row r="318" spans="1:14" x14ac:dyDescent="0.3">
      <c r="A318" s="77"/>
      <c r="B318" s="106"/>
      <c r="F318" s="124"/>
      <c r="G318" s="125"/>
      <c r="J318" s="125"/>
      <c r="L318" s="107"/>
      <c r="M318" s="108"/>
      <c r="N318" s="108"/>
    </row>
    <row r="319" spans="1:14" x14ac:dyDescent="0.3">
      <c r="A319" s="77"/>
      <c r="B319" s="106"/>
      <c r="F319" s="124"/>
      <c r="G319" s="125"/>
      <c r="J319" s="125"/>
      <c r="L319" s="107"/>
      <c r="M319" s="108"/>
      <c r="N319" s="108"/>
    </row>
    <row r="320" spans="1:14" x14ac:dyDescent="0.3">
      <c r="A320" s="77"/>
      <c r="B320" s="106"/>
      <c r="F320" s="124"/>
      <c r="G320" s="125"/>
      <c r="J320" s="125"/>
      <c r="L320" s="107"/>
      <c r="M320" s="108"/>
      <c r="N320" s="108"/>
    </row>
    <row r="321" spans="1:14" x14ac:dyDescent="0.3">
      <c r="A321" s="77"/>
      <c r="B321" s="106"/>
      <c r="F321" s="124"/>
      <c r="G321" s="125"/>
      <c r="J321" s="125"/>
      <c r="L321" s="107"/>
      <c r="M321" s="108"/>
      <c r="N321" s="108"/>
    </row>
    <row r="322" spans="1:14" x14ac:dyDescent="0.3">
      <c r="A322" s="77"/>
      <c r="B322" s="106"/>
      <c r="F322" s="124"/>
      <c r="G322" s="125"/>
      <c r="J322" s="125"/>
      <c r="L322" s="107"/>
      <c r="M322" s="108"/>
      <c r="N322" s="108"/>
    </row>
    <row r="323" spans="1:14" x14ac:dyDescent="0.3">
      <c r="A323" s="77"/>
      <c r="B323" s="106"/>
      <c r="F323" s="124"/>
      <c r="G323" s="125"/>
      <c r="J323" s="125"/>
      <c r="L323" s="107"/>
      <c r="M323" s="108"/>
      <c r="N323" s="108"/>
    </row>
    <row r="324" spans="1:14" x14ac:dyDescent="0.3">
      <c r="A324" s="77"/>
      <c r="B324" s="106"/>
      <c r="F324" s="124"/>
      <c r="G324" s="125"/>
      <c r="J324" s="125"/>
      <c r="L324" s="107"/>
      <c r="M324" s="108"/>
      <c r="N324" s="108"/>
    </row>
    <row r="325" spans="1:14" x14ac:dyDescent="0.3">
      <c r="A325" s="77"/>
      <c r="B325" s="106"/>
      <c r="F325" s="124"/>
      <c r="G325" s="125"/>
      <c r="J325" s="125"/>
      <c r="L325" s="107"/>
      <c r="M325" s="108"/>
      <c r="N325" s="108"/>
    </row>
    <row r="326" spans="1:14" x14ac:dyDescent="0.3">
      <c r="A326" s="77"/>
      <c r="B326" s="106"/>
      <c r="F326" s="124"/>
      <c r="G326" s="125"/>
      <c r="J326" s="125"/>
      <c r="L326" s="107"/>
      <c r="M326" s="108"/>
      <c r="N326" s="108"/>
    </row>
    <row r="327" spans="1:14" x14ac:dyDescent="0.3">
      <c r="A327" s="77"/>
      <c r="B327" s="106"/>
      <c r="F327" s="124"/>
      <c r="G327" s="125"/>
      <c r="J327" s="125"/>
      <c r="L327" s="107"/>
      <c r="M327" s="108"/>
      <c r="N327" s="108"/>
    </row>
    <row r="328" spans="1:14" x14ac:dyDescent="0.3">
      <c r="A328" s="77"/>
      <c r="B328" s="106"/>
      <c r="F328" s="124"/>
      <c r="G328" s="125"/>
      <c r="J328" s="125"/>
      <c r="L328" s="107"/>
      <c r="M328" s="108"/>
      <c r="N328" s="108"/>
    </row>
    <row r="329" spans="1:14" x14ac:dyDescent="0.3">
      <c r="A329" s="77"/>
      <c r="B329" s="106"/>
      <c r="F329" s="124"/>
      <c r="G329" s="125"/>
      <c r="J329" s="125"/>
      <c r="L329" s="107"/>
      <c r="M329" s="108"/>
      <c r="N329" s="108"/>
    </row>
    <row r="330" spans="1:14" x14ac:dyDescent="0.3">
      <c r="A330" s="77"/>
      <c r="B330" s="106"/>
      <c r="F330" s="124"/>
      <c r="G330" s="125"/>
      <c r="J330" s="125"/>
      <c r="L330" s="107"/>
      <c r="M330" s="108"/>
      <c r="N330" s="108"/>
    </row>
    <row r="331" spans="1:14" x14ac:dyDescent="0.3">
      <c r="A331" s="77"/>
      <c r="B331" s="106"/>
      <c r="F331" s="124"/>
      <c r="G331" s="125"/>
      <c r="J331" s="125"/>
      <c r="L331" s="107"/>
      <c r="M331" s="108"/>
      <c r="N331" s="108"/>
    </row>
    <row r="332" spans="1:14" x14ac:dyDescent="0.3">
      <c r="A332" s="77"/>
      <c r="B332" s="106"/>
      <c r="F332" s="124"/>
      <c r="G332" s="125"/>
      <c r="J332" s="125"/>
      <c r="L332" s="107"/>
      <c r="M332" s="108"/>
      <c r="N332" s="108"/>
    </row>
    <row r="333" spans="1:14" x14ac:dyDescent="0.3">
      <c r="A333" s="77"/>
      <c r="B333" s="106"/>
      <c r="F333" s="124"/>
      <c r="G333" s="125"/>
      <c r="J333" s="125"/>
      <c r="L333" s="107"/>
      <c r="M333" s="108"/>
      <c r="N333" s="108"/>
    </row>
    <row r="334" spans="1:14" x14ac:dyDescent="0.3">
      <c r="A334" s="77"/>
      <c r="B334" s="106"/>
      <c r="F334" s="124"/>
      <c r="G334" s="125"/>
      <c r="J334" s="125"/>
      <c r="L334" s="107"/>
      <c r="M334" s="108"/>
      <c r="N334" s="108"/>
    </row>
    <row r="335" spans="1:14" x14ac:dyDescent="0.3">
      <c r="A335" s="77"/>
      <c r="B335" s="106"/>
      <c r="F335" s="124"/>
      <c r="G335" s="125"/>
      <c r="J335" s="125"/>
      <c r="L335" s="107"/>
      <c r="M335" s="108"/>
      <c r="N335" s="108"/>
    </row>
    <row r="336" spans="1:14" x14ac:dyDescent="0.3">
      <c r="A336" s="77"/>
      <c r="B336" s="106"/>
      <c r="F336" s="124"/>
      <c r="G336" s="125"/>
      <c r="J336" s="125"/>
      <c r="L336" s="107"/>
      <c r="M336" s="108"/>
      <c r="N336" s="108"/>
    </row>
    <row r="337" spans="1:14" x14ac:dyDescent="0.3">
      <c r="A337" s="77"/>
      <c r="B337" s="106"/>
      <c r="F337" s="124"/>
      <c r="G337" s="125"/>
      <c r="J337" s="125"/>
      <c r="L337" s="107"/>
      <c r="M337" s="108"/>
      <c r="N337" s="108"/>
    </row>
    <row r="338" spans="1:14" x14ac:dyDescent="0.3">
      <c r="A338" s="77"/>
      <c r="B338" s="106"/>
      <c r="F338" s="124"/>
      <c r="G338" s="125"/>
      <c r="J338" s="125"/>
      <c r="L338" s="107"/>
      <c r="M338" s="108"/>
      <c r="N338" s="108"/>
    </row>
    <row r="339" spans="1:14" x14ac:dyDescent="0.3">
      <c r="A339" s="77"/>
      <c r="B339" s="106"/>
      <c r="F339" s="124"/>
      <c r="G339" s="125"/>
      <c r="J339" s="125"/>
      <c r="L339" s="107"/>
      <c r="M339" s="108"/>
      <c r="N339" s="108"/>
    </row>
    <row r="340" spans="1:14" x14ac:dyDescent="0.3">
      <c r="A340" s="77"/>
      <c r="B340" s="106"/>
      <c r="F340" s="124"/>
      <c r="G340" s="125"/>
      <c r="J340" s="125"/>
      <c r="L340" s="107"/>
      <c r="M340" s="108"/>
      <c r="N340" s="108"/>
    </row>
    <row r="341" spans="1:14" x14ac:dyDescent="0.3">
      <c r="A341" s="77"/>
      <c r="B341" s="106"/>
      <c r="F341" s="124"/>
      <c r="G341" s="125"/>
      <c r="J341" s="125"/>
      <c r="L341" s="107"/>
      <c r="M341" s="108"/>
      <c r="N341" s="108"/>
    </row>
    <row r="342" spans="1:14" x14ac:dyDescent="0.3">
      <c r="A342" s="77"/>
      <c r="B342" s="106"/>
      <c r="F342" s="124"/>
      <c r="G342" s="125"/>
      <c r="J342" s="125"/>
      <c r="L342" s="107"/>
      <c r="M342" s="108"/>
      <c r="N342" s="108"/>
    </row>
    <row r="343" spans="1:14" x14ac:dyDescent="0.3">
      <c r="A343" s="77"/>
      <c r="B343" s="106"/>
      <c r="F343" s="124"/>
      <c r="G343" s="125"/>
      <c r="J343" s="125"/>
      <c r="L343" s="107"/>
      <c r="M343" s="108"/>
      <c r="N343" s="108"/>
    </row>
    <row r="344" spans="1:14" x14ac:dyDescent="0.3">
      <c r="A344" s="77"/>
      <c r="B344" s="106"/>
      <c r="F344" s="124"/>
      <c r="G344" s="125"/>
      <c r="J344" s="125"/>
      <c r="L344" s="107"/>
      <c r="M344" s="108"/>
      <c r="N344" s="108"/>
    </row>
    <row r="345" spans="1:14" x14ac:dyDescent="0.3">
      <c r="A345" s="77"/>
      <c r="B345" s="106"/>
      <c r="F345" s="124"/>
      <c r="G345" s="125"/>
      <c r="J345" s="125"/>
      <c r="L345" s="107"/>
      <c r="M345" s="108"/>
      <c r="N345" s="108"/>
    </row>
    <row r="346" spans="1:14" x14ac:dyDescent="0.3">
      <c r="A346" s="77"/>
      <c r="B346" s="106"/>
      <c r="F346" s="124"/>
      <c r="G346" s="125"/>
      <c r="J346" s="125"/>
      <c r="L346" s="107"/>
      <c r="M346" s="108"/>
      <c r="N346" s="108"/>
    </row>
    <row r="347" spans="1:14" x14ac:dyDescent="0.3">
      <c r="A347" s="77"/>
      <c r="B347" s="106"/>
      <c r="F347" s="124"/>
      <c r="G347" s="125"/>
      <c r="J347" s="125"/>
      <c r="L347" s="107"/>
      <c r="M347" s="108"/>
      <c r="N347" s="108"/>
    </row>
    <row r="348" spans="1:14" x14ac:dyDescent="0.3">
      <c r="A348" s="77"/>
      <c r="B348" s="106"/>
      <c r="F348" s="124"/>
      <c r="G348" s="125"/>
      <c r="J348" s="125"/>
      <c r="L348" s="107"/>
      <c r="M348" s="108"/>
      <c r="N348" s="108"/>
    </row>
    <row r="349" spans="1:14" x14ac:dyDescent="0.3">
      <c r="A349" s="77"/>
      <c r="B349" s="106"/>
      <c r="F349" s="124"/>
      <c r="G349" s="125"/>
      <c r="J349" s="125"/>
      <c r="L349" s="107"/>
      <c r="M349" s="108"/>
      <c r="N349" s="108"/>
    </row>
    <row r="350" spans="1:14" x14ac:dyDescent="0.3">
      <c r="A350" s="77"/>
      <c r="B350" s="106"/>
      <c r="F350" s="124"/>
      <c r="G350" s="125"/>
      <c r="J350" s="125"/>
      <c r="L350" s="107"/>
      <c r="M350" s="108"/>
      <c r="N350" s="108"/>
    </row>
    <row r="351" spans="1:14" x14ac:dyDescent="0.3">
      <c r="A351" s="77"/>
      <c r="B351" s="106"/>
      <c r="F351" s="124"/>
      <c r="G351" s="125"/>
      <c r="J351" s="125"/>
      <c r="L351" s="107"/>
      <c r="M351" s="108"/>
      <c r="N351" s="108"/>
    </row>
    <row r="352" spans="1:14" x14ac:dyDescent="0.3">
      <c r="A352" s="77"/>
      <c r="B352" s="106"/>
      <c r="F352" s="124"/>
      <c r="G352" s="125"/>
      <c r="J352" s="125"/>
      <c r="L352" s="107"/>
      <c r="M352" s="108"/>
      <c r="N352" s="108"/>
    </row>
    <row r="353" spans="1:14" x14ac:dyDescent="0.3">
      <c r="A353" s="77"/>
      <c r="B353" s="106"/>
      <c r="F353" s="124"/>
      <c r="G353" s="125"/>
      <c r="J353" s="125"/>
      <c r="L353" s="107"/>
      <c r="M353" s="108"/>
      <c r="N353" s="108"/>
    </row>
    <row r="354" spans="1:14" x14ac:dyDescent="0.3">
      <c r="A354" s="77"/>
      <c r="B354" s="106"/>
      <c r="F354" s="124"/>
      <c r="G354" s="125"/>
      <c r="J354" s="125"/>
      <c r="L354" s="107"/>
      <c r="M354" s="108"/>
      <c r="N354" s="108"/>
    </row>
    <row r="355" spans="1:14" x14ac:dyDescent="0.3">
      <c r="A355" s="77"/>
      <c r="B355" s="106"/>
      <c r="F355" s="124"/>
      <c r="G355" s="125"/>
      <c r="J355" s="125"/>
      <c r="L355" s="107"/>
      <c r="M355" s="108"/>
      <c r="N355" s="108"/>
    </row>
    <row r="356" spans="1:14" x14ac:dyDescent="0.3">
      <c r="A356" s="77"/>
      <c r="B356" s="106"/>
      <c r="F356" s="124"/>
      <c r="G356" s="125"/>
      <c r="J356" s="125"/>
      <c r="L356" s="107"/>
      <c r="M356" s="108"/>
      <c r="N356" s="108"/>
    </row>
    <row r="357" spans="1:14" x14ac:dyDescent="0.3">
      <c r="A357" s="77"/>
      <c r="B357" s="106"/>
      <c r="F357" s="124"/>
      <c r="G357" s="125"/>
      <c r="J357" s="125"/>
      <c r="L357" s="107"/>
      <c r="M357" s="108"/>
      <c r="N357" s="108"/>
    </row>
    <row r="358" spans="1:14" x14ac:dyDescent="0.3">
      <c r="A358" s="77"/>
      <c r="B358" s="106"/>
      <c r="F358" s="124"/>
      <c r="G358" s="125"/>
      <c r="J358" s="125"/>
      <c r="L358" s="107"/>
      <c r="M358" s="108"/>
      <c r="N358" s="108"/>
    </row>
    <row r="359" spans="1:14" x14ac:dyDescent="0.3">
      <c r="A359" s="77"/>
      <c r="B359" s="106"/>
      <c r="F359" s="124"/>
      <c r="G359" s="125"/>
      <c r="J359" s="125"/>
      <c r="L359" s="107"/>
      <c r="M359" s="108"/>
      <c r="N359" s="108"/>
    </row>
    <row r="360" spans="1:14" x14ac:dyDescent="0.3">
      <c r="A360" s="77"/>
      <c r="B360" s="106"/>
      <c r="F360" s="124"/>
      <c r="G360" s="125"/>
      <c r="J360" s="125"/>
      <c r="L360" s="107"/>
      <c r="M360" s="108"/>
      <c r="N360" s="108"/>
    </row>
    <row r="361" spans="1:14" x14ac:dyDescent="0.3">
      <c r="A361" s="77"/>
      <c r="B361" s="106"/>
      <c r="F361" s="124"/>
      <c r="G361" s="125"/>
      <c r="J361" s="125"/>
      <c r="L361" s="107"/>
      <c r="M361" s="108"/>
      <c r="N361" s="108"/>
    </row>
    <row r="362" spans="1:14" x14ac:dyDescent="0.3">
      <c r="A362" s="77"/>
      <c r="B362" s="106"/>
      <c r="F362" s="124"/>
      <c r="G362" s="125"/>
      <c r="J362" s="125"/>
      <c r="L362" s="107"/>
      <c r="M362" s="108"/>
      <c r="N362" s="108"/>
    </row>
    <row r="363" spans="1:14" x14ac:dyDescent="0.3">
      <c r="A363" s="77"/>
      <c r="B363" s="106"/>
      <c r="F363" s="124"/>
      <c r="G363" s="125"/>
      <c r="J363" s="125"/>
      <c r="L363" s="107"/>
      <c r="M363" s="108"/>
      <c r="N363" s="108"/>
    </row>
    <row r="364" spans="1:14" x14ac:dyDescent="0.3">
      <c r="A364" s="77"/>
      <c r="B364" s="106"/>
      <c r="F364" s="124"/>
      <c r="G364" s="125"/>
      <c r="J364" s="125"/>
      <c r="L364" s="107"/>
      <c r="M364" s="108"/>
      <c r="N364" s="108"/>
    </row>
    <row r="365" spans="1:14" x14ac:dyDescent="0.3">
      <c r="A365" s="77"/>
      <c r="B365" s="106"/>
      <c r="F365" s="124"/>
      <c r="G365" s="125"/>
      <c r="J365" s="125"/>
      <c r="L365" s="107"/>
      <c r="M365" s="108"/>
      <c r="N365" s="108"/>
    </row>
    <row r="366" spans="1:14" x14ac:dyDescent="0.3">
      <c r="A366" s="77"/>
      <c r="B366" s="106"/>
      <c r="F366" s="124"/>
      <c r="G366" s="125"/>
      <c r="J366" s="125"/>
      <c r="L366" s="107"/>
      <c r="M366" s="108"/>
      <c r="N366" s="108"/>
    </row>
    <row r="367" spans="1:14" x14ac:dyDescent="0.3">
      <c r="A367" s="77"/>
      <c r="B367" s="106"/>
      <c r="F367" s="124"/>
      <c r="G367" s="125"/>
      <c r="J367" s="125"/>
      <c r="L367" s="107"/>
      <c r="M367" s="108"/>
      <c r="N367" s="108"/>
    </row>
    <row r="368" spans="1:14" x14ac:dyDescent="0.3">
      <c r="A368" s="77"/>
      <c r="B368" s="106"/>
      <c r="F368" s="124"/>
      <c r="G368" s="125"/>
      <c r="J368" s="125"/>
      <c r="L368" s="107"/>
      <c r="M368" s="108"/>
      <c r="N368" s="108"/>
    </row>
    <row r="369" spans="1:14" x14ac:dyDescent="0.3">
      <c r="A369" s="77"/>
      <c r="B369" s="106"/>
      <c r="F369" s="124"/>
      <c r="G369" s="125"/>
      <c r="J369" s="125"/>
      <c r="L369" s="107"/>
      <c r="M369" s="108"/>
      <c r="N369" s="108"/>
    </row>
    <row r="370" spans="1:14" x14ac:dyDescent="0.3">
      <c r="A370" s="77"/>
      <c r="B370" s="106"/>
      <c r="F370" s="124"/>
      <c r="G370" s="125"/>
      <c r="J370" s="125"/>
      <c r="L370" s="107"/>
      <c r="M370" s="108"/>
      <c r="N370" s="108"/>
    </row>
    <row r="371" spans="1:14" x14ac:dyDescent="0.3">
      <c r="A371" s="77"/>
      <c r="B371" s="106"/>
      <c r="F371" s="124"/>
      <c r="G371" s="125"/>
      <c r="J371" s="125"/>
      <c r="L371" s="107"/>
      <c r="M371" s="108"/>
      <c r="N371" s="108"/>
    </row>
    <row r="372" spans="1:14" x14ac:dyDescent="0.3">
      <c r="A372" s="77"/>
      <c r="B372" s="106"/>
      <c r="F372" s="124"/>
      <c r="G372" s="125"/>
      <c r="J372" s="125"/>
      <c r="L372" s="107"/>
      <c r="M372" s="108"/>
      <c r="N372" s="108"/>
    </row>
    <row r="373" spans="1:14" x14ac:dyDescent="0.3">
      <c r="A373" s="77"/>
      <c r="B373" s="106"/>
      <c r="F373" s="124"/>
      <c r="G373" s="125"/>
      <c r="J373" s="125"/>
      <c r="L373" s="107"/>
      <c r="M373" s="108"/>
      <c r="N373" s="108"/>
    </row>
    <row r="374" spans="1:14" x14ac:dyDescent="0.3">
      <c r="A374" s="77"/>
      <c r="B374" s="106"/>
      <c r="F374" s="124"/>
      <c r="G374" s="125"/>
      <c r="J374" s="125"/>
      <c r="L374" s="107"/>
      <c r="M374" s="108"/>
      <c r="N374" s="108"/>
    </row>
    <row r="375" spans="1:14" x14ac:dyDescent="0.3">
      <c r="A375" s="77"/>
      <c r="B375" s="106"/>
      <c r="F375" s="124"/>
      <c r="G375" s="125"/>
      <c r="J375" s="125"/>
      <c r="L375" s="107"/>
      <c r="M375" s="108"/>
      <c r="N375" s="108"/>
    </row>
    <row r="376" spans="1:14" x14ac:dyDescent="0.3">
      <c r="A376" s="77"/>
      <c r="B376" s="106"/>
      <c r="F376" s="124"/>
      <c r="G376" s="125"/>
      <c r="J376" s="125"/>
      <c r="L376" s="107"/>
      <c r="M376" s="108"/>
      <c r="N376" s="108"/>
    </row>
    <row r="377" spans="1:14" x14ac:dyDescent="0.3">
      <c r="A377" s="77"/>
      <c r="B377" s="106"/>
      <c r="F377" s="124"/>
      <c r="G377" s="125"/>
      <c r="J377" s="125"/>
      <c r="L377" s="107"/>
      <c r="M377" s="108"/>
      <c r="N377" s="108"/>
    </row>
    <row r="378" spans="1:14" x14ac:dyDescent="0.3">
      <c r="A378" s="77"/>
      <c r="B378" s="106"/>
      <c r="F378" s="124"/>
      <c r="G378" s="125"/>
      <c r="J378" s="125"/>
      <c r="L378" s="107"/>
      <c r="M378" s="108"/>
      <c r="N378" s="108"/>
    </row>
    <row r="379" spans="1:14" x14ac:dyDescent="0.3">
      <c r="A379" s="77"/>
      <c r="B379" s="106"/>
      <c r="F379" s="124"/>
      <c r="G379" s="125"/>
      <c r="J379" s="125"/>
      <c r="L379" s="107"/>
      <c r="M379" s="108"/>
      <c r="N379" s="108"/>
    </row>
    <row r="380" spans="1:14" x14ac:dyDescent="0.3">
      <c r="A380" s="77"/>
      <c r="B380" s="106"/>
      <c r="F380" s="124"/>
      <c r="G380" s="125"/>
      <c r="J380" s="125"/>
      <c r="L380" s="107"/>
      <c r="M380" s="108"/>
      <c r="N380" s="108"/>
    </row>
    <row r="381" spans="1:14" x14ac:dyDescent="0.3">
      <c r="A381" s="77"/>
      <c r="B381" s="106"/>
      <c r="F381" s="124"/>
      <c r="G381" s="125"/>
      <c r="J381" s="125"/>
      <c r="L381" s="107"/>
      <c r="M381" s="108"/>
      <c r="N381" s="108"/>
    </row>
    <row r="382" spans="1:14" x14ac:dyDescent="0.3">
      <c r="A382" s="77"/>
      <c r="B382" s="106"/>
      <c r="F382" s="124"/>
      <c r="G382" s="125"/>
      <c r="J382" s="125"/>
      <c r="L382" s="107"/>
      <c r="M382" s="108"/>
      <c r="N382" s="108"/>
    </row>
    <row r="383" spans="1:14" x14ac:dyDescent="0.3">
      <c r="A383" s="77"/>
      <c r="B383" s="106"/>
      <c r="F383" s="124"/>
      <c r="G383" s="125"/>
      <c r="J383" s="125"/>
      <c r="L383" s="107"/>
      <c r="M383" s="108"/>
      <c r="N383" s="108"/>
    </row>
    <row r="384" spans="1:14" x14ac:dyDescent="0.3">
      <c r="A384" s="77"/>
      <c r="B384" s="106"/>
      <c r="F384" s="124"/>
      <c r="G384" s="125"/>
      <c r="J384" s="125"/>
      <c r="L384" s="107"/>
      <c r="M384" s="108"/>
      <c r="N384" s="108"/>
    </row>
    <row r="385" spans="1:14" x14ac:dyDescent="0.3">
      <c r="A385" s="77"/>
      <c r="B385" s="106"/>
      <c r="F385" s="124"/>
      <c r="G385" s="125"/>
      <c r="J385" s="125"/>
      <c r="L385" s="107"/>
      <c r="M385" s="108"/>
      <c r="N385" s="108"/>
    </row>
    <row r="386" spans="1:14" x14ac:dyDescent="0.3">
      <c r="A386" s="77"/>
      <c r="B386" s="106"/>
      <c r="F386" s="124"/>
      <c r="G386" s="125"/>
      <c r="J386" s="125"/>
      <c r="L386" s="107"/>
      <c r="M386" s="108"/>
      <c r="N386" s="108"/>
    </row>
    <row r="387" spans="1:14" x14ac:dyDescent="0.3">
      <c r="A387" s="77"/>
      <c r="B387" s="106"/>
      <c r="F387" s="124"/>
      <c r="G387" s="125"/>
      <c r="J387" s="125"/>
      <c r="L387" s="107"/>
      <c r="M387" s="108"/>
      <c r="N387" s="108"/>
    </row>
    <row r="388" spans="1:14" x14ac:dyDescent="0.3">
      <c r="A388" s="77"/>
      <c r="B388" s="106"/>
      <c r="F388" s="124"/>
      <c r="G388" s="125"/>
      <c r="J388" s="125"/>
      <c r="L388" s="107"/>
      <c r="M388" s="108"/>
      <c r="N388" s="108"/>
    </row>
    <row r="389" spans="1:14" x14ac:dyDescent="0.3">
      <c r="A389" s="77"/>
      <c r="B389" s="106"/>
      <c r="F389" s="124"/>
      <c r="G389" s="125"/>
      <c r="J389" s="125"/>
      <c r="L389" s="107"/>
      <c r="M389" s="108"/>
      <c r="N389" s="108"/>
    </row>
    <row r="390" spans="1:14" x14ac:dyDescent="0.3">
      <c r="A390" s="77"/>
      <c r="B390" s="106"/>
      <c r="F390" s="124"/>
      <c r="G390" s="125"/>
      <c r="J390" s="125"/>
      <c r="L390" s="107"/>
      <c r="M390" s="108"/>
      <c r="N390" s="108"/>
    </row>
    <row r="391" spans="1:14" x14ac:dyDescent="0.3">
      <c r="A391" s="77"/>
      <c r="B391" s="106"/>
      <c r="F391" s="124"/>
      <c r="G391" s="125"/>
      <c r="J391" s="125"/>
      <c r="L391" s="107"/>
      <c r="M391" s="108"/>
      <c r="N391" s="108"/>
    </row>
    <row r="392" spans="1:14" x14ac:dyDescent="0.3">
      <c r="A392" s="77"/>
      <c r="B392" s="106"/>
      <c r="F392" s="124"/>
      <c r="G392" s="125"/>
      <c r="J392" s="125"/>
      <c r="L392" s="107"/>
      <c r="M392" s="108"/>
      <c r="N392" s="108"/>
    </row>
    <row r="393" spans="1:14" x14ac:dyDescent="0.3">
      <c r="A393" s="77"/>
      <c r="B393" s="106"/>
      <c r="F393" s="124"/>
      <c r="G393" s="125"/>
      <c r="J393" s="125"/>
      <c r="L393" s="107"/>
      <c r="M393" s="108"/>
      <c r="N393" s="108"/>
    </row>
    <row r="394" spans="1:14" x14ac:dyDescent="0.3">
      <c r="A394" s="77"/>
      <c r="B394" s="106"/>
      <c r="F394" s="124"/>
      <c r="G394" s="125"/>
      <c r="J394" s="125"/>
      <c r="L394" s="107"/>
      <c r="M394" s="108"/>
      <c r="N394" s="108"/>
    </row>
    <row r="395" spans="1:14" x14ac:dyDescent="0.3">
      <c r="A395" s="77"/>
      <c r="B395" s="106"/>
      <c r="F395" s="124"/>
      <c r="G395" s="125"/>
      <c r="J395" s="125"/>
      <c r="L395" s="107"/>
      <c r="M395" s="108"/>
      <c r="N395" s="108"/>
    </row>
    <row r="396" spans="1:14" x14ac:dyDescent="0.3">
      <c r="A396" s="77"/>
      <c r="B396" s="106"/>
      <c r="F396" s="124"/>
      <c r="G396" s="125"/>
      <c r="J396" s="125"/>
      <c r="L396" s="107"/>
      <c r="M396" s="108"/>
      <c r="N396" s="108"/>
    </row>
    <row r="397" spans="1:14" x14ac:dyDescent="0.3">
      <c r="A397" s="77"/>
      <c r="B397" s="106"/>
      <c r="F397" s="124"/>
      <c r="G397" s="125"/>
      <c r="J397" s="125"/>
      <c r="L397" s="107"/>
      <c r="M397" s="108"/>
      <c r="N397" s="108"/>
    </row>
    <row r="398" spans="1:14" x14ac:dyDescent="0.3">
      <c r="A398" s="77"/>
      <c r="B398" s="106"/>
      <c r="F398" s="124"/>
      <c r="G398" s="125"/>
      <c r="J398" s="125"/>
      <c r="L398" s="107"/>
      <c r="M398" s="108"/>
      <c r="N398" s="108"/>
    </row>
    <row r="399" spans="1:14" x14ac:dyDescent="0.3">
      <c r="A399" s="77"/>
      <c r="B399" s="106"/>
      <c r="F399" s="124"/>
      <c r="G399" s="125"/>
      <c r="J399" s="125"/>
      <c r="L399" s="107"/>
      <c r="M399" s="108"/>
      <c r="N399" s="108"/>
    </row>
    <row r="400" spans="1:14" x14ac:dyDescent="0.3">
      <c r="A400" s="77"/>
      <c r="B400" s="106"/>
      <c r="F400" s="124"/>
      <c r="G400" s="125"/>
      <c r="J400" s="125"/>
      <c r="L400" s="107"/>
      <c r="M400" s="108"/>
      <c r="N400" s="108"/>
    </row>
    <row r="401" spans="1:14" x14ac:dyDescent="0.3">
      <c r="A401" s="77"/>
      <c r="B401" s="106"/>
      <c r="F401" s="124"/>
      <c r="G401" s="125"/>
      <c r="J401" s="125"/>
      <c r="L401" s="107"/>
      <c r="M401" s="108"/>
      <c r="N401" s="108"/>
    </row>
    <row r="402" spans="1:14" x14ac:dyDescent="0.3">
      <c r="A402" s="77"/>
      <c r="B402" s="106"/>
      <c r="F402" s="124"/>
      <c r="G402" s="125"/>
      <c r="J402" s="125"/>
      <c r="L402" s="107"/>
      <c r="M402" s="108"/>
      <c r="N402" s="108"/>
    </row>
    <row r="403" spans="1:14" x14ac:dyDescent="0.3">
      <c r="A403" s="77"/>
      <c r="B403" s="106"/>
      <c r="F403" s="124"/>
      <c r="G403" s="125"/>
      <c r="J403" s="125"/>
      <c r="L403" s="107"/>
      <c r="M403" s="108"/>
      <c r="N403" s="108"/>
    </row>
    <row r="404" spans="1:14" x14ac:dyDescent="0.3">
      <c r="A404" s="77"/>
      <c r="B404" s="106"/>
      <c r="F404" s="124"/>
      <c r="G404" s="125"/>
      <c r="J404" s="125"/>
      <c r="L404" s="107"/>
      <c r="M404" s="108"/>
      <c r="N404" s="108"/>
    </row>
    <row r="405" spans="1:14" x14ac:dyDescent="0.3">
      <c r="A405" s="77"/>
      <c r="B405" s="106"/>
      <c r="F405" s="124"/>
      <c r="G405" s="125"/>
      <c r="J405" s="125"/>
      <c r="L405" s="107"/>
      <c r="M405" s="108"/>
      <c r="N405" s="108"/>
    </row>
    <row r="406" spans="1:14" x14ac:dyDescent="0.3">
      <c r="A406" s="77"/>
      <c r="B406" s="106"/>
      <c r="F406" s="124"/>
      <c r="G406" s="125"/>
      <c r="J406" s="125"/>
      <c r="L406" s="107"/>
      <c r="M406" s="108"/>
      <c r="N406" s="108"/>
    </row>
    <row r="407" spans="1:14" x14ac:dyDescent="0.3">
      <c r="A407" s="77"/>
      <c r="B407" s="106"/>
      <c r="F407" s="124"/>
      <c r="G407" s="125"/>
      <c r="J407" s="125"/>
      <c r="L407" s="107"/>
      <c r="M407" s="108"/>
      <c r="N407" s="108"/>
    </row>
    <row r="408" spans="1:14" x14ac:dyDescent="0.3">
      <c r="A408" s="77"/>
      <c r="B408" s="106"/>
      <c r="F408" s="124"/>
      <c r="G408" s="125"/>
      <c r="J408" s="125"/>
      <c r="L408" s="107"/>
      <c r="M408" s="108"/>
      <c r="N408" s="108"/>
    </row>
    <row r="409" spans="1:14" x14ac:dyDescent="0.3">
      <c r="A409" s="77"/>
      <c r="B409" s="106"/>
      <c r="F409" s="124"/>
      <c r="G409" s="125"/>
      <c r="J409" s="125"/>
      <c r="L409" s="107"/>
      <c r="M409" s="108"/>
      <c r="N409" s="108"/>
    </row>
    <row r="410" spans="1:14" x14ac:dyDescent="0.3">
      <c r="A410" s="77"/>
      <c r="B410" s="106"/>
      <c r="F410" s="124"/>
      <c r="G410" s="125"/>
      <c r="J410" s="125"/>
      <c r="L410" s="107"/>
      <c r="M410" s="108"/>
      <c r="N410" s="108"/>
    </row>
    <row r="411" spans="1:14" x14ac:dyDescent="0.3">
      <c r="A411" s="77"/>
      <c r="B411" s="106"/>
      <c r="F411" s="124"/>
      <c r="G411" s="125"/>
      <c r="J411" s="125"/>
      <c r="L411" s="107"/>
      <c r="M411" s="108"/>
      <c r="N411" s="108"/>
    </row>
    <row r="412" spans="1:14" x14ac:dyDescent="0.3">
      <c r="A412" s="77"/>
      <c r="B412" s="106"/>
      <c r="F412" s="124"/>
      <c r="G412" s="125"/>
      <c r="J412" s="125"/>
      <c r="L412" s="107"/>
      <c r="M412" s="108"/>
      <c r="N412" s="108"/>
    </row>
    <row r="413" spans="1:14" x14ac:dyDescent="0.3">
      <c r="A413" s="77"/>
      <c r="B413" s="106"/>
      <c r="F413" s="124"/>
      <c r="G413" s="125"/>
      <c r="J413" s="125"/>
      <c r="L413" s="107"/>
      <c r="M413" s="108"/>
      <c r="N413" s="108"/>
    </row>
    <row r="414" spans="1:14" x14ac:dyDescent="0.3">
      <c r="A414" s="77"/>
      <c r="B414" s="106"/>
      <c r="F414" s="124"/>
      <c r="G414" s="125"/>
      <c r="J414" s="125"/>
      <c r="L414" s="107"/>
      <c r="M414" s="108"/>
      <c r="N414" s="108"/>
    </row>
    <row r="415" spans="1:14" x14ac:dyDescent="0.3">
      <c r="A415" s="77"/>
      <c r="B415" s="106"/>
      <c r="F415" s="124"/>
      <c r="G415" s="125"/>
      <c r="J415" s="125"/>
      <c r="L415" s="107"/>
      <c r="M415" s="108"/>
      <c r="N415" s="108"/>
    </row>
    <row r="416" spans="1:14" x14ac:dyDescent="0.3">
      <c r="A416" s="77"/>
      <c r="B416" s="106"/>
      <c r="F416" s="124"/>
      <c r="G416" s="125"/>
      <c r="J416" s="125"/>
      <c r="L416" s="107"/>
      <c r="M416" s="108"/>
      <c r="N416" s="108"/>
    </row>
    <row r="417" spans="1:14" x14ac:dyDescent="0.3">
      <c r="A417" s="77"/>
      <c r="B417" s="106"/>
      <c r="F417" s="124"/>
      <c r="G417" s="125"/>
      <c r="J417" s="125"/>
      <c r="L417" s="107"/>
      <c r="M417" s="108"/>
      <c r="N417" s="108"/>
    </row>
    <row r="418" spans="1:14" x14ac:dyDescent="0.3">
      <c r="A418" s="77"/>
      <c r="B418" s="106"/>
      <c r="F418" s="124"/>
      <c r="G418" s="125"/>
      <c r="J418" s="125"/>
      <c r="L418" s="107"/>
      <c r="M418" s="108"/>
      <c r="N418" s="108"/>
    </row>
    <row r="419" spans="1:14" x14ac:dyDescent="0.3">
      <c r="A419" s="77"/>
      <c r="B419" s="106"/>
      <c r="F419" s="124"/>
      <c r="G419" s="125"/>
      <c r="J419" s="125"/>
      <c r="L419" s="107"/>
      <c r="M419" s="108"/>
      <c r="N419" s="108"/>
    </row>
    <row r="420" spans="1:14" x14ac:dyDescent="0.3">
      <c r="A420" s="77"/>
      <c r="B420" s="106"/>
      <c r="F420" s="124"/>
      <c r="G420" s="125"/>
      <c r="J420" s="125"/>
      <c r="L420" s="107"/>
      <c r="M420" s="108"/>
      <c r="N420" s="108"/>
    </row>
    <row r="421" spans="1:14" x14ac:dyDescent="0.3">
      <c r="A421" s="77"/>
      <c r="B421" s="106"/>
      <c r="F421" s="124"/>
      <c r="G421" s="125"/>
      <c r="J421" s="125"/>
      <c r="L421" s="107"/>
      <c r="M421" s="108"/>
      <c r="N421" s="108"/>
    </row>
    <row r="422" spans="1:14" x14ac:dyDescent="0.3">
      <c r="A422" s="77"/>
      <c r="B422" s="106"/>
      <c r="F422" s="124"/>
      <c r="G422" s="125"/>
      <c r="J422" s="125"/>
      <c r="L422" s="107"/>
      <c r="M422" s="108"/>
      <c r="N422" s="108"/>
    </row>
    <row r="423" spans="1:14" x14ac:dyDescent="0.3">
      <c r="A423" s="77"/>
      <c r="B423" s="106"/>
      <c r="F423" s="124"/>
      <c r="G423" s="125"/>
      <c r="J423" s="125"/>
      <c r="L423" s="107"/>
      <c r="M423" s="108"/>
      <c r="N423" s="108"/>
    </row>
    <row r="424" spans="1:14" x14ac:dyDescent="0.3">
      <c r="A424" s="77"/>
      <c r="B424" s="106"/>
      <c r="F424" s="124"/>
      <c r="G424" s="125"/>
      <c r="J424" s="125"/>
      <c r="L424" s="107"/>
      <c r="M424" s="108"/>
      <c r="N424" s="108"/>
    </row>
    <row r="425" spans="1:14" x14ac:dyDescent="0.3">
      <c r="A425" s="77"/>
      <c r="B425" s="106"/>
      <c r="F425" s="124"/>
      <c r="G425" s="125"/>
      <c r="J425" s="125"/>
      <c r="L425" s="107"/>
      <c r="M425" s="108"/>
      <c r="N425" s="108"/>
    </row>
    <row r="426" spans="1:14" x14ac:dyDescent="0.3">
      <c r="A426" s="77"/>
      <c r="B426" s="106"/>
      <c r="F426" s="124"/>
      <c r="G426" s="125"/>
      <c r="J426" s="125"/>
      <c r="L426" s="107"/>
      <c r="M426" s="108"/>
      <c r="N426" s="108"/>
    </row>
    <row r="427" spans="1:14" x14ac:dyDescent="0.3">
      <c r="A427" s="77"/>
      <c r="B427" s="106"/>
      <c r="F427" s="124"/>
      <c r="G427" s="125"/>
      <c r="J427" s="125"/>
      <c r="L427" s="107"/>
      <c r="M427" s="108"/>
      <c r="N427" s="108"/>
    </row>
    <row r="428" spans="1:14" x14ac:dyDescent="0.3">
      <c r="A428" s="77"/>
      <c r="B428" s="106"/>
      <c r="F428" s="124"/>
      <c r="G428" s="125"/>
      <c r="J428" s="125"/>
      <c r="L428" s="107"/>
      <c r="M428" s="108"/>
      <c r="N428" s="108"/>
    </row>
    <row r="429" spans="1:14" x14ac:dyDescent="0.3">
      <c r="A429" s="77"/>
      <c r="B429" s="106"/>
      <c r="F429" s="124"/>
      <c r="G429" s="125"/>
      <c r="J429" s="125"/>
      <c r="L429" s="107"/>
      <c r="M429" s="108"/>
      <c r="N429" s="108"/>
    </row>
    <row r="430" spans="1:14" x14ac:dyDescent="0.3">
      <c r="A430" s="77"/>
      <c r="B430" s="106"/>
      <c r="F430" s="124"/>
      <c r="G430" s="125"/>
      <c r="J430" s="125"/>
      <c r="L430" s="107"/>
      <c r="M430" s="108"/>
      <c r="N430" s="108"/>
    </row>
    <row r="431" spans="1:14" x14ac:dyDescent="0.3">
      <c r="A431" s="77"/>
      <c r="B431" s="106"/>
      <c r="F431" s="124"/>
      <c r="G431" s="125"/>
      <c r="J431" s="125"/>
      <c r="L431" s="107"/>
      <c r="M431" s="108"/>
      <c r="N431" s="108"/>
    </row>
    <row r="432" spans="1:14" x14ac:dyDescent="0.3">
      <c r="A432" s="77"/>
      <c r="B432" s="106"/>
      <c r="F432" s="124"/>
      <c r="G432" s="125"/>
      <c r="J432" s="125"/>
      <c r="L432" s="107"/>
      <c r="M432" s="108"/>
      <c r="N432" s="108"/>
    </row>
    <row r="433" spans="1:14" x14ac:dyDescent="0.3">
      <c r="A433" s="77"/>
      <c r="B433" s="106"/>
      <c r="F433" s="124"/>
      <c r="G433" s="125"/>
      <c r="J433" s="125"/>
      <c r="L433" s="107"/>
      <c r="M433" s="108"/>
      <c r="N433" s="108"/>
    </row>
    <row r="434" spans="1:14" x14ac:dyDescent="0.3">
      <c r="A434" s="77"/>
      <c r="B434" s="106"/>
      <c r="F434" s="124"/>
      <c r="G434" s="125"/>
      <c r="J434" s="125"/>
      <c r="L434" s="107"/>
      <c r="M434" s="108"/>
      <c r="N434" s="108"/>
    </row>
    <row r="435" spans="1:14" x14ac:dyDescent="0.3">
      <c r="A435" s="77"/>
      <c r="B435" s="106"/>
      <c r="F435" s="124"/>
      <c r="G435" s="125"/>
      <c r="J435" s="125"/>
      <c r="L435" s="107"/>
      <c r="M435" s="108"/>
      <c r="N435" s="108"/>
    </row>
    <row r="436" spans="1:14" x14ac:dyDescent="0.3">
      <c r="A436" s="77"/>
      <c r="B436" s="106"/>
      <c r="F436" s="124"/>
      <c r="G436" s="125"/>
      <c r="J436" s="125"/>
      <c r="L436" s="107"/>
      <c r="M436" s="108"/>
      <c r="N436" s="108"/>
    </row>
    <row r="437" spans="1:14" x14ac:dyDescent="0.3">
      <c r="A437" s="77"/>
      <c r="B437" s="106"/>
      <c r="F437" s="124"/>
      <c r="G437" s="125"/>
      <c r="J437" s="125"/>
      <c r="L437" s="107"/>
      <c r="M437" s="108"/>
      <c r="N437" s="108"/>
    </row>
    <row r="438" spans="1:14" x14ac:dyDescent="0.3">
      <c r="A438" s="77"/>
      <c r="B438" s="106"/>
      <c r="F438" s="124"/>
      <c r="G438" s="125"/>
      <c r="J438" s="125"/>
      <c r="L438" s="107"/>
      <c r="M438" s="108"/>
      <c r="N438" s="108"/>
    </row>
    <row r="439" spans="1:14" x14ac:dyDescent="0.3">
      <c r="A439" s="77"/>
      <c r="B439" s="106"/>
      <c r="F439" s="124"/>
      <c r="G439" s="125"/>
      <c r="J439" s="125"/>
      <c r="L439" s="107"/>
      <c r="M439" s="108"/>
      <c r="N439" s="108"/>
    </row>
    <row r="440" spans="1:14" x14ac:dyDescent="0.3">
      <c r="A440" s="77"/>
      <c r="B440" s="106"/>
      <c r="F440" s="124"/>
      <c r="G440" s="125"/>
      <c r="J440" s="125"/>
      <c r="L440" s="107"/>
      <c r="M440" s="108"/>
      <c r="N440" s="108"/>
    </row>
    <row r="441" spans="1:14" x14ac:dyDescent="0.3">
      <c r="A441" s="77"/>
      <c r="B441" s="106"/>
      <c r="F441" s="124"/>
      <c r="G441" s="125"/>
      <c r="J441" s="125"/>
      <c r="L441" s="107"/>
      <c r="M441" s="108"/>
      <c r="N441" s="108"/>
    </row>
    <row r="442" spans="1:14" x14ac:dyDescent="0.3">
      <c r="A442" s="77"/>
      <c r="B442" s="106"/>
      <c r="F442" s="124"/>
      <c r="G442" s="125"/>
      <c r="J442" s="125"/>
      <c r="L442" s="107"/>
      <c r="M442" s="108"/>
      <c r="N442" s="108"/>
    </row>
    <row r="443" spans="1:14" x14ac:dyDescent="0.3">
      <c r="A443" s="77"/>
      <c r="B443" s="106"/>
      <c r="F443" s="124"/>
      <c r="G443" s="125"/>
      <c r="J443" s="125"/>
      <c r="L443" s="107"/>
      <c r="M443" s="108"/>
      <c r="N443" s="108"/>
    </row>
    <row r="444" spans="1:14" x14ac:dyDescent="0.3">
      <c r="A444" s="77"/>
      <c r="B444" s="106"/>
      <c r="F444" s="124"/>
      <c r="G444" s="125"/>
      <c r="J444" s="125"/>
      <c r="L444" s="107"/>
      <c r="M444" s="108"/>
      <c r="N444" s="108"/>
    </row>
    <row r="445" spans="1:14" x14ac:dyDescent="0.3">
      <c r="A445" s="77"/>
      <c r="B445" s="106"/>
      <c r="F445" s="124"/>
      <c r="G445" s="125"/>
      <c r="J445" s="125"/>
      <c r="L445" s="107"/>
      <c r="M445" s="108"/>
      <c r="N445" s="108"/>
    </row>
    <row r="446" spans="1:14" x14ac:dyDescent="0.3">
      <c r="A446" s="77"/>
      <c r="B446" s="106"/>
      <c r="F446" s="124"/>
      <c r="G446" s="125"/>
      <c r="J446" s="125"/>
      <c r="L446" s="107"/>
      <c r="M446" s="108"/>
      <c r="N446" s="108"/>
    </row>
    <row r="447" spans="1:14" x14ac:dyDescent="0.3">
      <c r="A447" s="77"/>
      <c r="B447" s="106"/>
      <c r="F447" s="124"/>
      <c r="G447" s="125"/>
      <c r="J447" s="125"/>
      <c r="L447" s="107"/>
      <c r="M447" s="108"/>
      <c r="N447" s="108"/>
    </row>
    <row r="448" spans="1:14" x14ac:dyDescent="0.3">
      <c r="A448" s="77"/>
      <c r="B448" s="106"/>
      <c r="F448" s="124"/>
      <c r="G448" s="125"/>
      <c r="J448" s="125"/>
      <c r="L448" s="107"/>
      <c r="M448" s="108"/>
      <c r="N448" s="108"/>
    </row>
    <row r="449" spans="1:14" x14ac:dyDescent="0.3">
      <c r="A449" s="77"/>
      <c r="B449" s="106"/>
      <c r="F449" s="124"/>
      <c r="G449" s="125"/>
      <c r="J449" s="125"/>
      <c r="L449" s="107"/>
      <c r="M449" s="108"/>
      <c r="N449" s="108"/>
    </row>
    <row r="450" spans="1:14" x14ac:dyDescent="0.3">
      <c r="A450" s="77"/>
      <c r="B450" s="106"/>
      <c r="F450" s="124"/>
      <c r="G450" s="125"/>
      <c r="J450" s="125"/>
      <c r="L450" s="107"/>
      <c r="M450" s="108"/>
      <c r="N450" s="108"/>
    </row>
    <row r="451" spans="1:14" x14ac:dyDescent="0.3">
      <c r="A451" s="77"/>
      <c r="B451" s="106"/>
      <c r="F451" s="124"/>
      <c r="G451" s="125"/>
      <c r="J451" s="125"/>
      <c r="L451" s="107"/>
      <c r="M451" s="108"/>
      <c r="N451" s="108"/>
    </row>
    <row r="452" spans="1:14" x14ac:dyDescent="0.3">
      <c r="A452" s="77"/>
      <c r="B452" s="106"/>
      <c r="F452" s="124"/>
      <c r="G452" s="125"/>
      <c r="J452" s="125"/>
      <c r="L452" s="107"/>
      <c r="M452" s="108"/>
      <c r="N452" s="108"/>
    </row>
    <row r="453" spans="1:14" x14ac:dyDescent="0.3">
      <c r="A453" s="77"/>
      <c r="B453" s="106"/>
      <c r="F453" s="124"/>
      <c r="G453" s="125"/>
      <c r="J453" s="125"/>
      <c r="L453" s="107"/>
      <c r="M453" s="108"/>
      <c r="N453" s="108"/>
    </row>
    <row r="454" spans="1:14" x14ac:dyDescent="0.3">
      <c r="A454" s="77"/>
      <c r="B454" s="106"/>
      <c r="F454" s="124"/>
      <c r="G454" s="125"/>
      <c r="J454" s="125"/>
      <c r="L454" s="107"/>
      <c r="M454" s="108"/>
      <c r="N454" s="108"/>
    </row>
    <row r="455" spans="1:14" x14ac:dyDescent="0.3">
      <c r="A455" s="77"/>
      <c r="B455" s="106"/>
      <c r="F455" s="124"/>
      <c r="G455" s="125"/>
      <c r="J455" s="125"/>
      <c r="L455" s="107"/>
      <c r="M455" s="108"/>
      <c r="N455" s="108"/>
    </row>
    <row r="456" spans="1:14" x14ac:dyDescent="0.3">
      <c r="A456" s="77"/>
      <c r="B456" s="106"/>
      <c r="F456" s="124"/>
      <c r="G456" s="125"/>
      <c r="J456" s="125"/>
      <c r="L456" s="107"/>
      <c r="M456" s="108"/>
      <c r="N456" s="108"/>
    </row>
    <row r="457" spans="1:14" x14ac:dyDescent="0.3">
      <c r="A457" s="77"/>
      <c r="B457" s="106"/>
      <c r="F457" s="124"/>
      <c r="G457" s="125"/>
      <c r="J457" s="125"/>
      <c r="L457" s="107"/>
      <c r="M457" s="108"/>
      <c r="N457" s="108"/>
    </row>
    <row r="458" spans="1:14" x14ac:dyDescent="0.3">
      <c r="A458" s="77"/>
      <c r="B458" s="106"/>
      <c r="F458" s="124"/>
      <c r="G458" s="125"/>
      <c r="J458" s="125"/>
      <c r="L458" s="107"/>
      <c r="M458" s="108"/>
      <c r="N458" s="108"/>
    </row>
    <row r="459" spans="1:14" x14ac:dyDescent="0.3">
      <c r="A459" s="77"/>
      <c r="B459" s="106"/>
      <c r="F459" s="124"/>
      <c r="G459" s="125"/>
      <c r="J459" s="125"/>
      <c r="L459" s="107"/>
      <c r="M459" s="108"/>
      <c r="N459" s="108"/>
    </row>
    <row r="460" spans="1:14" x14ac:dyDescent="0.3">
      <c r="A460" s="77"/>
      <c r="B460" s="106"/>
      <c r="F460" s="124"/>
      <c r="G460" s="125"/>
      <c r="J460" s="125"/>
      <c r="L460" s="107"/>
      <c r="M460" s="108"/>
      <c r="N460" s="108"/>
    </row>
    <row r="461" spans="1:14" x14ac:dyDescent="0.3">
      <c r="A461" s="77"/>
      <c r="B461" s="106"/>
      <c r="F461" s="124"/>
      <c r="G461" s="125"/>
      <c r="J461" s="125"/>
      <c r="L461" s="107"/>
      <c r="M461" s="108"/>
      <c r="N461" s="108"/>
    </row>
    <row r="462" spans="1:14" x14ac:dyDescent="0.3">
      <c r="A462" s="77"/>
      <c r="B462" s="106"/>
      <c r="F462" s="124"/>
      <c r="G462" s="125"/>
      <c r="J462" s="125"/>
      <c r="L462" s="107"/>
      <c r="M462" s="108"/>
      <c r="N462" s="108"/>
    </row>
    <row r="463" spans="1:14" x14ac:dyDescent="0.3">
      <c r="A463" s="77"/>
      <c r="B463" s="106"/>
      <c r="F463" s="124"/>
      <c r="G463" s="125"/>
      <c r="J463" s="125"/>
      <c r="L463" s="107"/>
      <c r="M463" s="108"/>
      <c r="N463" s="108"/>
    </row>
    <row r="464" spans="1:14" x14ac:dyDescent="0.3">
      <c r="A464" s="77"/>
      <c r="B464" s="106"/>
      <c r="F464" s="124"/>
      <c r="G464" s="125"/>
      <c r="J464" s="125"/>
      <c r="L464" s="107"/>
      <c r="M464" s="108"/>
      <c r="N464" s="108"/>
    </row>
    <row r="465" spans="1:14" x14ac:dyDescent="0.3">
      <c r="A465" s="77"/>
      <c r="B465" s="106"/>
      <c r="F465" s="124"/>
      <c r="G465" s="125"/>
      <c r="J465" s="125"/>
      <c r="L465" s="107"/>
      <c r="M465" s="108"/>
      <c r="N465" s="108"/>
    </row>
    <row r="466" spans="1:14" x14ac:dyDescent="0.3">
      <c r="A466" s="77"/>
      <c r="B466" s="106"/>
      <c r="F466" s="124"/>
      <c r="G466" s="125"/>
      <c r="J466" s="125"/>
      <c r="L466" s="107"/>
      <c r="M466" s="108"/>
      <c r="N466" s="108"/>
    </row>
    <row r="467" spans="1:14" x14ac:dyDescent="0.3">
      <c r="A467" s="77"/>
      <c r="B467" s="106"/>
      <c r="F467" s="124"/>
      <c r="G467" s="125"/>
      <c r="J467" s="125"/>
      <c r="L467" s="107"/>
      <c r="M467" s="108"/>
      <c r="N467" s="108"/>
    </row>
    <row r="468" spans="1:14" x14ac:dyDescent="0.3">
      <c r="A468" s="77"/>
      <c r="B468" s="106"/>
      <c r="F468" s="124"/>
      <c r="G468" s="125"/>
      <c r="J468" s="125"/>
      <c r="L468" s="107"/>
      <c r="M468" s="108"/>
      <c r="N468" s="108"/>
    </row>
    <row r="469" spans="1:14" x14ac:dyDescent="0.3">
      <c r="A469" s="77"/>
      <c r="B469" s="106"/>
      <c r="F469" s="124"/>
      <c r="G469" s="125"/>
      <c r="J469" s="125"/>
      <c r="L469" s="107"/>
      <c r="M469" s="108"/>
      <c r="N469" s="108"/>
    </row>
    <row r="470" spans="1:14" x14ac:dyDescent="0.3">
      <c r="A470" s="77"/>
      <c r="B470" s="106"/>
      <c r="F470" s="124"/>
      <c r="G470" s="125"/>
      <c r="J470" s="125"/>
      <c r="L470" s="107"/>
      <c r="M470" s="108"/>
      <c r="N470" s="108"/>
    </row>
    <row r="471" spans="1:14" x14ac:dyDescent="0.3">
      <c r="A471" s="77"/>
      <c r="B471" s="106"/>
      <c r="F471" s="124"/>
      <c r="G471" s="125"/>
      <c r="J471" s="125"/>
      <c r="L471" s="107"/>
      <c r="M471" s="108"/>
      <c r="N471" s="108"/>
    </row>
    <row r="472" spans="1:14" x14ac:dyDescent="0.3">
      <c r="A472" s="77"/>
      <c r="B472" s="106"/>
      <c r="F472" s="124"/>
      <c r="G472" s="125"/>
      <c r="J472" s="125"/>
      <c r="L472" s="107"/>
      <c r="M472" s="108"/>
      <c r="N472" s="108"/>
    </row>
    <row r="473" spans="1:14" x14ac:dyDescent="0.3">
      <c r="A473" s="77"/>
      <c r="B473" s="106"/>
      <c r="F473" s="124"/>
      <c r="G473" s="125"/>
      <c r="J473" s="125"/>
      <c r="L473" s="107"/>
      <c r="M473" s="108"/>
      <c r="N473" s="108"/>
    </row>
    <row r="474" spans="1:14" x14ac:dyDescent="0.3">
      <c r="A474" s="77"/>
      <c r="B474" s="106"/>
      <c r="F474" s="124"/>
      <c r="G474" s="125"/>
      <c r="J474" s="125"/>
      <c r="L474" s="107"/>
      <c r="M474" s="108"/>
      <c r="N474" s="108"/>
    </row>
    <row r="475" spans="1:14" x14ac:dyDescent="0.3">
      <c r="A475" s="77"/>
      <c r="B475" s="106"/>
      <c r="F475" s="124"/>
      <c r="G475" s="125"/>
      <c r="J475" s="125"/>
      <c r="L475" s="107"/>
      <c r="M475" s="108"/>
      <c r="N475" s="108"/>
    </row>
    <row r="476" spans="1:14" x14ac:dyDescent="0.3">
      <c r="A476" s="77"/>
      <c r="B476" s="106"/>
      <c r="F476" s="124"/>
      <c r="G476" s="125"/>
      <c r="J476" s="125"/>
      <c r="L476" s="107"/>
      <c r="M476" s="108"/>
      <c r="N476" s="108"/>
    </row>
    <row r="477" spans="1:14" x14ac:dyDescent="0.3">
      <c r="A477" s="77"/>
      <c r="B477" s="106"/>
      <c r="F477" s="124"/>
      <c r="G477" s="125"/>
      <c r="J477" s="125"/>
      <c r="L477" s="107"/>
      <c r="M477" s="108"/>
      <c r="N477" s="108"/>
    </row>
    <row r="478" spans="1:14" x14ac:dyDescent="0.3">
      <c r="A478" s="77"/>
      <c r="B478" s="106"/>
      <c r="F478" s="124"/>
      <c r="G478" s="125"/>
      <c r="J478" s="125"/>
      <c r="L478" s="107"/>
      <c r="M478" s="108"/>
      <c r="N478" s="108"/>
    </row>
    <row r="479" spans="1:14" x14ac:dyDescent="0.3">
      <c r="A479" s="77"/>
      <c r="B479" s="106"/>
      <c r="F479" s="124"/>
      <c r="G479" s="125"/>
      <c r="J479" s="125"/>
      <c r="L479" s="107"/>
      <c r="M479" s="108"/>
      <c r="N479" s="108"/>
    </row>
    <row r="480" spans="1:14" x14ac:dyDescent="0.3">
      <c r="A480" s="77"/>
      <c r="B480" s="106"/>
      <c r="F480" s="124"/>
      <c r="G480" s="125"/>
      <c r="J480" s="125"/>
      <c r="L480" s="107"/>
      <c r="M480" s="108"/>
      <c r="N480" s="108"/>
    </row>
    <row r="481" spans="1:14" x14ac:dyDescent="0.3">
      <c r="A481" s="77"/>
      <c r="B481" s="106"/>
      <c r="F481" s="124"/>
      <c r="G481" s="125"/>
      <c r="J481" s="125"/>
      <c r="L481" s="107"/>
      <c r="M481" s="108"/>
      <c r="N481" s="108"/>
    </row>
    <row r="482" spans="1:14" x14ac:dyDescent="0.3">
      <c r="A482" s="77"/>
      <c r="B482" s="106"/>
      <c r="F482" s="124"/>
      <c r="G482" s="125"/>
      <c r="J482" s="125"/>
      <c r="L482" s="107"/>
      <c r="M482" s="108"/>
      <c r="N482" s="108"/>
    </row>
    <row r="483" spans="1:14" x14ac:dyDescent="0.3">
      <c r="A483" s="77"/>
      <c r="B483" s="106"/>
      <c r="F483" s="124"/>
      <c r="G483" s="125"/>
      <c r="J483" s="125"/>
      <c r="L483" s="107"/>
      <c r="M483" s="108"/>
      <c r="N483" s="108"/>
    </row>
    <row r="484" spans="1:14" x14ac:dyDescent="0.3">
      <c r="A484" s="77"/>
      <c r="B484" s="106"/>
      <c r="F484" s="124"/>
      <c r="G484" s="125"/>
      <c r="J484" s="125"/>
      <c r="L484" s="107"/>
      <c r="M484" s="108"/>
      <c r="N484" s="108"/>
    </row>
    <row r="485" spans="1:14" x14ac:dyDescent="0.3">
      <c r="A485" s="77"/>
      <c r="B485" s="106"/>
      <c r="F485" s="124"/>
      <c r="G485" s="125"/>
      <c r="J485" s="125"/>
      <c r="L485" s="107"/>
      <c r="M485" s="108"/>
      <c r="N485" s="108"/>
    </row>
    <row r="486" spans="1:14" x14ac:dyDescent="0.3">
      <c r="A486" s="77"/>
      <c r="B486" s="106"/>
      <c r="F486" s="124"/>
      <c r="G486" s="125"/>
      <c r="J486" s="125"/>
      <c r="L486" s="107"/>
      <c r="M486" s="108"/>
      <c r="N486" s="108"/>
    </row>
    <row r="487" spans="1:14" x14ac:dyDescent="0.3">
      <c r="A487" s="77"/>
      <c r="B487" s="106"/>
      <c r="F487" s="124"/>
      <c r="G487" s="125"/>
      <c r="J487" s="125"/>
      <c r="L487" s="107"/>
      <c r="M487" s="108"/>
      <c r="N487" s="108"/>
    </row>
    <row r="488" spans="1:14" x14ac:dyDescent="0.3">
      <c r="A488" s="77"/>
      <c r="B488" s="106"/>
      <c r="F488" s="124"/>
      <c r="G488" s="125"/>
      <c r="J488" s="125"/>
      <c r="L488" s="107"/>
      <c r="M488" s="108"/>
      <c r="N488" s="108"/>
    </row>
    <row r="489" spans="1:14" x14ac:dyDescent="0.3">
      <c r="A489" s="77"/>
      <c r="B489" s="106"/>
      <c r="F489" s="124"/>
      <c r="G489" s="125"/>
      <c r="J489" s="125"/>
      <c r="L489" s="107"/>
      <c r="M489" s="108"/>
      <c r="N489" s="108"/>
    </row>
    <row r="490" spans="1:14" x14ac:dyDescent="0.3">
      <c r="A490" s="77"/>
      <c r="B490" s="106"/>
      <c r="F490" s="124"/>
      <c r="G490" s="125"/>
      <c r="J490" s="125"/>
      <c r="L490" s="107"/>
      <c r="M490" s="108"/>
      <c r="N490" s="108"/>
    </row>
    <row r="491" spans="1:14" x14ac:dyDescent="0.3">
      <c r="A491" s="77"/>
      <c r="B491" s="106"/>
      <c r="F491" s="124"/>
      <c r="G491" s="125"/>
      <c r="J491" s="125"/>
      <c r="L491" s="107"/>
      <c r="M491" s="108"/>
      <c r="N491" s="108"/>
    </row>
    <row r="492" spans="1:14" x14ac:dyDescent="0.3">
      <c r="A492" s="77"/>
      <c r="B492" s="106"/>
      <c r="F492" s="124"/>
      <c r="G492" s="125"/>
      <c r="J492" s="125"/>
      <c r="L492" s="107"/>
      <c r="M492" s="108"/>
      <c r="N492" s="108"/>
    </row>
    <row r="493" spans="1:14" x14ac:dyDescent="0.3">
      <c r="A493" s="77"/>
      <c r="B493" s="106"/>
      <c r="F493" s="124"/>
      <c r="G493" s="125"/>
      <c r="J493" s="125"/>
      <c r="L493" s="107"/>
      <c r="M493" s="108"/>
      <c r="N493" s="108"/>
    </row>
    <row r="494" spans="1:14" x14ac:dyDescent="0.3">
      <c r="A494" s="77"/>
      <c r="B494" s="106"/>
      <c r="F494" s="124"/>
      <c r="G494" s="125"/>
      <c r="J494" s="125"/>
      <c r="L494" s="107"/>
      <c r="M494" s="108"/>
      <c r="N494" s="108"/>
    </row>
    <row r="495" spans="1:14" x14ac:dyDescent="0.3">
      <c r="A495" s="77"/>
      <c r="B495" s="106"/>
      <c r="F495" s="124"/>
      <c r="G495" s="125"/>
      <c r="J495" s="125"/>
      <c r="L495" s="107"/>
      <c r="M495" s="108"/>
      <c r="N495" s="108"/>
    </row>
    <row r="496" spans="1:14" x14ac:dyDescent="0.3">
      <c r="A496" s="77"/>
      <c r="B496" s="106"/>
      <c r="F496" s="124"/>
      <c r="G496" s="125"/>
      <c r="J496" s="125"/>
      <c r="L496" s="107"/>
      <c r="M496" s="108"/>
      <c r="N496" s="108"/>
    </row>
    <row r="497" spans="1:14" x14ac:dyDescent="0.3">
      <c r="A497" s="77"/>
      <c r="B497" s="106"/>
      <c r="F497" s="124"/>
      <c r="G497" s="125"/>
      <c r="J497" s="125"/>
      <c r="L497" s="107"/>
      <c r="M497" s="108"/>
      <c r="N497" s="108"/>
    </row>
    <row r="498" spans="1:14" x14ac:dyDescent="0.3">
      <c r="A498" s="77"/>
      <c r="B498" s="106"/>
      <c r="F498" s="124"/>
      <c r="G498" s="125"/>
      <c r="J498" s="125"/>
      <c r="L498" s="107"/>
      <c r="M498" s="108"/>
      <c r="N498" s="108"/>
    </row>
    <row r="499" spans="1:14" x14ac:dyDescent="0.3">
      <c r="A499" s="77"/>
      <c r="B499" s="106"/>
      <c r="F499" s="124"/>
      <c r="G499" s="125"/>
      <c r="J499" s="125"/>
      <c r="L499" s="107"/>
      <c r="M499" s="108"/>
      <c r="N499" s="108"/>
    </row>
    <row r="500" spans="1:14" x14ac:dyDescent="0.3">
      <c r="A500" s="77"/>
      <c r="B500" s="106"/>
      <c r="F500" s="124"/>
      <c r="G500" s="125"/>
      <c r="J500" s="125"/>
      <c r="L500" s="107"/>
      <c r="M500" s="108"/>
      <c r="N500" s="108"/>
    </row>
    <row r="501" spans="1:14" x14ac:dyDescent="0.3">
      <c r="A501" s="77"/>
      <c r="B501" s="106"/>
      <c r="F501" s="124"/>
      <c r="G501" s="125"/>
      <c r="J501" s="125"/>
      <c r="L501" s="107"/>
      <c r="M501" s="108"/>
      <c r="N501" s="108"/>
    </row>
    <row r="502" spans="1:14" x14ac:dyDescent="0.3">
      <c r="A502" s="77"/>
      <c r="B502" s="106"/>
      <c r="F502" s="124"/>
      <c r="G502" s="125"/>
      <c r="J502" s="125"/>
      <c r="L502" s="107"/>
      <c r="M502" s="108"/>
      <c r="N502" s="108"/>
    </row>
    <row r="503" spans="1:14" x14ac:dyDescent="0.3">
      <c r="A503" s="77"/>
      <c r="B503" s="106"/>
      <c r="F503" s="124"/>
      <c r="G503" s="125"/>
      <c r="J503" s="125"/>
      <c r="L503" s="107"/>
      <c r="M503" s="108"/>
      <c r="N503" s="108"/>
    </row>
    <row r="504" spans="1:14" x14ac:dyDescent="0.3">
      <c r="A504" s="77"/>
      <c r="B504" s="106"/>
      <c r="F504" s="124"/>
      <c r="G504" s="125"/>
      <c r="J504" s="125"/>
      <c r="L504" s="107"/>
      <c r="M504" s="108"/>
      <c r="N504" s="108"/>
    </row>
    <row r="505" spans="1:14" x14ac:dyDescent="0.3">
      <c r="A505" s="77"/>
      <c r="B505" s="106"/>
      <c r="F505" s="124"/>
      <c r="G505" s="125"/>
      <c r="J505" s="125"/>
      <c r="L505" s="107"/>
      <c r="M505" s="108"/>
      <c r="N505" s="108"/>
    </row>
    <row r="506" spans="1:14" x14ac:dyDescent="0.3">
      <c r="A506" s="77"/>
      <c r="B506" s="106"/>
      <c r="F506" s="124"/>
      <c r="G506" s="125"/>
      <c r="J506" s="125"/>
      <c r="L506" s="107"/>
      <c r="M506" s="108"/>
      <c r="N506" s="108"/>
    </row>
    <row r="507" spans="1:14" x14ac:dyDescent="0.3">
      <c r="A507" s="77"/>
      <c r="B507" s="106"/>
      <c r="F507" s="124"/>
      <c r="G507" s="125"/>
      <c r="J507" s="125"/>
      <c r="L507" s="107"/>
      <c r="M507" s="108"/>
      <c r="N507" s="108"/>
    </row>
    <row r="508" spans="1:14" x14ac:dyDescent="0.3">
      <c r="A508" s="77"/>
      <c r="B508" s="106"/>
      <c r="F508" s="124"/>
      <c r="G508" s="125"/>
      <c r="J508" s="125"/>
      <c r="L508" s="107"/>
      <c r="M508" s="108"/>
      <c r="N508" s="108"/>
    </row>
    <row r="509" spans="1:14" x14ac:dyDescent="0.3">
      <c r="A509" s="77"/>
      <c r="B509" s="106"/>
      <c r="F509" s="124"/>
      <c r="G509" s="125"/>
      <c r="J509" s="125"/>
      <c r="L509" s="107"/>
      <c r="M509" s="108"/>
      <c r="N509" s="108"/>
    </row>
    <row r="510" spans="1:14" x14ac:dyDescent="0.3">
      <c r="A510" s="77"/>
      <c r="B510" s="106"/>
      <c r="F510" s="124"/>
      <c r="G510" s="125"/>
      <c r="J510" s="125"/>
      <c r="L510" s="107"/>
      <c r="M510" s="108"/>
      <c r="N510" s="108"/>
    </row>
    <row r="511" spans="1:14" x14ac:dyDescent="0.3">
      <c r="A511" s="77"/>
      <c r="B511" s="106"/>
      <c r="F511" s="124"/>
      <c r="G511" s="125"/>
      <c r="J511" s="125"/>
      <c r="L511" s="107"/>
      <c r="M511" s="108"/>
      <c r="N511" s="108"/>
    </row>
    <row r="512" spans="1:14" x14ac:dyDescent="0.3">
      <c r="A512" s="77"/>
      <c r="B512" s="106"/>
      <c r="F512" s="124"/>
      <c r="G512" s="125"/>
      <c r="J512" s="125"/>
      <c r="L512" s="107"/>
      <c r="M512" s="108"/>
      <c r="N512" s="108"/>
    </row>
    <row r="513" spans="1:14" x14ac:dyDescent="0.3">
      <c r="A513" s="77"/>
      <c r="B513" s="106"/>
      <c r="F513" s="124"/>
      <c r="G513" s="125"/>
      <c r="J513" s="125"/>
      <c r="L513" s="107"/>
      <c r="M513" s="108"/>
      <c r="N513" s="108"/>
    </row>
    <row r="514" spans="1:14" x14ac:dyDescent="0.3">
      <c r="A514" s="77"/>
      <c r="B514" s="106"/>
      <c r="F514" s="124"/>
      <c r="G514" s="125"/>
      <c r="J514" s="125"/>
      <c r="L514" s="107"/>
      <c r="M514" s="108"/>
      <c r="N514" s="108"/>
    </row>
    <row r="515" spans="1:14" x14ac:dyDescent="0.3">
      <c r="A515" s="77"/>
      <c r="B515" s="106"/>
      <c r="F515" s="124"/>
      <c r="G515" s="125"/>
      <c r="J515" s="125"/>
      <c r="L515" s="107"/>
      <c r="M515" s="108"/>
      <c r="N515" s="108"/>
    </row>
    <row r="516" spans="1:14" x14ac:dyDescent="0.3">
      <c r="A516" s="77"/>
      <c r="B516" s="106"/>
      <c r="F516" s="124"/>
      <c r="G516" s="125"/>
      <c r="J516" s="125"/>
      <c r="L516" s="107"/>
      <c r="M516" s="108"/>
      <c r="N516" s="108"/>
    </row>
    <row r="517" spans="1:14" x14ac:dyDescent="0.3">
      <c r="A517" s="77"/>
      <c r="B517" s="106"/>
      <c r="F517" s="124"/>
      <c r="G517" s="125"/>
      <c r="J517" s="125"/>
      <c r="L517" s="107"/>
      <c r="M517" s="108"/>
      <c r="N517" s="108"/>
    </row>
    <row r="518" spans="1:14" x14ac:dyDescent="0.3">
      <c r="A518" s="77"/>
      <c r="B518" s="106"/>
      <c r="F518" s="124"/>
      <c r="G518" s="125"/>
      <c r="J518" s="125"/>
      <c r="L518" s="107"/>
      <c r="M518" s="108"/>
      <c r="N518" s="108"/>
    </row>
    <row r="519" spans="1:14" x14ac:dyDescent="0.3">
      <c r="A519" s="77"/>
      <c r="B519" s="106"/>
      <c r="F519" s="124"/>
      <c r="G519" s="125"/>
      <c r="J519" s="125"/>
      <c r="L519" s="107"/>
      <c r="M519" s="108"/>
      <c r="N519" s="108"/>
    </row>
    <row r="520" spans="1:14" x14ac:dyDescent="0.3">
      <c r="A520" s="77"/>
      <c r="B520" s="106"/>
      <c r="F520" s="124"/>
      <c r="G520" s="125"/>
      <c r="J520" s="125"/>
      <c r="L520" s="107"/>
      <c r="M520" s="108"/>
      <c r="N520" s="108"/>
    </row>
    <row r="521" spans="1:14" x14ac:dyDescent="0.3">
      <c r="A521" s="77"/>
      <c r="B521" s="106"/>
      <c r="F521" s="124"/>
      <c r="G521" s="125"/>
      <c r="J521" s="125"/>
      <c r="L521" s="107"/>
      <c r="M521" s="108"/>
      <c r="N521" s="108"/>
    </row>
    <row r="522" spans="1:14" x14ac:dyDescent="0.3">
      <c r="A522" s="77"/>
      <c r="B522" s="106"/>
      <c r="F522" s="124"/>
      <c r="G522" s="125"/>
      <c r="J522" s="125"/>
      <c r="L522" s="107"/>
      <c r="M522" s="108"/>
      <c r="N522" s="108"/>
    </row>
    <row r="523" spans="1:14" x14ac:dyDescent="0.3">
      <c r="A523" s="77"/>
      <c r="B523" s="106"/>
      <c r="F523" s="124"/>
      <c r="G523" s="125"/>
      <c r="J523" s="125"/>
      <c r="L523" s="107"/>
      <c r="M523" s="108"/>
      <c r="N523" s="108"/>
    </row>
    <row r="524" spans="1:14" x14ac:dyDescent="0.3">
      <c r="A524" s="77"/>
      <c r="B524" s="106"/>
      <c r="F524" s="124"/>
      <c r="G524" s="125"/>
      <c r="J524" s="125"/>
      <c r="L524" s="107"/>
      <c r="M524" s="108"/>
      <c r="N524" s="108"/>
    </row>
    <row r="525" spans="1:14" x14ac:dyDescent="0.3">
      <c r="A525" s="77"/>
      <c r="B525" s="106"/>
      <c r="F525" s="124"/>
      <c r="G525" s="125"/>
      <c r="J525" s="125"/>
      <c r="L525" s="107"/>
      <c r="M525" s="108"/>
      <c r="N525" s="108"/>
    </row>
    <row r="526" spans="1:14" x14ac:dyDescent="0.3">
      <c r="A526" s="77"/>
      <c r="B526" s="106"/>
      <c r="F526" s="124"/>
      <c r="G526" s="125"/>
      <c r="J526" s="125"/>
      <c r="L526" s="107"/>
      <c r="M526" s="108"/>
      <c r="N526" s="108"/>
    </row>
    <row r="527" spans="1:14" x14ac:dyDescent="0.3">
      <c r="A527" s="77"/>
      <c r="B527" s="106"/>
      <c r="F527" s="124"/>
      <c r="G527" s="125"/>
      <c r="J527" s="125"/>
      <c r="L527" s="107"/>
      <c r="M527" s="108"/>
      <c r="N527" s="108"/>
    </row>
    <row r="528" spans="1:14" x14ac:dyDescent="0.3">
      <c r="A528" s="77"/>
      <c r="B528" s="106"/>
      <c r="F528" s="124"/>
      <c r="G528" s="125"/>
      <c r="J528" s="125"/>
      <c r="L528" s="107"/>
      <c r="M528" s="108"/>
      <c r="N528" s="108"/>
    </row>
    <row r="529" spans="1:14" x14ac:dyDescent="0.3">
      <c r="A529" s="77"/>
      <c r="B529" s="106"/>
      <c r="F529" s="124"/>
      <c r="G529" s="125"/>
      <c r="J529" s="125"/>
      <c r="L529" s="107"/>
      <c r="M529" s="108"/>
      <c r="N529" s="108"/>
    </row>
    <row r="530" spans="1:14" x14ac:dyDescent="0.3">
      <c r="A530" s="77"/>
      <c r="B530" s="106"/>
      <c r="F530" s="124"/>
      <c r="G530" s="125"/>
      <c r="J530" s="125"/>
      <c r="L530" s="107"/>
      <c r="M530" s="108"/>
      <c r="N530" s="108"/>
    </row>
    <row r="531" spans="1:14" x14ac:dyDescent="0.3">
      <c r="A531" s="77"/>
      <c r="B531" s="106"/>
      <c r="F531" s="124"/>
      <c r="G531" s="125"/>
      <c r="J531" s="125"/>
      <c r="L531" s="107"/>
      <c r="M531" s="108"/>
      <c r="N531" s="108"/>
    </row>
    <row r="532" spans="1:14" x14ac:dyDescent="0.3">
      <c r="A532" s="77"/>
      <c r="B532" s="106"/>
      <c r="F532" s="124"/>
      <c r="G532" s="125"/>
      <c r="J532" s="125"/>
      <c r="L532" s="107"/>
      <c r="M532" s="108"/>
      <c r="N532" s="108"/>
    </row>
    <row r="533" spans="1:14" x14ac:dyDescent="0.3">
      <c r="A533" s="77"/>
      <c r="B533" s="106"/>
      <c r="F533" s="124"/>
      <c r="G533" s="125"/>
      <c r="J533" s="125"/>
      <c r="L533" s="107"/>
      <c r="M533" s="108"/>
      <c r="N533" s="108"/>
    </row>
    <row r="534" spans="1:14" x14ac:dyDescent="0.3">
      <c r="A534" s="77"/>
      <c r="B534" s="106"/>
      <c r="F534" s="124"/>
      <c r="G534" s="125"/>
      <c r="J534" s="125"/>
      <c r="L534" s="107"/>
      <c r="M534" s="108"/>
      <c r="N534" s="108"/>
    </row>
    <row r="535" spans="1:14" x14ac:dyDescent="0.3">
      <c r="A535" s="77"/>
      <c r="B535" s="106"/>
      <c r="F535" s="124"/>
      <c r="G535" s="125"/>
      <c r="J535" s="125"/>
      <c r="L535" s="107"/>
      <c r="M535" s="108"/>
      <c r="N535" s="108"/>
    </row>
    <row r="536" spans="1:14" x14ac:dyDescent="0.3">
      <c r="A536" s="77"/>
      <c r="B536" s="106"/>
      <c r="F536" s="124"/>
      <c r="G536" s="125"/>
      <c r="J536" s="125"/>
      <c r="L536" s="107"/>
      <c r="M536" s="108"/>
      <c r="N536" s="108"/>
    </row>
    <row r="537" spans="1:14" x14ac:dyDescent="0.3">
      <c r="A537" s="77"/>
      <c r="B537" s="106"/>
      <c r="F537" s="124"/>
      <c r="G537" s="125"/>
      <c r="J537" s="125"/>
      <c r="L537" s="107"/>
      <c r="M537" s="108"/>
      <c r="N537" s="108"/>
    </row>
    <row r="538" spans="1:14" x14ac:dyDescent="0.3">
      <c r="A538" s="77"/>
      <c r="B538" s="106"/>
      <c r="F538" s="124"/>
      <c r="G538" s="125"/>
      <c r="J538" s="125"/>
      <c r="L538" s="107"/>
      <c r="M538" s="108"/>
      <c r="N538" s="108"/>
    </row>
    <row r="539" spans="1:14" x14ac:dyDescent="0.3">
      <c r="A539" s="77"/>
      <c r="B539" s="106"/>
      <c r="F539" s="124"/>
      <c r="G539" s="125"/>
      <c r="J539" s="125"/>
      <c r="L539" s="107"/>
      <c r="M539" s="108"/>
      <c r="N539" s="108"/>
    </row>
    <row r="540" spans="1:14" x14ac:dyDescent="0.3">
      <c r="A540" s="77"/>
      <c r="B540" s="106"/>
      <c r="F540" s="124"/>
      <c r="G540" s="125"/>
      <c r="J540" s="125"/>
      <c r="L540" s="107"/>
      <c r="M540" s="108"/>
      <c r="N540" s="108"/>
    </row>
    <row r="541" spans="1:14" x14ac:dyDescent="0.3">
      <c r="A541" s="77"/>
      <c r="B541" s="106"/>
      <c r="F541" s="124"/>
      <c r="G541" s="125"/>
      <c r="J541" s="125"/>
      <c r="L541" s="107"/>
      <c r="M541" s="108"/>
      <c r="N541" s="108"/>
    </row>
    <row r="542" spans="1:14" x14ac:dyDescent="0.3">
      <c r="A542" s="77"/>
      <c r="B542" s="106"/>
      <c r="F542" s="124"/>
      <c r="G542" s="125"/>
      <c r="J542" s="125"/>
      <c r="L542" s="107"/>
      <c r="M542" s="108"/>
      <c r="N542" s="108"/>
    </row>
    <row r="543" spans="1:14" x14ac:dyDescent="0.3">
      <c r="A543" s="77"/>
      <c r="B543" s="106"/>
      <c r="F543" s="124"/>
      <c r="G543" s="125"/>
      <c r="J543" s="125"/>
      <c r="L543" s="107"/>
      <c r="M543" s="108"/>
      <c r="N543" s="108"/>
    </row>
    <row r="544" spans="1:14" x14ac:dyDescent="0.3">
      <c r="A544" s="77"/>
      <c r="B544" s="106"/>
      <c r="F544" s="124"/>
      <c r="G544" s="125"/>
      <c r="J544" s="125"/>
      <c r="L544" s="107"/>
      <c r="M544" s="108"/>
      <c r="N544" s="108"/>
    </row>
    <row r="545" spans="1:14" x14ac:dyDescent="0.3">
      <c r="A545" s="77"/>
      <c r="B545" s="106"/>
      <c r="F545" s="124"/>
      <c r="G545" s="125"/>
      <c r="J545" s="125"/>
      <c r="L545" s="107"/>
      <c r="M545" s="108"/>
      <c r="N545" s="108"/>
    </row>
    <row r="546" spans="1:14" x14ac:dyDescent="0.3">
      <c r="A546" s="77"/>
      <c r="B546" s="106"/>
      <c r="F546" s="124"/>
      <c r="G546" s="125"/>
      <c r="J546" s="125"/>
      <c r="L546" s="107"/>
      <c r="M546" s="108"/>
      <c r="N546" s="108"/>
    </row>
    <row r="547" spans="1:14" x14ac:dyDescent="0.3">
      <c r="A547" s="77"/>
      <c r="B547" s="106"/>
      <c r="F547" s="124"/>
      <c r="G547" s="125"/>
      <c r="J547" s="125"/>
      <c r="L547" s="107"/>
      <c r="M547" s="108"/>
      <c r="N547" s="108"/>
    </row>
    <row r="548" spans="1:14" x14ac:dyDescent="0.3">
      <c r="A548" s="77"/>
      <c r="B548" s="106"/>
      <c r="F548" s="124"/>
      <c r="G548" s="125"/>
      <c r="J548" s="125"/>
      <c r="L548" s="107"/>
      <c r="M548" s="108"/>
      <c r="N548" s="108"/>
    </row>
    <row r="549" spans="1:14" x14ac:dyDescent="0.3">
      <c r="A549" s="77"/>
      <c r="B549" s="106"/>
      <c r="F549" s="124"/>
      <c r="G549" s="125"/>
      <c r="J549" s="125"/>
      <c r="L549" s="107"/>
      <c r="M549" s="108"/>
      <c r="N549" s="108"/>
    </row>
    <row r="550" spans="1:14" x14ac:dyDescent="0.3">
      <c r="A550" s="77"/>
      <c r="B550" s="106"/>
      <c r="F550" s="124"/>
      <c r="G550" s="125"/>
      <c r="J550" s="125"/>
      <c r="L550" s="107"/>
      <c r="M550" s="108"/>
      <c r="N550" s="108"/>
    </row>
    <row r="551" spans="1:14" x14ac:dyDescent="0.3">
      <c r="A551" s="77"/>
      <c r="B551" s="106"/>
      <c r="F551" s="124"/>
      <c r="G551" s="125"/>
      <c r="J551" s="125"/>
      <c r="L551" s="107"/>
      <c r="M551" s="108"/>
      <c r="N551" s="108"/>
    </row>
    <row r="552" spans="1:14" x14ac:dyDescent="0.3">
      <c r="A552" s="77"/>
      <c r="B552" s="106"/>
      <c r="F552" s="124"/>
      <c r="G552" s="125"/>
      <c r="J552" s="125"/>
      <c r="L552" s="107"/>
      <c r="M552" s="108"/>
      <c r="N552" s="108"/>
    </row>
    <row r="553" spans="1:14" x14ac:dyDescent="0.3">
      <c r="A553" s="77"/>
      <c r="B553" s="106"/>
      <c r="F553" s="124"/>
      <c r="G553" s="125"/>
      <c r="J553" s="125"/>
      <c r="L553" s="107"/>
      <c r="M553" s="108"/>
      <c r="N553" s="108"/>
    </row>
    <row r="554" spans="1:14" x14ac:dyDescent="0.3">
      <c r="A554" s="77"/>
      <c r="B554" s="106"/>
      <c r="F554" s="124"/>
      <c r="G554" s="125"/>
      <c r="J554" s="125"/>
      <c r="L554" s="107"/>
      <c r="M554" s="108"/>
      <c r="N554" s="108"/>
    </row>
    <row r="555" spans="1:14" x14ac:dyDescent="0.3">
      <c r="A555" s="77"/>
      <c r="B555" s="106"/>
      <c r="F555" s="124"/>
      <c r="G555" s="125"/>
      <c r="J555" s="125"/>
      <c r="L555" s="107"/>
      <c r="M555" s="108"/>
      <c r="N555" s="108"/>
    </row>
    <row r="556" spans="1:14" x14ac:dyDescent="0.3">
      <c r="A556" s="77"/>
      <c r="B556" s="106"/>
      <c r="F556" s="124"/>
      <c r="G556" s="125"/>
      <c r="J556" s="125"/>
      <c r="L556" s="107"/>
      <c r="M556" s="108"/>
      <c r="N556" s="108"/>
    </row>
    <row r="557" spans="1:14" x14ac:dyDescent="0.3">
      <c r="A557" s="77"/>
      <c r="B557" s="106"/>
      <c r="F557" s="124"/>
      <c r="G557" s="125"/>
      <c r="J557" s="125"/>
      <c r="L557" s="107"/>
      <c r="M557" s="108"/>
      <c r="N557" s="108"/>
    </row>
    <row r="558" spans="1:14" x14ac:dyDescent="0.3">
      <c r="A558" s="77"/>
      <c r="B558" s="106"/>
      <c r="F558" s="124"/>
      <c r="G558" s="125"/>
      <c r="J558" s="125"/>
      <c r="L558" s="107"/>
      <c r="M558" s="108"/>
      <c r="N558" s="108"/>
    </row>
    <row r="559" spans="1:14" x14ac:dyDescent="0.3">
      <c r="A559" s="77"/>
      <c r="B559" s="106"/>
      <c r="F559" s="124"/>
      <c r="G559" s="125"/>
      <c r="J559" s="125"/>
      <c r="L559" s="107"/>
      <c r="M559" s="108"/>
      <c r="N559" s="108"/>
    </row>
    <row r="560" spans="1:14" x14ac:dyDescent="0.3">
      <c r="A560" s="77"/>
      <c r="B560" s="106"/>
      <c r="F560" s="124"/>
      <c r="G560" s="125"/>
      <c r="J560" s="125"/>
      <c r="L560" s="107"/>
      <c r="M560" s="108"/>
      <c r="N560" s="108"/>
    </row>
    <row r="561" spans="1:14" x14ac:dyDescent="0.3">
      <c r="A561" s="77"/>
      <c r="B561" s="106"/>
      <c r="F561" s="124"/>
      <c r="G561" s="125"/>
      <c r="J561" s="125"/>
      <c r="L561" s="107"/>
      <c r="M561" s="108"/>
      <c r="N561" s="108"/>
    </row>
    <row r="562" spans="1:14" x14ac:dyDescent="0.3">
      <c r="A562" s="77"/>
      <c r="B562" s="106"/>
      <c r="F562" s="124"/>
      <c r="G562" s="125"/>
      <c r="J562" s="125"/>
      <c r="L562" s="107"/>
      <c r="M562" s="108"/>
      <c r="N562" s="108"/>
    </row>
    <row r="563" spans="1:14" x14ac:dyDescent="0.3">
      <c r="A563" s="77"/>
      <c r="B563" s="106"/>
      <c r="F563" s="124"/>
      <c r="G563" s="125"/>
      <c r="J563" s="125"/>
      <c r="L563" s="107"/>
      <c r="M563" s="108"/>
      <c r="N563" s="108"/>
    </row>
    <row r="564" spans="1:14" x14ac:dyDescent="0.3">
      <c r="A564" s="77"/>
      <c r="B564" s="106"/>
      <c r="F564" s="124"/>
      <c r="G564" s="125"/>
      <c r="J564" s="125"/>
      <c r="L564" s="107"/>
      <c r="M564" s="108"/>
      <c r="N564" s="108"/>
    </row>
    <row r="565" spans="1:14" x14ac:dyDescent="0.3">
      <c r="A565" s="77"/>
      <c r="B565" s="106"/>
      <c r="F565" s="124"/>
      <c r="G565" s="125"/>
      <c r="J565" s="125"/>
      <c r="L565" s="107"/>
      <c r="M565" s="108"/>
      <c r="N565" s="108"/>
    </row>
    <row r="566" spans="1:14" x14ac:dyDescent="0.3">
      <c r="A566" s="77"/>
      <c r="B566" s="106"/>
      <c r="F566" s="124"/>
      <c r="G566" s="125"/>
      <c r="J566" s="125"/>
      <c r="L566" s="107"/>
      <c r="M566" s="108"/>
      <c r="N566" s="108"/>
    </row>
    <row r="567" spans="1:14" x14ac:dyDescent="0.3">
      <c r="A567" s="77"/>
      <c r="B567" s="106"/>
      <c r="F567" s="124"/>
      <c r="G567" s="125"/>
      <c r="J567" s="125"/>
      <c r="L567" s="107"/>
      <c r="M567" s="108"/>
      <c r="N567" s="108"/>
    </row>
    <row r="568" spans="1:14" x14ac:dyDescent="0.3">
      <c r="A568" s="77"/>
      <c r="B568" s="106"/>
      <c r="F568" s="124"/>
      <c r="G568" s="125"/>
      <c r="J568" s="125"/>
      <c r="L568" s="107"/>
      <c r="M568" s="108"/>
      <c r="N568" s="108"/>
    </row>
    <row r="569" spans="1:14" x14ac:dyDescent="0.3">
      <c r="A569" s="77"/>
      <c r="B569" s="106"/>
      <c r="F569" s="124"/>
      <c r="G569" s="125"/>
      <c r="J569" s="125"/>
      <c r="L569" s="107"/>
      <c r="M569" s="108"/>
      <c r="N569" s="108"/>
    </row>
    <row r="570" spans="1:14" x14ac:dyDescent="0.3">
      <c r="A570" s="77"/>
      <c r="B570" s="106"/>
      <c r="F570" s="124"/>
      <c r="G570" s="125"/>
      <c r="J570" s="125"/>
      <c r="L570" s="107"/>
      <c r="M570" s="108"/>
      <c r="N570" s="108"/>
    </row>
    <row r="571" spans="1:14" x14ac:dyDescent="0.3">
      <c r="A571" s="77"/>
      <c r="B571" s="106"/>
      <c r="F571" s="124"/>
      <c r="G571" s="125"/>
      <c r="J571" s="125"/>
      <c r="L571" s="107"/>
      <c r="M571" s="108"/>
      <c r="N571" s="108"/>
    </row>
    <row r="572" spans="1:14" x14ac:dyDescent="0.3">
      <c r="A572" s="77"/>
      <c r="B572" s="106"/>
      <c r="F572" s="124"/>
      <c r="G572" s="125"/>
      <c r="J572" s="125"/>
      <c r="L572" s="107"/>
      <c r="M572" s="108"/>
      <c r="N572" s="108"/>
    </row>
    <row r="573" spans="1:14" x14ac:dyDescent="0.3">
      <c r="A573" s="77"/>
      <c r="B573" s="106"/>
      <c r="F573" s="124"/>
      <c r="G573" s="125"/>
      <c r="J573" s="125"/>
      <c r="L573" s="107"/>
      <c r="M573" s="108"/>
      <c r="N573" s="108"/>
    </row>
    <row r="574" spans="1:14" x14ac:dyDescent="0.3">
      <c r="A574" s="77"/>
      <c r="B574" s="106"/>
      <c r="F574" s="124"/>
      <c r="G574" s="125"/>
      <c r="J574" s="125"/>
      <c r="L574" s="107"/>
      <c r="M574" s="108"/>
      <c r="N574" s="108"/>
    </row>
    <row r="575" spans="1:14" x14ac:dyDescent="0.3">
      <c r="A575" s="77"/>
      <c r="B575" s="106"/>
      <c r="F575" s="124"/>
      <c r="G575" s="125"/>
      <c r="J575" s="125"/>
      <c r="L575" s="107"/>
      <c r="M575" s="108"/>
      <c r="N575" s="108"/>
    </row>
    <row r="576" spans="1:14" x14ac:dyDescent="0.3">
      <c r="A576" s="77"/>
      <c r="B576" s="106"/>
      <c r="F576" s="124"/>
      <c r="G576" s="125"/>
      <c r="J576" s="125"/>
      <c r="L576" s="107"/>
      <c r="M576" s="108"/>
      <c r="N576" s="108"/>
    </row>
    <row r="577" spans="1:14" x14ac:dyDescent="0.3">
      <c r="A577" s="77"/>
      <c r="B577" s="106"/>
      <c r="F577" s="124"/>
      <c r="G577" s="125"/>
      <c r="J577" s="125"/>
      <c r="L577" s="107"/>
      <c r="M577" s="108"/>
      <c r="N577" s="108"/>
    </row>
    <row r="578" spans="1:14" x14ac:dyDescent="0.3">
      <c r="A578" s="77"/>
      <c r="B578" s="106"/>
      <c r="F578" s="124"/>
      <c r="G578" s="125"/>
      <c r="J578" s="125"/>
      <c r="L578" s="107"/>
      <c r="M578" s="108"/>
      <c r="N578" s="108"/>
    </row>
    <row r="579" spans="1:14" x14ac:dyDescent="0.3">
      <c r="A579" s="77"/>
      <c r="B579" s="106"/>
      <c r="F579" s="124"/>
      <c r="G579" s="125"/>
      <c r="J579" s="125"/>
      <c r="L579" s="107"/>
      <c r="M579" s="108"/>
      <c r="N579" s="108"/>
    </row>
    <row r="580" spans="1:14" x14ac:dyDescent="0.3">
      <c r="A580" s="77"/>
      <c r="B580" s="106"/>
      <c r="F580" s="124"/>
      <c r="G580" s="125"/>
      <c r="J580" s="125"/>
      <c r="L580" s="107"/>
      <c r="M580" s="108"/>
      <c r="N580" s="108"/>
    </row>
    <row r="581" spans="1:14" x14ac:dyDescent="0.3">
      <c r="A581" s="77"/>
      <c r="B581" s="106"/>
      <c r="F581" s="124"/>
      <c r="G581" s="125"/>
      <c r="J581" s="125"/>
      <c r="L581" s="107"/>
      <c r="M581" s="108"/>
      <c r="N581" s="108"/>
    </row>
    <row r="582" spans="1:14" x14ac:dyDescent="0.3">
      <c r="A582" s="77"/>
      <c r="B582" s="106"/>
      <c r="F582" s="124"/>
      <c r="G582" s="125"/>
      <c r="J582" s="125"/>
      <c r="L582" s="107"/>
      <c r="M582" s="108"/>
      <c r="N582" s="108"/>
    </row>
    <row r="583" spans="1:14" x14ac:dyDescent="0.3">
      <c r="A583" s="77"/>
      <c r="B583" s="106"/>
      <c r="F583" s="124"/>
      <c r="G583" s="125"/>
      <c r="J583" s="125"/>
      <c r="L583" s="107"/>
      <c r="M583" s="108"/>
      <c r="N583" s="108"/>
    </row>
    <row r="584" spans="1:14" x14ac:dyDescent="0.3">
      <c r="A584" s="77"/>
      <c r="B584" s="106"/>
      <c r="F584" s="124"/>
      <c r="G584" s="125"/>
      <c r="J584" s="125"/>
      <c r="L584" s="107"/>
      <c r="M584" s="108"/>
      <c r="N584" s="108"/>
    </row>
    <row r="585" spans="1:14" x14ac:dyDescent="0.3">
      <c r="A585" s="77"/>
      <c r="B585" s="106"/>
      <c r="F585" s="124"/>
      <c r="G585" s="125"/>
      <c r="J585" s="125"/>
      <c r="L585" s="107"/>
      <c r="M585" s="108"/>
      <c r="N585" s="108"/>
    </row>
    <row r="586" spans="1:14" x14ac:dyDescent="0.3">
      <c r="A586" s="77"/>
      <c r="B586" s="106"/>
      <c r="F586" s="124"/>
      <c r="G586" s="125"/>
      <c r="J586" s="125"/>
      <c r="L586" s="107"/>
      <c r="M586" s="108"/>
      <c r="N586" s="108"/>
    </row>
    <row r="587" spans="1:14" x14ac:dyDescent="0.3">
      <c r="A587" s="77"/>
      <c r="B587" s="106"/>
      <c r="F587" s="124"/>
      <c r="G587" s="125"/>
      <c r="J587" s="125"/>
      <c r="L587" s="107"/>
      <c r="M587" s="108"/>
      <c r="N587" s="108"/>
    </row>
    <row r="588" spans="1:14" x14ac:dyDescent="0.3">
      <c r="A588" s="77"/>
      <c r="B588" s="106"/>
      <c r="F588" s="124"/>
      <c r="G588" s="125"/>
      <c r="J588" s="125"/>
      <c r="L588" s="107"/>
      <c r="M588" s="108"/>
      <c r="N588" s="108"/>
    </row>
    <row r="589" spans="1:14" x14ac:dyDescent="0.3">
      <c r="A589" s="77"/>
      <c r="B589" s="106"/>
      <c r="F589" s="124"/>
      <c r="G589" s="125"/>
      <c r="J589" s="125"/>
      <c r="L589" s="107"/>
      <c r="M589" s="108"/>
      <c r="N589" s="108"/>
    </row>
    <row r="590" spans="1:14" x14ac:dyDescent="0.3">
      <c r="A590" s="77"/>
      <c r="B590" s="106"/>
      <c r="F590" s="124"/>
      <c r="G590" s="125"/>
      <c r="J590" s="125"/>
      <c r="L590" s="107"/>
      <c r="M590" s="108"/>
      <c r="N590" s="108"/>
    </row>
    <row r="591" spans="1:14" x14ac:dyDescent="0.3">
      <c r="A591" s="77"/>
      <c r="B591" s="106"/>
      <c r="F591" s="124"/>
      <c r="G591" s="125"/>
      <c r="J591" s="125"/>
      <c r="L591" s="107"/>
      <c r="M591" s="108"/>
      <c r="N591" s="108"/>
    </row>
    <row r="592" spans="1:14" x14ac:dyDescent="0.3">
      <c r="A592" s="77"/>
      <c r="B592" s="106"/>
      <c r="F592" s="124"/>
      <c r="G592" s="125"/>
      <c r="J592" s="125"/>
      <c r="L592" s="107"/>
      <c r="M592" s="108"/>
      <c r="N592" s="108"/>
    </row>
    <row r="593" spans="1:14" x14ac:dyDescent="0.3">
      <c r="A593" s="77"/>
      <c r="B593" s="106"/>
      <c r="F593" s="124"/>
      <c r="G593" s="125"/>
      <c r="J593" s="125"/>
      <c r="L593" s="107"/>
      <c r="M593" s="108"/>
      <c r="N593" s="108"/>
    </row>
    <row r="594" spans="1:14" x14ac:dyDescent="0.3">
      <c r="A594" s="77"/>
      <c r="B594" s="106"/>
      <c r="F594" s="124"/>
      <c r="G594" s="125"/>
      <c r="J594" s="125"/>
      <c r="L594" s="107"/>
      <c r="M594" s="108"/>
      <c r="N594" s="108"/>
    </row>
    <row r="595" spans="1:14" x14ac:dyDescent="0.3">
      <c r="A595" s="77"/>
      <c r="B595" s="106"/>
      <c r="F595" s="124"/>
      <c r="G595" s="125"/>
      <c r="J595" s="125"/>
      <c r="L595" s="107"/>
      <c r="M595" s="108"/>
      <c r="N595" s="108"/>
    </row>
    <row r="596" spans="1:14" x14ac:dyDescent="0.3">
      <c r="A596" s="77"/>
      <c r="B596" s="106"/>
      <c r="F596" s="124"/>
      <c r="G596" s="125"/>
      <c r="J596" s="125"/>
      <c r="L596" s="107"/>
      <c r="M596" s="108"/>
      <c r="N596" s="108"/>
    </row>
    <row r="597" spans="1:14" x14ac:dyDescent="0.3">
      <c r="A597" s="77"/>
      <c r="B597" s="106"/>
      <c r="F597" s="124"/>
      <c r="G597" s="125"/>
      <c r="J597" s="125"/>
      <c r="L597" s="107"/>
      <c r="M597" s="108"/>
      <c r="N597" s="108"/>
    </row>
    <row r="598" spans="1:14" x14ac:dyDescent="0.3">
      <c r="A598" s="77"/>
      <c r="B598" s="106"/>
      <c r="F598" s="124"/>
      <c r="G598" s="125"/>
      <c r="J598" s="125"/>
      <c r="L598" s="107"/>
      <c r="M598" s="108"/>
      <c r="N598" s="108"/>
    </row>
    <row r="599" spans="1:14" x14ac:dyDescent="0.3">
      <c r="A599" s="77"/>
      <c r="B599" s="106"/>
      <c r="F599" s="124"/>
      <c r="G599" s="125"/>
      <c r="J599" s="125"/>
      <c r="L599" s="107"/>
      <c r="M599" s="108"/>
      <c r="N599" s="108"/>
    </row>
    <row r="600" spans="1:14" x14ac:dyDescent="0.3">
      <c r="A600" s="77"/>
      <c r="B600" s="106"/>
      <c r="F600" s="124"/>
      <c r="G600" s="125"/>
      <c r="J600" s="125"/>
      <c r="L600" s="107"/>
      <c r="M600" s="108"/>
      <c r="N600" s="108"/>
    </row>
    <row r="601" spans="1:14" x14ac:dyDescent="0.3">
      <c r="A601" s="77"/>
      <c r="B601" s="106"/>
      <c r="F601" s="124"/>
      <c r="G601" s="125"/>
      <c r="J601" s="125"/>
      <c r="L601" s="107"/>
      <c r="M601" s="108"/>
      <c r="N601" s="108"/>
    </row>
    <row r="602" spans="1:14" x14ac:dyDescent="0.3">
      <c r="A602" s="77"/>
      <c r="B602" s="106"/>
      <c r="F602" s="124"/>
      <c r="G602" s="125"/>
      <c r="J602" s="125"/>
      <c r="L602" s="107"/>
      <c r="M602" s="108"/>
      <c r="N602" s="108"/>
    </row>
    <row r="603" spans="1:14" x14ac:dyDescent="0.3">
      <c r="A603" s="77"/>
      <c r="B603" s="106"/>
      <c r="F603" s="124"/>
      <c r="G603" s="125"/>
      <c r="J603" s="125"/>
      <c r="L603" s="107"/>
      <c r="M603" s="108"/>
      <c r="N603" s="108"/>
    </row>
    <row r="604" spans="1:14" x14ac:dyDescent="0.3">
      <c r="A604" s="77"/>
      <c r="B604" s="106"/>
      <c r="F604" s="124"/>
      <c r="G604" s="125"/>
      <c r="J604" s="125"/>
      <c r="L604" s="107"/>
      <c r="M604" s="108"/>
      <c r="N604" s="108"/>
    </row>
    <row r="605" spans="1:14" x14ac:dyDescent="0.3">
      <c r="A605" s="77"/>
      <c r="B605" s="106"/>
      <c r="F605" s="124"/>
      <c r="G605" s="125"/>
      <c r="J605" s="125"/>
      <c r="L605" s="107"/>
      <c r="M605" s="108"/>
      <c r="N605" s="108"/>
    </row>
    <row r="606" spans="1:14" x14ac:dyDescent="0.3">
      <c r="A606" s="77"/>
      <c r="B606" s="106"/>
      <c r="F606" s="124"/>
      <c r="G606" s="125"/>
      <c r="J606" s="125"/>
      <c r="L606" s="107"/>
      <c r="M606" s="108"/>
      <c r="N606" s="108"/>
    </row>
    <row r="607" spans="1:14" x14ac:dyDescent="0.3">
      <c r="A607" s="77"/>
      <c r="B607" s="106"/>
      <c r="F607" s="124"/>
      <c r="G607" s="125"/>
      <c r="J607" s="125"/>
      <c r="L607" s="107"/>
      <c r="M607" s="108"/>
      <c r="N607" s="108"/>
    </row>
    <row r="608" spans="1:14" x14ac:dyDescent="0.3">
      <c r="A608" s="77"/>
      <c r="B608" s="106"/>
      <c r="F608" s="124"/>
      <c r="G608" s="125"/>
      <c r="J608" s="125"/>
      <c r="L608" s="107"/>
      <c r="M608" s="108"/>
      <c r="N608" s="108"/>
    </row>
    <row r="609" spans="1:14" x14ac:dyDescent="0.3">
      <c r="A609" s="77"/>
      <c r="B609" s="106"/>
      <c r="F609" s="124"/>
      <c r="G609" s="125"/>
      <c r="J609" s="125"/>
      <c r="L609" s="107"/>
      <c r="M609" s="108"/>
      <c r="N609" s="108"/>
    </row>
    <row r="610" spans="1:14" x14ac:dyDescent="0.3">
      <c r="A610" s="77"/>
      <c r="B610" s="106"/>
      <c r="F610" s="124"/>
      <c r="G610" s="125"/>
      <c r="J610" s="125"/>
      <c r="L610" s="107"/>
      <c r="M610" s="108"/>
      <c r="N610" s="108"/>
    </row>
    <row r="611" spans="1:14" x14ac:dyDescent="0.3">
      <c r="A611" s="77"/>
      <c r="B611" s="106"/>
      <c r="F611" s="124"/>
      <c r="G611" s="125"/>
      <c r="J611" s="125"/>
      <c r="L611" s="107"/>
      <c r="M611" s="108"/>
      <c r="N611" s="108"/>
    </row>
    <row r="612" spans="1:14" x14ac:dyDescent="0.3">
      <c r="A612" s="77"/>
      <c r="B612" s="106"/>
      <c r="F612" s="124"/>
      <c r="G612" s="125"/>
      <c r="J612" s="125"/>
      <c r="L612" s="107"/>
      <c r="M612" s="108"/>
      <c r="N612" s="108"/>
    </row>
    <row r="613" spans="1:14" x14ac:dyDescent="0.3">
      <c r="A613" s="77"/>
      <c r="B613" s="106"/>
      <c r="F613" s="124"/>
      <c r="G613" s="125"/>
      <c r="J613" s="125"/>
      <c r="L613" s="107"/>
      <c r="M613" s="108"/>
      <c r="N613" s="108"/>
    </row>
    <row r="614" spans="1:14" x14ac:dyDescent="0.3">
      <c r="A614" s="77"/>
      <c r="B614" s="106"/>
      <c r="F614" s="124"/>
      <c r="G614" s="125"/>
      <c r="J614" s="125"/>
      <c r="L614" s="107"/>
      <c r="M614" s="108"/>
      <c r="N614" s="108"/>
    </row>
    <row r="615" spans="1:14" x14ac:dyDescent="0.3">
      <c r="A615" s="77"/>
      <c r="B615" s="106"/>
      <c r="F615" s="124"/>
      <c r="G615" s="125"/>
      <c r="J615" s="125"/>
      <c r="L615" s="107"/>
      <c r="M615" s="108"/>
      <c r="N615" s="108"/>
    </row>
    <row r="616" spans="1:14" x14ac:dyDescent="0.3">
      <c r="A616" s="77"/>
      <c r="B616" s="106"/>
      <c r="F616" s="124"/>
      <c r="G616" s="125"/>
      <c r="J616" s="125"/>
      <c r="L616" s="107"/>
      <c r="M616" s="108"/>
      <c r="N616" s="108"/>
    </row>
    <row r="617" spans="1:14" x14ac:dyDescent="0.3">
      <c r="A617" s="77"/>
      <c r="B617" s="106"/>
      <c r="F617" s="124"/>
      <c r="G617" s="125"/>
      <c r="J617" s="125"/>
      <c r="L617" s="107"/>
      <c r="M617" s="108"/>
      <c r="N617" s="108"/>
    </row>
    <row r="618" spans="1:14" x14ac:dyDescent="0.3">
      <c r="A618" s="77"/>
      <c r="B618" s="106"/>
      <c r="F618" s="124"/>
      <c r="G618" s="125"/>
      <c r="J618" s="125"/>
      <c r="L618" s="107"/>
      <c r="M618" s="108"/>
      <c r="N618" s="108"/>
    </row>
    <row r="619" spans="1:14" x14ac:dyDescent="0.3">
      <c r="A619" s="77"/>
      <c r="B619" s="106"/>
      <c r="F619" s="124"/>
      <c r="G619" s="125"/>
      <c r="J619" s="125"/>
      <c r="L619" s="107"/>
      <c r="M619" s="108"/>
      <c r="N619" s="108"/>
    </row>
    <row r="620" spans="1:14" x14ac:dyDescent="0.3">
      <c r="A620" s="77"/>
      <c r="B620" s="106"/>
      <c r="F620" s="124"/>
      <c r="G620" s="125"/>
      <c r="J620" s="125"/>
      <c r="L620" s="107"/>
      <c r="M620" s="108"/>
      <c r="N620" s="108"/>
    </row>
    <row r="621" spans="1:14" x14ac:dyDescent="0.3">
      <c r="A621" s="77"/>
      <c r="B621" s="106"/>
      <c r="F621" s="124"/>
      <c r="G621" s="125"/>
      <c r="J621" s="125"/>
      <c r="L621" s="107"/>
      <c r="M621" s="108"/>
      <c r="N621" s="108"/>
    </row>
    <row r="622" spans="1:14" x14ac:dyDescent="0.3">
      <c r="A622" s="77"/>
      <c r="B622" s="106"/>
      <c r="F622" s="124"/>
      <c r="G622" s="125"/>
      <c r="J622" s="125"/>
      <c r="L622" s="107"/>
      <c r="M622" s="108"/>
      <c r="N622" s="108"/>
    </row>
    <row r="623" spans="1:14" x14ac:dyDescent="0.3">
      <c r="A623" s="77"/>
      <c r="B623" s="106"/>
      <c r="F623" s="124"/>
      <c r="G623" s="125"/>
      <c r="J623" s="125"/>
      <c r="L623" s="107"/>
      <c r="M623" s="108"/>
      <c r="N623" s="108"/>
    </row>
    <row r="624" spans="1:14" x14ac:dyDescent="0.3">
      <c r="A624" s="77"/>
      <c r="B624" s="106"/>
      <c r="F624" s="124"/>
      <c r="G624" s="125"/>
      <c r="J624" s="125"/>
      <c r="L624" s="107"/>
      <c r="M624" s="108"/>
      <c r="N624" s="108"/>
    </row>
    <row r="625" spans="1:14" x14ac:dyDescent="0.3">
      <c r="A625" s="77"/>
      <c r="B625" s="106"/>
      <c r="F625" s="124"/>
      <c r="G625" s="125"/>
      <c r="J625" s="125"/>
      <c r="L625" s="107"/>
      <c r="M625" s="108"/>
      <c r="N625" s="108"/>
    </row>
    <row r="626" spans="1:14" x14ac:dyDescent="0.3">
      <c r="A626" s="77"/>
      <c r="B626" s="106"/>
      <c r="F626" s="124"/>
      <c r="G626" s="125"/>
      <c r="J626" s="125"/>
      <c r="L626" s="107"/>
      <c r="M626" s="108"/>
      <c r="N626" s="108"/>
    </row>
    <row r="627" spans="1:14" x14ac:dyDescent="0.3">
      <c r="A627" s="77"/>
      <c r="B627" s="106"/>
      <c r="F627" s="124"/>
      <c r="G627" s="125"/>
      <c r="J627" s="125"/>
      <c r="L627" s="107"/>
      <c r="M627" s="108"/>
      <c r="N627" s="108"/>
    </row>
    <row r="628" spans="1:14" x14ac:dyDescent="0.3">
      <c r="A628" s="77"/>
      <c r="B628" s="106"/>
      <c r="F628" s="124"/>
      <c r="G628" s="125"/>
      <c r="J628" s="125"/>
      <c r="L628" s="107"/>
      <c r="M628" s="108"/>
      <c r="N628" s="108"/>
    </row>
    <row r="629" spans="1:14" x14ac:dyDescent="0.3">
      <c r="A629" s="77"/>
      <c r="B629" s="106"/>
      <c r="F629" s="124"/>
      <c r="G629" s="125"/>
      <c r="J629" s="125"/>
      <c r="L629" s="107"/>
      <c r="M629" s="108"/>
      <c r="N629" s="108"/>
    </row>
    <row r="630" spans="1:14" x14ac:dyDescent="0.3">
      <c r="A630" s="77"/>
      <c r="B630" s="106"/>
      <c r="F630" s="124"/>
      <c r="G630" s="125"/>
      <c r="J630" s="125"/>
      <c r="L630" s="107"/>
      <c r="M630" s="108"/>
      <c r="N630" s="108"/>
    </row>
    <row r="631" spans="1:14" x14ac:dyDescent="0.3">
      <c r="A631" s="77"/>
      <c r="B631" s="106"/>
      <c r="F631" s="124"/>
      <c r="G631" s="125"/>
      <c r="J631" s="125"/>
      <c r="L631" s="107"/>
      <c r="M631" s="108"/>
      <c r="N631" s="108"/>
    </row>
    <row r="632" spans="1:14" x14ac:dyDescent="0.3">
      <c r="A632" s="77"/>
      <c r="B632" s="106"/>
      <c r="F632" s="124"/>
      <c r="G632" s="125"/>
      <c r="J632" s="125"/>
      <c r="L632" s="107"/>
      <c r="M632" s="108"/>
      <c r="N632" s="108"/>
    </row>
    <row r="633" spans="1:14" x14ac:dyDescent="0.3">
      <c r="A633" s="77"/>
      <c r="B633" s="106"/>
      <c r="F633" s="124"/>
      <c r="G633" s="125"/>
      <c r="J633" s="125"/>
      <c r="L633" s="107"/>
      <c r="M633" s="108"/>
      <c r="N633" s="108"/>
    </row>
    <row r="634" spans="1:14" x14ac:dyDescent="0.3">
      <c r="A634" s="77"/>
      <c r="B634" s="106"/>
      <c r="F634" s="124"/>
      <c r="G634" s="125"/>
      <c r="J634" s="125"/>
      <c r="L634" s="107"/>
      <c r="M634" s="108"/>
      <c r="N634" s="108"/>
    </row>
    <row r="635" spans="1:14" x14ac:dyDescent="0.3">
      <c r="A635" s="77"/>
      <c r="B635" s="106"/>
      <c r="F635" s="124"/>
      <c r="G635" s="125"/>
      <c r="J635" s="125"/>
      <c r="L635" s="107"/>
      <c r="M635" s="108"/>
      <c r="N635" s="108"/>
    </row>
    <row r="636" spans="1:14" x14ac:dyDescent="0.3">
      <c r="A636" s="77"/>
      <c r="B636" s="106"/>
      <c r="F636" s="124"/>
      <c r="G636" s="125"/>
      <c r="J636" s="125"/>
      <c r="L636" s="107"/>
      <c r="M636" s="108"/>
      <c r="N636" s="108"/>
    </row>
    <row r="637" spans="1:14" x14ac:dyDescent="0.3">
      <c r="A637" s="77"/>
      <c r="B637" s="106"/>
      <c r="F637" s="124"/>
      <c r="G637" s="125"/>
      <c r="J637" s="125"/>
      <c r="L637" s="107"/>
      <c r="M637" s="108"/>
      <c r="N637" s="108"/>
    </row>
    <row r="638" spans="1:14" x14ac:dyDescent="0.3">
      <c r="A638" s="77"/>
      <c r="B638" s="106"/>
      <c r="F638" s="124"/>
      <c r="G638" s="125"/>
      <c r="J638" s="125"/>
      <c r="L638" s="107"/>
      <c r="M638" s="108"/>
      <c r="N638" s="108"/>
    </row>
    <row r="639" spans="1:14" x14ac:dyDescent="0.3">
      <c r="A639" s="77"/>
      <c r="B639" s="106"/>
      <c r="F639" s="124"/>
      <c r="G639" s="125"/>
      <c r="J639" s="125"/>
      <c r="L639" s="107"/>
      <c r="M639" s="108"/>
      <c r="N639" s="108"/>
    </row>
    <row r="640" spans="1:14" x14ac:dyDescent="0.3">
      <c r="A640" s="77"/>
      <c r="B640" s="106"/>
      <c r="F640" s="124"/>
      <c r="G640" s="125"/>
      <c r="J640" s="125"/>
      <c r="L640" s="107"/>
      <c r="M640" s="108"/>
      <c r="N640" s="108"/>
    </row>
    <row r="641" spans="1:14" x14ac:dyDescent="0.3">
      <c r="A641" s="77"/>
      <c r="B641" s="106"/>
      <c r="F641" s="124"/>
      <c r="G641" s="125"/>
      <c r="J641" s="125"/>
      <c r="L641" s="107"/>
      <c r="M641" s="108"/>
      <c r="N641" s="108"/>
    </row>
    <row r="642" spans="1:14" x14ac:dyDescent="0.3">
      <c r="A642" s="77"/>
      <c r="B642" s="106"/>
      <c r="F642" s="124"/>
      <c r="G642" s="125"/>
      <c r="J642" s="125"/>
      <c r="L642" s="107"/>
      <c r="M642" s="108"/>
      <c r="N642" s="108"/>
    </row>
    <row r="643" spans="1:14" x14ac:dyDescent="0.3">
      <c r="A643" s="77"/>
      <c r="B643" s="106"/>
      <c r="F643" s="124"/>
      <c r="G643" s="125"/>
      <c r="J643" s="125"/>
      <c r="L643" s="107"/>
      <c r="M643" s="108"/>
      <c r="N643" s="108"/>
    </row>
    <row r="644" spans="1:14" x14ac:dyDescent="0.3">
      <c r="A644" s="77"/>
      <c r="B644" s="106"/>
      <c r="F644" s="124"/>
      <c r="G644" s="125"/>
      <c r="J644" s="125"/>
      <c r="L644" s="107"/>
      <c r="M644" s="108"/>
      <c r="N644" s="108"/>
    </row>
    <row r="645" spans="1:14" x14ac:dyDescent="0.3">
      <c r="A645" s="77"/>
      <c r="B645" s="106"/>
      <c r="F645" s="124"/>
      <c r="G645" s="125"/>
      <c r="J645" s="125"/>
      <c r="L645" s="107"/>
      <c r="M645" s="108"/>
      <c r="N645" s="108"/>
    </row>
    <row r="646" spans="1:14" x14ac:dyDescent="0.3">
      <c r="A646" s="77"/>
      <c r="B646" s="106"/>
      <c r="F646" s="124"/>
      <c r="G646" s="125"/>
      <c r="J646" s="125"/>
      <c r="L646" s="107"/>
      <c r="M646" s="108"/>
      <c r="N646" s="108"/>
    </row>
    <row r="647" spans="1:14" x14ac:dyDescent="0.3">
      <c r="A647" s="77"/>
      <c r="B647" s="106"/>
      <c r="F647" s="124"/>
      <c r="G647" s="125"/>
      <c r="J647" s="125"/>
      <c r="L647" s="107"/>
      <c r="M647" s="108"/>
      <c r="N647" s="108"/>
    </row>
    <row r="648" spans="1:14" x14ac:dyDescent="0.3">
      <c r="A648" s="77"/>
      <c r="B648" s="106"/>
      <c r="F648" s="124"/>
      <c r="G648" s="125"/>
      <c r="J648" s="125"/>
      <c r="L648" s="107"/>
      <c r="M648" s="108"/>
      <c r="N648" s="108"/>
    </row>
    <row r="649" spans="1:14" x14ac:dyDescent="0.3">
      <c r="A649" s="77"/>
      <c r="B649" s="106"/>
      <c r="F649" s="124"/>
      <c r="G649" s="125"/>
      <c r="J649" s="125"/>
      <c r="L649" s="107"/>
      <c r="M649" s="108"/>
      <c r="N649" s="108"/>
    </row>
    <row r="650" spans="1:14" x14ac:dyDescent="0.3">
      <c r="A650" s="77"/>
      <c r="B650" s="106"/>
      <c r="F650" s="124"/>
      <c r="G650" s="125"/>
      <c r="J650" s="125"/>
      <c r="L650" s="107"/>
      <c r="M650" s="108"/>
      <c r="N650" s="108"/>
    </row>
    <row r="651" spans="1:14" x14ac:dyDescent="0.3">
      <c r="A651" s="77"/>
      <c r="B651" s="106"/>
      <c r="F651" s="124"/>
      <c r="G651" s="125"/>
      <c r="J651" s="125"/>
      <c r="L651" s="107"/>
      <c r="M651" s="108"/>
      <c r="N651" s="108"/>
    </row>
    <row r="652" spans="1:14" x14ac:dyDescent="0.3">
      <c r="A652" s="77"/>
      <c r="B652" s="106"/>
      <c r="F652" s="124"/>
      <c r="G652" s="125"/>
      <c r="J652" s="125"/>
      <c r="L652" s="107"/>
      <c r="M652" s="108"/>
      <c r="N652" s="108"/>
    </row>
    <row r="653" spans="1:14" x14ac:dyDescent="0.3">
      <c r="A653" s="77"/>
      <c r="B653" s="106"/>
      <c r="F653" s="124"/>
      <c r="G653" s="125"/>
      <c r="J653" s="125"/>
      <c r="L653" s="107"/>
      <c r="M653" s="108"/>
      <c r="N653" s="108"/>
    </row>
    <row r="654" spans="1:14" x14ac:dyDescent="0.3">
      <c r="A654" s="77"/>
      <c r="B654" s="106"/>
      <c r="F654" s="124"/>
      <c r="G654" s="125"/>
      <c r="J654" s="125"/>
      <c r="L654" s="107"/>
      <c r="M654" s="108"/>
      <c r="N654" s="108"/>
    </row>
    <row r="655" spans="1:14" x14ac:dyDescent="0.3">
      <c r="A655" s="77"/>
      <c r="B655" s="106"/>
      <c r="F655" s="124"/>
      <c r="G655" s="125"/>
      <c r="J655" s="125"/>
      <c r="L655" s="107"/>
      <c r="M655" s="108"/>
      <c r="N655" s="108"/>
    </row>
    <row r="656" spans="1:14" x14ac:dyDescent="0.3">
      <c r="A656" s="77"/>
      <c r="B656" s="106"/>
      <c r="F656" s="124"/>
      <c r="G656" s="125"/>
      <c r="J656" s="125"/>
      <c r="L656" s="107"/>
      <c r="M656" s="108"/>
      <c r="N656" s="108"/>
    </row>
    <row r="657" spans="1:14" x14ac:dyDescent="0.3">
      <c r="A657" s="77"/>
      <c r="B657" s="106"/>
      <c r="F657" s="124"/>
      <c r="G657" s="125"/>
      <c r="J657" s="125"/>
      <c r="L657" s="107"/>
      <c r="M657" s="108"/>
      <c r="N657" s="108"/>
    </row>
    <row r="658" spans="1:14" x14ac:dyDescent="0.3">
      <c r="A658" s="77"/>
      <c r="B658" s="106"/>
      <c r="F658" s="124"/>
      <c r="G658" s="125"/>
      <c r="J658" s="125"/>
      <c r="L658" s="107"/>
      <c r="M658" s="108"/>
      <c r="N658" s="108"/>
    </row>
    <row r="659" spans="1:14" x14ac:dyDescent="0.3">
      <c r="A659" s="77"/>
      <c r="B659" s="106"/>
      <c r="F659" s="124"/>
      <c r="G659" s="125"/>
      <c r="J659" s="125"/>
      <c r="L659" s="107"/>
      <c r="M659" s="108"/>
      <c r="N659" s="108"/>
    </row>
    <row r="660" spans="1:14" x14ac:dyDescent="0.3">
      <c r="A660" s="77"/>
      <c r="B660" s="106"/>
      <c r="F660" s="124"/>
      <c r="G660" s="125"/>
      <c r="J660" s="125"/>
      <c r="L660" s="107"/>
      <c r="M660" s="108"/>
      <c r="N660" s="108"/>
    </row>
    <row r="661" spans="1:14" x14ac:dyDescent="0.3">
      <c r="A661" s="77"/>
      <c r="B661" s="106"/>
      <c r="F661" s="124"/>
      <c r="G661" s="125"/>
      <c r="J661" s="125"/>
      <c r="L661" s="107"/>
      <c r="M661" s="108"/>
      <c r="N661" s="108"/>
    </row>
    <row r="662" spans="1:14" x14ac:dyDescent="0.3">
      <c r="A662" s="77"/>
      <c r="B662" s="106"/>
      <c r="F662" s="124"/>
      <c r="G662" s="125"/>
      <c r="J662" s="125"/>
      <c r="L662" s="107"/>
      <c r="M662" s="108"/>
      <c r="N662" s="108"/>
    </row>
    <row r="663" spans="1:14" x14ac:dyDescent="0.3">
      <c r="A663" s="77"/>
      <c r="B663" s="106"/>
      <c r="F663" s="124"/>
      <c r="G663" s="125"/>
      <c r="J663" s="125"/>
      <c r="L663" s="107"/>
      <c r="M663" s="108"/>
      <c r="N663" s="108"/>
    </row>
    <row r="664" spans="1:14" x14ac:dyDescent="0.3">
      <c r="A664" s="77"/>
      <c r="B664" s="106"/>
      <c r="F664" s="124"/>
      <c r="G664" s="125"/>
      <c r="J664" s="125"/>
      <c r="L664" s="107"/>
      <c r="M664" s="108"/>
      <c r="N664" s="108"/>
    </row>
    <row r="665" spans="1:14" x14ac:dyDescent="0.3">
      <c r="A665" s="77"/>
      <c r="B665" s="106"/>
      <c r="F665" s="124"/>
      <c r="G665" s="125"/>
      <c r="J665" s="125"/>
      <c r="L665" s="107"/>
      <c r="M665" s="108"/>
      <c r="N665" s="108"/>
    </row>
    <row r="666" spans="1:14" x14ac:dyDescent="0.3">
      <c r="A666" s="77"/>
      <c r="B666" s="106"/>
      <c r="F666" s="124"/>
      <c r="G666" s="125"/>
      <c r="J666" s="125"/>
      <c r="L666" s="107"/>
      <c r="M666" s="108"/>
      <c r="N666" s="108"/>
    </row>
    <row r="667" spans="1:14" x14ac:dyDescent="0.3">
      <c r="A667" s="77"/>
      <c r="B667" s="106"/>
      <c r="F667" s="124"/>
      <c r="G667" s="125"/>
      <c r="J667" s="125"/>
      <c r="L667" s="107"/>
      <c r="M667" s="108"/>
      <c r="N667" s="108"/>
    </row>
    <row r="668" spans="1:14" x14ac:dyDescent="0.3">
      <c r="A668" s="77"/>
      <c r="B668" s="106"/>
      <c r="F668" s="124"/>
      <c r="G668" s="125"/>
      <c r="J668" s="125"/>
      <c r="L668" s="107"/>
      <c r="M668" s="108"/>
      <c r="N668" s="108"/>
    </row>
    <row r="669" spans="1:14" x14ac:dyDescent="0.3">
      <c r="A669" s="77"/>
      <c r="B669" s="106"/>
      <c r="F669" s="124"/>
      <c r="G669" s="125"/>
      <c r="J669" s="125"/>
      <c r="L669" s="107"/>
      <c r="M669" s="108"/>
      <c r="N669" s="108"/>
    </row>
    <row r="670" spans="1:14" x14ac:dyDescent="0.3">
      <c r="A670" s="77"/>
      <c r="B670" s="106"/>
      <c r="F670" s="124"/>
      <c r="G670" s="125"/>
      <c r="J670" s="125"/>
      <c r="L670" s="107"/>
      <c r="M670" s="108"/>
      <c r="N670" s="108"/>
    </row>
    <row r="671" spans="1:14" x14ac:dyDescent="0.3">
      <c r="A671" s="77"/>
      <c r="B671" s="106"/>
      <c r="F671" s="124"/>
      <c r="G671" s="125"/>
      <c r="J671" s="125"/>
      <c r="L671" s="107"/>
      <c r="M671" s="108"/>
      <c r="N671" s="108"/>
    </row>
    <row r="672" spans="1:14" x14ac:dyDescent="0.3">
      <c r="A672" s="77"/>
      <c r="B672" s="106"/>
      <c r="F672" s="124"/>
      <c r="G672" s="125"/>
      <c r="J672" s="125"/>
      <c r="L672" s="107"/>
      <c r="M672" s="108"/>
      <c r="N672" s="108"/>
    </row>
    <row r="673" spans="1:14" x14ac:dyDescent="0.3">
      <c r="A673" s="77"/>
      <c r="B673" s="106"/>
      <c r="F673" s="124"/>
      <c r="G673" s="125"/>
      <c r="J673" s="125"/>
      <c r="L673" s="107"/>
      <c r="M673" s="108"/>
      <c r="N673" s="108"/>
    </row>
    <row r="674" spans="1:14" x14ac:dyDescent="0.3">
      <c r="A674" s="77"/>
      <c r="B674" s="106"/>
      <c r="F674" s="124"/>
      <c r="G674" s="125"/>
      <c r="J674" s="125"/>
      <c r="L674" s="107"/>
      <c r="M674" s="108"/>
      <c r="N674" s="108"/>
    </row>
    <row r="675" spans="1:14" x14ac:dyDescent="0.3">
      <c r="A675" s="77"/>
      <c r="B675" s="106"/>
      <c r="F675" s="124"/>
      <c r="G675" s="125"/>
      <c r="J675" s="125"/>
      <c r="L675" s="107"/>
      <c r="M675" s="108"/>
      <c r="N675" s="108"/>
    </row>
    <row r="676" spans="1:14" x14ac:dyDescent="0.3">
      <c r="A676" s="77"/>
      <c r="B676" s="106"/>
      <c r="F676" s="124"/>
      <c r="G676" s="125"/>
      <c r="J676" s="125"/>
      <c r="L676" s="107"/>
      <c r="M676" s="108"/>
      <c r="N676" s="108"/>
    </row>
    <row r="677" spans="1:14" x14ac:dyDescent="0.3">
      <c r="A677" s="77"/>
      <c r="B677" s="106"/>
      <c r="F677" s="124"/>
      <c r="G677" s="125"/>
      <c r="J677" s="125"/>
      <c r="L677" s="107"/>
      <c r="M677" s="108"/>
      <c r="N677" s="108"/>
    </row>
    <row r="678" spans="1:14" x14ac:dyDescent="0.3">
      <c r="A678" s="77"/>
      <c r="B678" s="106"/>
      <c r="F678" s="124"/>
      <c r="G678" s="125"/>
      <c r="J678" s="125"/>
      <c r="L678" s="107"/>
      <c r="M678" s="108"/>
      <c r="N678" s="108"/>
    </row>
    <row r="679" spans="1:14" x14ac:dyDescent="0.3">
      <c r="A679" s="77"/>
      <c r="B679" s="106"/>
      <c r="F679" s="124"/>
      <c r="G679" s="125"/>
      <c r="J679" s="125"/>
      <c r="L679" s="107"/>
      <c r="M679" s="108"/>
      <c r="N679" s="108"/>
    </row>
    <row r="680" spans="1:14" x14ac:dyDescent="0.3">
      <c r="A680" s="77"/>
      <c r="B680" s="106"/>
      <c r="F680" s="124"/>
      <c r="G680" s="125"/>
      <c r="J680" s="125"/>
      <c r="L680" s="107"/>
      <c r="M680" s="108"/>
      <c r="N680" s="108"/>
    </row>
    <row r="681" spans="1:14" x14ac:dyDescent="0.3">
      <c r="A681" s="77"/>
      <c r="B681" s="106"/>
      <c r="F681" s="124"/>
      <c r="G681" s="125"/>
      <c r="J681" s="125"/>
      <c r="L681" s="107"/>
      <c r="M681" s="108"/>
      <c r="N681" s="108"/>
    </row>
    <row r="682" spans="1:14" x14ac:dyDescent="0.3">
      <c r="A682" s="77"/>
      <c r="B682" s="106"/>
      <c r="F682" s="124"/>
      <c r="G682" s="125"/>
      <c r="J682" s="125"/>
      <c r="L682" s="107"/>
      <c r="M682" s="108"/>
      <c r="N682" s="108"/>
    </row>
    <row r="683" spans="1:14" x14ac:dyDescent="0.3">
      <c r="A683" s="77"/>
      <c r="B683" s="106"/>
      <c r="F683" s="124"/>
      <c r="G683" s="125"/>
      <c r="J683" s="125"/>
      <c r="L683" s="107"/>
      <c r="M683" s="108"/>
      <c r="N683" s="108"/>
    </row>
    <row r="684" spans="1:14" x14ac:dyDescent="0.3">
      <c r="A684" s="77"/>
      <c r="B684" s="106"/>
      <c r="F684" s="124"/>
      <c r="G684" s="125"/>
      <c r="J684" s="125"/>
      <c r="L684" s="107"/>
      <c r="M684" s="108"/>
      <c r="N684" s="108"/>
    </row>
    <row r="685" spans="1:14" x14ac:dyDescent="0.3">
      <c r="A685" s="77"/>
      <c r="B685" s="106"/>
      <c r="F685" s="124"/>
      <c r="G685" s="125"/>
      <c r="J685" s="125"/>
      <c r="L685" s="107"/>
      <c r="M685" s="108"/>
      <c r="N685" s="108"/>
    </row>
    <row r="686" spans="1:14" x14ac:dyDescent="0.3">
      <c r="A686" s="77"/>
      <c r="B686" s="106"/>
      <c r="F686" s="124"/>
      <c r="G686" s="125"/>
      <c r="J686" s="125"/>
      <c r="L686" s="107"/>
      <c r="M686" s="108"/>
      <c r="N686" s="108"/>
    </row>
    <row r="687" spans="1:14" x14ac:dyDescent="0.3">
      <c r="A687" s="77"/>
      <c r="B687" s="106"/>
      <c r="F687" s="124"/>
      <c r="G687" s="125"/>
      <c r="J687" s="125"/>
      <c r="L687" s="107"/>
      <c r="M687" s="108"/>
      <c r="N687" s="108"/>
    </row>
    <row r="688" spans="1:14" x14ac:dyDescent="0.3">
      <c r="A688" s="77"/>
      <c r="B688" s="106"/>
      <c r="F688" s="124"/>
      <c r="G688" s="125"/>
      <c r="J688" s="125"/>
      <c r="L688" s="107"/>
      <c r="M688" s="108"/>
      <c r="N688" s="108"/>
    </row>
    <row r="689" spans="1:14" x14ac:dyDescent="0.3">
      <c r="A689" s="77"/>
      <c r="B689" s="106"/>
      <c r="F689" s="124"/>
      <c r="G689" s="125"/>
      <c r="J689" s="125"/>
      <c r="L689" s="107"/>
      <c r="M689" s="108"/>
      <c r="N689" s="108"/>
    </row>
    <row r="690" spans="1:14" x14ac:dyDescent="0.3">
      <c r="A690" s="77"/>
      <c r="B690" s="106"/>
      <c r="F690" s="124"/>
      <c r="G690" s="125"/>
      <c r="J690" s="125"/>
      <c r="L690" s="107"/>
      <c r="M690" s="108"/>
      <c r="N690" s="108"/>
    </row>
    <row r="691" spans="1:14" x14ac:dyDescent="0.3">
      <c r="A691" s="77"/>
      <c r="B691" s="106"/>
      <c r="F691" s="124"/>
      <c r="G691" s="125"/>
      <c r="J691" s="125"/>
      <c r="L691" s="107"/>
      <c r="M691" s="108"/>
      <c r="N691" s="108"/>
    </row>
    <row r="692" spans="1:14" x14ac:dyDescent="0.3">
      <c r="A692" s="77"/>
      <c r="B692" s="106"/>
      <c r="F692" s="124"/>
      <c r="G692" s="125"/>
      <c r="J692" s="125"/>
      <c r="L692" s="107"/>
      <c r="M692" s="108"/>
      <c r="N692" s="108"/>
    </row>
    <row r="693" spans="1:14" x14ac:dyDescent="0.3">
      <c r="A693" s="77"/>
      <c r="B693" s="106"/>
      <c r="F693" s="124"/>
      <c r="G693" s="125"/>
      <c r="J693" s="125"/>
      <c r="L693" s="107"/>
      <c r="M693" s="108"/>
      <c r="N693" s="108"/>
    </row>
    <row r="694" spans="1:14" x14ac:dyDescent="0.3">
      <c r="A694" s="77"/>
      <c r="B694" s="106"/>
      <c r="F694" s="124"/>
      <c r="G694" s="125"/>
      <c r="J694" s="125"/>
      <c r="L694" s="107"/>
      <c r="M694" s="108"/>
      <c r="N694" s="108"/>
    </row>
    <row r="695" spans="1:14" x14ac:dyDescent="0.3">
      <c r="A695" s="77"/>
      <c r="B695" s="106"/>
      <c r="F695" s="124"/>
      <c r="G695" s="125"/>
      <c r="J695" s="125"/>
      <c r="L695" s="107"/>
      <c r="M695" s="108"/>
      <c r="N695" s="108"/>
    </row>
    <row r="696" spans="1:14" x14ac:dyDescent="0.3">
      <c r="A696" s="77"/>
      <c r="B696" s="106"/>
      <c r="F696" s="124"/>
      <c r="G696" s="125"/>
      <c r="J696" s="125"/>
      <c r="L696" s="107"/>
      <c r="M696" s="108"/>
      <c r="N696" s="108"/>
    </row>
    <row r="697" spans="1:14" x14ac:dyDescent="0.3">
      <c r="A697" s="77"/>
      <c r="B697" s="106"/>
      <c r="F697" s="124"/>
      <c r="G697" s="125"/>
      <c r="J697" s="125"/>
      <c r="L697" s="107"/>
      <c r="M697" s="108"/>
      <c r="N697" s="108"/>
    </row>
    <row r="698" spans="1:14" x14ac:dyDescent="0.3">
      <c r="A698" s="77"/>
      <c r="B698" s="106"/>
      <c r="F698" s="124"/>
      <c r="G698" s="125"/>
      <c r="J698" s="125"/>
      <c r="L698" s="107"/>
      <c r="M698" s="108"/>
      <c r="N698" s="108"/>
    </row>
    <row r="699" spans="1:14" x14ac:dyDescent="0.3">
      <c r="A699" s="77"/>
      <c r="B699" s="106"/>
      <c r="F699" s="124"/>
      <c r="G699" s="125"/>
      <c r="J699" s="125"/>
      <c r="L699" s="107"/>
      <c r="M699" s="108"/>
      <c r="N699" s="108"/>
    </row>
    <row r="700" spans="1:14" x14ac:dyDescent="0.3">
      <c r="A700" s="77"/>
      <c r="B700" s="106"/>
      <c r="F700" s="124"/>
      <c r="G700" s="125"/>
      <c r="J700" s="125"/>
      <c r="L700" s="107"/>
      <c r="M700" s="108"/>
      <c r="N700" s="108"/>
    </row>
    <row r="701" spans="1:14" x14ac:dyDescent="0.3">
      <c r="A701" s="77"/>
      <c r="B701" s="106"/>
      <c r="F701" s="124"/>
      <c r="G701" s="125"/>
      <c r="J701" s="125"/>
      <c r="L701" s="107"/>
      <c r="M701" s="108"/>
      <c r="N701" s="108"/>
    </row>
    <row r="702" spans="1:14" x14ac:dyDescent="0.3">
      <c r="A702" s="77"/>
      <c r="B702" s="106"/>
      <c r="F702" s="124"/>
      <c r="G702" s="125"/>
      <c r="J702" s="125"/>
      <c r="L702" s="107"/>
      <c r="M702" s="108"/>
      <c r="N702" s="108"/>
    </row>
    <row r="703" spans="1:14" x14ac:dyDescent="0.3">
      <c r="A703" s="77"/>
      <c r="B703" s="106"/>
      <c r="F703" s="124"/>
      <c r="G703" s="125"/>
      <c r="J703" s="125"/>
      <c r="L703" s="107"/>
      <c r="M703" s="108"/>
      <c r="N703" s="108"/>
    </row>
    <row r="704" spans="1:14" x14ac:dyDescent="0.3">
      <c r="A704" s="77"/>
      <c r="B704" s="106"/>
      <c r="F704" s="124"/>
      <c r="G704" s="125"/>
      <c r="J704" s="125"/>
      <c r="L704" s="107"/>
      <c r="M704" s="108"/>
      <c r="N704" s="108"/>
    </row>
    <row r="705" spans="1:14" x14ac:dyDescent="0.3">
      <c r="A705" s="77"/>
      <c r="B705" s="106"/>
      <c r="F705" s="124"/>
      <c r="G705" s="125"/>
      <c r="J705" s="125"/>
      <c r="L705" s="107"/>
      <c r="M705" s="108"/>
      <c r="N705" s="108"/>
    </row>
  </sheetData>
  <conditionalFormatting sqref="I2:I232">
    <cfRule type="cellIs" dxfId="49" priority="1" operator="equal">
      <formula>"REVISAR"</formula>
    </cfRule>
    <cfRule type="cellIs" dxfId="48" priority="2" operator="equal">
      <formula>"CORRECTO"</formula>
    </cfRule>
  </conditionalFormatting>
  <conditionalFormatting sqref="L2:L232">
    <cfRule type="cellIs" dxfId="47" priority="3" operator="equal">
      <formula>"APROBADO"</formula>
    </cfRule>
    <cfRule type="cellIs" dxfId="46" priority="4" operator="equal">
      <formula>"PENDIENTE"</formula>
    </cfRule>
    <cfRule type="cellIs" dxfId="45" priority="5" operator="equal">
      <formula>"PAGADO"</formula>
    </cfRule>
  </conditionalFormatting>
  <dataValidations disablePrompts="1" count="1">
    <dataValidation type="list" allowBlank="1" showErrorMessage="1" sqref="L2:L232" xr:uid="{C1D343DC-ED14-4E03-BD15-80B1FA3178DF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80E02546-AAA6-4D66-B8B4-ADC35A0B764D}">
          <x14:formula1>
            <xm:f>'CUENTAS'!$A$2:$A$59</xm:f>
          </x14:formula1>
          <xm:sqref>C2:C232</xm:sqref>
        </x14:dataValidation>
        <x14:dataValidation type="list" allowBlank="1" showInputMessage="1" showErrorMessage="1" xr:uid="{6C92E5DB-46A5-47B6-9089-1C6F03BCE4B3}">
          <x14:formula1>
            <xm:f>'CUENTAS'!$G$2:$G$8</xm:f>
          </x14:formula1>
          <xm:sqref>J2:J232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AA698-63CD-47AF-A9D2-EAD94A9765EB}">
  <sheetPr>
    <tabColor theme="1" tint="4.9989318521683403E-2"/>
  </sheetPr>
  <dimension ref="A1:Q638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4.4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7.88671875" style="83" customWidth="1"/>
    <col min="8" max="9" width="17.88671875" style="97" customWidth="1"/>
    <col min="10" max="10" width="18.109375" style="83" bestFit="1" customWidth="1"/>
    <col min="11" max="11" width="14.77734375" style="98" customWidth="1"/>
    <col min="12" max="12" width="11.109375" style="99" customWidth="1"/>
    <col min="13" max="13" width="12.6640625" style="83"/>
    <col min="14" max="14" width="34.554687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77" customFormat="1" ht="24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5" t="s">
        <v>104</v>
      </c>
      <c r="N1" s="12" t="s">
        <v>105</v>
      </c>
    </row>
    <row r="2" spans="1:17" x14ac:dyDescent="0.3">
      <c r="A2" s="16" t="s">
        <v>682</v>
      </c>
      <c r="B2" s="16" t="s">
        <v>1060</v>
      </c>
      <c r="C2" s="28" t="s">
        <v>109</v>
      </c>
      <c r="D2" s="28" t="str">
        <f>IFERROR(VLOOKUP($C2,CUENTAS[],2,0),"")</f>
        <v>LOGÍSTICA</v>
      </c>
      <c r="E2" s="28" t="str">
        <f>IFERROR(VLOOKUP($C2,CUENTAS[],3,0),"")</f>
        <v>MDE2025-006A</v>
      </c>
      <c r="F2" s="86">
        <v>19613.2</v>
      </c>
      <c r="G2" s="86">
        <v>3138.11</v>
      </c>
      <c r="H2" s="74">
        <v>22751.31</v>
      </c>
      <c r="I2" s="200" t="str">
        <f>IFERROR(IF(F2+G2&lt;&gt;H2,"REVISAR","CORRECTO"),"")</f>
        <v>CORRECTO</v>
      </c>
      <c r="J2" s="88" t="s">
        <v>3244</v>
      </c>
      <c r="K2" s="69" t="s">
        <v>362</v>
      </c>
      <c r="L2" s="84" t="s">
        <v>227</v>
      </c>
      <c r="M2" s="135">
        <v>45749</v>
      </c>
      <c r="N2" s="75" t="s">
        <v>801</v>
      </c>
      <c r="P2" s="89"/>
      <c r="Q2" s="89"/>
    </row>
    <row r="3" spans="1:17" x14ac:dyDescent="0.3">
      <c r="A3" s="16" t="s">
        <v>310</v>
      </c>
      <c r="B3" s="16" t="s">
        <v>1061</v>
      </c>
      <c r="C3" s="28" t="s">
        <v>224</v>
      </c>
      <c r="D3" s="28" t="str">
        <f>IFERROR(VLOOKUP($C3,CUENTAS[],2,0),"")</f>
        <v>MATERIALES</v>
      </c>
      <c r="E3" s="28" t="str">
        <f>IFERROR(VLOOKUP($C3,CUENTAS[],3,0),"")</f>
        <v>MDE2025-004</v>
      </c>
      <c r="F3" s="86">
        <v>1846.6</v>
      </c>
      <c r="G3" s="86">
        <v>295.45999999999998</v>
      </c>
      <c r="H3" s="74">
        <v>2142.06</v>
      </c>
      <c r="I3" s="200" t="str">
        <f t="shared" ref="I3:I66" si="0">IFERROR(IF(F3+G3&lt;&gt;H3,"REVISAR","CORRECTO"),"")</f>
        <v>CORRECTO</v>
      </c>
      <c r="J3" s="88" t="s">
        <v>3244</v>
      </c>
      <c r="K3" s="69" t="s">
        <v>365</v>
      </c>
      <c r="L3" s="84" t="s">
        <v>227</v>
      </c>
      <c r="M3" s="135">
        <v>45749</v>
      </c>
      <c r="N3" s="75" t="s">
        <v>1161</v>
      </c>
      <c r="P3" s="89"/>
      <c r="Q3" s="89"/>
    </row>
    <row r="4" spans="1:17" x14ac:dyDescent="0.3">
      <c r="A4" s="16" t="s">
        <v>232</v>
      </c>
      <c r="B4" s="16" t="s">
        <v>1062</v>
      </c>
      <c r="C4" s="28" t="s">
        <v>224</v>
      </c>
      <c r="D4" s="28" t="str">
        <f>IFERROR(VLOOKUP($C4,CUENTAS[],2,0),"")</f>
        <v>MATERIALES</v>
      </c>
      <c r="E4" s="28" t="str">
        <f>IFERROR(VLOOKUP($C4,CUENTAS[],3,0),"")</f>
        <v>MDE2025-004</v>
      </c>
      <c r="F4" s="86">
        <v>3328.67</v>
      </c>
      <c r="G4" s="86">
        <v>532.59</v>
      </c>
      <c r="H4" s="74">
        <v>3861.26</v>
      </c>
      <c r="I4" s="200" t="str">
        <f t="shared" si="0"/>
        <v>CORRECTO</v>
      </c>
      <c r="J4" s="88" t="s">
        <v>3244</v>
      </c>
      <c r="K4" s="69" t="s">
        <v>365</v>
      </c>
      <c r="L4" s="84" t="s">
        <v>227</v>
      </c>
      <c r="M4" s="135">
        <v>45749</v>
      </c>
      <c r="N4" s="75" t="s">
        <v>1162</v>
      </c>
      <c r="P4" s="89"/>
      <c r="Q4" s="89"/>
    </row>
    <row r="5" spans="1:17" x14ac:dyDescent="0.3">
      <c r="A5" s="16" t="s">
        <v>284</v>
      </c>
      <c r="B5" s="16" t="s">
        <v>1063</v>
      </c>
      <c r="C5" s="28" t="s">
        <v>201</v>
      </c>
      <c r="D5" s="28" t="str">
        <f>IFERROR(VLOOKUP($C5,CUENTAS[],2,0),"")</f>
        <v>ACTIVOS FIJOS</v>
      </c>
      <c r="E5" s="28" t="str">
        <f>IFERROR(VLOOKUP($C5,CUENTAS[],3,0),"")</f>
        <v>MDE2025-007I</v>
      </c>
      <c r="F5" s="86">
        <v>8907.59</v>
      </c>
      <c r="G5" s="86">
        <v>1426.81</v>
      </c>
      <c r="H5" s="74">
        <v>10334.4</v>
      </c>
      <c r="I5" s="200" t="str">
        <f t="shared" si="0"/>
        <v>CORRECTO</v>
      </c>
      <c r="J5" s="88" t="s">
        <v>3244</v>
      </c>
      <c r="K5" s="69" t="s">
        <v>365</v>
      </c>
      <c r="L5" s="84" t="s">
        <v>227</v>
      </c>
      <c r="M5" s="136">
        <v>45749</v>
      </c>
      <c r="N5" s="75" t="s">
        <v>1163</v>
      </c>
      <c r="P5" s="89"/>
      <c r="Q5" s="89"/>
    </row>
    <row r="6" spans="1:17" x14ac:dyDescent="0.3">
      <c r="A6" s="16" t="s">
        <v>284</v>
      </c>
      <c r="B6" s="16" t="s">
        <v>1064</v>
      </c>
      <c r="C6" s="28" t="s">
        <v>224</v>
      </c>
      <c r="D6" s="28" t="str">
        <f>IFERROR(VLOOKUP($C6,CUENTAS[],2,0),"")</f>
        <v>MATERIALES</v>
      </c>
      <c r="E6" s="28" t="str">
        <f>IFERROR(VLOOKUP($C6,CUENTAS[],3,0),"")</f>
        <v>MDE2025-004</v>
      </c>
      <c r="F6" s="86">
        <v>6299.56</v>
      </c>
      <c r="G6" s="86">
        <v>1007.93</v>
      </c>
      <c r="H6" s="74">
        <v>7307.49</v>
      </c>
      <c r="I6" s="200" t="str">
        <f t="shared" si="0"/>
        <v>CORRECTO</v>
      </c>
      <c r="J6" s="88" t="s">
        <v>3244</v>
      </c>
      <c r="K6" s="69" t="s">
        <v>365</v>
      </c>
      <c r="L6" s="84" t="s">
        <v>227</v>
      </c>
      <c r="M6" s="135">
        <v>45749</v>
      </c>
      <c r="N6" s="75" t="s">
        <v>1164</v>
      </c>
      <c r="P6" s="89"/>
      <c r="Q6" s="89"/>
    </row>
    <row r="7" spans="1:17" x14ac:dyDescent="0.3">
      <c r="A7" s="16" t="s">
        <v>666</v>
      </c>
      <c r="B7" s="16" t="s">
        <v>765</v>
      </c>
      <c r="C7" s="28" t="s">
        <v>224</v>
      </c>
      <c r="D7" s="28" t="str">
        <f>IFERROR(VLOOKUP($C7,CUENTAS[],2,0),"")</f>
        <v>MATERIALES</v>
      </c>
      <c r="E7" s="28" t="str">
        <f>IFERROR(VLOOKUP($C7,CUENTAS[],3,0),"")</f>
        <v>MDE2025-004</v>
      </c>
      <c r="F7" s="86">
        <v>7429.48</v>
      </c>
      <c r="G7" s="86">
        <v>1188.72</v>
      </c>
      <c r="H7" s="74">
        <v>8618.2000000000007</v>
      </c>
      <c r="I7" s="200" t="str">
        <f t="shared" si="0"/>
        <v>CORRECTO</v>
      </c>
      <c r="J7" s="88" t="s">
        <v>3244</v>
      </c>
      <c r="K7" s="69" t="s">
        <v>407</v>
      </c>
      <c r="L7" s="84" t="s">
        <v>227</v>
      </c>
      <c r="M7" s="135">
        <v>45749</v>
      </c>
      <c r="N7" s="75" t="s">
        <v>816</v>
      </c>
      <c r="P7" s="89"/>
      <c r="Q7" s="89"/>
    </row>
    <row r="8" spans="1:17" x14ac:dyDescent="0.3">
      <c r="A8" s="16" t="s">
        <v>277</v>
      </c>
      <c r="B8" s="16" t="s">
        <v>1065</v>
      </c>
      <c r="C8" s="28" t="s">
        <v>222</v>
      </c>
      <c r="D8" s="28" t="str">
        <f>IFERROR(VLOOKUP($C8,CUENTAS[],2,0),"")</f>
        <v>MANTENIMIENTO</v>
      </c>
      <c r="E8" s="28" t="str">
        <f>IFERROR(VLOOKUP($C8,CUENTAS[],3,0),"")</f>
        <v>MDE2025-009A</v>
      </c>
      <c r="F8" s="86">
        <v>6340</v>
      </c>
      <c r="G8" s="86">
        <v>0</v>
      </c>
      <c r="H8" s="74">
        <v>6340</v>
      </c>
      <c r="I8" s="200" t="str">
        <f t="shared" si="0"/>
        <v>CORRECTO</v>
      </c>
      <c r="J8" s="88" t="s">
        <v>3244</v>
      </c>
      <c r="K8" s="69" t="s">
        <v>363</v>
      </c>
      <c r="L8" s="84" t="s">
        <v>227</v>
      </c>
      <c r="M8" s="135">
        <v>45750</v>
      </c>
      <c r="N8" s="75" t="s">
        <v>1165</v>
      </c>
      <c r="P8" s="89"/>
      <c r="Q8" s="89"/>
    </row>
    <row r="9" spans="1:17" x14ac:dyDescent="0.3">
      <c r="A9" s="16" t="s">
        <v>1066</v>
      </c>
      <c r="B9" s="16" t="s">
        <v>1067</v>
      </c>
      <c r="C9" s="28" t="s">
        <v>159</v>
      </c>
      <c r="D9" s="28" t="str">
        <f>IFERROR(VLOOKUP($C9,CUENTAS[],2,0),"")</f>
        <v>GASTOS VARIOS</v>
      </c>
      <c r="E9" s="28" t="str">
        <f>IFERROR(VLOOKUP($C9,CUENTAS[],3,0),"")</f>
        <v>MDE2025-003A</v>
      </c>
      <c r="F9" s="86">
        <v>1884.06</v>
      </c>
      <c r="G9" s="86">
        <v>301.44</v>
      </c>
      <c r="H9" s="74">
        <v>2185.5</v>
      </c>
      <c r="I9" s="200" t="str">
        <f t="shared" si="0"/>
        <v>CORRECTO</v>
      </c>
      <c r="J9" s="88" t="s">
        <v>3244</v>
      </c>
      <c r="K9" s="69" t="s">
        <v>407</v>
      </c>
      <c r="L9" s="84" t="s">
        <v>227</v>
      </c>
      <c r="M9" s="136">
        <v>45750</v>
      </c>
      <c r="N9" s="75" t="s">
        <v>1166</v>
      </c>
      <c r="P9" s="89"/>
      <c r="Q9" s="89"/>
    </row>
    <row r="10" spans="1:17" x14ac:dyDescent="0.3">
      <c r="A10" s="16" t="s">
        <v>1068</v>
      </c>
      <c r="B10" s="16" t="s">
        <v>1069</v>
      </c>
      <c r="C10" s="28" t="s">
        <v>177</v>
      </c>
      <c r="D10" s="28" t="str">
        <f>IFERROR(VLOOKUP($C10,CUENTAS[],2,0),"")</f>
        <v>GASTOS FIJOS</v>
      </c>
      <c r="E10" s="28" t="str">
        <f>IFERROR(VLOOKUP($C10,CUENTAS[],3,0),"")</f>
        <v>MDE2025-002A</v>
      </c>
      <c r="F10" s="86">
        <v>2800</v>
      </c>
      <c r="G10" s="86">
        <v>0</v>
      </c>
      <c r="H10" s="74">
        <v>2800</v>
      </c>
      <c r="I10" s="200" t="str">
        <f t="shared" si="0"/>
        <v>CORRECTO</v>
      </c>
      <c r="J10" s="88" t="s">
        <v>3244</v>
      </c>
      <c r="K10" s="69" t="s">
        <v>365</v>
      </c>
      <c r="L10" s="84" t="s">
        <v>227</v>
      </c>
      <c r="M10" s="136">
        <v>45750</v>
      </c>
      <c r="N10" s="75" t="s">
        <v>371</v>
      </c>
      <c r="P10" s="89"/>
      <c r="Q10" s="89"/>
    </row>
    <row r="11" spans="1:17" x14ac:dyDescent="0.3">
      <c r="A11" s="16" t="s">
        <v>228</v>
      </c>
      <c r="B11" s="16" t="s">
        <v>1070</v>
      </c>
      <c r="C11" s="28" t="s">
        <v>130</v>
      </c>
      <c r="D11" s="28" t="str">
        <f>IFERROR(VLOOKUP($C11,CUENTAS[],2,0),"")</f>
        <v>MATERIALES</v>
      </c>
      <c r="E11" s="28" t="str">
        <f>IFERROR(VLOOKUP($C11,CUENTAS[],3,0),"")</f>
        <v>MDE2025-004A</v>
      </c>
      <c r="F11" s="86">
        <v>3200</v>
      </c>
      <c r="G11" s="86">
        <v>0</v>
      </c>
      <c r="H11" s="74">
        <v>3200</v>
      </c>
      <c r="I11" s="200" t="str">
        <f t="shared" si="0"/>
        <v>CORRECTO</v>
      </c>
      <c r="J11" s="88" t="s">
        <v>3244</v>
      </c>
      <c r="K11" s="69" t="s">
        <v>363</v>
      </c>
      <c r="L11" s="84" t="s">
        <v>227</v>
      </c>
      <c r="M11" s="135">
        <v>45750</v>
      </c>
      <c r="N11" s="75" t="s">
        <v>368</v>
      </c>
      <c r="P11" s="89"/>
      <c r="Q11" s="89"/>
    </row>
    <row r="12" spans="1:17" x14ac:dyDescent="0.3">
      <c r="A12" s="16" t="s">
        <v>228</v>
      </c>
      <c r="B12" s="16" t="s">
        <v>1070</v>
      </c>
      <c r="C12" s="28" t="s">
        <v>130</v>
      </c>
      <c r="D12" s="28" t="str">
        <f>IFERROR(VLOOKUP($C12,CUENTAS[],2,0),"")</f>
        <v>MATERIALES</v>
      </c>
      <c r="E12" s="28" t="str">
        <f>IFERROR(VLOOKUP($C12,CUENTAS[],3,0),"")</f>
        <v>MDE2025-004A</v>
      </c>
      <c r="F12" s="86">
        <v>2400</v>
      </c>
      <c r="G12" s="86">
        <v>0</v>
      </c>
      <c r="H12" s="74">
        <v>2400</v>
      </c>
      <c r="I12" s="200" t="str">
        <f t="shared" si="0"/>
        <v>CORRECTO</v>
      </c>
      <c r="J12" s="88" t="s">
        <v>3244</v>
      </c>
      <c r="K12" s="69" t="s">
        <v>363</v>
      </c>
      <c r="L12" s="84" t="s">
        <v>227</v>
      </c>
      <c r="M12" s="135">
        <v>45750</v>
      </c>
      <c r="N12" s="75" t="s">
        <v>368</v>
      </c>
      <c r="P12" s="89"/>
      <c r="Q12" s="89"/>
    </row>
    <row r="13" spans="1:17" x14ac:dyDescent="0.3">
      <c r="A13" s="16" t="s">
        <v>228</v>
      </c>
      <c r="B13" s="16" t="s">
        <v>1070</v>
      </c>
      <c r="C13" s="28" t="s">
        <v>130</v>
      </c>
      <c r="D13" s="28" t="str">
        <f>IFERROR(VLOOKUP($C13,CUENTAS[],2,0),"")</f>
        <v>MATERIALES</v>
      </c>
      <c r="E13" s="28" t="str">
        <f>IFERROR(VLOOKUP($C13,CUENTAS[],3,0),"")</f>
        <v>MDE2025-004A</v>
      </c>
      <c r="F13" s="86">
        <v>1700</v>
      </c>
      <c r="G13" s="86">
        <v>0</v>
      </c>
      <c r="H13" s="74">
        <v>1700</v>
      </c>
      <c r="I13" s="200" t="str">
        <f t="shared" si="0"/>
        <v>CORRECTO</v>
      </c>
      <c r="J13" s="88" t="s">
        <v>3244</v>
      </c>
      <c r="K13" s="69" t="s">
        <v>363</v>
      </c>
      <c r="L13" s="84" t="s">
        <v>227</v>
      </c>
      <c r="M13" s="135">
        <v>45750</v>
      </c>
      <c r="N13" s="75" t="s">
        <v>368</v>
      </c>
      <c r="P13" s="89"/>
      <c r="Q13" s="89"/>
    </row>
    <row r="14" spans="1:17" x14ac:dyDescent="0.3">
      <c r="A14" s="16" t="s">
        <v>228</v>
      </c>
      <c r="B14" s="16" t="s">
        <v>1071</v>
      </c>
      <c r="C14" s="28" t="s">
        <v>224</v>
      </c>
      <c r="D14" s="28" t="str">
        <f>IFERROR(VLOOKUP($C14,CUENTAS[],2,0),"")</f>
        <v>MATERIALES</v>
      </c>
      <c r="E14" s="28" t="str">
        <f>IFERROR(VLOOKUP($C14,CUENTAS[],3,0),"")</f>
        <v>MDE2025-004</v>
      </c>
      <c r="F14" s="86">
        <v>2985</v>
      </c>
      <c r="G14" s="86">
        <v>0</v>
      </c>
      <c r="H14" s="74">
        <v>2985</v>
      </c>
      <c r="I14" s="200" t="str">
        <f t="shared" si="0"/>
        <v>CORRECTO</v>
      </c>
      <c r="J14" s="88" t="s">
        <v>3244</v>
      </c>
      <c r="K14" s="69" t="s">
        <v>365</v>
      </c>
      <c r="L14" s="84" t="s">
        <v>227</v>
      </c>
      <c r="M14" s="135">
        <v>45750</v>
      </c>
      <c r="N14" s="75" t="s">
        <v>368</v>
      </c>
      <c r="P14" s="89"/>
      <c r="Q14" s="89"/>
    </row>
    <row r="15" spans="1:17" x14ac:dyDescent="0.3">
      <c r="A15" s="16" t="s">
        <v>228</v>
      </c>
      <c r="B15" s="16" t="s">
        <v>1072</v>
      </c>
      <c r="C15" s="28" t="s">
        <v>168</v>
      </c>
      <c r="D15" s="28" t="str">
        <f>IFERROR(VLOOKUP($C15,CUENTAS[],2,0),"")</f>
        <v>ACTIVOS FIJOS</v>
      </c>
      <c r="E15" s="28" t="str">
        <f>IFERROR(VLOOKUP($C15,CUENTAS[],3,0),"")</f>
        <v>MDE2025-007B</v>
      </c>
      <c r="F15" s="86">
        <v>41999</v>
      </c>
      <c r="G15" s="86">
        <v>0</v>
      </c>
      <c r="H15" s="74">
        <v>41999</v>
      </c>
      <c r="I15" s="200" t="str">
        <f t="shared" si="0"/>
        <v>CORRECTO</v>
      </c>
      <c r="J15" s="88" t="s">
        <v>3244</v>
      </c>
      <c r="K15" s="69" t="s">
        <v>363</v>
      </c>
      <c r="L15" s="84" t="s">
        <v>227</v>
      </c>
      <c r="M15" s="135">
        <v>45750</v>
      </c>
      <c r="N15" s="75" t="s">
        <v>368</v>
      </c>
      <c r="P15" s="89"/>
      <c r="Q15" s="89"/>
    </row>
    <row r="16" spans="1:17" x14ac:dyDescent="0.3">
      <c r="A16" s="16" t="s">
        <v>666</v>
      </c>
      <c r="B16" s="16" t="s">
        <v>1073</v>
      </c>
      <c r="C16" s="28" t="s">
        <v>224</v>
      </c>
      <c r="D16" s="28" t="str">
        <f>IFERROR(VLOOKUP($C16,CUENTAS[],2,0),"")</f>
        <v>MATERIALES</v>
      </c>
      <c r="E16" s="28" t="str">
        <f>IFERROR(VLOOKUP($C16,CUENTAS[],3,0),"")</f>
        <v>MDE2025-004</v>
      </c>
      <c r="F16" s="86">
        <v>16997.759999999998</v>
      </c>
      <c r="G16" s="86">
        <v>2719.64</v>
      </c>
      <c r="H16" s="74">
        <v>19717.400000000001</v>
      </c>
      <c r="I16" s="200" t="str">
        <f t="shared" si="0"/>
        <v>CORRECTO</v>
      </c>
      <c r="J16" s="88" t="s">
        <v>3244</v>
      </c>
      <c r="K16" s="69" t="s">
        <v>407</v>
      </c>
      <c r="L16" s="84" t="s">
        <v>227</v>
      </c>
      <c r="M16" s="135">
        <v>45751</v>
      </c>
      <c r="N16" s="75" t="s">
        <v>1167</v>
      </c>
      <c r="P16" s="89"/>
      <c r="Q16" s="89"/>
    </row>
    <row r="17" spans="1:17" x14ac:dyDescent="0.3">
      <c r="A17" s="16" t="s">
        <v>666</v>
      </c>
      <c r="B17" s="16" t="s">
        <v>1074</v>
      </c>
      <c r="C17" s="28" t="s">
        <v>224</v>
      </c>
      <c r="D17" s="28" t="str">
        <f>IFERROR(VLOOKUP($C17,CUENTAS[],2,0),"")</f>
        <v>MATERIALES</v>
      </c>
      <c r="E17" s="28" t="str">
        <f>IFERROR(VLOOKUP($C17,CUENTAS[],3,0),"")</f>
        <v>MDE2025-004</v>
      </c>
      <c r="F17" s="86">
        <v>23380.18</v>
      </c>
      <c r="G17" s="86">
        <v>3740.82</v>
      </c>
      <c r="H17" s="74">
        <v>27121</v>
      </c>
      <c r="I17" s="200" t="str">
        <f t="shared" si="0"/>
        <v>CORRECTO</v>
      </c>
      <c r="J17" s="88" t="s">
        <v>3244</v>
      </c>
      <c r="K17" s="69" t="s">
        <v>407</v>
      </c>
      <c r="L17" s="84" t="s">
        <v>227</v>
      </c>
      <c r="M17" s="135">
        <v>45751</v>
      </c>
      <c r="N17" s="75" t="s">
        <v>1168</v>
      </c>
      <c r="P17" s="89"/>
      <c r="Q17" s="89"/>
    </row>
    <row r="18" spans="1:17" x14ac:dyDescent="0.3">
      <c r="A18" s="16" t="s">
        <v>236</v>
      </c>
      <c r="B18" s="16" t="s">
        <v>767</v>
      </c>
      <c r="C18" s="28" t="s">
        <v>201</v>
      </c>
      <c r="D18" s="28" t="str">
        <f>IFERROR(VLOOKUP($C18,CUENTAS[],2,0),"")</f>
        <v>ACTIVOS FIJOS</v>
      </c>
      <c r="E18" s="28" t="str">
        <f>IFERROR(VLOOKUP($C18,CUENTAS[],3,0),"")</f>
        <v>MDE2025-007I</v>
      </c>
      <c r="F18" s="86">
        <v>3500</v>
      </c>
      <c r="G18" s="86">
        <v>0</v>
      </c>
      <c r="H18" s="74">
        <v>3500</v>
      </c>
      <c r="I18" s="200" t="str">
        <f t="shared" si="0"/>
        <v>CORRECTO</v>
      </c>
      <c r="J18" s="88" t="s">
        <v>3244</v>
      </c>
      <c r="K18" s="69" t="s">
        <v>363</v>
      </c>
      <c r="L18" s="84" t="s">
        <v>227</v>
      </c>
      <c r="M18" s="135">
        <v>45751</v>
      </c>
      <c r="N18" s="75" t="s">
        <v>371</v>
      </c>
      <c r="P18" s="89"/>
      <c r="Q18" s="89"/>
    </row>
    <row r="19" spans="1:17" x14ac:dyDescent="0.3">
      <c r="A19" s="16" t="s">
        <v>238</v>
      </c>
      <c r="B19" s="16" t="s">
        <v>767</v>
      </c>
      <c r="C19" s="28" t="s">
        <v>201</v>
      </c>
      <c r="D19" s="28" t="str">
        <f>IFERROR(VLOOKUP($C19,CUENTAS[],2,0),"")</f>
        <v>ACTIVOS FIJOS</v>
      </c>
      <c r="E19" s="28" t="str">
        <f>IFERROR(VLOOKUP($C19,CUENTAS[],3,0),"")</f>
        <v>MDE2025-007I</v>
      </c>
      <c r="F19" s="86">
        <v>3200</v>
      </c>
      <c r="G19" s="86">
        <v>0</v>
      </c>
      <c r="H19" s="74">
        <v>3200</v>
      </c>
      <c r="I19" s="200" t="str">
        <f t="shared" si="0"/>
        <v>CORRECTO</v>
      </c>
      <c r="J19" s="88" t="s">
        <v>3244</v>
      </c>
      <c r="K19" s="69" t="s">
        <v>363</v>
      </c>
      <c r="L19" s="84" t="s">
        <v>227</v>
      </c>
      <c r="M19" s="135">
        <v>45751</v>
      </c>
      <c r="N19" s="75" t="s">
        <v>371</v>
      </c>
      <c r="P19" s="89"/>
      <c r="Q19" s="89"/>
    </row>
    <row r="20" spans="1:17" x14ac:dyDescent="0.3">
      <c r="A20" s="16" t="s">
        <v>1075</v>
      </c>
      <c r="B20" s="16" t="s">
        <v>1076</v>
      </c>
      <c r="C20" s="28" t="s">
        <v>144</v>
      </c>
      <c r="D20" s="28" t="str">
        <f>IFERROR(VLOOKUP($C20,CUENTAS[],2,0),"")</f>
        <v>LOGÍSTICA</v>
      </c>
      <c r="E20" s="28" t="str">
        <f>IFERROR(VLOOKUP($C20,CUENTAS[],3,0),"")</f>
        <v>MDE2025-006G</v>
      </c>
      <c r="F20" s="86">
        <v>400</v>
      </c>
      <c r="G20" s="86">
        <v>0</v>
      </c>
      <c r="H20" s="74">
        <v>400</v>
      </c>
      <c r="I20" s="200" t="str">
        <f t="shared" si="0"/>
        <v>CORRECTO</v>
      </c>
      <c r="J20" s="88" t="s">
        <v>3244</v>
      </c>
      <c r="K20" s="69" t="s">
        <v>362</v>
      </c>
      <c r="L20" s="84" t="s">
        <v>227</v>
      </c>
      <c r="M20" s="135">
        <v>45755</v>
      </c>
      <c r="N20" s="75" t="s">
        <v>371</v>
      </c>
      <c r="P20" s="89"/>
      <c r="Q20" s="89"/>
    </row>
    <row r="21" spans="1:17" x14ac:dyDescent="0.3">
      <c r="A21" s="16" t="s">
        <v>284</v>
      </c>
      <c r="B21" s="16" t="s">
        <v>1077</v>
      </c>
      <c r="C21" s="28" t="s">
        <v>224</v>
      </c>
      <c r="D21" s="28" t="str">
        <f>IFERROR(VLOOKUP($C21,CUENTAS[],2,0),"")</f>
        <v>MATERIALES</v>
      </c>
      <c r="E21" s="28" t="str">
        <f>IFERROR(VLOOKUP($C21,CUENTAS[],3,0),"")</f>
        <v>MDE2025-004</v>
      </c>
      <c r="F21" s="86">
        <v>317.60000000000002</v>
      </c>
      <c r="G21" s="86">
        <v>0</v>
      </c>
      <c r="H21" s="74">
        <v>317.60000000000002</v>
      </c>
      <c r="I21" s="200" t="str">
        <f t="shared" si="0"/>
        <v>CORRECTO</v>
      </c>
      <c r="J21" s="88" t="s">
        <v>3244</v>
      </c>
      <c r="K21" s="69" t="s">
        <v>365</v>
      </c>
      <c r="L21" s="84" t="s">
        <v>227</v>
      </c>
      <c r="M21" s="135">
        <v>45755</v>
      </c>
      <c r="N21" s="75" t="s">
        <v>387</v>
      </c>
      <c r="P21" s="89"/>
      <c r="Q21" s="89"/>
    </row>
    <row r="22" spans="1:17" x14ac:dyDescent="0.3">
      <c r="A22" s="16" t="s">
        <v>284</v>
      </c>
      <c r="B22" s="16" t="s">
        <v>1078</v>
      </c>
      <c r="C22" s="28" t="s">
        <v>224</v>
      </c>
      <c r="D22" s="28" t="str">
        <f>IFERROR(VLOOKUP($C22,CUENTAS[],2,0),"")</f>
        <v>MATERIALES</v>
      </c>
      <c r="E22" s="28" t="str">
        <f>IFERROR(VLOOKUP($C22,CUENTAS[],3,0),"")</f>
        <v>MDE2025-004</v>
      </c>
      <c r="F22" s="86">
        <v>6840</v>
      </c>
      <c r="G22" s="86">
        <v>0</v>
      </c>
      <c r="H22" s="74">
        <v>6840</v>
      </c>
      <c r="I22" s="200" t="str">
        <f t="shared" si="0"/>
        <v>CORRECTO</v>
      </c>
      <c r="J22" s="88" t="s">
        <v>3244</v>
      </c>
      <c r="K22" s="69" t="s">
        <v>365</v>
      </c>
      <c r="L22" s="84" t="s">
        <v>227</v>
      </c>
      <c r="M22" s="135">
        <v>45755</v>
      </c>
      <c r="N22" s="75" t="s">
        <v>1169</v>
      </c>
      <c r="P22" s="89"/>
      <c r="Q22" s="89"/>
    </row>
    <row r="23" spans="1:17" x14ac:dyDescent="0.3">
      <c r="A23" s="16" t="s">
        <v>1079</v>
      </c>
      <c r="B23" s="16" t="s">
        <v>1080</v>
      </c>
      <c r="C23" s="28" t="s">
        <v>125</v>
      </c>
      <c r="D23" s="28" t="str">
        <f>IFERROR(VLOOKUP($C23,CUENTAS[],2,0),"")</f>
        <v>GASTOS FIJOS</v>
      </c>
      <c r="E23" s="28" t="str">
        <f>IFERROR(VLOOKUP($C23,CUENTAS[],3,0),"")</f>
        <v>MDE2025-002B</v>
      </c>
      <c r="F23" s="86">
        <v>840</v>
      </c>
      <c r="G23" s="86">
        <v>0</v>
      </c>
      <c r="H23" s="74">
        <v>840</v>
      </c>
      <c r="I23" s="200" t="str">
        <f t="shared" si="0"/>
        <v>CORRECTO</v>
      </c>
      <c r="J23" s="88" t="s">
        <v>3244</v>
      </c>
      <c r="K23" s="69" t="s">
        <v>365</v>
      </c>
      <c r="L23" s="84" t="s">
        <v>227</v>
      </c>
      <c r="M23" s="135">
        <v>45755</v>
      </c>
      <c r="N23" s="75" t="s">
        <v>1170</v>
      </c>
      <c r="P23" s="89"/>
      <c r="Q23" s="89"/>
    </row>
    <row r="24" spans="1:17" x14ac:dyDescent="0.3">
      <c r="A24" s="16" t="s">
        <v>341</v>
      </c>
      <c r="B24" s="16" t="s">
        <v>1081</v>
      </c>
      <c r="C24" s="28" t="s">
        <v>109</v>
      </c>
      <c r="D24" s="28" t="str">
        <f>IFERROR(VLOOKUP($C24,CUENTAS[],2,0),"")</f>
        <v>LOGÍSTICA</v>
      </c>
      <c r="E24" s="28" t="str">
        <f>IFERROR(VLOOKUP($C24,CUENTAS[],3,0),"")</f>
        <v>MDE2025-006A</v>
      </c>
      <c r="F24" s="86">
        <v>400</v>
      </c>
      <c r="G24" s="86">
        <v>0</v>
      </c>
      <c r="H24" s="74">
        <v>400</v>
      </c>
      <c r="I24" s="200" t="str">
        <f t="shared" si="0"/>
        <v>CORRECTO</v>
      </c>
      <c r="J24" s="88" t="s">
        <v>3244</v>
      </c>
      <c r="K24" s="69" t="s">
        <v>362</v>
      </c>
      <c r="L24" s="84" t="s">
        <v>227</v>
      </c>
      <c r="M24" s="135">
        <v>45755</v>
      </c>
      <c r="N24" s="75" t="s">
        <v>368</v>
      </c>
      <c r="P24" s="89"/>
      <c r="Q24" s="89"/>
    </row>
    <row r="25" spans="1:17" x14ac:dyDescent="0.3">
      <c r="A25" s="16" t="s">
        <v>230</v>
      </c>
      <c r="B25" s="16" t="s">
        <v>1082</v>
      </c>
      <c r="C25" s="28" t="s">
        <v>110</v>
      </c>
      <c r="D25" s="28" t="str">
        <f>IFERROR(VLOOKUP($C25,CUENTAS[],2,0),"")</f>
        <v>GASTOS FIJOS</v>
      </c>
      <c r="E25" s="28" t="str">
        <f>IFERROR(VLOOKUP($C25,CUENTAS[],3,0),"")</f>
        <v>MDE2025-002D</v>
      </c>
      <c r="F25" s="86">
        <v>7327.59</v>
      </c>
      <c r="G25" s="86">
        <v>1172.4100000000001</v>
      </c>
      <c r="H25" s="74">
        <v>8500</v>
      </c>
      <c r="I25" s="200" t="str">
        <f t="shared" si="0"/>
        <v>CORRECTO</v>
      </c>
      <c r="J25" s="88" t="s">
        <v>3244</v>
      </c>
      <c r="K25" s="69" t="s">
        <v>363</v>
      </c>
      <c r="L25" s="84" t="s">
        <v>227</v>
      </c>
      <c r="M25" s="135">
        <v>45755</v>
      </c>
      <c r="N25" s="75">
        <v>13550</v>
      </c>
      <c r="P25" s="89"/>
      <c r="Q25" s="89"/>
    </row>
    <row r="26" spans="1:17" x14ac:dyDescent="0.3">
      <c r="A26" s="16" t="s">
        <v>281</v>
      </c>
      <c r="B26" s="16" t="s">
        <v>1083</v>
      </c>
      <c r="C26" s="28" t="s">
        <v>128</v>
      </c>
      <c r="D26" s="28" t="str">
        <f>IFERROR(VLOOKUP($C26,CUENTAS[],2,0),"")</f>
        <v>GASTOS FIJOS</v>
      </c>
      <c r="E26" s="28" t="str">
        <f>IFERROR(VLOOKUP($C26,CUENTAS[],3,0),"")</f>
        <v>MDE2025-002I</v>
      </c>
      <c r="F26" s="86">
        <v>8000</v>
      </c>
      <c r="G26" s="86">
        <v>0</v>
      </c>
      <c r="H26" s="74">
        <v>8000</v>
      </c>
      <c r="I26" s="200" t="str">
        <f t="shared" si="0"/>
        <v>CORRECTO</v>
      </c>
      <c r="J26" s="88" t="s">
        <v>3244</v>
      </c>
      <c r="K26" s="69" t="s">
        <v>363</v>
      </c>
      <c r="L26" s="84" t="s">
        <v>227</v>
      </c>
      <c r="M26" s="135">
        <v>45755</v>
      </c>
      <c r="N26" s="75" t="s">
        <v>371</v>
      </c>
      <c r="P26" s="89"/>
      <c r="Q26" s="89"/>
    </row>
    <row r="27" spans="1:17" x14ac:dyDescent="0.3">
      <c r="A27" s="16" t="s">
        <v>228</v>
      </c>
      <c r="B27" s="16" t="s">
        <v>1084</v>
      </c>
      <c r="C27" s="28" t="s">
        <v>135</v>
      </c>
      <c r="D27" s="28" t="str">
        <f>IFERROR(VLOOKUP($C27,CUENTAS[],2,0),"")</f>
        <v>EVENTOS INTERNOS</v>
      </c>
      <c r="E27" s="28" t="str">
        <f>IFERROR(VLOOKUP($C27,CUENTAS[],3,0),"")</f>
        <v>MDE2025-008B</v>
      </c>
      <c r="F27" s="86">
        <v>288</v>
      </c>
      <c r="G27" s="86">
        <v>0</v>
      </c>
      <c r="H27" s="74">
        <v>288</v>
      </c>
      <c r="I27" s="200" t="str">
        <f t="shared" si="0"/>
        <v>CORRECTO</v>
      </c>
      <c r="J27" s="88" t="s">
        <v>3244</v>
      </c>
      <c r="K27" s="69" t="s">
        <v>363</v>
      </c>
      <c r="L27" s="84" t="s">
        <v>227</v>
      </c>
      <c r="M27" s="135">
        <v>45755</v>
      </c>
      <c r="N27" s="75" t="s">
        <v>368</v>
      </c>
      <c r="P27" s="89"/>
      <c r="Q27" s="89"/>
    </row>
    <row r="28" spans="1:17" x14ac:dyDescent="0.3">
      <c r="A28" s="16" t="s">
        <v>283</v>
      </c>
      <c r="B28" s="16">
        <v>2463196</v>
      </c>
      <c r="C28" s="28" t="s">
        <v>120</v>
      </c>
      <c r="D28" s="28" t="str">
        <f>IFERROR(VLOOKUP($C28,CUENTAS[],2,0),"")</f>
        <v>TOKA</v>
      </c>
      <c r="E28" s="28" t="str">
        <f>IFERROR(VLOOKUP($C28,CUENTAS[],3,0),"")</f>
        <v>TOK2025-001C</v>
      </c>
      <c r="F28" s="86">
        <v>500</v>
      </c>
      <c r="G28" s="86">
        <v>80</v>
      </c>
      <c r="H28" s="74">
        <v>580</v>
      </c>
      <c r="I28" s="200" t="str">
        <f t="shared" si="0"/>
        <v>CORRECTO</v>
      </c>
      <c r="J28" s="88" t="s">
        <v>3244</v>
      </c>
      <c r="K28" s="69" t="s">
        <v>363</v>
      </c>
      <c r="L28" s="84" t="s">
        <v>227</v>
      </c>
      <c r="M28" s="135">
        <v>45750</v>
      </c>
      <c r="N28" s="75" t="s">
        <v>1171</v>
      </c>
      <c r="P28" s="89"/>
      <c r="Q28" s="89"/>
    </row>
    <row r="29" spans="1:17" x14ac:dyDescent="0.3">
      <c r="A29" s="16" t="s">
        <v>283</v>
      </c>
      <c r="B29" s="16">
        <v>2471773</v>
      </c>
      <c r="C29" s="28" t="s">
        <v>120</v>
      </c>
      <c r="D29" s="28" t="str">
        <f>IFERROR(VLOOKUP($C29,CUENTAS[],2,0),"")</f>
        <v>TOKA</v>
      </c>
      <c r="E29" s="28" t="str">
        <f>IFERROR(VLOOKUP($C29,CUENTAS[],3,0),"")</f>
        <v>TOK2025-001C</v>
      </c>
      <c r="F29" s="86">
        <v>500</v>
      </c>
      <c r="G29" s="86">
        <v>80</v>
      </c>
      <c r="H29" s="74">
        <v>580</v>
      </c>
      <c r="I29" s="200" t="str">
        <f t="shared" si="0"/>
        <v>CORRECTO</v>
      </c>
      <c r="J29" s="88" t="s">
        <v>3244</v>
      </c>
      <c r="K29" s="69" t="s">
        <v>363</v>
      </c>
      <c r="L29" s="84" t="s">
        <v>227</v>
      </c>
      <c r="M29" s="136">
        <v>45756</v>
      </c>
      <c r="N29" s="75">
        <v>42025</v>
      </c>
      <c r="P29" s="89"/>
      <c r="Q29" s="89"/>
    </row>
    <row r="30" spans="1:17" x14ac:dyDescent="0.3">
      <c r="A30" s="16" t="s">
        <v>232</v>
      </c>
      <c r="B30" s="16" t="s">
        <v>1085</v>
      </c>
      <c r="C30" s="28" t="s">
        <v>224</v>
      </c>
      <c r="D30" s="28" t="str">
        <f>IFERROR(VLOOKUP($C30,CUENTAS[],2,0),"")</f>
        <v>MATERIALES</v>
      </c>
      <c r="E30" s="28" t="str">
        <f>IFERROR(VLOOKUP($C30,CUENTAS[],3,0),"")</f>
        <v>MDE2025-004</v>
      </c>
      <c r="F30" s="86">
        <v>4285.76</v>
      </c>
      <c r="G30" s="86">
        <v>685.72</v>
      </c>
      <c r="H30" s="74">
        <v>4971.4799999999996</v>
      </c>
      <c r="I30" s="200" t="str">
        <f t="shared" si="0"/>
        <v>CORRECTO</v>
      </c>
      <c r="J30" s="88" t="s">
        <v>3244</v>
      </c>
      <c r="K30" s="69" t="s">
        <v>363</v>
      </c>
      <c r="L30" s="84" t="s">
        <v>227</v>
      </c>
      <c r="M30" s="136">
        <v>45757</v>
      </c>
      <c r="N30" s="75" t="s">
        <v>1172</v>
      </c>
      <c r="P30" s="89"/>
      <c r="Q30" s="89"/>
    </row>
    <row r="31" spans="1:17" x14ac:dyDescent="0.3">
      <c r="A31" s="16" t="s">
        <v>284</v>
      </c>
      <c r="B31" s="16" t="s">
        <v>1086</v>
      </c>
      <c r="C31" s="28" t="s">
        <v>224</v>
      </c>
      <c r="D31" s="28" t="str">
        <f>IFERROR(VLOOKUP($C31,CUENTAS[],2,0),"")</f>
        <v>MATERIALES</v>
      </c>
      <c r="E31" s="28" t="str">
        <f>IFERROR(VLOOKUP($C31,CUENTAS[],3,0),"")</f>
        <v>MDE2025-004</v>
      </c>
      <c r="F31" s="86">
        <v>379.31</v>
      </c>
      <c r="G31" s="86">
        <v>60.69</v>
      </c>
      <c r="H31" s="74">
        <v>440</v>
      </c>
      <c r="I31" s="200" t="str">
        <f t="shared" si="0"/>
        <v>CORRECTO</v>
      </c>
      <c r="J31" s="88" t="s">
        <v>3244</v>
      </c>
      <c r="K31" s="69" t="s">
        <v>365</v>
      </c>
      <c r="L31" s="84" t="s">
        <v>227</v>
      </c>
      <c r="M31" s="135">
        <v>45757</v>
      </c>
      <c r="N31" s="75" t="s">
        <v>1173</v>
      </c>
      <c r="P31" s="89"/>
      <c r="Q31" s="89"/>
    </row>
    <row r="32" spans="1:17" x14ac:dyDescent="0.3">
      <c r="A32" s="16" t="s">
        <v>228</v>
      </c>
      <c r="B32" s="16" t="s">
        <v>1087</v>
      </c>
      <c r="C32" s="28" t="s">
        <v>201</v>
      </c>
      <c r="D32" s="28" t="str">
        <f>IFERROR(VLOOKUP($C32,CUENTAS[],2,0),"")</f>
        <v>ACTIVOS FIJOS</v>
      </c>
      <c r="E32" s="28" t="str">
        <f>IFERROR(VLOOKUP($C32,CUENTAS[],3,0),"")</f>
        <v>MDE2025-007I</v>
      </c>
      <c r="F32" s="86">
        <v>9181</v>
      </c>
      <c r="G32" s="86">
        <v>0</v>
      </c>
      <c r="H32" s="74">
        <v>9181</v>
      </c>
      <c r="I32" s="200" t="str">
        <f t="shared" si="0"/>
        <v>CORRECTO</v>
      </c>
      <c r="J32" s="88" t="s">
        <v>3244</v>
      </c>
      <c r="K32" s="69" t="s">
        <v>363</v>
      </c>
      <c r="L32" s="84" t="s">
        <v>227</v>
      </c>
      <c r="M32" s="135">
        <v>45757</v>
      </c>
      <c r="N32" s="75" t="s">
        <v>368</v>
      </c>
      <c r="P32" s="89"/>
      <c r="Q32" s="89"/>
    </row>
    <row r="33" spans="1:17" x14ac:dyDescent="0.3">
      <c r="A33" s="16" t="s">
        <v>236</v>
      </c>
      <c r="B33" s="16" t="s">
        <v>1088</v>
      </c>
      <c r="C33" s="28" t="s">
        <v>201</v>
      </c>
      <c r="D33" s="28" t="str">
        <f>IFERROR(VLOOKUP($C33,CUENTAS[],2,0),"")</f>
        <v>ACTIVOS FIJOS</v>
      </c>
      <c r="E33" s="28" t="str">
        <f>IFERROR(VLOOKUP($C33,CUENTAS[],3,0),"")</f>
        <v>MDE2025-007I</v>
      </c>
      <c r="F33" s="86">
        <v>3500</v>
      </c>
      <c r="G33" s="86">
        <v>0</v>
      </c>
      <c r="H33" s="74">
        <v>3500</v>
      </c>
      <c r="I33" s="200" t="str">
        <f t="shared" si="0"/>
        <v>CORRECTO</v>
      </c>
      <c r="J33" s="88" t="s">
        <v>3244</v>
      </c>
      <c r="K33" s="69" t="s">
        <v>363</v>
      </c>
      <c r="L33" s="84" t="s">
        <v>227</v>
      </c>
      <c r="M33" s="135">
        <v>45758</v>
      </c>
      <c r="N33" s="75" t="s">
        <v>371</v>
      </c>
      <c r="P33" s="89"/>
      <c r="Q33" s="89"/>
    </row>
    <row r="34" spans="1:17" x14ac:dyDescent="0.3">
      <c r="A34" s="16" t="s">
        <v>238</v>
      </c>
      <c r="B34" s="16" t="s">
        <v>1088</v>
      </c>
      <c r="C34" s="28" t="s">
        <v>201</v>
      </c>
      <c r="D34" s="28" t="str">
        <f>IFERROR(VLOOKUP($C34,CUENTAS[],2,0),"")</f>
        <v>ACTIVOS FIJOS</v>
      </c>
      <c r="E34" s="28" t="str">
        <f>IFERROR(VLOOKUP($C34,CUENTAS[],3,0),"")</f>
        <v>MDE2025-007I</v>
      </c>
      <c r="F34" s="86">
        <v>2773.34</v>
      </c>
      <c r="G34" s="86">
        <v>0</v>
      </c>
      <c r="H34" s="74">
        <v>2773.34</v>
      </c>
      <c r="I34" s="200" t="str">
        <f t="shared" si="0"/>
        <v>CORRECTO</v>
      </c>
      <c r="J34" s="88" t="s">
        <v>3244</v>
      </c>
      <c r="K34" s="69" t="s">
        <v>363</v>
      </c>
      <c r="L34" s="84" t="s">
        <v>227</v>
      </c>
      <c r="M34" s="135">
        <v>45758</v>
      </c>
      <c r="N34" s="75" t="s">
        <v>371</v>
      </c>
      <c r="P34" s="89"/>
      <c r="Q34" s="89"/>
    </row>
    <row r="35" spans="1:17" x14ac:dyDescent="0.3">
      <c r="A35" s="16" t="s">
        <v>508</v>
      </c>
      <c r="B35" s="16" t="s">
        <v>1089</v>
      </c>
      <c r="C35" s="28" t="s">
        <v>19</v>
      </c>
      <c r="D35" s="28" t="str">
        <f>IFERROR(VLOOKUP($C35,CUENTAS[],2,0),"")</f>
        <v>DISEÑOS</v>
      </c>
      <c r="E35" s="28" t="str">
        <f>IFERROR(VLOOKUP($C35,CUENTAS[],3,0),"")</f>
        <v>MDE2025-001</v>
      </c>
      <c r="F35" s="86">
        <v>42393.37</v>
      </c>
      <c r="G35" s="86">
        <v>6868.8</v>
      </c>
      <c r="H35" s="74">
        <v>49262.17</v>
      </c>
      <c r="I35" s="200" t="str">
        <f t="shared" si="0"/>
        <v>CORRECTO</v>
      </c>
      <c r="J35" s="88" t="s">
        <v>3244</v>
      </c>
      <c r="K35" s="69" t="s">
        <v>363</v>
      </c>
      <c r="L35" s="84" t="s">
        <v>227</v>
      </c>
      <c r="M35" s="135">
        <v>45762</v>
      </c>
      <c r="N35" s="75" t="s">
        <v>1174</v>
      </c>
      <c r="P35" s="89"/>
      <c r="Q35" s="89"/>
    </row>
    <row r="36" spans="1:17" x14ac:dyDescent="0.3">
      <c r="A36" s="16" t="s">
        <v>275</v>
      </c>
      <c r="B36" s="16" t="s">
        <v>1090</v>
      </c>
      <c r="C36" s="28" t="s">
        <v>121</v>
      </c>
      <c r="D36" s="28" t="str">
        <f>IFERROR(VLOOKUP($C36,CUENTAS[],2,0),"")</f>
        <v>GASTOS FIJOS</v>
      </c>
      <c r="E36" s="28" t="str">
        <f>IFERROR(VLOOKUP($C36,CUENTAS[],3,0),"")</f>
        <v>MDE2025-002K</v>
      </c>
      <c r="F36" s="86">
        <v>15525</v>
      </c>
      <c r="G36" s="86">
        <v>2484</v>
      </c>
      <c r="H36" s="74">
        <v>18009</v>
      </c>
      <c r="I36" s="200" t="str">
        <f t="shared" si="0"/>
        <v>CORRECTO</v>
      </c>
      <c r="J36" s="88" t="s">
        <v>3244</v>
      </c>
      <c r="K36" s="69" t="s">
        <v>362</v>
      </c>
      <c r="L36" s="84" t="s">
        <v>227</v>
      </c>
      <c r="M36" s="135">
        <v>45762</v>
      </c>
      <c r="N36" s="75" t="s">
        <v>1175</v>
      </c>
      <c r="P36" s="89"/>
      <c r="Q36" s="89"/>
    </row>
    <row r="37" spans="1:17" x14ac:dyDescent="0.3">
      <c r="A37" s="16" t="s">
        <v>1091</v>
      </c>
      <c r="B37" s="16" t="s">
        <v>1092</v>
      </c>
      <c r="C37" s="28" t="s">
        <v>224</v>
      </c>
      <c r="D37" s="28" t="str">
        <f>IFERROR(VLOOKUP($C37,CUENTAS[],2,0),"")</f>
        <v>MATERIALES</v>
      </c>
      <c r="E37" s="28" t="str">
        <f>IFERROR(VLOOKUP($C37,CUENTAS[],3,0),"")</f>
        <v>MDE2025-004</v>
      </c>
      <c r="F37" s="86">
        <v>7426</v>
      </c>
      <c r="G37" s="86">
        <v>0</v>
      </c>
      <c r="H37" s="74">
        <v>7426</v>
      </c>
      <c r="I37" s="200" t="str">
        <f t="shared" si="0"/>
        <v>CORRECTO</v>
      </c>
      <c r="J37" s="88" t="s">
        <v>3244</v>
      </c>
      <c r="K37" s="69" t="s">
        <v>365</v>
      </c>
      <c r="L37" s="84" t="s">
        <v>227</v>
      </c>
      <c r="M37" s="135">
        <v>45762</v>
      </c>
      <c r="N37" s="75" t="s">
        <v>1167</v>
      </c>
      <c r="P37" s="89"/>
      <c r="Q37" s="89"/>
    </row>
    <row r="38" spans="1:17" x14ac:dyDescent="0.3">
      <c r="A38" s="16" t="s">
        <v>666</v>
      </c>
      <c r="B38" s="16" t="s">
        <v>1093</v>
      </c>
      <c r="C38" s="28" t="s">
        <v>224</v>
      </c>
      <c r="D38" s="28" t="str">
        <f>IFERROR(VLOOKUP($C38,CUENTAS[],2,0),"")</f>
        <v>MATERIALES</v>
      </c>
      <c r="E38" s="28" t="str">
        <f>IFERROR(VLOOKUP($C38,CUENTAS[],3,0),"")</f>
        <v>MDE2025-004</v>
      </c>
      <c r="F38" s="86">
        <v>1432.2</v>
      </c>
      <c r="G38" s="86">
        <v>0</v>
      </c>
      <c r="H38" s="74">
        <v>1432.2</v>
      </c>
      <c r="I38" s="200" t="str">
        <f t="shared" si="0"/>
        <v>CORRECTO</v>
      </c>
      <c r="J38" s="88" t="s">
        <v>3244</v>
      </c>
      <c r="K38" s="69" t="s">
        <v>407</v>
      </c>
      <c r="L38" s="84" t="s">
        <v>227</v>
      </c>
      <c r="M38" s="136">
        <v>45762</v>
      </c>
      <c r="N38" s="75" t="s">
        <v>1176</v>
      </c>
      <c r="P38" s="89"/>
      <c r="Q38" s="89"/>
    </row>
    <row r="39" spans="1:17" x14ac:dyDescent="0.3">
      <c r="A39" s="16" t="s">
        <v>666</v>
      </c>
      <c r="B39" s="16" t="s">
        <v>1094</v>
      </c>
      <c r="C39" s="28" t="s">
        <v>224</v>
      </c>
      <c r="D39" s="28" t="str">
        <f>IFERROR(VLOOKUP($C39,CUENTAS[],2,0),"")</f>
        <v>MATERIALES</v>
      </c>
      <c r="E39" s="28" t="str">
        <f>IFERROR(VLOOKUP($C39,CUENTAS[],3,0),"")</f>
        <v>MDE2025-004</v>
      </c>
      <c r="F39" s="86">
        <v>1846</v>
      </c>
      <c r="G39" s="86">
        <v>0</v>
      </c>
      <c r="H39" s="74">
        <v>1846</v>
      </c>
      <c r="I39" s="200" t="str">
        <f t="shared" si="0"/>
        <v>CORRECTO</v>
      </c>
      <c r="J39" s="88" t="s">
        <v>3244</v>
      </c>
      <c r="K39" s="69" t="s">
        <v>407</v>
      </c>
      <c r="L39" s="84" t="s">
        <v>227</v>
      </c>
      <c r="M39" s="135">
        <v>45762</v>
      </c>
      <c r="N39" s="75" t="s">
        <v>1177</v>
      </c>
      <c r="P39" s="89"/>
      <c r="Q39" s="89"/>
    </row>
    <row r="40" spans="1:17" x14ac:dyDescent="0.3">
      <c r="A40" s="16" t="s">
        <v>682</v>
      </c>
      <c r="B40" s="16" t="s">
        <v>1095</v>
      </c>
      <c r="C40" s="28" t="s">
        <v>109</v>
      </c>
      <c r="D40" s="28" t="str">
        <f>IFERROR(VLOOKUP($C40,CUENTAS[],2,0),"")</f>
        <v>LOGÍSTICA</v>
      </c>
      <c r="E40" s="28" t="str">
        <f>IFERROR(VLOOKUP($C40,CUENTAS[],3,0),"")</f>
        <v>MDE2025-006A</v>
      </c>
      <c r="F40" s="86">
        <v>13893.32</v>
      </c>
      <c r="G40" s="86">
        <v>0</v>
      </c>
      <c r="H40" s="74">
        <v>13893.32</v>
      </c>
      <c r="I40" s="200" t="str">
        <f t="shared" si="0"/>
        <v>CORRECTO</v>
      </c>
      <c r="J40" s="88" t="s">
        <v>3244</v>
      </c>
      <c r="K40" s="69" t="s">
        <v>363</v>
      </c>
      <c r="L40" s="84" t="s">
        <v>227</v>
      </c>
      <c r="M40" s="137">
        <v>45762</v>
      </c>
      <c r="N40" s="75" t="s">
        <v>795</v>
      </c>
      <c r="P40" s="89"/>
      <c r="Q40" s="89"/>
    </row>
    <row r="41" spans="1:17" x14ac:dyDescent="0.3">
      <c r="A41" s="16" t="s">
        <v>341</v>
      </c>
      <c r="B41" s="16" t="s">
        <v>1096</v>
      </c>
      <c r="C41" s="28" t="s">
        <v>140</v>
      </c>
      <c r="D41" s="28" t="str">
        <f>IFERROR(VLOOKUP($C41,CUENTAS[],2,0),"")</f>
        <v>LOGÍSTICA</v>
      </c>
      <c r="E41" s="28" t="str">
        <f>IFERROR(VLOOKUP($C41,CUENTAS[],3,0),"")</f>
        <v>MDE2025-006B</v>
      </c>
      <c r="F41" s="86">
        <v>150</v>
      </c>
      <c r="G41" s="86">
        <v>0</v>
      </c>
      <c r="H41" s="74">
        <v>150</v>
      </c>
      <c r="I41" s="200" t="str">
        <f t="shared" si="0"/>
        <v>CORRECTO</v>
      </c>
      <c r="J41" s="88" t="s">
        <v>3244</v>
      </c>
      <c r="K41" s="69" t="s">
        <v>362</v>
      </c>
      <c r="L41" s="84" t="s">
        <v>227</v>
      </c>
      <c r="M41" s="137">
        <v>45757</v>
      </c>
      <c r="N41" s="75" t="s">
        <v>368</v>
      </c>
      <c r="P41" s="89"/>
      <c r="Q41" s="89"/>
    </row>
    <row r="42" spans="1:17" x14ac:dyDescent="0.3">
      <c r="A42" s="16" t="s">
        <v>277</v>
      </c>
      <c r="B42" s="16" t="s">
        <v>1097</v>
      </c>
      <c r="C42" s="28" t="s">
        <v>222</v>
      </c>
      <c r="D42" s="28" t="str">
        <f>IFERROR(VLOOKUP($C42,CUENTAS[],2,0),"")</f>
        <v>MANTENIMIENTO</v>
      </c>
      <c r="E42" s="28" t="str">
        <f>IFERROR(VLOOKUP($C42,CUENTAS[],3,0),"")</f>
        <v>MDE2025-009A</v>
      </c>
      <c r="F42" s="86">
        <v>7409</v>
      </c>
      <c r="G42" s="86">
        <v>0</v>
      </c>
      <c r="H42" s="74">
        <v>7409</v>
      </c>
      <c r="I42" s="200" t="str">
        <f t="shared" si="0"/>
        <v>CORRECTO</v>
      </c>
      <c r="J42" s="88" t="s">
        <v>3244</v>
      </c>
      <c r="K42" s="69" t="s">
        <v>363</v>
      </c>
      <c r="L42" s="84" t="s">
        <v>227</v>
      </c>
      <c r="M42" s="135">
        <v>45763</v>
      </c>
      <c r="N42" s="75" t="s">
        <v>1178</v>
      </c>
      <c r="P42" s="89"/>
      <c r="Q42" s="89"/>
    </row>
    <row r="43" spans="1:17" x14ac:dyDescent="0.3">
      <c r="A43" s="16" t="s">
        <v>666</v>
      </c>
      <c r="B43" s="16" t="s">
        <v>1098</v>
      </c>
      <c r="C43" s="28" t="s">
        <v>224</v>
      </c>
      <c r="D43" s="28" t="str">
        <f>IFERROR(VLOOKUP($C43,CUENTAS[],2,0),"")</f>
        <v>MATERIALES</v>
      </c>
      <c r="E43" s="28" t="str">
        <f>IFERROR(VLOOKUP($C43,CUENTAS[],3,0),"")</f>
        <v>MDE2025-004</v>
      </c>
      <c r="F43" s="86">
        <v>5862.07</v>
      </c>
      <c r="G43" s="86">
        <v>937.93</v>
      </c>
      <c r="H43" s="74">
        <v>6800</v>
      </c>
      <c r="I43" s="200" t="str">
        <f t="shared" si="0"/>
        <v>CORRECTO</v>
      </c>
      <c r="J43" s="88" t="s">
        <v>3244</v>
      </c>
      <c r="K43" s="69" t="s">
        <v>407</v>
      </c>
      <c r="L43" s="84" t="s">
        <v>227</v>
      </c>
      <c r="M43" s="135">
        <v>45763</v>
      </c>
      <c r="N43" s="75" t="s">
        <v>1179</v>
      </c>
      <c r="P43" s="89"/>
      <c r="Q43" s="89"/>
    </row>
    <row r="44" spans="1:17" x14ac:dyDescent="0.3">
      <c r="A44" s="16" t="s">
        <v>682</v>
      </c>
      <c r="B44" s="16" t="s">
        <v>1099</v>
      </c>
      <c r="C44" s="28" t="s">
        <v>109</v>
      </c>
      <c r="D44" s="28" t="str">
        <f>IFERROR(VLOOKUP($C44,CUENTAS[],2,0),"")</f>
        <v>LOGÍSTICA</v>
      </c>
      <c r="E44" s="28" t="str">
        <f>IFERROR(VLOOKUP($C44,CUENTAS[],3,0),"")</f>
        <v>MDE2025-006A</v>
      </c>
      <c r="F44" s="86">
        <v>3091</v>
      </c>
      <c r="G44" s="86">
        <v>494.56</v>
      </c>
      <c r="H44" s="74">
        <v>3585.56</v>
      </c>
      <c r="I44" s="200" t="str">
        <f t="shared" si="0"/>
        <v>CORRECTO</v>
      </c>
      <c r="J44" s="88" t="s">
        <v>3244</v>
      </c>
      <c r="K44" s="69" t="s">
        <v>362</v>
      </c>
      <c r="L44" s="84" t="s">
        <v>227</v>
      </c>
      <c r="M44" s="135">
        <v>45763</v>
      </c>
      <c r="N44" s="75" t="s">
        <v>1180</v>
      </c>
      <c r="P44" s="89"/>
      <c r="Q44" s="89"/>
    </row>
    <row r="45" spans="1:17" x14ac:dyDescent="0.3">
      <c r="A45" s="16" t="s">
        <v>228</v>
      </c>
      <c r="B45" s="16" t="s">
        <v>1100</v>
      </c>
      <c r="C45" s="28" t="s">
        <v>135</v>
      </c>
      <c r="D45" s="28" t="str">
        <f>IFERROR(VLOOKUP($C45,CUENTAS[],2,0),"")</f>
        <v>EVENTOS INTERNOS</v>
      </c>
      <c r="E45" s="28" t="str">
        <f>IFERROR(VLOOKUP($C45,CUENTAS[],3,0),"")</f>
        <v>MDE2025-008B</v>
      </c>
      <c r="F45" s="86">
        <v>375</v>
      </c>
      <c r="G45" s="86">
        <v>0</v>
      </c>
      <c r="H45" s="74">
        <v>375</v>
      </c>
      <c r="I45" s="200" t="str">
        <f t="shared" si="0"/>
        <v>CORRECTO</v>
      </c>
      <c r="J45" s="88" t="s">
        <v>3244</v>
      </c>
      <c r="K45" s="69" t="s">
        <v>363</v>
      </c>
      <c r="L45" s="84" t="s">
        <v>227</v>
      </c>
      <c r="M45" s="135">
        <v>45763</v>
      </c>
      <c r="N45" s="75" t="s">
        <v>368</v>
      </c>
      <c r="P45" s="89"/>
      <c r="Q45" s="89"/>
    </row>
    <row r="46" spans="1:17" x14ac:dyDescent="0.3">
      <c r="A46" s="16" t="s">
        <v>228</v>
      </c>
      <c r="B46" s="16" t="s">
        <v>1101</v>
      </c>
      <c r="C46" s="28" t="s">
        <v>159</v>
      </c>
      <c r="D46" s="28" t="str">
        <f>IFERROR(VLOOKUP($C46,CUENTAS[],2,0),"")</f>
        <v>GASTOS VARIOS</v>
      </c>
      <c r="E46" s="28" t="str">
        <f>IFERROR(VLOOKUP($C46,CUENTAS[],3,0),"")</f>
        <v>MDE2025-003A</v>
      </c>
      <c r="F46" s="86">
        <v>478</v>
      </c>
      <c r="G46" s="86">
        <v>0</v>
      </c>
      <c r="H46" s="74">
        <v>478</v>
      </c>
      <c r="I46" s="200" t="str">
        <f t="shared" si="0"/>
        <v>CORRECTO</v>
      </c>
      <c r="J46" s="88" t="s">
        <v>3244</v>
      </c>
      <c r="K46" s="69" t="s">
        <v>363</v>
      </c>
      <c r="L46" s="84" t="s">
        <v>227</v>
      </c>
      <c r="M46" s="135">
        <v>45763</v>
      </c>
      <c r="N46" s="75" t="s">
        <v>368</v>
      </c>
      <c r="P46" s="89"/>
      <c r="Q46" s="89"/>
    </row>
    <row r="47" spans="1:17" x14ac:dyDescent="0.3">
      <c r="A47" s="16" t="s">
        <v>228</v>
      </c>
      <c r="B47" s="16" t="s">
        <v>1102</v>
      </c>
      <c r="C47" s="28" t="s">
        <v>224</v>
      </c>
      <c r="D47" s="28" t="str">
        <f>IFERROR(VLOOKUP($C47,CUENTAS[],2,0),"")</f>
        <v>MATERIALES</v>
      </c>
      <c r="E47" s="28" t="str">
        <f>IFERROR(VLOOKUP($C47,CUENTAS[],3,0),"")</f>
        <v>MDE2025-004</v>
      </c>
      <c r="F47" s="86">
        <v>500</v>
      </c>
      <c r="G47" s="86">
        <v>0</v>
      </c>
      <c r="H47" s="74">
        <v>500</v>
      </c>
      <c r="I47" s="200" t="str">
        <f t="shared" si="0"/>
        <v>CORRECTO</v>
      </c>
      <c r="J47" s="88" t="s">
        <v>3244</v>
      </c>
      <c r="K47" s="69" t="s">
        <v>363</v>
      </c>
      <c r="L47" s="84" t="s">
        <v>227</v>
      </c>
      <c r="M47" s="135">
        <v>45763</v>
      </c>
      <c r="N47" s="75" t="s">
        <v>368</v>
      </c>
      <c r="P47" s="89"/>
      <c r="Q47" s="89"/>
    </row>
    <row r="48" spans="1:17" x14ac:dyDescent="0.3">
      <c r="A48" s="16" t="s">
        <v>228</v>
      </c>
      <c r="B48" s="16" t="s">
        <v>1103</v>
      </c>
      <c r="C48" s="28" t="s">
        <v>224</v>
      </c>
      <c r="D48" s="28" t="str">
        <f>IFERROR(VLOOKUP($C48,CUENTAS[],2,0),"")</f>
        <v>MATERIALES</v>
      </c>
      <c r="E48" s="28" t="str">
        <f>IFERROR(VLOOKUP($C48,CUENTAS[],3,0),"")</f>
        <v>MDE2025-004</v>
      </c>
      <c r="F48" s="86">
        <v>179.2</v>
      </c>
      <c r="G48" s="86">
        <v>0</v>
      </c>
      <c r="H48" s="74">
        <v>179.2</v>
      </c>
      <c r="I48" s="200" t="str">
        <f t="shared" si="0"/>
        <v>CORRECTO</v>
      </c>
      <c r="J48" s="88" t="s">
        <v>3244</v>
      </c>
      <c r="K48" s="69" t="s">
        <v>363</v>
      </c>
      <c r="L48" s="84" t="s">
        <v>227</v>
      </c>
      <c r="M48" s="135">
        <v>45763</v>
      </c>
      <c r="N48" s="75" t="s">
        <v>368</v>
      </c>
      <c r="P48" s="89"/>
      <c r="Q48" s="89"/>
    </row>
    <row r="49" spans="1:17" x14ac:dyDescent="0.3">
      <c r="A49" s="16" t="s">
        <v>228</v>
      </c>
      <c r="B49" s="16" t="s">
        <v>1104</v>
      </c>
      <c r="C49" s="28" t="s">
        <v>135</v>
      </c>
      <c r="D49" s="28" t="str">
        <f>IFERROR(VLOOKUP($C49,CUENTAS[],2,0),"")</f>
        <v>EVENTOS INTERNOS</v>
      </c>
      <c r="E49" s="28" t="str">
        <f>IFERROR(VLOOKUP($C49,CUENTAS[],3,0),"")</f>
        <v>MDE2025-008B</v>
      </c>
      <c r="F49" s="86">
        <v>268</v>
      </c>
      <c r="G49" s="86">
        <v>0</v>
      </c>
      <c r="H49" s="74">
        <v>268</v>
      </c>
      <c r="I49" s="200" t="str">
        <f t="shared" si="0"/>
        <v>CORRECTO</v>
      </c>
      <c r="J49" s="88" t="s">
        <v>3244</v>
      </c>
      <c r="K49" s="69" t="s">
        <v>363</v>
      </c>
      <c r="L49" s="84" t="s">
        <v>227</v>
      </c>
      <c r="M49" s="135">
        <v>45763</v>
      </c>
      <c r="N49" s="75" t="s">
        <v>368</v>
      </c>
      <c r="P49" s="89"/>
      <c r="Q49" s="89"/>
    </row>
    <row r="50" spans="1:17" x14ac:dyDescent="0.3">
      <c r="A50" s="16" t="s">
        <v>228</v>
      </c>
      <c r="B50" s="16" t="s">
        <v>1105</v>
      </c>
      <c r="C50" s="28" t="s">
        <v>224</v>
      </c>
      <c r="D50" s="28" t="str">
        <f>IFERROR(VLOOKUP($C50,CUENTAS[],2,0),"")</f>
        <v>MATERIALES</v>
      </c>
      <c r="E50" s="28" t="str">
        <f>IFERROR(VLOOKUP($C50,CUENTAS[],3,0),"")</f>
        <v>MDE2025-004</v>
      </c>
      <c r="F50" s="86">
        <v>15300</v>
      </c>
      <c r="G50" s="86">
        <v>0</v>
      </c>
      <c r="H50" s="74">
        <v>15300</v>
      </c>
      <c r="I50" s="200" t="str">
        <f t="shared" si="0"/>
        <v>CORRECTO</v>
      </c>
      <c r="J50" s="88" t="s">
        <v>3244</v>
      </c>
      <c r="K50" s="69" t="s">
        <v>363</v>
      </c>
      <c r="L50" s="84" t="s">
        <v>227</v>
      </c>
      <c r="M50" s="135">
        <v>45763</v>
      </c>
      <c r="N50" s="75" t="s">
        <v>368</v>
      </c>
      <c r="P50" s="89"/>
      <c r="Q50" s="89"/>
    </row>
    <row r="51" spans="1:17" x14ac:dyDescent="0.3">
      <c r="A51" s="16" t="s">
        <v>606</v>
      </c>
      <c r="B51" s="16" t="s">
        <v>1106</v>
      </c>
      <c r="C51" s="28" t="s">
        <v>111</v>
      </c>
      <c r="D51" s="28" t="str">
        <f>IFERROR(VLOOKUP($C51,CUENTAS[],2,0),"")</f>
        <v>GASTOS VARIOS</v>
      </c>
      <c r="E51" s="28" t="str">
        <f>IFERROR(VLOOKUP($C51,CUENTAS[],3,0),"")</f>
        <v>MDE2025-003K</v>
      </c>
      <c r="F51" s="86">
        <v>400000</v>
      </c>
      <c r="G51" s="86">
        <v>0</v>
      </c>
      <c r="H51" s="74">
        <v>400000</v>
      </c>
      <c r="I51" s="200" t="str">
        <f t="shared" si="0"/>
        <v>CORRECTO</v>
      </c>
      <c r="J51" s="88" t="s">
        <v>3244</v>
      </c>
      <c r="K51" s="69" t="s">
        <v>360</v>
      </c>
      <c r="L51" s="84" t="s">
        <v>227</v>
      </c>
      <c r="M51" s="136">
        <v>45763</v>
      </c>
      <c r="N51" s="75" t="s">
        <v>371</v>
      </c>
      <c r="P51" s="89"/>
      <c r="Q51" s="89"/>
    </row>
    <row r="52" spans="1:17" x14ac:dyDescent="0.3">
      <c r="A52" s="16" t="s">
        <v>228</v>
      </c>
      <c r="B52" s="16" t="s">
        <v>1107</v>
      </c>
      <c r="C52" s="28" t="s">
        <v>135</v>
      </c>
      <c r="D52" s="28" t="str">
        <f>IFERROR(VLOOKUP($C52,CUENTAS[],2,0),"")</f>
        <v>EVENTOS INTERNOS</v>
      </c>
      <c r="E52" s="28" t="str">
        <f>IFERROR(VLOOKUP($C52,CUENTAS[],3,0),"")</f>
        <v>MDE2025-008B</v>
      </c>
      <c r="F52" s="86">
        <v>360</v>
      </c>
      <c r="G52" s="86">
        <v>0</v>
      </c>
      <c r="H52" s="74">
        <v>360</v>
      </c>
      <c r="I52" s="200" t="str">
        <f t="shared" si="0"/>
        <v>CORRECTO</v>
      </c>
      <c r="J52" s="88" t="s">
        <v>3244</v>
      </c>
      <c r="K52" s="69" t="s">
        <v>363</v>
      </c>
      <c r="L52" s="84" t="s">
        <v>227</v>
      </c>
      <c r="M52" s="135">
        <v>45768</v>
      </c>
      <c r="N52" s="75" t="s">
        <v>368</v>
      </c>
      <c r="P52" s="89"/>
      <c r="Q52" s="89"/>
    </row>
    <row r="53" spans="1:17" x14ac:dyDescent="0.3">
      <c r="A53" s="16" t="s">
        <v>228</v>
      </c>
      <c r="B53" s="16" t="s">
        <v>1108</v>
      </c>
      <c r="C53" s="28" t="s">
        <v>201</v>
      </c>
      <c r="D53" s="28" t="str">
        <f>IFERROR(VLOOKUP($C53,CUENTAS[],2,0),"")</f>
        <v>ACTIVOS FIJOS</v>
      </c>
      <c r="E53" s="28" t="str">
        <f>IFERROR(VLOOKUP($C53,CUENTAS[],3,0),"")</f>
        <v>MDE2025-007I</v>
      </c>
      <c r="F53" s="86">
        <v>3900</v>
      </c>
      <c r="G53" s="86">
        <v>0</v>
      </c>
      <c r="H53" s="74">
        <v>3900</v>
      </c>
      <c r="I53" s="200" t="str">
        <f t="shared" si="0"/>
        <v>CORRECTO</v>
      </c>
      <c r="J53" s="88" t="s">
        <v>3244</v>
      </c>
      <c r="K53" s="69" t="s">
        <v>363</v>
      </c>
      <c r="L53" s="84" t="s">
        <v>227</v>
      </c>
      <c r="M53" s="135">
        <v>45768</v>
      </c>
      <c r="N53" s="75" t="s">
        <v>368</v>
      </c>
      <c r="P53" s="89"/>
      <c r="Q53" s="89"/>
    </row>
    <row r="54" spans="1:17" x14ac:dyDescent="0.3">
      <c r="A54" s="16" t="s">
        <v>1109</v>
      </c>
      <c r="B54" s="16" t="s">
        <v>1110</v>
      </c>
      <c r="C54" s="28" t="s">
        <v>224</v>
      </c>
      <c r="D54" s="28" t="str">
        <f>IFERROR(VLOOKUP($C54,CUENTAS[],2,0),"")</f>
        <v>MATERIALES</v>
      </c>
      <c r="E54" s="28" t="str">
        <f>IFERROR(VLOOKUP($C54,CUENTAS[],3,0),"")</f>
        <v>MDE2025-004</v>
      </c>
      <c r="F54" s="86">
        <v>30172.42</v>
      </c>
      <c r="G54" s="86">
        <v>4827.58</v>
      </c>
      <c r="H54" s="74">
        <v>35000</v>
      </c>
      <c r="I54" s="200" t="str">
        <f t="shared" si="0"/>
        <v>CORRECTO</v>
      </c>
      <c r="J54" s="88" t="s">
        <v>3244</v>
      </c>
      <c r="K54" s="69" t="s">
        <v>407</v>
      </c>
      <c r="L54" s="84" t="s">
        <v>227</v>
      </c>
      <c r="M54" s="135">
        <v>45768</v>
      </c>
      <c r="N54" s="75" t="s">
        <v>1181</v>
      </c>
      <c r="P54" s="89"/>
      <c r="Q54" s="89"/>
    </row>
    <row r="55" spans="1:17" x14ac:dyDescent="0.3">
      <c r="A55" s="16" t="s">
        <v>1111</v>
      </c>
      <c r="B55" s="16" t="s">
        <v>1112</v>
      </c>
      <c r="C55" s="28" t="s">
        <v>224</v>
      </c>
      <c r="D55" s="28" t="str">
        <f>IFERROR(VLOOKUP($C55,CUENTAS[],2,0),"")</f>
        <v>MATERIALES</v>
      </c>
      <c r="E55" s="28" t="str">
        <f>IFERROR(VLOOKUP($C55,CUENTAS[],3,0),"")</f>
        <v>MDE2025-004</v>
      </c>
      <c r="F55" s="86">
        <v>23857.77</v>
      </c>
      <c r="G55" s="86">
        <v>3817.23</v>
      </c>
      <c r="H55" s="74">
        <v>27675</v>
      </c>
      <c r="I55" s="200" t="str">
        <f t="shared" si="0"/>
        <v>CORRECTO</v>
      </c>
      <c r="J55" s="88" t="s">
        <v>3244</v>
      </c>
      <c r="K55" s="69" t="s">
        <v>407</v>
      </c>
      <c r="L55" s="84" t="s">
        <v>227</v>
      </c>
      <c r="M55" s="135">
        <v>45769</v>
      </c>
      <c r="N55" s="75" t="s">
        <v>1182</v>
      </c>
      <c r="P55" s="89"/>
      <c r="Q55" s="89"/>
    </row>
    <row r="56" spans="1:17" x14ac:dyDescent="0.3">
      <c r="A56" s="16" t="s">
        <v>541</v>
      </c>
      <c r="B56" s="16" t="s">
        <v>1113</v>
      </c>
      <c r="C56" s="28" t="s">
        <v>224</v>
      </c>
      <c r="D56" s="28" t="str">
        <f>IFERROR(VLOOKUP($C56,CUENTAS[],2,0),"")</f>
        <v>MATERIALES</v>
      </c>
      <c r="E56" s="28" t="str">
        <f>IFERROR(VLOOKUP($C56,CUENTAS[],3,0),"")</f>
        <v>MDE2025-004</v>
      </c>
      <c r="F56" s="86">
        <v>1142</v>
      </c>
      <c r="G56" s="86">
        <v>182.72</v>
      </c>
      <c r="H56" s="74">
        <v>1324.72</v>
      </c>
      <c r="I56" s="200" t="str">
        <f t="shared" si="0"/>
        <v>CORRECTO</v>
      </c>
      <c r="J56" s="88" t="s">
        <v>3244</v>
      </c>
      <c r="K56" s="69" t="s">
        <v>407</v>
      </c>
      <c r="L56" s="84" t="s">
        <v>227</v>
      </c>
      <c r="M56" s="135">
        <v>45769</v>
      </c>
      <c r="N56" s="75" t="s">
        <v>1183</v>
      </c>
      <c r="P56" s="89"/>
      <c r="Q56" s="89"/>
    </row>
    <row r="57" spans="1:17" x14ac:dyDescent="0.3">
      <c r="A57" s="16" t="s">
        <v>232</v>
      </c>
      <c r="B57" s="16" t="s">
        <v>1114</v>
      </c>
      <c r="C57" s="28" t="s">
        <v>224</v>
      </c>
      <c r="D57" s="28" t="str">
        <f>IFERROR(VLOOKUP($C57,CUENTAS[],2,0),"")</f>
        <v>MATERIALES</v>
      </c>
      <c r="E57" s="28" t="str">
        <f>IFERROR(VLOOKUP($C57,CUENTAS[],3,0),"")</f>
        <v>MDE2025-004</v>
      </c>
      <c r="F57" s="86">
        <v>12852.24</v>
      </c>
      <c r="G57" s="86">
        <v>2056.36</v>
      </c>
      <c r="H57" s="74">
        <v>14908.6</v>
      </c>
      <c r="I57" s="200" t="str">
        <f t="shared" si="0"/>
        <v>CORRECTO</v>
      </c>
      <c r="J57" s="88" t="s">
        <v>3244</v>
      </c>
      <c r="K57" s="69" t="s">
        <v>363</v>
      </c>
      <c r="L57" s="84" t="s">
        <v>227</v>
      </c>
      <c r="M57" s="135">
        <v>45769</v>
      </c>
      <c r="N57" s="75" t="s">
        <v>1184</v>
      </c>
      <c r="P57" s="89"/>
      <c r="Q57" s="89"/>
    </row>
    <row r="58" spans="1:17" x14ac:dyDescent="0.3">
      <c r="A58" s="16" t="s">
        <v>284</v>
      </c>
      <c r="B58" s="16" t="s">
        <v>1115</v>
      </c>
      <c r="C58" s="28" t="s">
        <v>224</v>
      </c>
      <c r="D58" s="28" t="str">
        <f>IFERROR(VLOOKUP($C58,CUENTAS[],2,0),"")</f>
        <v>MATERIALES</v>
      </c>
      <c r="E58" s="28" t="str">
        <f>IFERROR(VLOOKUP($C58,CUENTAS[],3,0),"")</f>
        <v>MDE2025-004</v>
      </c>
      <c r="F58" s="86">
        <v>4600</v>
      </c>
      <c r="G58" s="86">
        <v>0</v>
      </c>
      <c r="H58" s="74">
        <v>4600</v>
      </c>
      <c r="I58" s="200" t="str">
        <f t="shared" si="0"/>
        <v>CORRECTO</v>
      </c>
      <c r="J58" s="88" t="s">
        <v>3244</v>
      </c>
      <c r="K58" s="69" t="s">
        <v>363</v>
      </c>
      <c r="L58" s="84" t="s">
        <v>227</v>
      </c>
      <c r="M58" s="135">
        <v>45769</v>
      </c>
      <c r="N58" s="75" t="s">
        <v>1185</v>
      </c>
      <c r="P58" s="89"/>
      <c r="Q58" s="89"/>
    </row>
    <row r="59" spans="1:17" x14ac:dyDescent="0.3">
      <c r="A59" s="16" t="s">
        <v>284</v>
      </c>
      <c r="B59" s="16" t="s">
        <v>1116</v>
      </c>
      <c r="C59" s="28" t="s">
        <v>224</v>
      </c>
      <c r="D59" s="28" t="str">
        <f>IFERROR(VLOOKUP($C59,CUENTAS[],2,0),"")</f>
        <v>MATERIALES</v>
      </c>
      <c r="E59" s="28" t="str">
        <f>IFERROR(VLOOKUP($C59,CUENTAS[],3,0),"")</f>
        <v>MDE2025-004</v>
      </c>
      <c r="F59" s="86">
        <v>2382.06</v>
      </c>
      <c r="G59" s="86">
        <v>381.13</v>
      </c>
      <c r="H59" s="74">
        <v>2763.19</v>
      </c>
      <c r="I59" s="200" t="str">
        <f t="shared" si="0"/>
        <v>CORRECTO</v>
      </c>
      <c r="J59" s="88" t="s">
        <v>3244</v>
      </c>
      <c r="K59" s="69" t="s">
        <v>363</v>
      </c>
      <c r="L59" s="84" t="s">
        <v>227</v>
      </c>
      <c r="M59" s="135">
        <v>45769</v>
      </c>
      <c r="N59" s="75" t="s">
        <v>1186</v>
      </c>
      <c r="P59" s="89"/>
      <c r="Q59" s="89"/>
    </row>
    <row r="60" spans="1:17" x14ac:dyDescent="0.3">
      <c r="A60" s="16" t="s">
        <v>284</v>
      </c>
      <c r="B60" s="16" t="s">
        <v>1077</v>
      </c>
      <c r="C60" s="28" t="s">
        <v>224</v>
      </c>
      <c r="D60" s="28" t="str">
        <f>IFERROR(VLOOKUP($C60,CUENTAS[],2,0),"")</f>
        <v>MATERIALES</v>
      </c>
      <c r="E60" s="28" t="str">
        <f>IFERROR(VLOOKUP($C60,CUENTAS[],3,0),"")</f>
        <v>MDE2025-004</v>
      </c>
      <c r="F60" s="86">
        <v>3588.68</v>
      </c>
      <c r="G60" s="86">
        <v>574.19000000000005</v>
      </c>
      <c r="H60" s="74">
        <v>4162.87</v>
      </c>
      <c r="I60" s="200" t="str">
        <f t="shared" si="0"/>
        <v>CORRECTO</v>
      </c>
      <c r="J60" s="88" t="s">
        <v>3244</v>
      </c>
      <c r="K60" s="69" t="s">
        <v>363</v>
      </c>
      <c r="L60" s="84" t="s">
        <v>227</v>
      </c>
      <c r="M60" s="135">
        <v>45769</v>
      </c>
      <c r="N60" s="75" t="s">
        <v>1187</v>
      </c>
      <c r="P60" s="89"/>
      <c r="Q60" s="89"/>
    </row>
    <row r="61" spans="1:17" x14ac:dyDescent="0.3">
      <c r="A61" s="16" t="s">
        <v>284</v>
      </c>
      <c r="B61" s="16" t="s">
        <v>1117</v>
      </c>
      <c r="C61" s="28" t="s">
        <v>224</v>
      </c>
      <c r="D61" s="28" t="str">
        <f>IFERROR(VLOOKUP($C61,CUENTAS[],2,0),"")</f>
        <v>MATERIALES</v>
      </c>
      <c r="E61" s="28" t="str">
        <f>IFERROR(VLOOKUP($C61,CUENTAS[],3,0),"")</f>
        <v>MDE2025-004</v>
      </c>
      <c r="F61" s="86">
        <v>264.27999999999997</v>
      </c>
      <c r="G61" s="86">
        <v>42.2</v>
      </c>
      <c r="H61" s="74">
        <v>306.48</v>
      </c>
      <c r="I61" s="200" t="str">
        <f t="shared" si="0"/>
        <v>CORRECTO</v>
      </c>
      <c r="J61" s="88" t="s">
        <v>3244</v>
      </c>
      <c r="K61" s="69" t="s">
        <v>363</v>
      </c>
      <c r="L61" s="84" t="s">
        <v>227</v>
      </c>
      <c r="M61" s="148">
        <v>45769</v>
      </c>
      <c r="N61" s="75" t="s">
        <v>1188</v>
      </c>
      <c r="P61" s="89"/>
      <c r="Q61" s="89"/>
    </row>
    <row r="62" spans="1:17" x14ac:dyDescent="0.3">
      <c r="A62" s="16" t="s">
        <v>284</v>
      </c>
      <c r="B62" s="16" t="s">
        <v>1118</v>
      </c>
      <c r="C62" s="28" t="s">
        <v>224</v>
      </c>
      <c r="D62" s="28" t="str">
        <f>IFERROR(VLOOKUP($C62,CUENTAS[],2,0),"")</f>
        <v>MATERIALES</v>
      </c>
      <c r="E62" s="28" t="str">
        <f>IFERROR(VLOOKUP($C62,CUENTAS[],3,0),"")</f>
        <v>MDE2025-004</v>
      </c>
      <c r="F62" s="86">
        <v>206.99</v>
      </c>
      <c r="G62" s="86">
        <v>33.130000000000003</v>
      </c>
      <c r="H62" s="74">
        <v>240.12</v>
      </c>
      <c r="I62" s="200" t="str">
        <f t="shared" si="0"/>
        <v>CORRECTO</v>
      </c>
      <c r="J62" s="88" t="s">
        <v>3244</v>
      </c>
      <c r="K62" s="69" t="s">
        <v>363</v>
      </c>
      <c r="L62" s="84" t="s">
        <v>227</v>
      </c>
      <c r="M62" s="136">
        <v>45769</v>
      </c>
      <c r="N62" s="75" t="s">
        <v>1189</v>
      </c>
      <c r="P62" s="89"/>
      <c r="Q62" s="89"/>
    </row>
    <row r="63" spans="1:17" x14ac:dyDescent="0.3">
      <c r="A63" s="16" t="s">
        <v>284</v>
      </c>
      <c r="B63" s="16" t="s">
        <v>1119</v>
      </c>
      <c r="C63" s="28" t="s">
        <v>224</v>
      </c>
      <c r="D63" s="28" t="str">
        <f>IFERROR(VLOOKUP($C63,CUENTAS[],2,0),"")</f>
        <v>MATERIALES</v>
      </c>
      <c r="E63" s="28" t="str">
        <f>IFERROR(VLOOKUP($C63,CUENTAS[],3,0),"")</f>
        <v>MDE2025-004</v>
      </c>
      <c r="F63" s="86">
        <v>2579.31</v>
      </c>
      <c r="G63" s="86">
        <v>412.69</v>
      </c>
      <c r="H63" s="74">
        <v>2992</v>
      </c>
      <c r="I63" s="200" t="str">
        <f t="shared" si="0"/>
        <v>CORRECTO</v>
      </c>
      <c r="J63" s="88" t="s">
        <v>3244</v>
      </c>
      <c r="K63" s="69" t="s">
        <v>363</v>
      </c>
      <c r="L63" s="84" t="s">
        <v>227</v>
      </c>
      <c r="M63" s="135">
        <v>45769</v>
      </c>
      <c r="N63" s="75" t="s">
        <v>1190</v>
      </c>
      <c r="P63" s="89"/>
      <c r="Q63" s="89"/>
    </row>
    <row r="64" spans="1:17" x14ac:dyDescent="0.3">
      <c r="A64" s="16" t="s">
        <v>284</v>
      </c>
      <c r="B64" s="16" t="s">
        <v>1120</v>
      </c>
      <c r="C64" s="28" t="s">
        <v>224</v>
      </c>
      <c r="D64" s="28" t="str">
        <f>IFERROR(VLOOKUP($C64,CUENTAS[],2,0),"")</f>
        <v>MATERIALES</v>
      </c>
      <c r="E64" s="28" t="str">
        <f>IFERROR(VLOOKUP($C64,CUENTAS[],3,0),"")</f>
        <v>MDE2025-004</v>
      </c>
      <c r="F64" s="86">
        <v>1531.03</v>
      </c>
      <c r="G64" s="86">
        <v>244.97</v>
      </c>
      <c r="H64" s="74">
        <v>1776</v>
      </c>
      <c r="I64" s="200" t="str">
        <f t="shared" si="0"/>
        <v>CORRECTO</v>
      </c>
      <c r="J64" s="88" t="s">
        <v>3244</v>
      </c>
      <c r="K64" s="69" t="s">
        <v>363</v>
      </c>
      <c r="L64" s="84" t="s">
        <v>227</v>
      </c>
      <c r="M64" s="135">
        <v>45769</v>
      </c>
      <c r="N64" s="75" t="s">
        <v>1191</v>
      </c>
      <c r="P64" s="89"/>
      <c r="Q64" s="89"/>
    </row>
    <row r="65" spans="1:17" x14ac:dyDescent="0.3">
      <c r="A65" s="16" t="s">
        <v>284</v>
      </c>
      <c r="B65" s="16" t="s">
        <v>1121</v>
      </c>
      <c r="C65" s="28" t="s">
        <v>224</v>
      </c>
      <c r="D65" s="28" t="str">
        <f>IFERROR(VLOOKUP($C65,CUENTAS[],2,0),"")</f>
        <v>MATERIALES</v>
      </c>
      <c r="E65" s="28" t="str">
        <f>IFERROR(VLOOKUP($C65,CUENTAS[],3,0),"")</f>
        <v>MDE2025-004</v>
      </c>
      <c r="F65" s="86">
        <v>299.93</v>
      </c>
      <c r="G65" s="86">
        <v>47.99</v>
      </c>
      <c r="H65" s="74">
        <v>347.92</v>
      </c>
      <c r="I65" s="200" t="str">
        <f t="shared" si="0"/>
        <v>CORRECTO</v>
      </c>
      <c r="J65" s="88" t="s">
        <v>3244</v>
      </c>
      <c r="K65" s="69" t="s">
        <v>363</v>
      </c>
      <c r="L65" s="84" t="s">
        <v>227</v>
      </c>
      <c r="M65" s="135">
        <v>45769</v>
      </c>
      <c r="N65" s="75" t="s">
        <v>1192</v>
      </c>
      <c r="P65" s="89"/>
      <c r="Q65" s="89"/>
    </row>
    <row r="66" spans="1:17" x14ac:dyDescent="0.3">
      <c r="A66" s="16" t="s">
        <v>666</v>
      </c>
      <c r="B66" s="16" t="s">
        <v>1122</v>
      </c>
      <c r="C66" s="28" t="s">
        <v>224</v>
      </c>
      <c r="D66" s="28" t="str">
        <f>IFERROR(VLOOKUP($C66,CUENTAS[],2,0),"")</f>
        <v>MATERIALES</v>
      </c>
      <c r="E66" s="28" t="str">
        <f>IFERROR(VLOOKUP($C66,CUENTAS[],3,0),"")</f>
        <v>MDE2025-004</v>
      </c>
      <c r="F66" s="86">
        <v>120946.13</v>
      </c>
      <c r="G66" s="86">
        <v>19351.37</v>
      </c>
      <c r="H66" s="74">
        <v>140297.5</v>
      </c>
      <c r="I66" s="200" t="str">
        <f t="shared" si="0"/>
        <v>CORRECTO</v>
      </c>
      <c r="J66" s="88" t="s">
        <v>3244</v>
      </c>
      <c r="K66" s="69" t="s">
        <v>407</v>
      </c>
      <c r="L66" s="84" t="s">
        <v>227</v>
      </c>
      <c r="M66" s="135">
        <v>45769</v>
      </c>
      <c r="N66" s="75" t="s">
        <v>1193</v>
      </c>
      <c r="P66" s="89"/>
      <c r="Q66" s="89"/>
    </row>
    <row r="67" spans="1:17" x14ac:dyDescent="0.3">
      <c r="A67" s="16" t="s">
        <v>284</v>
      </c>
      <c r="B67" s="16" t="s">
        <v>1123</v>
      </c>
      <c r="C67" s="28" t="s">
        <v>224</v>
      </c>
      <c r="D67" s="28" t="str">
        <f>IFERROR(VLOOKUP($C67,CUENTAS[],2,0),"")</f>
        <v>MATERIALES</v>
      </c>
      <c r="E67" s="28" t="str">
        <f>IFERROR(VLOOKUP($C67,CUENTAS[],3,0),"")</f>
        <v>MDE2025-004</v>
      </c>
      <c r="F67" s="86">
        <v>599</v>
      </c>
      <c r="G67" s="86">
        <v>0</v>
      </c>
      <c r="H67" s="74">
        <v>599</v>
      </c>
      <c r="I67" s="200" t="str">
        <f t="shared" ref="I67:I130" si="1">IFERROR(IF(F67+G67&lt;&gt;H67,"REVISAR","CORRECTO"),"")</f>
        <v>CORRECTO</v>
      </c>
      <c r="J67" s="88" t="s">
        <v>3244</v>
      </c>
      <c r="K67" s="69" t="s">
        <v>365</v>
      </c>
      <c r="L67" s="84" t="s">
        <v>227</v>
      </c>
      <c r="M67" s="135">
        <v>45769</v>
      </c>
      <c r="N67" s="75" t="s">
        <v>1194</v>
      </c>
      <c r="P67" s="89"/>
      <c r="Q67" s="89"/>
    </row>
    <row r="68" spans="1:17" x14ac:dyDescent="0.3">
      <c r="A68" s="16" t="s">
        <v>284</v>
      </c>
      <c r="B68" s="16" t="s">
        <v>1124</v>
      </c>
      <c r="C68" s="28" t="s">
        <v>224</v>
      </c>
      <c r="D68" s="28" t="str">
        <f>IFERROR(VLOOKUP($C68,CUENTAS[],2,0),"")</f>
        <v>MATERIALES</v>
      </c>
      <c r="E68" s="28" t="str">
        <f>IFERROR(VLOOKUP($C68,CUENTAS[],3,0),"")</f>
        <v>MDE2025-004</v>
      </c>
      <c r="F68" s="86">
        <v>1759.05</v>
      </c>
      <c r="G68" s="86">
        <v>281.45</v>
      </c>
      <c r="H68" s="74">
        <v>2040.5</v>
      </c>
      <c r="I68" s="200" t="str">
        <f t="shared" si="1"/>
        <v>CORRECTO</v>
      </c>
      <c r="J68" s="88" t="s">
        <v>3244</v>
      </c>
      <c r="K68" s="69" t="s">
        <v>365</v>
      </c>
      <c r="L68" s="84" t="s">
        <v>227</v>
      </c>
      <c r="M68" s="135">
        <v>45769</v>
      </c>
      <c r="N68" s="75" t="s">
        <v>1195</v>
      </c>
      <c r="P68" s="89"/>
      <c r="Q68" s="89"/>
    </row>
    <row r="69" spans="1:17" x14ac:dyDescent="0.3">
      <c r="A69" s="16" t="s">
        <v>511</v>
      </c>
      <c r="B69" s="16" t="s">
        <v>1125</v>
      </c>
      <c r="C69" s="28" t="s">
        <v>140</v>
      </c>
      <c r="D69" s="28" t="str">
        <f>IFERROR(VLOOKUP($C69,CUENTAS[],2,0),"")</f>
        <v>LOGÍSTICA</v>
      </c>
      <c r="E69" s="28" t="str">
        <f>IFERROR(VLOOKUP($C69,CUENTAS[],3,0),"")</f>
        <v>MDE2025-006B</v>
      </c>
      <c r="F69" s="86">
        <v>1500</v>
      </c>
      <c r="G69" s="86">
        <v>0</v>
      </c>
      <c r="H69" s="74">
        <v>1500</v>
      </c>
      <c r="I69" s="200" t="str">
        <f t="shared" si="1"/>
        <v>CORRECTO</v>
      </c>
      <c r="J69" s="88" t="s">
        <v>3244</v>
      </c>
      <c r="K69" s="69" t="s">
        <v>363</v>
      </c>
      <c r="L69" s="84" t="s">
        <v>227</v>
      </c>
      <c r="M69" s="135">
        <v>45769</v>
      </c>
      <c r="N69" s="75" t="s">
        <v>226</v>
      </c>
      <c r="P69" s="89"/>
      <c r="Q69" s="89"/>
    </row>
    <row r="70" spans="1:17" x14ac:dyDescent="0.3">
      <c r="A70" s="16" t="s">
        <v>277</v>
      </c>
      <c r="B70" s="16" t="s">
        <v>1126</v>
      </c>
      <c r="C70" s="28" t="s">
        <v>201</v>
      </c>
      <c r="D70" s="28" t="str">
        <f>IFERROR(VLOOKUP($C70,CUENTAS[],2,0),"")</f>
        <v>ACTIVOS FIJOS</v>
      </c>
      <c r="E70" s="28" t="str">
        <f>IFERROR(VLOOKUP($C70,CUENTAS[],3,0),"")</f>
        <v>MDE2025-007I</v>
      </c>
      <c r="F70" s="86">
        <v>9940</v>
      </c>
      <c r="G70" s="86">
        <v>0</v>
      </c>
      <c r="H70" s="74">
        <v>9940</v>
      </c>
      <c r="I70" s="200" t="str">
        <f t="shared" si="1"/>
        <v>CORRECTO</v>
      </c>
      <c r="J70" s="88" t="s">
        <v>3244</v>
      </c>
      <c r="K70" s="69" t="s">
        <v>363</v>
      </c>
      <c r="L70" s="84" t="s">
        <v>227</v>
      </c>
      <c r="M70" s="135">
        <v>45769</v>
      </c>
      <c r="N70" s="75" t="s">
        <v>1196</v>
      </c>
      <c r="P70" s="89"/>
      <c r="Q70" s="89"/>
    </row>
    <row r="71" spans="1:17" x14ac:dyDescent="0.3">
      <c r="A71" s="16" t="s">
        <v>228</v>
      </c>
      <c r="B71" s="16" t="s">
        <v>1127</v>
      </c>
      <c r="C71" s="28" t="s">
        <v>224</v>
      </c>
      <c r="D71" s="28" t="str">
        <f>IFERROR(VLOOKUP($C71,CUENTAS[],2,0),"")</f>
        <v>MATERIALES</v>
      </c>
      <c r="E71" s="28" t="str">
        <f>IFERROR(VLOOKUP($C71,CUENTAS[],3,0),"")</f>
        <v>MDE2025-004</v>
      </c>
      <c r="F71" s="86">
        <v>7400</v>
      </c>
      <c r="G71" s="86">
        <v>0</v>
      </c>
      <c r="H71" s="74">
        <v>7400</v>
      </c>
      <c r="I71" s="200" t="str">
        <f t="shared" si="1"/>
        <v>CORRECTO</v>
      </c>
      <c r="J71" s="88" t="s">
        <v>3244</v>
      </c>
      <c r="K71" s="69" t="s">
        <v>363</v>
      </c>
      <c r="L71" s="84" t="s">
        <v>227</v>
      </c>
      <c r="M71" s="135">
        <v>45769</v>
      </c>
      <c r="N71" s="75" t="s">
        <v>368</v>
      </c>
      <c r="P71" s="89"/>
      <c r="Q71" s="89"/>
    </row>
    <row r="72" spans="1:17" x14ac:dyDescent="0.3">
      <c r="A72" s="16" t="s">
        <v>236</v>
      </c>
      <c r="B72" s="16" t="s">
        <v>1088</v>
      </c>
      <c r="C72" s="28" t="s">
        <v>201</v>
      </c>
      <c r="D72" s="28" t="str">
        <f>IFERROR(VLOOKUP($C72,CUENTAS[],2,0),"")</f>
        <v>ACTIVOS FIJOS</v>
      </c>
      <c r="E72" s="28" t="str">
        <f>IFERROR(VLOOKUP($C72,CUENTAS[],3,0),"")</f>
        <v>MDE2025-007I</v>
      </c>
      <c r="F72" s="86">
        <v>3500</v>
      </c>
      <c r="G72" s="86">
        <v>0</v>
      </c>
      <c r="H72" s="74">
        <v>3500</v>
      </c>
      <c r="I72" s="200" t="str">
        <f t="shared" si="1"/>
        <v>CORRECTO</v>
      </c>
      <c r="J72" s="88" t="s">
        <v>3244</v>
      </c>
      <c r="K72" s="69" t="s">
        <v>363</v>
      </c>
      <c r="L72" s="84" t="s">
        <v>227</v>
      </c>
      <c r="M72" s="136">
        <v>45771</v>
      </c>
      <c r="N72" s="75" t="s">
        <v>371</v>
      </c>
      <c r="P72" s="89"/>
      <c r="Q72" s="89"/>
    </row>
    <row r="73" spans="1:17" x14ac:dyDescent="0.3">
      <c r="A73" s="16" t="s">
        <v>238</v>
      </c>
      <c r="B73" s="16" t="s">
        <v>1088</v>
      </c>
      <c r="C73" s="28" t="s">
        <v>201</v>
      </c>
      <c r="D73" s="28" t="str">
        <f>IFERROR(VLOOKUP($C73,CUENTAS[],2,0),"")</f>
        <v>ACTIVOS FIJOS</v>
      </c>
      <c r="E73" s="28" t="str">
        <f>IFERROR(VLOOKUP($C73,CUENTAS[],3,0),"")</f>
        <v>MDE2025-007I</v>
      </c>
      <c r="F73" s="86">
        <v>3200</v>
      </c>
      <c r="G73" s="86">
        <v>0</v>
      </c>
      <c r="H73" s="74">
        <v>3200</v>
      </c>
      <c r="I73" s="200" t="str">
        <f t="shared" si="1"/>
        <v>CORRECTO</v>
      </c>
      <c r="J73" s="88" t="s">
        <v>3244</v>
      </c>
      <c r="K73" s="69" t="s">
        <v>363</v>
      </c>
      <c r="L73" s="84" t="s">
        <v>227</v>
      </c>
      <c r="M73" s="135">
        <v>45771</v>
      </c>
      <c r="N73" s="75" t="s">
        <v>371</v>
      </c>
      <c r="P73" s="89"/>
      <c r="Q73" s="89"/>
    </row>
    <row r="74" spans="1:17" x14ac:dyDescent="0.3">
      <c r="A74" s="16" t="s">
        <v>666</v>
      </c>
      <c r="B74" s="16" t="s">
        <v>1128</v>
      </c>
      <c r="C74" s="28" t="s">
        <v>224</v>
      </c>
      <c r="D74" s="28" t="str">
        <f>IFERROR(VLOOKUP($C74,CUENTAS[],2,0),"")</f>
        <v>MATERIALES</v>
      </c>
      <c r="E74" s="28" t="str">
        <f>IFERROR(VLOOKUP($C74,CUENTAS[],3,0),"")</f>
        <v>MDE2025-004</v>
      </c>
      <c r="F74" s="86">
        <v>16196.38</v>
      </c>
      <c r="G74" s="86">
        <v>2591.42</v>
      </c>
      <c r="H74" s="74">
        <v>18787.8</v>
      </c>
      <c r="I74" s="200" t="str">
        <f t="shared" si="1"/>
        <v>CORRECTO</v>
      </c>
      <c r="J74" s="88" t="s">
        <v>3244</v>
      </c>
      <c r="K74" s="69" t="s">
        <v>407</v>
      </c>
      <c r="L74" s="84" t="s">
        <v>227</v>
      </c>
      <c r="M74" s="135">
        <v>45771</v>
      </c>
      <c r="N74" s="75" t="s">
        <v>1197</v>
      </c>
      <c r="P74" s="89"/>
      <c r="Q74" s="89"/>
    </row>
    <row r="75" spans="1:17" x14ac:dyDescent="0.3">
      <c r="A75" s="16" t="s">
        <v>1129</v>
      </c>
      <c r="B75" s="16" t="s">
        <v>1130</v>
      </c>
      <c r="C75" s="28" t="s">
        <v>224</v>
      </c>
      <c r="D75" s="28" t="str">
        <f>IFERROR(VLOOKUP($C75,CUENTAS[],2,0),"")</f>
        <v>MATERIALES</v>
      </c>
      <c r="E75" s="28" t="str">
        <f>IFERROR(VLOOKUP($C75,CUENTAS[],3,0),"")</f>
        <v>MDE2025-004</v>
      </c>
      <c r="F75" s="74">
        <v>5136.3</v>
      </c>
      <c r="G75" s="86">
        <v>0</v>
      </c>
      <c r="H75" s="74">
        <v>5136.3</v>
      </c>
      <c r="I75" s="200" t="str">
        <f t="shared" si="1"/>
        <v>CORRECTO</v>
      </c>
      <c r="J75" s="88" t="s">
        <v>3244</v>
      </c>
      <c r="K75" s="69" t="s">
        <v>407</v>
      </c>
      <c r="L75" s="84" t="s">
        <v>227</v>
      </c>
      <c r="M75" s="135">
        <v>45771</v>
      </c>
      <c r="N75" s="75" t="s">
        <v>1198</v>
      </c>
      <c r="P75" s="89"/>
      <c r="Q75" s="89"/>
    </row>
    <row r="76" spans="1:17" x14ac:dyDescent="0.3">
      <c r="A76" s="16" t="s">
        <v>283</v>
      </c>
      <c r="B76" s="16">
        <v>2484749</v>
      </c>
      <c r="C76" s="28" t="s">
        <v>120</v>
      </c>
      <c r="D76" s="28" t="str">
        <f>IFERROR(VLOOKUP($C76,CUENTAS[],2,0),"")</f>
        <v>TOKA</v>
      </c>
      <c r="E76" s="28" t="str">
        <f>IFERROR(VLOOKUP($C76,CUENTAS[],3,0),"")</f>
        <v>TOK2025-001C</v>
      </c>
      <c r="F76" s="86">
        <v>300</v>
      </c>
      <c r="G76" s="86">
        <v>48</v>
      </c>
      <c r="H76" s="74">
        <v>348</v>
      </c>
      <c r="I76" s="200" t="str">
        <f t="shared" si="1"/>
        <v>CORRECTO</v>
      </c>
      <c r="J76" s="88" t="s">
        <v>3244</v>
      </c>
      <c r="K76" s="69" t="s">
        <v>363</v>
      </c>
      <c r="L76" s="84" t="s">
        <v>227</v>
      </c>
      <c r="M76" s="135">
        <v>45770</v>
      </c>
      <c r="N76" s="75" t="s">
        <v>1199</v>
      </c>
      <c r="P76" s="89"/>
      <c r="Q76" s="89"/>
    </row>
    <row r="77" spans="1:17" x14ac:dyDescent="0.3">
      <c r="A77" s="16" t="s">
        <v>228</v>
      </c>
      <c r="B77" s="16" t="s">
        <v>1131</v>
      </c>
      <c r="C77" s="28" t="s">
        <v>224</v>
      </c>
      <c r="D77" s="28" t="str">
        <f>IFERROR(VLOOKUP($C77,CUENTAS[],2,0),"")</f>
        <v>MATERIALES</v>
      </c>
      <c r="E77" s="28" t="str">
        <f>IFERROR(VLOOKUP($C77,CUENTAS[],3,0),"")</f>
        <v>MDE2025-004</v>
      </c>
      <c r="F77" s="86">
        <v>2000</v>
      </c>
      <c r="G77" s="86">
        <v>0</v>
      </c>
      <c r="H77" s="74">
        <v>2000</v>
      </c>
      <c r="I77" s="200" t="str">
        <f t="shared" si="1"/>
        <v>CORRECTO</v>
      </c>
      <c r="J77" s="88" t="s">
        <v>3244</v>
      </c>
      <c r="K77" s="69" t="s">
        <v>363</v>
      </c>
      <c r="L77" s="84" t="s">
        <v>227</v>
      </c>
      <c r="M77" s="135">
        <v>45772</v>
      </c>
      <c r="N77" s="75" t="s">
        <v>368</v>
      </c>
      <c r="P77" s="89"/>
      <c r="Q77" s="89"/>
    </row>
    <row r="78" spans="1:17" x14ac:dyDescent="0.3">
      <c r="A78" s="16" t="s">
        <v>228</v>
      </c>
      <c r="B78" s="16" t="s">
        <v>1132</v>
      </c>
      <c r="C78" s="28" t="s">
        <v>224</v>
      </c>
      <c r="D78" s="28" t="str">
        <f>IFERROR(VLOOKUP($C78,CUENTAS[],2,0),"")</f>
        <v>MATERIALES</v>
      </c>
      <c r="E78" s="28" t="str">
        <f>IFERROR(VLOOKUP($C78,CUENTAS[],3,0),"")</f>
        <v>MDE2025-004</v>
      </c>
      <c r="F78" s="86">
        <v>2985</v>
      </c>
      <c r="G78" s="86">
        <v>0</v>
      </c>
      <c r="H78" s="74">
        <v>2985</v>
      </c>
      <c r="I78" s="200" t="str">
        <f t="shared" si="1"/>
        <v>CORRECTO</v>
      </c>
      <c r="J78" s="88" t="s">
        <v>3244</v>
      </c>
      <c r="K78" s="69" t="s">
        <v>363</v>
      </c>
      <c r="L78" s="84" t="s">
        <v>227</v>
      </c>
      <c r="M78" s="136">
        <v>45772</v>
      </c>
      <c r="N78" s="75" t="s">
        <v>368</v>
      </c>
      <c r="P78" s="89"/>
      <c r="Q78" s="89"/>
    </row>
    <row r="79" spans="1:17" x14ac:dyDescent="0.3">
      <c r="A79" s="16" t="s">
        <v>228</v>
      </c>
      <c r="B79" s="16" t="s">
        <v>1133</v>
      </c>
      <c r="C79" s="28" t="s">
        <v>224</v>
      </c>
      <c r="D79" s="28" t="str">
        <f>IFERROR(VLOOKUP($C79,CUENTAS[],2,0),"")</f>
        <v>MATERIALES</v>
      </c>
      <c r="E79" s="28" t="str">
        <f>IFERROR(VLOOKUP($C79,CUENTAS[],3,0),"")</f>
        <v>MDE2025-004</v>
      </c>
      <c r="F79" s="86">
        <v>441.1</v>
      </c>
      <c r="G79" s="86">
        <v>0</v>
      </c>
      <c r="H79" s="74">
        <v>441.1</v>
      </c>
      <c r="I79" s="200" t="str">
        <f t="shared" si="1"/>
        <v>CORRECTO</v>
      </c>
      <c r="J79" s="88" t="s">
        <v>3244</v>
      </c>
      <c r="K79" s="69" t="s">
        <v>363</v>
      </c>
      <c r="L79" s="84" t="s">
        <v>227</v>
      </c>
      <c r="M79" s="135">
        <v>45772</v>
      </c>
      <c r="N79" s="75" t="s">
        <v>368</v>
      </c>
      <c r="P79" s="89"/>
      <c r="Q79" s="89"/>
    </row>
    <row r="80" spans="1:17" x14ac:dyDescent="0.3">
      <c r="A80" s="16" t="s">
        <v>1134</v>
      </c>
      <c r="B80" s="16" t="s">
        <v>1135</v>
      </c>
      <c r="C80" s="28" t="s">
        <v>224</v>
      </c>
      <c r="D80" s="28" t="str">
        <f>IFERROR(VLOOKUP($C80,CUENTAS[],2,0),"")</f>
        <v>MATERIALES</v>
      </c>
      <c r="E80" s="28" t="str">
        <f>IFERROR(VLOOKUP($C80,CUENTAS[],3,0),"")</f>
        <v>MDE2025-004</v>
      </c>
      <c r="F80" s="86">
        <v>20997.439999999999</v>
      </c>
      <c r="G80" s="86">
        <v>3359.59</v>
      </c>
      <c r="H80" s="74">
        <v>24357.03</v>
      </c>
      <c r="I80" s="200" t="str">
        <f t="shared" si="1"/>
        <v>CORRECTO</v>
      </c>
      <c r="J80" s="88" t="s">
        <v>3244</v>
      </c>
      <c r="K80" s="69" t="s">
        <v>407</v>
      </c>
      <c r="L80" s="84" t="s">
        <v>227</v>
      </c>
      <c r="M80" s="135">
        <v>45772</v>
      </c>
      <c r="N80" s="75" t="s">
        <v>1200</v>
      </c>
      <c r="P80" s="89"/>
      <c r="Q80" s="89"/>
    </row>
    <row r="81" spans="1:17" x14ac:dyDescent="0.3">
      <c r="A81" s="16" t="s">
        <v>236</v>
      </c>
      <c r="B81" s="16" t="s">
        <v>1136</v>
      </c>
      <c r="C81" s="28" t="s">
        <v>223</v>
      </c>
      <c r="D81" s="28" t="str">
        <f>IFERROR(VLOOKUP($C81,CUENTAS[],2,0),"")</f>
        <v>MANTENIMIENTO</v>
      </c>
      <c r="E81" s="28" t="str">
        <f>IFERROR(VLOOKUP($C81,CUENTAS[],3,0),"")</f>
        <v>MDE2025-009B</v>
      </c>
      <c r="F81" s="86">
        <v>3500</v>
      </c>
      <c r="G81" s="86">
        <v>0</v>
      </c>
      <c r="H81" s="74">
        <v>3500</v>
      </c>
      <c r="I81" s="200" t="str">
        <f t="shared" si="1"/>
        <v>CORRECTO</v>
      </c>
      <c r="J81" s="88" t="s">
        <v>3244</v>
      </c>
      <c r="K81" s="69" t="s">
        <v>363</v>
      </c>
      <c r="L81" s="84" t="s">
        <v>227</v>
      </c>
      <c r="M81" s="135">
        <v>45772</v>
      </c>
      <c r="N81" s="75" t="s">
        <v>371</v>
      </c>
      <c r="P81" s="89"/>
      <c r="Q81" s="89"/>
    </row>
    <row r="82" spans="1:17" x14ac:dyDescent="0.3">
      <c r="A82" s="16" t="s">
        <v>238</v>
      </c>
      <c r="B82" s="16" t="s">
        <v>1136</v>
      </c>
      <c r="C82" s="28" t="s">
        <v>223</v>
      </c>
      <c r="D82" s="28" t="str">
        <f>IFERROR(VLOOKUP($C82,CUENTAS[],2,0),"")</f>
        <v>MANTENIMIENTO</v>
      </c>
      <c r="E82" s="28" t="str">
        <f>IFERROR(VLOOKUP($C82,CUENTAS[],3,0),"")</f>
        <v>MDE2025-009B</v>
      </c>
      <c r="F82" s="86">
        <v>2346.6799999999998</v>
      </c>
      <c r="G82" s="86">
        <v>0</v>
      </c>
      <c r="H82" s="74">
        <v>2346.6799999999998</v>
      </c>
      <c r="I82" s="200" t="str">
        <f t="shared" si="1"/>
        <v>CORRECTO</v>
      </c>
      <c r="J82" s="88" t="s">
        <v>3244</v>
      </c>
      <c r="K82" s="69" t="s">
        <v>363</v>
      </c>
      <c r="L82" s="84" t="s">
        <v>227</v>
      </c>
      <c r="M82" s="135">
        <v>45772</v>
      </c>
      <c r="N82" s="75" t="s">
        <v>371</v>
      </c>
      <c r="P82" s="89"/>
      <c r="Q82" s="89"/>
    </row>
    <row r="83" spans="1:17" x14ac:dyDescent="0.3">
      <c r="A83" s="16" t="s">
        <v>240</v>
      </c>
      <c r="B83" s="16" t="s">
        <v>1137</v>
      </c>
      <c r="C83" s="28" t="s">
        <v>109</v>
      </c>
      <c r="D83" s="28" t="str">
        <f>IFERROR(VLOOKUP($C83,CUENTAS[],2,0),"")</f>
        <v>LOGÍSTICA</v>
      </c>
      <c r="E83" s="28" t="str">
        <f>IFERROR(VLOOKUP($C83,CUENTAS[],3,0),"")</f>
        <v>MDE2025-006A</v>
      </c>
      <c r="F83" s="86">
        <v>5000</v>
      </c>
      <c r="G83" s="86">
        <v>0</v>
      </c>
      <c r="H83" s="74">
        <v>5000</v>
      </c>
      <c r="I83" s="200" t="str">
        <f t="shared" si="1"/>
        <v>CORRECTO</v>
      </c>
      <c r="J83" s="88" t="s">
        <v>3244</v>
      </c>
      <c r="K83" s="69" t="s">
        <v>360</v>
      </c>
      <c r="L83" s="84" t="s">
        <v>227</v>
      </c>
      <c r="M83" s="135">
        <v>45772</v>
      </c>
      <c r="N83" s="75" t="s">
        <v>371</v>
      </c>
      <c r="P83" s="89"/>
      <c r="Q83" s="89"/>
    </row>
    <row r="84" spans="1:17" x14ac:dyDescent="0.3">
      <c r="A84" s="16" t="s">
        <v>284</v>
      </c>
      <c r="B84" s="16" t="s">
        <v>1138</v>
      </c>
      <c r="C84" s="28" t="s">
        <v>159</v>
      </c>
      <c r="D84" s="28" t="str">
        <f>IFERROR(VLOOKUP($C84,CUENTAS[],2,0),"")</f>
        <v>GASTOS VARIOS</v>
      </c>
      <c r="E84" s="28" t="str">
        <f>IFERROR(VLOOKUP($C84,CUENTAS[],3,0),"")</f>
        <v>MDE2025-003A</v>
      </c>
      <c r="F84" s="86">
        <v>527.59</v>
      </c>
      <c r="G84" s="86">
        <v>84.41</v>
      </c>
      <c r="H84" s="74">
        <v>612</v>
      </c>
      <c r="I84" s="200" t="str">
        <f t="shared" si="1"/>
        <v>CORRECTO</v>
      </c>
      <c r="J84" s="88" t="s">
        <v>3244</v>
      </c>
      <c r="K84" s="69" t="s">
        <v>363</v>
      </c>
      <c r="L84" s="84" t="s">
        <v>227</v>
      </c>
      <c r="M84" s="139">
        <v>45772</v>
      </c>
      <c r="N84" s="75" t="s">
        <v>1201</v>
      </c>
      <c r="P84" s="89"/>
      <c r="Q84" s="89"/>
    </row>
    <row r="85" spans="1:17" x14ac:dyDescent="0.3">
      <c r="A85" s="16" t="s">
        <v>284</v>
      </c>
      <c r="B85" s="16" t="s">
        <v>1139</v>
      </c>
      <c r="C85" s="28" t="s">
        <v>224</v>
      </c>
      <c r="D85" s="28" t="str">
        <f>IFERROR(VLOOKUP($C85,CUENTAS[],2,0),"")</f>
        <v>MATERIALES</v>
      </c>
      <c r="E85" s="28" t="str">
        <f>IFERROR(VLOOKUP($C85,CUENTAS[],3,0),"")</f>
        <v>MDE2025-004</v>
      </c>
      <c r="F85" s="86">
        <v>5865.78</v>
      </c>
      <c r="G85" s="86">
        <v>938.53</v>
      </c>
      <c r="H85" s="74">
        <v>6804.31</v>
      </c>
      <c r="I85" s="200" t="str">
        <f t="shared" si="1"/>
        <v>CORRECTO</v>
      </c>
      <c r="J85" s="88" t="s">
        <v>3244</v>
      </c>
      <c r="K85" s="69" t="s">
        <v>363</v>
      </c>
      <c r="L85" s="84" t="s">
        <v>227</v>
      </c>
      <c r="M85" s="139">
        <v>45772</v>
      </c>
      <c r="N85" s="75" t="s">
        <v>1202</v>
      </c>
      <c r="P85" s="89"/>
      <c r="Q85" s="89"/>
    </row>
    <row r="86" spans="1:17" x14ac:dyDescent="0.3">
      <c r="A86" s="16" t="s">
        <v>284</v>
      </c>
      <c r="B86" s="16" t="s">
        <v>1140</v>
      </c>
      <c r="C86" s="28" t="s">
        <v>224</v>
      </c>
      <c r="D86" s="28" t="str">
        <f>IFERROR(VLOOKUP($C86,CUENTAS[],2,0),"")</f>
        <v>MATERIALES</v>
      </c>
      <c r="E86" s="28" t="str">
        <f>IFERROR(VLOOKUP($C86,CUENTAS[],3,0),"")</f>
        <v>MDE2025-004</v>
      </c>
      <c r="F86" s="86">
        <v>125.7</v>
      </c>
      <c r="G86" s="86">
        <v>0</v>
      </c>
      <c r="H86" s="74">
        <v>125.7</v>
      </c>
      <c r="I86" s="200" t="str">
        <f t="shared" si="1"/>
        <v>CORRECTO</v>
      </c>
      <c r="J86" s="88" t="s">
        <v>3244</v>
      </c>
      <c r="K86" s="69" t="s">
        <v>363</v>
      </c>
      <c r="L86" s="84" t="s">
        <v>227</v>
      </c>
      <c r="M86" s="137">
        <v>45772</v>
      </c>
      <c r="N86" s="75" t="s">
        <v>1203</v>
      </c>
      <c r="P86" s="89"/>
      <c r="Q86" s="89"/>
    </row>
    <row r="87" spans="1:17" x14ac:dyDescent="0.3">
      <c r="A87" s="16" t="s">
        <v>284</v>
      </c>
      <c r="B87" s="16" t="s">
        <v>1141</v>
      </c>
      <c r="C87" s="28" t="s">
        <v>109</v>
      </c>
      <c r="D87" s="28" t="str">
        <f>IFERROR(VLOOKUP($C87,CUENTAS[],2,0),"")</f>
        <v>LOGÍSTICA</v>
      </c>
      <c r="E87" s="28" t="str">
        <f>IFERROR(VLOOKUP($C87,CUENTAS[],3,0),"")</f>
        <v>MDE2025-006A</v>
      </c>
      <c r="F87" s="86">
        <v>250</v>
      </c>
      <c r="G87" s="86">
        <v>0</v>
      </c>
      <c r="H87" s="74">
        <v>250</v>
      </c>
      <c r="I87" s="200" t="str">
        <f t="shared" si="1"/>
        <v>CORRECTO</v>
      </c>
      <c r="J87" s="88" t="s">
        <v>3244</v>
      </c>
      <c r="K87" s="69" t="s">
        <v>363</v>
      </c>
      <c r="L87" s="84" t="s">
        <v>227</v>
      </c>
      <c r="M87" s="140">
        <v>45772</v>
      </c>
      <c r="N87" s="75" t="s">
        <v>1204</v>
      </c>
      <c r="P87" s="89"/>
      <c r="Q87" s="89"/>
    </row>
    <row r="88" spans="1:17" x14ac:dyDescent="0.3">
      <c r="A88" s="16" t="s">
        <v>250</v>
      </c>
      <c r="B88" s="16" t="s">
        <v>1142</v>
      </c>
      <c r="C88" s="28" t="s">
        <v>110</v>
      </c>
      <c r="D88" s="28" t="str">
        <f>IFERROR(VLOOKUP($C88,CUENTAS[],2,0),"")</f>
        <v>GASTOS FIJOS</v>
      </c>
      <c r="E88" s="28" t="str">
        <f>IFERROR(VLOOKUP($C88,CUENTAS[],3,0),"")</f>
        <v>MDE2025-002D</v>
      </c>
      <c r="F88" s="86">
        <v>80000</v>
      </c>
      <c r="G88" s="86">
        <v>0</v>
      </c>
      <c r="H88" s="74">
        <v>80000</v>
      </c>
      <c r="I88" s="200" t="str">
        <f t="shared" si="1"/>
        <v>CORRECTO</v>
      </c>
      <c r="J88" s="88" t="s">
        <v>3244</v>
      </c>
      <c r="K88" s="69" t="s">
        <v>363</v>
      </c>
      <c r="L88" s="84" t="s">
        <v>227</v>
      </c>
      <c r="M88" s="137">
        <v>45772</v>
      </c>
      <c r="N88" s="75" t="s">
        <v>371</v>
      </c>
      <c r="P88" s="89"/>
      <c r="Q88" s="89"/>
    </row>
    <row r="89" spans="1:17" x14ac:dyDescent="0.3">
      <c r="A89" s="16" t="s">
        <v>279</v>
      </c>
      <c r="B89" s="16" t="s">
        <v>1143</v>
      </c>
      <c r="C89" s="28" t="s">
        <v>143</v>
      </c>
      <c r="D89" s="28" t="str">
        <f>IFERROR(VLOOKUP($C89,CUENTAS[],2,0),"")</f>
        <v>GASTOS FIJOS</v>
      </c>
      <c r="E89" s="28" t="str">
        <f>IFERROR(VLOOKUP($C89,CUENTAS[],3,0),"")</f>
        <v>MDE2025-002C</v>
      </c>
      <c r="F89" s="86">
        <v>8210</v>
      </c>
      <c r="G89" s="86">
        <v>0</v>
      </c>
      <c r="H89" s="74">
        <v>8210</v>
      </c>
      <c r="I89" s="200" t="str">
        <f t="shared" si="1"/>
        <v>CORRECTO</v>
      </c>
      <c r="J89" s="88" t="s">
        <v>3244</v>
      </c>
      <c r="K89" s="69" t="s">
        <v>363</v>
      </c>
      <c r="L89" s="84" t="s">
        <v>227</v>
      </c>
      <c r="M89" s="139">
        <v>45772</v>
      </c>
      <c r="N89" s="75" t="s">
        <v>410</v>
      </c>
      <c r="P89" s="89"/>
      <c r="Q89" s="89"/>
    </row>
    <row r="90" spans="1:17" x14ac:dyDescent="0.3">
      <c r="A90" s="16" t="s">
        <v>1144</v>
      </c>
      <c r="B90" s="16" t="s">
        <v>1145</v>
      </c>
      <c r="C90" s="28" t="s">
        <v>224</v>
      </c>
      <c r="D90" s="28" t="str">
        <f>IFERROR(VLOOKUP($C90,CUENTAS[],2,0),"")</f>
        <v>MATERIALES</v>
      </c>
      <c r="E90" s="28" t="str">
        <f>IFERROR(VLOOKUP($C90,CUENTAS[],3,0),"")</f>
        <v>MDE2025-004</v>
      </c>
      <c r="F90" s="86">
        <v>71336</v>
      </c>
      <c r="G90" s="86">
        <v>11413.76</v>
      </c>
      <c r="H90" s="74">
        <v>82749.759999999995</v>
      </c>
      <c r="I90" s="200" t="str">
        <f t="shared" si="1"/>
        <v>CORRECTO</v>
      </c>
      <c r="J90" s="88" t="s">
        <v>3244</v>
      </c>
      <c r="K90" s="69" t="s">
        <v>407</v>
      </c>
      <c r="L90" s="84" t="s">
        <v>227</v>
      </c>
      <c r="M90" s="139">
        <v>45775</v>
      </c>
      <c r="N90" s="75" t="s">
        <v>1205</v>
      </c>
      <c r="P90" s="89"/>
      <c r="Q90" s="89"/>
    </row>
    <row r="91" spans="1:17" x14ac:dyDescent="0.3">
      <c r="A91" s="16" t="s">
        <v>244</v>
      </c>
      <c r="B91" s="16" t="s">
        <v>1146</v>
      </c>
      <c r="C91" s="28" t="s">
        <v>223</v>
      </c>
      <c r="D91" s="28" t="str">
        <f>IFERROR(VLOOKUP($C91,CUENTAS[],2,0),"")</f>
        <v>MANTENIMIENTO</v>
      </c>
      <c r="E91" s="28" t="str">
        <f>IFERROR(VLOOKUP($C91,CUENTAS[],3,0),"")</f>
        <v>MDE2025-009B</v>
      </c>
      <c r="F91" s="86">
        <v>2000</v>
      </c>
      <c r="G91" s="86">
        <v>0</v>
      </c>
      <c r="H91" s="74">
        <v>2000</v>
      </c>
      <c r="I91" s="200" t="str">
        <f t="shared" si="1"/>
        <v>CORRECTO</v>
      </c>
      <c r="J91" s="88" t="s">
        <v>3244</v>
      </c>
      <c r="K91" s="69" t="s">
        <v>360</v>
      </c>
      <c r="L91" s="84" t="s">
        <v>227</v>
      </c>
      <c r="M91" s="139">
        <v>45775</v>
      </c>
      <c r="N91" s="75" t="s">
        <v>371</v>
      </c>
      <c r="P91" s="89"/>
      <c r="Q91" s="89"/>
    </row>
    <row r="92" spans="1:17" x14ac:dyDescent="0.3">
      <c r="A92" s="16" t="s">
        <v>1109</v>
      </c>
      <c r="B92" s="16" t="s">
        <v>1147</v>
      </c>
      <c r="C92" s="28" t="s">
        <v>224</v>
      </c>
      <c r="D92" s="28" t="str">
        <f>IFERROR(VLOOKUP($C92,CUENTAS[],2,0),"")</f>
        <v>MATERIALES</v>
      </c>
      <c r="E92" s="28" t="str">
        <f>IFERROR(VLOOKUP($C92,CUENTAS[],3,0),"")</f>
        <v>MDE2025-004</v>
      </c>
      <c r="F92" s="86">
        <v>29310.34</v>
      </c>
      <c r="G92" s="86">
        <v>4689.66</v>
      </c>
      <c r="H92" s="74">
        <v>34000</v>
      </c>
      <c r="I92" s="200" t="str">
        <f t="shared" si="1"/>
        <v>CORRECTO</v>
      </c>
      <c r="J92" s="88" t="s">
        <v>3244</v>
      </c>
      <c r="K92" s="69" t="s">
        <v>407</v>
      </c>
      <c r="L92" s="84" t="s">
        <v>227</v>
      </c>
      <c r="M92" s="139">
        <v>45776</v>
      </c>
      <c r="N92" s="75" t="s">
        <v>1181</v>
      </c>
      <c r="P92" s="89"/>
      <c r="Q92" s="89"/>
    </row>
    <row r="93" spans="1:17" x14ac:dyDescent="0.3">
      <c r="A93" s="16" t="s">
        <v>682</v>
      </c>
      <c r="B93" s="16" t="s">
        <v>1148</v>
      </c>
      <c r="C93" s="28" t="s">
        <v>109</v>
      </c>
      <c r="D93" s="28" t="str">
        <f>IFERROR(VLOOKUP($C93,CUENTAS[],2,0),"")</f>
        <v>LOGÍSTICA</v>
      </c>
      <c r="E93" s="28" t="str">
        <f>IFERROR(VLOOKUP($C93,CUENTAS[],3,0),"")</f>
        <v>MDE2025-006A</v>
      </c>
      <c r="F93" s="86">
        <v>11977</v>
      </c>
      <c r="G93" s="86">
        <v>1916.32</v>
      </c>
      <c r="H93" s="74">
        <v>13893.32</v>
      </c>
      <c r="I93" s="200" t="str">
        <f t="shared" si="1"/>
        <v>CORRECTO</v>
      </c>
      <c r="J93" s="88" t="s">
        <v>3244</v>
      </c>
      <c r="K93" s="69" t="s">
        <v>362</v>
      </c>
      <c r="L93" s="84" t="s">
        <v>227</v>
      </c>
      <c r="M93" s="139">
        <v>45776</v>
      </c>
      <c r="N93" s="75" t="s">
        <v>795</v>
      </c>
      <c r="P93" s="89"/>
      <c r="Q93" s="89"/>
    </row>
    <row r="94" spans="1:17" x14ac:dyDescent="0.3">
      <c r="A94" s="16" t="s">
        <v>248</v>
      </c>
      <c r="B94" s="16" t="s">
        <v>1149</v>
      </c>
      <c r="C94" s="28" t="s">
        <v>109</v>
      </c>
      <c r="D94" s="28" t="str">
        <f>IFERROR(VLOOKUP($C94,CUENTAS[],2,0),"")</f>
        <v>LOGÍSTICA</v>
      </c>
      <c r="E94" s="28" t="str">
        <f>IFERROR(VLOOKUP($C94,CUENTAS[],3,0),"")</f>
        <v>MDE2025-006A</v>
      </c>
      <c r="F94" s="86">
        <v>4681.03</v>
      </c>
      <c r="G94" s="86">
        <v>748.97</v>
      </c>
      <c r="H94" s="74">
        <v>5430</v>
      </c>
      <c r="I94" s="200" t="str">
        <f t="shared" si="1"/>
        <v>CORRECTO</v>
      </c>
      <c r="J94" s="88" t="s">
        <v>3244</v>
      </c>
      <c r="K94" s="69" t="s">
        <v>362</v>
      </c>
      <c r="L94" s="84" t="s">
        <v>227</v>
      </c>
      <c r="M94" s="139">
        <v>45776</v>
      </c>
      <c r="N94" s="75" t="s">
        <v>380</v>
      </c>
      <c r="P94" s="89"/>
      <c r="Q94" s="89"/>
    </row>
    <row r="95" spans="1:17" x14ac:dyDescent="0.3">
      <c r="A95" s="16" t="s">
        <v>284</v>
      </c>
      <c r="B95" s="16" t="s">
        <v>1150</v>
      </c>
      <c r="C95" s="28" t="s">
        <v>224</v>
      </c>
      <c r="D95" s="28" t="str">
        <f>IFERROR(VLOOKUP($C95,CUENTAS[],2,0),"")</f>
        <v>MATERIALES</v>
      </c>
      <c r="E95" s="28" t="str">
        <f>IFERROR(VLOOKUP($C95,CUENTAS[],3,0),"")</f>
        <v>MDE2025-004</v>
      </c>
      <c r="F95" s="86">
        <v>551.55999999999995</v>
      </c>
      <c r="G95" s="86">
        <v>0</v>
      </c>
      <c r="H95" s="74">
        <v>551.55999999999995</v>
      </c>
      <c r="I95" s="200" t="str">
        <f t="shared" si="1"/>
        <v>CORRECTO</v>
      </c>
      <c r="J95" s="88" t="s">
        <v>3244</v>
      </c>
      <c r="K95" s="69" t="s">
        <v>363</v>
      </c>
      <c r="L95" s="84" t="s">
        <v>227</v>
      </c>
      <c r="M95" s="139">
        <v>45776</v>
      </c>
      <c r="N95" s="75" t="s">
        <v>1206</v>
      </c>
      <c r="P95" s="89"/>
      <c r="Q95" s="89"/>
    </row>
    <row r="96" spans="1:17" x14ac:dyDescent="0.3">
      <c r="A96" s="16" t="s">
        <v>232</v>
      </c>
      <c r="B96" s="16" t="s">
        <v>1151</v>
      </c>
      <c r="C96" s="28" t="s">
        <v>224</v>
      </c>
      <c r="D96" s="28" t="str">
        <f>IFERROR(VLOOKUP($C96,CUENTAS[],2,0),"")</f>
        <v>MATERIALES</v>
      </c>
      <c r="E96" s="28" t="str">
        <f>IFERROR(VLOOKUP($C96,CUENTAS[],3,0),"")</f>
        <v>MDE2025-004</v>
      </c>
      <c r="F96" s="86">
        <v>1185.3399999999999</v>
      </c>
      <c r="G96" s="86">
        <v>189.66</v>
      </c>
      <c r="H96" s="74">
        <v>1375</v>
      </c>
      <c r="I96" s="200" t="str">
        <f t="shared" si="1"/>
        <v>CORRECTO</v>
      </c>
      <c r="J96" s="88" t="s">
        <v>3244</v>
      </c>
      <c r="K96" s="69" t="s">
        <v>363</v>
      </c>
      <c r="L96" s="84" t="s">
        <v>227</v>
      </c>
      <c r="M96" s="139">
        <v>45776</v>
      </c>
      <c r="N96" s="75" t="s">
        <v>1207</v>
      </c>
      <c r="P96" s="89"/>
      <c r="Q96" s="89"/>
    </row>
    <row r="97" spans="1:17" x14ac:dyDescent="0.3">
      <c r="A97" s="16" t="s">
        <v>1152</v>
      </c>
      <c r="B97" s="16" t="s">
        <v>1153</v>
      </c>
      <c r="C97" s="28" t="s">
        <v>109</v>
      </c>
      <c r="D97" s="28" t="str">
        <f>IFERROR(VLOOKUP($C97,CUENTAS[],2,0),"")</f>
        <v>LOGÍSTICA</v>
      </c>
      <c r="E97" s="28" t="str">
        <f>IFERROR(VLOOKUP($C97,CUENTAS[],3,0),"")</f>
        <v>MDE2025-006A</v>
      </c>
      <c r="F97" s="86">
        <v>7500</v>
      </c>
      <c r="G97" s="86">
        <v>1200</v>
      </c>
      <c r="H97" s="74">
        <v>8700</v>
      </c>
      <c r="I97" s="200" t="str">
        <f t="shared" si="1"/>
        <v>CORRECTO</v>
      </c>
      <c r="J97" s="88" t="s">
        <v>3244</v>
      </c>
      <c r="K97" s="69" t="s">
        <v>362</v>
      </c>
      <c r="L97" s="84" t="s">
        <v>227</v>
      </c>
      <c r="M97" s="139">
        <v>45776</v>
      </c>
      <c r="N97" s="75" t="s">
        <v>578</v>
      </c>
      <c r="P97" s="89"/>
      <c r="Q97" s="89"/>
    </row>
    <row r="98" spans="1:17" x14ac:dyDescent="0.3">
      <c r="A98" s="16" t="s">
        <v>283</v>
      </c>
      <c r="B98" s="16">
        <v>2492841</v>
      </c>
      <c r="C98" s="28" t="s">
        <v>120</v>
      </c>
      <c r="D98" s="28" t="str">
        <f>IFERROR(VLOOKUP($C98,CUENTAS[],2,0),"")</f>
        <v>TOKA</v>
      </c>
      <c r="E98" s="28" t="str">
        <f>IFERROR(VLOOKUP($C98,CUENTAS[],3,0),"")</f>
        <v>TOK2025-001C</v>
      </c>
      <c r="F98" s="86">
        <v>500</v>
      </c>
      <c r="G98" s="86">
        <v>80</v>
      </c>
      <c r="H98" s="74">
        <v>580</v>
      </c>
      <c r="I98" s="200" t="str">
        <f t="shared" si="1"/>
        <v>CORRECTO</v>
      </c>
      <c r="J98" s="88" t="s">
        <v>3244</v>
      </c>
      <c r="K98" s="69" t="s">
        <v>363</v>
      </c>
      <c r="L98" s="84" t="s">
        <v>227</v>
      </c>
      <c r="M98" s="139">
        <v>45777</v>
      </c>
      <c r="N98" s="75" t="s">
        <v>1208</v>
      </c>
      <c r="P98" s="89"/>
      <c r="Q98" s="89"/>
    </row>
    <row r="99" spans="1:17" x14ac:dyDescent="0.3">
      <c r="A99" s="16" t="s">
        <v>232</v>
      </c>
      <c r="B99" s="16" t="s">
        <v>1154</v>
      </c>
      <c r="C99" s="28" t="s">
        <v>224</v>
      </c>
      <c r="D99" s="28" t="str">
        <f>IFERROR(VLOOKUP($C99,CUENTAS[],2,0),"")</f>
        <v>MATERIALES</v>
      </c>
      <c r="E99" s="28" t="str">
        <f>IFERROR(VLOOKUP($C99,CUENTAS[],3,0),"")</f>
        <v>MDE2025-004</v>
      </c>
      <c r="F99" s="86">
        <v>44379.6</v>
      </c>
      <c r="G99" s="86">
        <v>7100.74</v>
      </c>
      <c r="H99" s="74">
        <v>51480.34</v>
      </c>
      <c r="I99" s="200" t="str">
        <f t="shared" si="1"/>
        <v>CORRECTO</v>
      </c>
      <c r="J99" s="88" t="s">
        <v>3244</v>
      </c>
      <c r="K99" s="69" t="s">
        <v>407</v>
      </c>
      <c r="L99" s="84" t="s">
        <v>227</v>
      </c>
      <c r="M99" s="137">
        <v>45777</v>
      </c>
      <c r="N99" s="75" t="s">
        <v>1209</v>
      </c>
      <c r="P99" s="89"/>
      <c r="Q99" s="89"/>
    </row>
    <row r="100" spans="1:17" x14ac:dyDescent="0.3">
      <c r="A100" s="16" t="s">
        <v>1155</v>
      </c>
      <c r="B100" s="16" t="s">
        <v>1156</v>
      </c>
      <c r="C100" s="28" t="s">
        <v>135</v>
      </c>
      <c r="D100" s="28" t="str">
        <f>IFERROR(VLOOKUP($C100,CUENTAS[],2,0),"")</f>
        <v>EVENTOS INTERNOS</v>
      </c>
      <c r="E100" s="28" t="str">
        <f>IFERROR(VLOOKUP($C100,CUENTAS[],3,0),"")</f>
        <v>MDE2025-008B</v>
      </c>
      <c r="F100" s="86">
        <v>321.27</v>
      </c>
      <c r="G100" s="86">
        <v>51.4</v>
      </c>
      <c r="H100" s="74">
        <v>372.67</v>
      </c>
      <c r="I100" s="200" t="str">
        <f t="shared" si="1"/>
        <v>CORRECTO</v>
      </c>
      <c r="J100" s="88" t="s">
        <v>3244</v>
      </c>
      <c r="K100" s="69" t="s">
        <v>404</v>
      </c>
      <c r="L100" s="84" t="s">
        <v>227</v>
      </c>
      <c r="M100" s="137">
        <v>45777</v>
      </c>
      <c r="N100" s="75">
        <v>179204</v>
      </c>
      <c r="P100" s="89"/>
      <c r="Q100" s="89"/>
    </row>
    <row r="101" spans="1:17" x14ac:dyDescent="0.3">
      <c r="A101" s="16" t="s">
        <v>275</v>
      </c>
      <c r="B101" s="16" t="s">
        <v>1157</v>
      </c>
      <c r="C101" s="28" t="s">
        <v>121</v>
      </c>
      <c r="D101" s="28" t="str">
        <f>IFERROR(VLOOKUP($C101,CUENTAS[],2,0),"")</f>
        <v>GASTOS FIJOS</v>
      </c>
      <c r="E101" s="28" t="str">
        <f>IFERROR(VLOOKUP($C101,CUENTAS[],3,0),"")</f>
        <v>MDE2025-002K</v>
      </c>
      <c r="F101" s="86">
        <v>15525</v>
      </c>
      <c r="G101" s="86">
        <v>2484</v>
      </c>
      <c r="H101" s="74">
        <v>18009</v>
      </c>
      <c r="I101" s="200" t="str">
        <f t="shared" si="1"/>
        <v>CORRECTO</v>
      </c>
      <c r="J101" s="88" t="s">
        <v>3244</v>
      </c>
      <c r="K101" s="69" t="s">
        <v>363</v>
      </c>
      <c r="L101" s="84" t="s">
        <v>227</v>
      </c>
      <c r="M101" s="139">
        <v>45777</v>
      </c>
      <c r="N101" s="75" t="s">
        <v>1210</v>
      </c>
      <c r="P101" s="89"/>
      <c r="Q101" s="89"/>
    </row>
    <row r="102" spans="1:17" x14ac:dyDescent="0.3">
      <c r="A102" s="16" t="s">
        <v>666</v>
      </c>
      <c r="B102" s="16" t="s">
        <v>1158</v>
      </c>
      <c r="C102" s="28" t="s">
        <v>224</v>
      </c>
      <c r="D102" s="28" t="str">
        <f>IFERROR(VLOOKUP($C102,CUENTAS[],2,0),"")</f>
        <v>MATERIALES</v>
      </c>
      <c r="E102" s="28" t="str">
        <f>IFERROR(VLOOKUP($C102,CUENTAS[],3,0),"")</f>
        <v>MDE2025-004</v>
      </c>
      <c r="F102" s="86">
        <v>2445.4699999999998</v>
      </c>
      <c r="G102" s="86">
        <v>391.28</v>
      </c>
      <c r="H102" s="74">
        <v>2836.75</v>
      </c>
      <c r="I102" s="200" t="str">
        <f t="shared" si="1"/>
        <v>CORRECTO</v>
      </c>
      <c r="J102" s="88" t="s">
        <v>3244</v>
      </c>
      <c r="K102" s="69" t="s">
        <v>407</v>
      </c>
      <c r="L102" s="84" t="s">
        <v>227</v>
      </c>
      <c r="M102" s="137">
        <v>45777</v>
      </c>
      <c r="N102" s="75" t="s">
        <v>1211</v>
      </c>
      <c r="P102" s="89"/>
      <c r="Q102" s="89"/>
    </row>
    <row r="103" spans="1:17" x14ac:dyDescent="0.3">
      <c r="A103" s="16" t="s">
        <v>666</v>
      </c>
      <c r="B103" s="16" t="s">
        <v>1159</v>
      </c>
      <c r="C103" s="28" t="s">
        <v>224</v>
      </c>
      <c r="D103" s="28" t="str">
        <f>IFERROR(VLOOKUP($C103,CUENTAS[],2,0),"")</f>
        <v>MATERIALES</v>
      </c>
      <c r="E103" s="28" t="str">
        <f>IFERROR(VLOOKUP($C103,CUENTAS[],3,0),"")</f>
        <v>MDE2025-004</v>
      </c>
      <c r="F103" s="86">
        <v>1581.03</v>
      </c>
      <c r="G103" s="86">
        <v>252.97</v>
      </c>
      <c r="H103" s="74">
        <v>1834</v>
      </c>
      <c r="I103" s="200" t="str">
        <f t="shared" si="1"/>
        <v>CORRECTO</v>
      </c>
      <c r="J103" s="88" t="s">
        <v>3244</v>
      </c>
      <c r="K103" s="69" t="s">
        <v>407</v>
      </c>
      <c r="L103" s="84" t="s">
        <v>227</v>
      </c>
      <c r="M103" s="137">
        <v>45777</v>
      </c>
      <c r="N103" s="75" t="s">
        <v>1212</v>
      </c>
      <c r="P103" s="89"/>
      <c r="Q103" s="89"/>
    </row>
    <row r="104" spans="1:17" x14ac:dyDescent="0.3">
      <c r="A104" s="16" t="s">
        <v>240</v>
      </c>
      <c r="B104" s="16" t="s">
        <v>1160</v>
      </c>
      <c r="C104" s="28" t="s">
        <v>201</v>
      </c>
      <c r="D104" s="28" t="str">
        <f>IFERROR(VLOOKUP($C104,CUENTAS[],2,0),"")</f>
        <v>ACTIVOS FIJOS</v>
      </c>
      <c r="E104" s="28" t="str">
        <f>IFERROR(VLOOKUP($C104,CUENTAS[],3,0),"")</f>
        <v>MDE2025-007I</v>
      </c>
      <c r="F104" s="86">
        <v>20000</v>
      </c>
      <c r="G104" s="86">
        <v>0</v>
      </c>
      <c r="H104" s="74">
        <v>20000</v>
      </c>
      <c r="I104" s="200" t="str">
        <f t="shared" si="1"/>
        <v>CORRECTO</v>
      </c>
      <c r="J104" s="88" t="s">
        <v>3244</v>
      </c>
      <c r="K104" s="69" t="s">
        <v>360</v>
      </c>
      <c r="L104" s="84" t="s">
        <v>227</v>
      </c>
      <c r="M104" s="137">
        <v>45777</v>
      </c>
      <c r="N104" s="75" t="s">
        <v>371</v>
      </c>
      <c r="P104" s="89"/>
      <c r="Q104" s="89"/>
    </row>
    <row r="105" spans="1:17" x14ac:dyDescent="0.3">
      <c r="A105" s="16" t="s">
        <v>963</v>
      </c>
      <c r="B105" s="16" t="s">
        <v>1255</v>
      </c>
      <c r="C105" s="28" t="s">
        <v>123</v>
      </c>
      <c r="D105" s="28" t="str">
        <f>IFERROR(VLOOKUP($C105,CUENTAS[],2,0),"")</f>
        <v>ACTIVOS FIJOS</v>
      </c>
      <c r="E105" s="28" t="str">
        <f>IFERROR(VLOOKUP($C105,CUENTAS[],3,0),"")</f>
        <v>MDE2025-007C</v>
      </c>
      <c r="F105" s="86">
        <v>1248.52</v>
      </c>
      <c r="G105" s="86">
        <v>199.76</v>
      </c>
      <c r="H105" s="74">
        <v>1448.28</v>
      </c>
      <c r="I105" s="200" t="str">
        <f t="shared" si="1"/>
        <v>CORRECTO</v>
      </c>
      <c r="J105" s="88" t="s">
        <v>963</v>
      </c>
      <c r="K105" s="69" t="s">
        <v>407</v>
      </c>
      <c r="L105" s="84" t="s">
        <v>227</v>
      </c>
      <c r="M105" s="137">
        <v>45748</v>
      </c>
      <c r="N105" s="75"/>
      <c r="P105" s="89"/>
      <c r="Q105" s="89"/>
    </row>
    <row r="106" spans="1:17" x14ac:dyDescent="0.3">
      <c r="A106" s="16" t="s">
        <v>963</v>
      </c>
      <c r="B106" s="16" t="s">
        <v>1256</v>
      </c>
      <c r="C106" s="28" t="s">
        <v>123</v>
      </c>
      <c r="D106" s="28" t="str">
        <f>IFERROR(VLOOKUP($C106,CUENTAS[],2,0),"")</f>
        <v>ACTIVOS FIJOS</v>
      </c>
      <c r="E106" s="28" t="str">
        <f>IFERROR(VLOOKUP($C106,CUENTAS[],3,0),"")</f>
        <v>MDE2025-007C</v>
      </c>
      <c r="F106" s="86">
        <v>624.26</v>
      </c>
      <c r="G106" s="86">
        <v>99.88</v>
      </c>
      <c r="H106" s="74">
        <v>724.14</v>
      </c>
      <c r="I106" s="200" t="str">
        <f t="shared" si="1"/>
        <v>CORRECTO</v>
      </c>
      <c r="J106" s="88" t="s">
        <v>963</v>
      </c>
      <c r="K106" s="69" t="s">
        <v>407</v>
      </c>
      <c r="L106" s="84" t="s">
        <v>227</v>
      </c>
      <c r="M106" s="137">
        <v>45748</v>
      </c>
      <c r="N106" s="75"/>
      <c r="P106" s="89"/>
      <c r="Q106" s="89"/>
    </row>
    <row r="107" spans="1:17" x14ac:dyDescent="0.3">
      <c r="A107" s="16" t="s">
        <v>963</v>
      </c>
      <c r="B107" s="16" t="s">
        <v>1257</v>
      </c>
      <c r="C107" s="28" t="s">
        <v>123</v>
      </c>
      <c r="D107" s="28" t="str">
        <f>IFERROR(VLOOKUP($C107,CUENTAS[],2,0),"")</f>
        <v>ACTIVOS FIJOS</v>
      </c>
      <c r="E107" s="28" t="str">
        <f>IFERROR(VLOOKUP($C107,CUENTAS[],3,0),"")</f>
        <v>MDE2025-007C</v>
      </c>
      <c r="F107" s="86">
        <v>148.19999999999999</v>
      </c>
      <c r="G107" s="86">
        <v>23.71</v>
      </c>
      <c r="H107" s="74">
        <v>171.91</v>
      </c>
      <c r="I107" s="200" t="str">
        <f t="shared" si="1"/>
        <v>CORRECTO</v>
      </c>
      <c r="J107" s="88" t="s">
        <v>963</v>
      </c>
      <c r="K107" s="69" t="s">
        <v>407</v>
      </c>
      <c r="L107" s="84" t="s">
        <v>227</v>
      </c>
      <c r="M107" s="137">
        <v>45748</v>
      </c>
      <c r="N107" s="75"/>
      <c r="P107" s="89"/>
      <c r="Q107" s="89"/>
    </row>
    <row r="108" spans="1:17" x14ac:dyDescent="0.3">
      <c r="A108" s="16" t="s">
        <v>963</v>
      </c>
      <c r="B108" s="16" t="s">
        <v>1258</v>
      </c>
      <c r="C108" s="28" t="s">
        <v>222</v>
      </c>
      <c r="D108" s="28" t="str">
        <f>IFERROR(VLOOKUP($C108,CUENTAS[],2,0),"")</f>
        <v>MANTENIMIENTO</v>
      </c>
      <c r="E108" s="28" t="str">
        <f>IFERROR(VLOOKUP($C108,CUENTAS[],3,0),"")</f>
        <v>MDE2025-009A</v>
      </c>
      <c r="F108" s="86">
        <v>188.8</v>
      </c>
      <c r="G108" s="86">
        <v>30.21</v>
      </c>
      <c r="H108" s="74">
        <v>219.01</v>
      </c>
      <c r="I108" s="200" t="str">
        <f t="shared" si="1"/>
        <v>CORRECTO</v>
      </c>
      <c r="J108" s="88" t="s">
        <v>963</v>
      </c>
      <c r="K108" s="69" t="s">
        <v>407</v>
      </c>
      <c r="L108" s="84" t="s">
        <v>227</v>
      </c>
      <c r="M108" s="137">
        <v>45755</v>
      </c>
      <c r="N108" s="75"/>
      <c r="P108" s="89"/>
      <c r="Q108" s="89"/>
    </row>
    <row r="109" spans="1:17" x14ac:dyDescent="0.3">
      <c r="A109" s="16" t="s">
        <v>963</v>
      </c>
      <c r="B109" s="16" t="s">
        <v>1259</v>
      </c>
      <c r="C109" s="28" t="s">
        <v>222</v>
      </c>
      <c r="D109" s="28" t="str">
        <f>IFERROR(VLOOKUP($C109,CUENTAS[],2,0),"")</f>
        <v>MANTENIMIENTO</v>
      </c>
      <c r="E109" s="28" t="str">
        <f>IFERROR(VLOOKUP($C109,CUENTAS[],3,0),"")</f>
        <v>MDE2025-009A</v>
      </c>
      <c r="F109" s="86">
        <v>77.8</v>
      </c>
      <c r="G109" s="86">
        <v>12.44</v>
      </c>
      <c r="H109" s="74">
        <v>90.24</v>
      </c>
      <c r="I109" s="200" t="str">
        <f t="shared" si="1"/>
        <v>CORRECTO</v>
      </c>
      <c r="J109" s="88" t="s">
        <v>963</v>
      </c>
      <c r="K109" s="69" t="s">
        <v>407</v>
      </c>
      <c r="L109" s="84" t="s">
        <v>227</v>
      </c>
      <c r="M109" s="137">
        <v>45755</v>
      </c>
      <c r="N109" s="75"/>
      <c r="P109" s="89"/>
      <c r="Q109" s="89"/>
    </row>
    <row r="110" spans="1:17" x14ac:dyDescent="0.3">
      <c r="A110" s="16" t="s">
        <v>963</v>
      </c>
      <c r="B110" s="16" t="s">
        <v>1260</v>
      </c>
      <c r="C110" s="28" t="s">
        <v>222</v>
      </c>
      <c r="D110" s="28" t="str">
        <f>IFERROR(VLOOKUP($C110,CUENTAS[],2,0),"")</f>
        <v>MANTENIMIENTO</v>
      </c>
      <c r="E110" s="28" t="str">
        <f>IFERROR(VLOOKUP($C110,CUENTAS[],3,0),"")</f>
        <v>MDE2025-009A</v>
      </c>
      <c r="F110" s="86">
        <v>13.36</v>
      </c>
      <c r="G110" s="86">
        <v>2.14</v>
      </c>
      <c r="H110" s="74">
        <v>15.5</v>
      </c>
      <c r="I110" s="200" t="str">
        <f t="shared" si="1"/>
        <v>CORRECTO</v>
      </c>
      <c r="J110" s="88" t="s">
        <v>963</v>
      </c>
      <c r="K110" s="69" t="s">
        <v>407</v>
      </c>
      <c r="L110" s="84" t="s">
        <v>227</v>
      </c>
      <c r="M110" s="137">
        <v>45755</v>
      </c>
      <c r="N110" s="75"/>
      <c r="P110" s="89"/>
      <c r="Q110" s="89"/>
    </row>
    <row r="111" spans="1:17" x14ac:dyDescent="0.3">
      <c r="A111" s="16" t="s">
        <v>963</v>
      </c>
      <c r="B111" s="16" t="s">
        <v>1261</v>
      </c>
      <c r="C111" s="28" t="s">
        <v>222</v>
      </c>
      <c r="D111" s="28" t="str">
        <f>IFERROR(VLOOKUP($C111,CUENTAS[],2,0),"")</f>
        <v>MANTENIMIENTO</v>
      </c>
      <c r="E111" s="28" t="str">
        <f>IFERROR(VLOOKUP($C111,CUENTAS[],3,0),"")</f>
        <v>MDE2025-009A</v>
      </c>
      <c r="F111" s="86">
        <v>0.3</v>
      </c>
      <c r="G111" s="86">
        <v>0.05</v>
      </c>
      <c r="H111" s="74">
        <v>0.35</v>
      </c>
      <c r="I111" s="200" t="str">
        <f t="shared" si="1"/>
        <v>CORRECTO</v>
      </c>
      <c r="J111" s="88" t="s">
        <v>963</v>
      </c>
      <c r="K111" s="69" t="s">
        <v>407</v>
      </c>
      <c r="L111" s="84" t="s">
        <v>227</v>
      </c>
      <c r="M111" s="137">
        <v>45755</v>
      </c>
      <c r="N111" s="75"/>
      <c r="P111" s="89"/>
      <c r="Q111" s="89"/>
    </row>
    <row r="112" spans="1:17" x14ac:dyDescent="0.3">
      <c r="A112" s="16" t="s">
        <v>963</v>
      </c>
      <c r="B112" s="16" t="s">
        <v>1262</v>
      </c>
      <c r="C112" s="28" t="s">
        <v>222</v>
      </c>
      <c r="D112" s="28" t="str">
        <f>IFERROR(VLOOKUP($C112,CUENTAS[],2,0),"")</f>
        <v>MANTENIMIENTO</v>
      </c>
      <c r="E112" s="28" t="str">
        <f>IFERROR(VLOOKUP($C112,CUENTAS[],3,0),"")</f>
        <v>MDE2025-009A</v>
      </c>
      <c r="F112" s="86">
        <v>0.2</v>
      </c>
      <c r="G112" s="86">
        <v>0.11</v>
      </c>
      <c r="H112" s="74">
        <v>0.31</v>
      </c>
      <c r="I112" s="200" t="str">
        <f t="shared" si="1"/>
        <v>CORRECTO</v>
      </c>
      <c r="J112" s="88" t="s">
        <v>963</v>
      </c>
      <c r="K112" s="69" t="s">
        <v>407</v>
      </c>
      <c r="L112" s="84" t="s">
        <v>227</v>
      </c>
      <c r="M112" s="137">
        <v>45755</v>
      </c>
      <c r="N112" s="75"/>
      <c r="P112" s="89"/>
      <c r="Q112" s="89"/>
    </row>
    <row r="113" spans="1:17" x14ac:dyDescent="0.3">
      <c r="A113" s="16" t="s">
        <v>963</v>
      </c>
      <c r="B113" s="16" t="s">
        <v>1263</v>
      </c>
      <c r="C113" s="28" t="s">
        <v>222</v>
      </c>
      <c r="D113" s="28" t="str">
        <f>IFERROR(VLOOKUP($C113,CUENTAS[],2,0),"")</f>
        <v>MANTENIMIENTO</v>
      </c>
      <c r="E113" s="28" t="str">
        <f>IFERROR(VLOOKUP($C113,CUENTAS[],3,0),"")</f>
        <v>MDE2025-009A</v>
      </c>
      <c r="F113" s="86">
        <v>369.83</v>
      </c>
      <c r="G113" s="86">
        <v>59.17</v>
      </c>
      <c r="H113" s="74">
        <v>429</v>
      </c>
      <c r="I113" s="200" t="str">
        <f t="shared" si="1"/>
        <v>CORRECTO</v>
      </c>
      <c r="J113" s="88" t="s">
        <v>963</v>
      </c>
      <c r="K113" s="69" t="s">
        <v>981</v>
      </c>
      <c r="L113" s="84" t="s">
        <v>227</v>
      </c>
      <c r="M113" s="137">
        <v>45777</v>
      </c>
      <c r="N113" s="75"/>
      <c r="P113" s="89"/>
      <c r="Q113" s="89"/>
    </row>
    <row r="114" spans="1:17" x14ac:dyDescent="0.3">
      <c r="A114" s="16" t="s">
        <v>963</v>
      </c>
      <c r="B114" s="16" t="s">
        <v>1264</v>
      </c>
      <c r="C114" s="28" t="s">
        <v>201</v>
      </c>
      <c r="D114" s="28" t="str">
        <f>IFERROR(VLOOKUP($C114,CUENTAS[],2,0),"")</f>
        <v>ACTIVOS FIJOS</v>
      </c>
      <c r="E114" s="28" t="str">
        <f>IFERROR(VLOOKUP($C114,CUENTAS[],3,0),"")</f>
        <v>MDE2025-007I</v>
      </c>
      <c r="F114" s="86">
        <v>15</v>
      </c>
      <c r="G114" s="87">
        <v>0</v>
      </c>
      <c r="H114" s="74">
        <v>15</v>
      </c>
      <c r="I114" s="200" t="str">
        <f t="shared" si="1"/>
        <v>CORRECTO</v>
      </c>
      <c r="J114" s="88" t="s">
        <v>963</v>
      </c>
      <c r="K114" s="69" t="s">
        <v>1232</v>
      </c>
      <c r="L114" s="84" t="s">
        <v>227</v>
      </c>
      <c r="M114" s="137">
        <v>45777</v>
      </c>
      <c r="N114" s="75"/>
      <c r="P114" s="89"/>
      <c r="Q114" s="89"/>
    </row>
    <row r="115" spans="1:17" x14ac:dyDescent="0.3">
      <c r="A115" s="5" t="s">
        <v>1004</v>
      </c>
      <c r="B115" s="100" t="s">
        <v>1009</v>
      </c>
      <c r="C115" s="28" t="s">
        <v>141</v>
      </c>
      <c r="D115" s="28" t="str">
        <f>IFERROR(VLOOKUP($C115,CUENTAS[],2,0),"")</f>
        <v>GASTOS VARIOS</v>
      </c>
      <c r="E115" s="28" t="str">
        <f>IFERROR(VLOOKUP($C115,CUENTAS[],3,0),"")</f>
        <v>MDE2025-003L</v>
      </c>
      <c r="F115" s="128">
        <v>1663.65</v>
      </c>
      <c r="G115" s="145">
        <v>0</v>
      </c>
      <c r="H115" s="128">
        <v>1663.65</v>
      </c>
      <c r="I115" s="200" t="str">
        <f t="shared" si="1"/>
        <v>CORRECTO</v>
      </c>
      <c r="J115" s="88" t="s">
        <v>133</v>
      </c>
      <c r="K115" s="141" t="s">
        <v>1277</v>
      </c>
      <c r="L115" s="142" t="s">
        <v>227</v>
      </c>
      <c r="M115" s="139">
        <v>45777</v>
      </c>
      <c r="N115" s="143" t="s">
        <v>226</v>
      </c>
      <c r="P115" s="89"/>
      <c r="Q115" s="89"/>
    </row>
    <row r="116" spans="1:17" x14ac:dyDescent="0.3">
      <c r="A116" s="5" t="s">
        <v>1004</v>
      </c>
      <c r="B116" s="100" t="s">
        <v>1010</v>
      </c>
      <c r="C116" s="28" t="s">
        <v>141</v>
      </c>
      <c r="D116" s="28" t="str">
        <f>IFERROR(VLOOKUP($C116,CUENTAS[],2,0),"")</f>
        <v>GASTOS VARIOS</v>
      </c>
      <c r="E116" s="28" t="str">
        <f>IFERROR(VLOOKUP($C116,CUENTAS[],3,0),"")</f>
        <v>MDE2025-003L</v>
      </c>
      <c r="F116" s="128">
        <v>266.18</v>
      </c>
      <c r="G116" s="145">
        <v>0</v>
      </c>
      <c r="H116" s="128">
        <v>266.18</v>
      </c>
      <c r="I116" s="200" t="str">
        <f t="shared" si="1"/>
        <v>CORRECTO</v>
      </c>
      <c r="J116" s="88" t="s">
        <v>133</v>
      </c>
      <c r="K116" s="141" t="s">
        <v>1277</v>
      </c>
      <c r="L116" s="142" t="s">
        <v>227</v>
      </c>
      <c r="M116" s="139">
        <v>45777</v>
      </c>
      <c r="N116" s="143" t="s">
        <v>226</v>
      </c>
      <c r="P116" s="89"/>
      <c r="Q116" s="89"/>
    </row>
    <row r="117" spans="1:17" x14ac:dyDescent="0.3">
      <c r="A117" s="21" t="s">
        <v>1004</v>
      </c>
      <c r="B117" s="104" t="s">
        <v>1011</v>
      </c>
      <c r="C117" s="28" t="s">
        <v>141</v>
      </c>
      <c r="D117" s="28" t="str">
        <f>IFERROR(VLOOKUP($C117,CUENTAS[],2,0),"")</f>
        <v>GASTOS VARIOS</v>
      </c>
      <c r="E117" s="28" t="str">
        <f>IFERROR(VLOOKUP($C117,CUENTAS[],3,0),"")</f>
        <v>MDE2025-003L</v>
      </c>
      <c r="F117" s="128">
        <v>9242.51</v>
      </c>
      <c r="G117" s="145">
        <v>0</v>
      </c>
      <c r="H117" s="128">
        <v>9242.51</v>
      </c>
      <c r="I117" s="200" t="str">
        <f t="shared" si="1"/>
        <v>CORRECTO</v>
      </c>
      <c r="J117" s="88" t="s">
        <v>133</v>
      </c>
      <c r="K117" s="141" t="s">
        <v>1277</v>
      </c>
      <c r="L117" s="142" t="s">
        <v>227</v>
      </c>
      <c r="M117" s="139">
        <v>45777</v>
      </c>
      <c r="N117" s="146" t="s">
        <v>226</v>
      </c>
      <c r="P117" s="89"/>
      <c r="Q117" s="89"/>
    </row>
    <row r="118" spans="1:17" x14ac:dyDescent="0.3">
      <c r="A118" s="21" t="s">
        <v>228</v>
      </c>
      <c r="B118" s="104" t="s">
        <v>1275</v>
      </c>
      <c r="C118" s="28" t="s">
        <v>168</v>
      </c>
      <c r="D118" s="28" t="str">
        <f>IFERROR(VLOOKUP($C118,CUENTAS[],2,0),"")</f>
        <v>ACTIVOS FIJOS</v>
      </c>
      <c r="E118" s="28" t="str">
        <f>IFERROR(VLOOKUP($C118,CUENTAS[],3,0),"")</f>
        <v>MDE2025-007B</v>
      </c>
      <c r="F118" s="144">
        <v>12370</v>
      </c>
      <c r="G118" s="145">
        <v>0</v>
      </c>
      <c r="H118" s="128">
        <v>12370</v>
      </c>
      <c r="I118" s="200" t="str">
        <f t="shared" si="1"/>
        <v>CORRECTO</v>
      </c>
      <c r="J118" s="88" t="s">
        <v>133</v>
      </c>
      <c r="K118" s="141" t="s">
        <v>360</v>
      </c>
      <c r="L118" s="142" t="s">
        <v>227</v>
      </c>
      <c r="M118" s="139">
        <v>45783</v>
      </c>
      <c r="N118" s="146" t="s">
        <v>226</v>
      </c>
      <c r="P118" s="89"/>
      <c r="Q118" s="89"/>
    </row>
    <row r="119" spans="1:17" x14ac:dyDescent="0.3">
      <c r="A119" s="21" t="s">
        <v>228</v>
      </c>
      <c r="B119" s="104" t="s">
        <v>1275</v>
      </c>
      <c r="C119" s="28" t="s">
        <v>168</v>
      </c>
      <c r="D119" s="28" t="str">
        <f>IFERROR(VLOOKUP($C119,CUENTAS[],2,0),"")</f>
        <v>ACTIVOS FIJOS</v>
      </c>
      <c r="E119" s="28" t="str">
        <f>IFERROR(VLOOKUP($C119,CUENTAS[],3,0),"")</f>
        <v>MDE2025-007B</v>
      </c>
      <c r="F119" s="144">
        <v>12370</v>
      </c>
      <c r="G119" s="145">
        <v>0</v>
      </c>
      <c r="H119" s="128">
        <v>12370</v>
      </c>
      <c r="I119" s="200" t="str">
        <f t="shared" si="1"/>
        <v>CORRECTO</v>
      </c>
      <c r="J119" s="88" t="s">
        <v>133</v>
      </c>
      <c r="K119" s="141" t="s">
        <v>360</v>
      </c>
      <c r="L119" s="142" t="s">
        <v>227</v>
      </c>
      <c r="M119" s="139">
        <v>45783</v>
      </c>
      <c r="N119" s="146" t="s">
        <v>226</v>
      </c>
      <c r="P119" s="89"/>
      <c r="Q119" s="89"/>
    </row>
    <row r="120" spans="1:17" x14ac:dyDescent="0.3">
      <c r="A120" s="21" t="s">
        <v>228</v>
      </c>
      <c r="B120" s="104" t="s">
        <v>401</v>
      </c>
      <c r="C120" s="28" t="s">
        <v>151</v>
      </c>
      <c r="D120" s="28" t="str">
        <f>IFERROR(VLOOKUP($C120,CUENTAS[],2,0),"")</f>
        <v>GASTOS FIJOS</v>
      </c>
      <c r="E120" s="28" t="str">
        <f>IFERROR(VLOOKUP($C120,CUENTAS[],3,0),"")</f>
        <v>MDE2025-002F</v>
      </c>
      <c r="F120" s="144">
        <v>1045</v>
      </c>
      <c r="G120" s="145">
        <v>0</v>
      </c>
      <c r="H120" s="128">
        <v>1045</v>
      </c>
      <c r="I120" s="200" t="str">
        <f t="shared" si="1"/>
        <v>CORRECTO</v>
      </c>
      <c r="J120" s="88" t="s">
        <v>133</v>
      </c>
      <c r="K120" s="141" t="s">
        <v>1278</v>
      </c>
      <c r="L120" s="142" t="s">
        <v>227</v>
      </c>
      <c r="M120" s="139">
        <v>45783</v>
      </c>
      <c r="N120" s="146" t="s">
        <v>226</v>
      </c>
      <c r="P120" s="89"/>
      <c r="Q120" s="89"/>
    </row>
    <row r="121" spans="1:17" x14ac:dyDescent="0.3">
      <c r="A121" s="21" t="s">
        <v>228</v>
      </c>
      <c r="B121" s="104" t="s">
        <v>998</v>
      </c>
      <c r="C121" s="28" t="s">
        <v>134</v>
      </c>
      <c r="D121" s="28" t="str">
        <f>IFERROR(VLOOKUP($C121,CUENTAS[],2,0),"")</f>
        <v>GASTOS FIJOS</v>
      </c>
      <c r="E121" s="28" t="str">
        <f>IFERROR(VLOOKUP($C121,CUENTAS[],3,0),"")</f>
        <v>MDE2025-002J</v>
      </c>
      <c r="F121" s="144">
        <v>594.78</v>
      </c>
      <c r="G121" s="145">
        <v>0</v>
      </c>
      <c r="H121" s="128">
        <v>594.78</v>
      </c>
      <c r="I121" s="200" t="str">
        <f t="shared" si="1"/>
        <v>CORRECTO</v>
      </c>
      <c r="J121" s="88" t="s">
        <v>133</v>
      </c>
      <c r="K121" s="141" t="s">
        <v>360</v>
      </c>
      <c r="L121" s="142" t="s">
        <v>227</v>
      </c>
      <c r="M121" s="139">
        <v>45783</v>
      </c>
      <c r="N121" s="146" t="s">
        <v>226</v>
      </c>
      <c r="P121" s="89"/>
      <c r="Q121" s="89"/>
    </row>
    <row r="122" spans="1:17" x14ac:dyDescent="0.3">
      <c r="A122" s="21" t="s">
        <v>228</v>
      </c>
      <c r="B122" s="104" t="s">
        <v>401</v>
      </c>
      <c r="C122" s="28" t="s">
        <v>151</v>
      </c>
      <c r="D122" s="28" t="str">
        <f>IFERROR(VLOOKUP($C122,CUENTAS[],2,0),"")</f>
        <v>GASTOS FIJOS</v>
      </c>
      <c r="E122" s="28" t="str">
        <f>IFERROR(VLOOKUP($C122,CUENTAS[],3,0),"")</f>
        <v>MDE2025-002F</v>
      </c>
      <c r="F122" s="144">
        <v>3148</v>
      </c>
      <c r="G122" s="145">
        <v>0</v>
      </c>
      <c r="H122" s="128">
        <v>3148</v>
      </c>
      <c r="I122" s="200" t="str">
        <f t="shared" si="1"/>
        <v>CORRECTO</v>
      </c>
      <c r="J122" s="88" t="s">
        <v>133</v>
      </c>
      <c r="K122" s="141" t="s">
        <v>1278</v>
      </c>
      <c r="L122" s="142" t="s">
        <v>227</v>
      </c>
      <c r="M122" s="139">
        <v>45783</v>
      </c>
      <c r="N122" s="146" t="s">
        <v>226</v>
      </c>
      <c r="P122" s="89"/>
      <c r="Q122" s="89"/>
    </row>
    <row r="123" spans="1:17" x14ac:dyDescent="0.3">
      <c r="A123" s="21" t="s">
        <v>228</v>
      </c>
      <c r="B123" s="104" t="s">
        <v>1275</v>
      </c>
      <c r="C123" s="28" t="s">
        <v>168</v>
      </c>
      <c r="D123" s="28" t="str">
        <f>IFERROR(VLOOKUP($C123,CUENTAS[],2,0),"")</f>
        <v>ACTIVOS FIJOS</v>
      </c>
      <c r="E123" s="28" t="str">
        <f>IFERROR(VLOOKUP($C123,CUENTAS[],3,0),"")</f>
        <v>MDE2025-007B</v>
      </c>
      <c r="F123" s="144">
        <v>10370</v>
      </c>
      <c r="G123" s="145">
        <v>0</v>
      </c>
      <c r="H123" s="128">
        <v>10370</v>
      </c>
      <c r="I123" s="200" t="str">
        <f t="shared" si="1"/>
        <v>CORRECTO</v>
      </c>
      <c r="J123" s="88" t="s">
        <v>133</v>
      </c>
      <c r="K123" s="141" t="s">
        <v>360</v>
      </c>
      <c r="L123" s="142" t="s">
        <v>227</v>
      </c>
      <c r="M123" s="139">
        <v>45783</v>
      </c>
      <c r="N123" s="146" t="s">
        <v>226</v>
      </c>
      <c r="P123" s="89"/>
      <c r="Q123" s="89"/>
    </row>
    <row r="124" spans="1:17" x14ac:dyDescent="0.3">
      <c r="A124" s="21" t="s">
        <v>228</v>
      </c>
      <c r="B124" s="104" t="s">
        <v>1275</v>
      </c>
      <c r="C124" s="28" t="s">
        <v>168</v>
      </c>
      <c r="D124" s="28" t="str">
        <f>IFERROR(VLOOKUP($C124,CUENTAS[],2,0),"")</f>
        <v>ACTIVOS FIJOS</v>
      </c>
      <c r="E124" s="28" t="str">
        <f>IFERROR(VLOOKUP($C124,CUENTAS[],3,0),"")</f>
        <v>MDE2025-007B</v>
      </c>
      <c r="F124" s="144">
        <v>12370</v>
      </c>
      <c r="G124" s="145">
        <v>0</v>
      </c>
      <c r="H124" s="128">
        <v>12370</v>
      </c>
      <c r="I124" s="200" t="str">
        <f t="shared" si="1"/>
        <v>CORRECTO</v>
      </c>
      <c r="J124" s="88" t="s">
        <v>133</v>
      </c>
      <c r="K124" s="141" t="s">
        <v>360</v>
      </c>
      <c r="L124" s="142" t="s">
        <v>227</v>
      </c>
      <c r="M124" s="139">
        <v>45783</v>
      </c>
      <c r="N124" s="143" t="s">
        <v>226</v>
      </c>
      <c r="P124" s="89"/>
      <c r="Q124" s="89"/>
    </row>
    <row r="125" spans="1:17" x14ac:dyDescent="0.3">
      <c r="A125" s="21" t="s">
        <v>228</v>
      </c>
      <c r="B125" s="104" t="s">
        <v>1007</v>
      </c>
      <c r="C125" s="28" t="s">
        <v>168</v>
      </c>
      <c r="D125" s="28" t="str">
        <f>IFERROR(VLOOKUP($C125,CUENTAS[],2,0),"")</f>
        <v>ACTIVOS FIJOS</v>
      </c>
      <c r="E125" s="28" t="str">
        <f>IFERROR(VLOOKUP($C125,CUENTAS[],3,0),"")</f>
        <v>MDE2025-007B</v>
      </c>
      <c r="F125" s="144">
        <v>7649.67</v>
      </c>
      <c r="G125" s="145">
        <v>0</v>
      </c>
      <c r="H125" s="128">
        <v>7649.67</v>
      </c>
      <c r="I125" s="200" t="str">
        <f t="shared" si="1"/>
        <v>CORRECTO</v>
      </c>
      <c r="J125" s="88" t="s">
        <v>133</v>
      </c>
      <c r="K125" s="141" t="s">
        <v>360</v>
      </c>
      <c r="L125" s="142" t="s">
        <v>227</v>
      </c>
      <c r="M125" s="139">
        <v>45783</v>
      </c>
      <c r="N125" s="143" t="s">
        <v>226</v>
      </c>
      <c r="P125" s="89"/>
      <c r="Q125" s="89"/>
    </row>
    <row r="126" spans="1:17" x14ac:dyDescent="0.3">
      <c r="A126" s="21" t="s">
        <v>228</v>
      </c>
      <c r="B126" s="104" t="s">
        <v>1276</v>
      </c>
      <c r="C126" s="28" t="s">
        <v>222</v>
      </c>
      <c r="D126" s="28" t="str">
        <f>IFERROR(VLOOKUP($C126,CUENTAS[],2,0),"")</f>
        <v>MANTENIMIENTO</v>
      </c>
      <c r="E126" s="28" t="str">
        <f>IFERROR(VLOOKUP($C126,CUENTAS[],3,0),"")</f>
        <v>MDE2025-009A</v>
      </c>
      <c r="F126" s="128">
        <v>691</v>
      </c>
      <c r="G126" s="145">
        <v>0</v>
      </c>
      <c r="H126" s="128">
        <v>691</v>
      </c>
      <c r="I126" s="200" t="str">
        <f t="shared" si="1"/>
        <v>CORRECTO</v>
      </c>
      <c r="J126" s="88" t="s">
        <v>133</v>
      </c>
      <c r="K126" s="141" t="s">
        <v>360</v>
      </c>
      <c r="L126" s="142" t="s">
        <v>227</v>
      </c>
      <c r="M126" s="139">
        <v>45783</v>
      </c>
      <c r="N126" s="146" t="s">
        <v>226</v>
      </c>
      <c r="P126" s="89"/>
      <c r="Q126" s="89"/>
    </row>
    <row r="127" spans="1:17" x14ac:dyDescent="0.3">
      <c r="A127" s="21" t="s">
        <v>228</v>
      </c>
      <c r="B127" s="104" t="s">
        <v>1276</v>
      </c>
      <c r="C127" s="28" t="s">
        <v>222</v>
      </c>
      <c r="D127" s="28" t="str">
        <f>IFERROR(VLOOKUP($C127,CUENTAS[],2,0),"")</f>
        <v>MANTENIMIENTO</v>
      </c>
      <c r="E127" s="28" t="str">
        <f>IFERROR(VLOOKUP($C127,CUENTAS[],3,0),"")</f>
        <v>MDE2025-009A</v>
      </c>
      <c r="F127" s="128">
        <v>691</v>
      </c>
      <c r="G127" s="145">
        <v>0</v>
      </c>
      <c r="H127" s="128">
        <v>691</v>
      </c>
      <c r="I127" s="200" t="str">
        <f t="shared" si="1"/>
        <v>CORRECTO</v>
      </c>
      <c r="J127" s="88" t="s">
        <v>133</v>
      </c>
      <c r="K127" s="141" t="s">
        <v>360</v>
      </c>
      <c r="L127" s="142" t="s">
        <v>227</v>
      </c>
      <c r="M127" s="139">
        <v>45783</v>
      </c>
      <c r="N127" s="146" t="s">
        <v>226</v>
      </c>
      <c r="P127" s="89"/>
      <c r="Q127" s="89"/>
    </row>
    <row r="128" spans="1:17" x14ac:dyDescent="0.3">
      <c r="A128" s="6" t="s">
        <v>833</v>
      </c>
      <c r="B128" s="109" t="s">
        <v>1213</v>
      </c>
      <c r="C128" s="28" t="s">
        <v>201</v>
      </c>
      <c r="D128" s="28" t="str">
        <f>IFERROR(VLOOKUP($C128,CUENTAS[],2,0),"")</f>
        <v>ACTIVOS FIJOS</v>
      </c>
      <c r="E128" s="28" t="str">
        <f>IFERROR(VLOOKUP($C128,CUENTAS[],3,0),"")</f>
        <v>MDE2025-007I</v>
      </c>
      <c r="F128" s="86">
        <v>215.52</v>
      </c>
      <c r="G128" s="129">
        <v>34.479999999999997</v>
      </c>
      <c r="H128" s="126">
        <v>250</v>
      </c>
      <c r="I128" s="200" t="str">
        <f t="shared" si="1"/>
        <v>CORRECTO</v>
      </c>
      <c r="J128" s="88" t="s">
        <v>3246</v>
      </c>
      <c r="K128" s="101" t="s">
        <v>1232</v>
      </c>
      <c r="L128" s="95" t="s">
        <v>227</v>
      </c>
      <c r="M128" s="110">
        <v>45748</v>
      </c>
      <c r="N128" s="8" t="s">
        <v>1233</v>
      </c>
      <c r="P128" s="89"/>
      <c r="Q128" s="89"/>
    </row>
    <row r="129" spans="1:17" x14ac:dyDescent="0.3">
      <c r="A129" s="6" t="s">
        <v>890</v>
      </c>
      <c r="B129" s="111" t="s">
        <v>891</v>
      </c>
      <c r="C129" s="28" t="s">
        <v>224</v>
      </c>
      <c r="D129" s="28" t="str">
        <f>IFERROR(VLOOKUP($C129,CUENTAS[],2,0),"")</f>
        <v>MATERIALES</v>
      </c>
      <c r="E129" s="28" t="str">
        <f>IFERROR(VLOOKUP($C129,CUENTAS[],3,0),"")</f>
        <v>MDE2025-004</v>
      </c>
      <c r="F129" s="86">
        <v>1172.7</v>
      </c>
      <c r="G129" s="129">
        <v>187.63</v>
      </c>
      <c r="H129" s="127">
        <v>1360.33</v>
      </c>
      <c r="I129" s="200" t="str">
        <f t="shared" si="1"/>
        <v>CORRECTO</v>
      </c>
      <c r="J129" s="88" t="s">
        <v>3246</v>
      </c>
      <c r="K129" s="112" t="s">
        <v>425</v>
      </c>
      <c r="L129" s="95" t="s">
        <v>227</v>
      </c>
      <c r="M129" s="113">
        <v>45748</v>
      </c>
      <c r="N129" s="9" t="s">
        <v>927</v>
      </c>
      <c r="P129" s="89"/>
      <c r="Q129" s="89"/>
    </row>
    <row r="130" spans="1:17" x14ac:dyDescent="0.3">
      <c r="A130" s="6" t="s">
        <v>833</v>
      </c>
      <c r="B130" s="111" t="s">
        <v>1214</v>
      </c>
      <c r="C130" s="28" t="s">
        <v>222</v>
      </c>
      <c r="D130" s="28" t="str">
        <f>IFERROR(VLOOKUP($C130,CUENTAS[],2,0),"")</f>
        <v>MANTENIMIENTO</v>
      </c>
      <c r="E130" s="28" t="str">
        <f>IFERROR(VLOOKUP($C130,CUENTAS[],3,0),"")</f>
        <v>MDE2025-009A</v>
      </c>
      <c r="F130" s="86">
        <v>206.9</v>
      </c>
      <c r="G130" s="129">
        <v>33.1</v>
      </c>
      <c r="H130" s="127">
        <v>240</v>
      </c>
      <c r="I130" s="200" t="str">
        <f t="shared" si="1"/>
        <v>CORRECTO</v>
      </c>
      <c r="J130" s="88" t="s">
        <v>3246</v>
      </c>
      <c r="K130" s="112" t="s">
        <v>623</v>
      </c>
      <c r="L130" s="95" t="s">
        <v>227</v>
      </c>
      <c r="M130" s="113">
        <v>45755</v>
      </c>
      <c r="N130" s="9" t="s">
        <v>1234</v>
      </c>
      <c r="P130" s="89"/>
      <c r="Q130" s="89"/>
    </row>
    <row r="131" spans="1:17" x14ac:dyDescent="0.3">
      <c r="A131" s="6" t="s">
        <v>833</v>
      </c>
      <c r="B131" s="111" t="s">
        <v>1215</v>
      </c>
      <c r="C131" s="28" t="s">
        <v>222</v>
      </c>
      <c r="D131" s="28" t="str">
        <f>IFERROR(VLOOKUP($C131,CUENTAS[],2,0),"")</f>
        <v>MANTENIMIENTO</v>
      </c>
      <c r="E131" s="28" t="str">
        <f>IFERROR(VLOOKUP($C131,CUENTAS[],3,0),"")</f>
        <v>MDE2025-009A</v>
      </c>
      <c r="F131" s="86">
        <v>198.28</v>
      </c>
      <c r="G131" s="129">
        <v>31.72</v>
      </c>
      <c r="H131" s="127">
        <v>230</v>
      </c>
      <c r="I131" s="200" t="str">
        <f t="shared" ref="I131:I165" si="2">IFERROR(IF(F131+G131&lt;&gt;H131,"REVISAR","CORRECTO"),"")</f>
        <v>CORRECTO</v>
      </c>
      <c r="J131" s="88" t="s">
        <v>3246</v>
      </c>
      <c r="K131" s="112" t="s">
        <v>623</v>
      </c>
      <c r="L131" s="95" t="s">
        <v>227</v>
      </c>
      <c r="M131" s="113">
        <v>45755</v>
      </c>
      <c r="N131" s="9" t="s">
        <v>1235</v>
      </c>
      <c r="P131" s="89"/>
      <c r="Q131" s="89"/>
    </row>
    <row r="132" spans="1:17" x14ac:dyDescent="0.3">
      <c r="A132" s="6" t="s">
        <v>833</v>
      </c>
      <c r="B132" s="111" t="s">
        <v>1216</v>
      </c>
      <c r="C132" s="28" t="s">
        <v>222</v>
      </c>
      <c r="D132" s="28" t="str">
        <f>IFERROR(VLOOKUP($C132,CUENTAS[],2,0),"")</f>
        <v>MANTENIMIENTO</v>
      </c>
      <c r="E132" s="28" t="str">
        <f>IFERROR(VLOOKUP($C132,CUENTAS[],3,0),"")</f>
        <v>MDE2025-009A</v>
      </c>
      <c r="F132" s="86">
        <v>86.21</v>
      </c>
      <c r="G132" s="129">
        <v>13.79</v>
      </c>
      <c r="H132" s="127">
        <v>100</v>
      </c>
      <c r="I132" s="200" t="str">
        <f t="shared" si="2"/>
        <v>CORRECTO</v>
      </c>
      <c r="J132" s="88" t="s">
        <v>3246</v>
      </c>
      <c r="K132" s="112" t="s">
        <v>623</v>
      </c>
      <c r="L132" s="95" t="s">
        <v>227</v>
      </c>
      <c r="M132" s="113">
        <v>45755</v>
      </c>
      <c r="N132" s="9" t="s">
        <v>1236</v>
      </c>
      <c r="P132" s="89"/>
      <c r="Q132" s="89"/>
    </row>
    <row r="133" spans="1:17" x14ac:dyDescent="0.3">
      <c r="A133" s="6" t="s">
        <v>833</v>
      </c>
      <c r="B133" s="111" t="s">
        <v>1217</v>
      </c>
      <c r="C133" s="28" t="s">
        <v>222</v>
      </c>
      <c r="D133" s="28" t="str">
        <f>IFERROR(VLOOKUP($C133,CUENTAS[],2,0),"")</f>
        <v>MANTENIMIENTO</v>
      </c>
      <c r="E133" s="28" t="str">
        <f>IFERROR(VLOOKUP($C133,CUENTAS[],3,0),"")</f>
        <v>MDE2025-009A</v>
      </c>
      <c r="F133" s="86">
        <v>34.479999999999997</v>
      </c>
      <c r="G133" s="129">
        <v>5.52</v>
      </c>
      <c r="H133" s="127">
        <v>40</v>
      </c>
      <c r="I133" s="200" t="str">
        <f t="shared" si="2"/>
        <v>CORRECTO</v>
      </c>
      <c r="J133" s="88" t="s">
        <v>3246</v>
      </c>
      <c r="K133" s="112" t="s">
        <v>623</v>
      </c>
      <c r="L133" s="95" t="s">
        <v>227</v>
      </c>
      <c r="M133" s="113">
        <v>45755</v>
      </c>
      <c r="N133" s="9" t="s">
        <v>1237</v>
      </c>
      <c r="P133" s="89"/>
      <c r="Q133" s="89"/>
    </row>
    <row r="134" spans="1:17" x14ac:dyDescent="0.3">
      <c r="A134" s="6" t="s">
        <v>463</v>
      </c>
      <c r="B134" s="111" t="s">
        <v>1218</v>
      </c>
      <c r="C134" s="28" t="s">
        <v>224</v>
      </c>
      <c r="D134" s="28" t="str">
        <f>IFERROR(VLOOKUP($C134,CUENTAS[],2,0),"")</f>
        <v>MATERIALES</v>
      </c>
      <c r="E134" s="28" t="str">
        <f>IFERROR(VLOOKUP($C134,CUENTAS[],3,0),"")</f>
        <v>MDE2025-004</v>
      </c>
      <c r="F134" s="86">
        <v>183.45</v>
      </c>
      <c r="G134" s="129">
        <v>29.35</v>
      </c>
      <c r="H134" s="127">
        <v>212.8</v>
      </c>
      <c r="I134" s="200" t="str">
        <f t="shared" si="2"/>
        <v>CORRECTO</v>
      </c>
      <c r="J134" s="88" t="s">
        <v>3246</v>
      </c>
      <c r="K134" s="112" t="s">
        <v>472</v>
      </c>
      <c r="L134" s="95" t="s">
        <v>227</v>
      </c>
      <c r="M134" s="113">
        <v>45761</v>
      </c>
      <c r="N134" s="9" t="s">
        <v>1238</v>
      </c>
      <c r="P134" s="89"/>
      <c r="Q134" s="89"/>
    </row>
    <row r="135" spans="1:17" x14ac:dyDescent="0.3">
      <c r="A135" s="6" t="s">
        <v>1219</v>
      </c>
      <c r="B135" s="111" t="s">
        <v>1220</v>
      </c>
      <c r="C135" s="28" t="s">
        <v>224</v>
      </c>
      <c r="D135" s="28" t="str">
        <f>IFERROR(VLOOKUP($C135,CUENTAS[],2,0),"")</f>
        <v>MATERIALES</v>
      </c>
      <c r="E135" s="28" t="str">
        <f>IFERROR(VLOOKUP($C135,CUENTAS[],3,0),"")</f>
        <v>MDE2025-004</v>
      </c>
      <c r="F135" s="86">
        <v>98</v>
      </c>
      <c r="G135" s="129">
        <v>0</v>
      </c>
      <c r="H135" s="127">
        <v>98</v>
      </c>
      <c r="I135" s="200" t="str">
        <f t="shared" si="2"/>
        <v>CORRECTO</v>
      </c>
      <c r="J135" s="88" t="s">
        <v>3246</v>
      </c>
      <c r="K135" s="112" t="s">
        <v>472</v>
      </c>
      <c r="L135" s="95" t="s">
        <v>227</v>
      </c>
      <c r="M135" s="113">
        <v>45761</v>
      </c>
      <c r="N135" s="9" t="s">
        <v>1239</v>
      </c>
      <c r="P135" s="89"/>
      <c r="Q135" s="89"/>
    </row>
    <row r="136" spans="1:17" x14ac:dyDescent="0.3">
      <c r="A136" s="6" t="s">
        <v>1221</v>
      </c>
      <c r="B136" s="111" t="s">
        <v>1222</v>
      </c>
      <c r="C136" s="28" t="s">
        <v>159</v>
      </c>
      <c r="D136" s="28" t="str">
        <f>IFERROR(VLOOKUP($C136,CUENTAS[],2,0),"")</f>
        <v>GASTOS VARIOS</v>
      </c>
      <c r="E136" s="28" t="str">
        <f>IFERROR(VLOOKUP($C136,CUENTAS[],3,0),"")</f>
        <v>MDE2025-003A</v>
      </c>
      <c r="F136" s="86">
        <v>163.01</v>
      </c>
      <c r="G136" s="129">
        <v>0</v>
      </c>
      <c r="H136" s="127">
        <v>163.01</v>
      </c>
      <c r="I136" s="200" t="str">
        <f t="shared" si="2"/>
        <v>CORRECTO</v>
      </c>
      <c r="J136" s="88" t="s">
        <v>3246</v>
      </c>
      <c r="K136" s="112" t="s">
        <v>623</v>
      </c>
      <c r="L136" s="95" t="s">
        <v>227</v>
      </c>
      <c r="M136" s="113">
        <v>45760</v>
      </c>
      <c r="N136" s="9" t="s">
        <v>1240</v>
      </c>
      <c r="P136" s="89"/>
      <c r="Q136" s="89"/>
    </row>
    <row r="137" spans="1:17" x14ac:dyDescent="0.3">
      <c r="A137" s="6" t="s">
        <v>855</v>
      </c>
      <c r="B137" s="111" t="s">
        <v>1223</v>
      </c>
      <c r="C137" s="28" t="s">
        <v>224</v>
      </c>
      <c r="D137" s="28" t="str">
        <f>IFERROR(VLOOKUP($C137,CUENTAS[],2,0),"")</f>
        <v>MATERIALES</v>
      </c>
      <c r="E137" s="28" t="str">
        <f>IFERROR(VLOOKUP($C137,CUENTAS[],3,0),"")</f>
        <v>MDE2025-004</v>
      </c>
      <c r="F137" s="86">
        <v>4082.75</v>
      </c>
      <c r="G137" s="129">
        <v>653.24</v>
      </c>
      <c r="H137" s="127">
        <v>4735.99</v>
      </c>
      <c r="I137" s="200" t="str">
        <f t="shared" si="2"/>
        <v>CORRECTO</v>
      </c>
      <c r="J137" s="88" t="s">
        <v>3246</v>
      </c>
      <c r="K137" s="112" t="s">
        <v>922</v>
      </c>
      <c r="L137" s="95" t="s">
        <v>227</v>
      </c>
      <c r="M137" s="113">
        <v>45758</v>
      </c>
      <c r="N137" s="9" t="s">
        <v>1241</v>
      </c>
      <c r="P137" s="89"/>
      <c r="Q137" s="89"/>
    </row>
    <row r="138" spans="1:17" x14ac:dyDescent="0.3">
      <c r="A138" s="6" t="s">
        <v>1224</v>
      </c>
      <c r="B138" s="111" t="s">
        <v>1225</v>
      </c>
      <c r="C138" s="28" t="s">
        <v>224</v>
      </c>
      <c r="D138" s="28" t="str">
        <f>IFERROR(VLOOKUP($C138,CUENTAS[],2,0),"")</f>
        <v>MATERIALES</v>
      </c>
      <c r="E138" s="28" t="str">
        <f>IFERROR(VLOOKUP($C138,CUENTAS[],3,0),"")</f>
        <v>MDE2025-004</v>
      </c>
      <c r="F138" s="86">
        <v>200</v>
      </c>
      <c r="G138" s="129">
        <v>0</v>
      </c>
      <c r="H138" s="127">
        <v>200</v>
      </c>
      <c r="I138" s="200" t="str">
        <f t="shared" si="2"/>
        <v>CORRECTO</v>
      </c>
      <c r="J138" s="88" t="s">
        <v>3246</v>
      </c>
      <c r="K138" s="112" t="s">
        <v>472</v>
      </c>
      <c r="L138" s="95" t="s">
        <v>227</v>
      </c>
      <c r="M138" s="113">
        <v>45771</v>
      </c>
      <c r="N138" s="9" t="s">
        <v>1242</v>
      </c>
      <c r="P138" s="89"/>
      <c r="Q138" s="89"/>
    </row>
    <row r="139" spans="1:17" x14ac:dyDescent="0.3">
      <c r="A139" s="6" t="s">
        <v>1226</v>
      </c>
      <c r="B139" s="111" t="s">
        <v>1227</v>
      </c>
      <c r="C139" s="28" t="s">
        <v>120</v>
      </c>
      <c r="D139" s="28" t="str">
        <f>IFERROR(VLOOKUP($C139,CUENTAS[],2,0),"")</f>
        <v>TOKA</v>
      </c>
      <c r="E139" s="28" t="str">
        <f>IFERROR(VLOOKUP($C139,CUENTAS[],3,0),"")</f>
        <v>TOK2025-001C</v>
      </c>
      <c r="F139" s="86">
        <v>26.5</v>
      </c>
      <c r="G139" s="129">
        <v>4.24</v>
      </c>
      <c r="H139" s="127">
        <v>30.74</v>
      </c>
      <c r="I139" s="200" t="str">
        <f t="shared" si="2"/>
        <v>CORRECTO</v>
      </c>
      <c r="J139" s="88" t="s">
        <v>3246</v>
      </c>
      <c r="K139" s="112" t="s">
        <v>472</v>
      </c>
      <c r="L139" s="95" t="s">
        <v>227</v>
      </c>
      <c r="M139" s="113">
        <v>45771</v>
      </c>
      <c r="N139" s="9" t="s">
        <v>1203</v>
      </c>
      <c r="P139" s="89"/>
      <c r="Q139" s="89"/>
    </row>
    <row r="140" spans="1:17" x14ac:dyDescent="0.3">
      <c r="A140" s="6" t="s">
        <v>833</v>
      </c>
      <c r="B140" s="111" t="s">
        <v>1228</v>
      </c>
      <c r="C140" s="28" t="s">
        <v>222</v>
      </c>
      <c r="D140" s="28" t="str">
        <f>IFERROR(VLOOKUP($C140,CUENTAS[],2,0),"")</f>
        <v>MANTENIMIENTO</v>
      </c>
      <c r="E140" s="28" t="str">
        <f>IFERROR(VLOOKUP($C140,CUENTAS[],3,0),"")</f>
        <v>MDE2025-009A</v>
      </c>
      <c r="F140" s="86">
        <v>238.79</v>
      </c>
      <c r="G140" s="129">
        <v>38.21</v>
      </c>
      <c r="H140" s="127">
        <v>277</v>
      </c>
      <c r="I140" s="200" t="str">
        <f t="shared" si="2"/>
        <v>CORRECTO</v>
      </c>
      <c r="J140" s="88" t="s">
        <v>3246</v>
      </c>
      <c r="K140" s="112" t="s">
        <v>623</v>
      </c>
      <c r="L140" s="95" t="s">
        <v>227</v>
      </c>
      <c r="M140" s="113">
        <v>45769</v>
      </c>
      <c r="N140" s="9" t="s">
        <v>1243</v>
      </c>
      <c r="P140" s="89"/>
      <c r="Q140" s="89"/>
    </row>
    <row r="141" spans="1:17" x14ac:dyDescent="0.3">
      <c r="A141" s="6" t="s">
        <v>1229</v>
      </c>
      <c r="B141" s="111" t="s">
        <v>1230</v>
      </c>
      <c r="C141" s="28" t="s">
        <v>151</v>
      </c>
      <c r="D141" s="28" t="str">
        <f>IFERROR(VLOOKUP($C141,CUENTAS[],2,0),"")</f>
        <v>GASTOS FIJOS</v>
      </c>
      <c r="E141" s="28" t="str">
        <f>IFERROR(VLOOKUP($C141,CUENTAS[],3,0),"")</f>
        <v>MDE2025-002F</v>
      </c>
      <c r="F141" s="86">
        <v>688.79</v>
      </c>
      <c r="G141" s="129">
        <v>110.21</v>
      </c>
      <c r="H141" s="127">
        <v>799</v>
      </c>
      <c r="I141" s="200" t="str">
        <f t="shared" si="2"/>
        <v>CORRECTO</v>
      </c>
      <c r="J141" s="88" t="s">
        <v>3246</v>
      </c>
      <c r="K141" s="112" t="s">
        <v>363</v>
      </c>
      <c r="L141" s="95" t="s">
        <v>227</v>
      </c>
      <c r="M141" s="113">
        <v>45773</v>
      </c>
      <c r="N141" s="9" t="s">
        <v>371</v>
      </c>
      <c r="P141" s="89"/>
      <c r="Q141" s="89"/>
    </row>
    <row r="142" spans="1:17" x14ac:dyDescent="0.3">
      <c r="A142" s="6" t="s">
        <v>1229</v>
      </c>
      <c r="B142" s="111" t="s">
        <v>1231</v>
      </c>
      <c r="C142" s="28" t="s">
        <v>151</v>
      </c>
      <c r="D142" s="28" t="str">
        <f>IFERROR(VLOOKUP($C142,CUENTAS[],2,0),"")</f>
        <v>GASTOS FIJOS</v>
      </c>
      <c r="E142" s="28" t="str">
        <f>IFERROR(VLOOKUP($C142,CUENTAS[],3,0),"")</f>
        <v>MDE2025-002F</v>
      </c>
      <c r="F142" s="86">
        <v>688.79</v>
      </c>
      <c r="G142" s="129">
        <v>110.21</v>
      </c>
      <c r="H142" s="127">
        <v>799</v>
      </c>
      <c r="I142" s="200" t="str">
        <f t="shared" si="2"/>
        <v>CORRECTO</v>
      </c>
      <c r="J142" s="88" t="s">
        <v>3246</v>
      </c>
      <c r="K142" s="112" t="s">
        <v>363</v>
      </c>
      <c r="L142" s="95" t="s">
        <v>227</v>
      </c>
      <c r="M142" s="113">
        <v>45773</v>
      </c>
      <c r="N142" s="9" t="s">
        <v>371</v>
      </c>
      <c r="P142" s="89"/>
      <c r="Q142" s="89"/>
    </row>
    <row r="143" spans="1:17" x14ac:dyDescent="0.3">
      <c r="A143" s="6" t="s">
        <v>1028</v>
      </c>
      <c r="B143" s="111" t="s">
        <v>1279</v>
      </c>
      <c r="C143" s="28" t="s">
        <v>117</v>
      </c>
      <c r="D143" s="28" t="str">
        <f>IFERROR(VLOOKUP($C143,CUENTAS[],2,0),"")</f>
        <v>GASTOS VARIOS</v>
      </c>
      <c r="E143" s="28" t="str">
        <f>IFERROR(VLOOKUP($C143,CUENTAS[],3,0),"")</f>
        <v>MDE2025-003D</v>
      </c>
      <c r="F143" s="86">
        <v>346.37</v>
      </c>
      <c r="G143" s="129">
        <v>53.63</v>
      </c>
      <c r="H143" s="127">
        <v>400</v>
      </c>
      <c r="I143" s="200" t="str">
        <f t="shared" si="2"/>
        <v>CORRECTO</v>
      </c>
      <c r="J143" s="88" t="s">
        <v>1284</v>
      </c>
      <c r="K143" s="112" t="s">
        <v>472</v>
      </c>
      <c r="L143" s="95" t="s">
        <v>227</v>
      </c>
      <c r="M143" s="113">
        <v>45751</v>
      </c>
      <c r="N143" s="9" t="s">
        <v>1283</v>
      </c>
      <c r="P143" s="89"/>
      <c r="Q143" s="89"/>
    </row>
    <row r="144" spans="1:17" x14ac:dyDescent="0.3">
      <c r="A144" s="6" t="s">
        <v>1028</v>
      </c>
      <c r="B144" s="111" t="s">
        <v>1280</v>
      </c>
      <c r="C144" s="28" t="s">
        <v>117</v>
      </c>
      <c r="D144" s="28" t="str">
        <f>IFERROR(VLOOKUP($C144,CUENTAS[],2,0),"")</f>
        <v>GASTOS VARIOS</v>
      </c>
      <c r="E144" s="28" t="str">
        <f>IFERROR(VLOOKUP($C144,CUENTAS[],3,0),"")</f>
        <v>MDE2025-003D</v>
      </c>
      <c r="F144" s="86">
        <v>259.77999999999997</v>
      </c>
      <c r="G144" s="129">
        <v>40.22</v>
      </c>
      <c r="H144" s="127">
        <v>300</v>
      </c>
      <c r="I144" s="200" t="str">
        <f t="shared" si="2"/>
        <v>CORRECTO</v>
      </c>
      <c r="J144" s="88" t="s">
        <v>1284</v>
      </c>
      <c r="K144" s="112" t="s">
        <v>472</v>
      </c>
      <c r="L144" s="95" t="s">
        <v>227</v>
      </c>
      <c r="M144" s="113">
        <v>45771</v>
      </c>
      <c r="N144" s="9" t="s">
        <v>1285</v>
      </c>
      <c r="P144" s="89"/>
      <c r="Q144" s="89"/>
    </row>
    <row r="145" spans="1:17" x14ac:dyDescent="0.3">
      <c r="A145" s="6" t="s">
        <v>1281</v>
      </c>
      <c r="B145" s="111" t="s">
        <v>1282</v>
      </c>
      <c r="C145" s="28" t="s">
        <v>117</v>
      </c>
      <c r="D145" s="28" t="str">
        <f>IFERROR(VLOOKUP($C145,CUENTAS[],2,0),"")</f>
        <v>GASTOS VARIOS</v>
      </c>
      <c r="E145" s="28" t="str">
        <f>IFERROR(VLOOKUP($C145,CUENTAS[],3,0),"")</f>
        <v>MDE2025-003D</v>
      </c>
      <c r="F145" s="86">
        <v>1525.26</v>
      </c>
      <c r="G145" s="129">
        <v>0</v>
      </c>
      <c r="H145" s="127">
        <v>1525.26</v>
      </c>
      <c r="I145" s="200" t="str">
        <f t="shared" si="2"/>
        <v>CORRECTO</v>
      </c>
      <c r="J145" s="88" t="s">
        <v>1284</v>
      </c>
      <c r="K145" s="112" t="s">
        <v>360</v>
      </c>
      <c r="L145" s="95" t="s">
        <v>227</v>
      </c>
      <c r="M145" s="113">
        <v>45767</v>
      </c>
      <c r="N145" s="9" t="s">
        <v>1037</v>
      </c>
      <c r="P145" s="89"/>
      <c r="Q145" s="89"/>
    </row>
    <row r="146" spans="1:17" ht="14.25" customHeight="1" x14ac:dyDescent="0.3">
      <c r="A146" s="115" t="s">
        <v>1253</v>
      </c>
      <c r="B146" s="115" t="s">
        <v>949</v>
      </c>
      <c r="C146" s="28" t="s">
        <v>125</v>
      </c>
      <c r="D146" s="28" t="str">
        <f>IFERROR(VLOOKUP($C146,CUENTAS[],2,0),"")</f>
        <v>GASTOS FIJOS</v>
      </c>
      <c r="E146" s="28" t="str">
        <f>IFERROR(VLOOKUP($C146,CUENTAS[],3,0),"")</f>
        <v>MDE2025-002B</v>
      </c>
      <c r="F146" s="86">
        <v>750</v>
      </c>
      <c r="G146" s="129">
        <v>0</v>
      </c>
      <c r="H146" s="130">
        <v>750</v>
      </c>
      <c r="I146" s="200" t="str">
        <f t="shared" si="2"/>
        <v>CORRECTO</v>
      </c>
      <c r="J146" s="88" t="s">
        <v>176</v>
      </c>
      <c r="K146" s="116" t="s">
        <v>363</v>
      </c>
      <c r="L146" s="95" t="s">
        <v>227</v>
      </c>
      <c r="M146" s="117">
        <v>45770</v>
      </c>
      <c r="N146" s="118" t="s">
        <v>1254</v>
      </c>
      <c r="P146" s="89"/>
      <c r="Q146" s="89"/>
    </row>
    <row r="147" spans="1:17" ht="14.25" customHeight="1" x14ac:dyDescent="0.3">
      <c r="A147" s="115" t="s">
        <v>1266</v>
      </c>
      <c r="B147" s="115" t="s">
        <v>1267</v>
      </c>
      <c r="C147" s="28" t="s">
        <v>167</v>
      </c>
      <c r="D147" s="28" t="str">
        <f>IFERROR(VLOOKUP($C147,CUENTAS[],2,0),"")</f>
        <v>LOGÍSTICA</v>
      </c>
      <c r="E147" s="28" t="str">
        <f>IFERROR(VLOOKUP($C147,CUENTAS[],3,0),"")</f>
        <v>MDE2025-006D</v>
      </c>
      <c r="F147" s="86">
        <v>1695.69</v>
      </c>
      <c r="G147" s="129">
        <v>271.31</v>
      </c>
      <c r="H147" s="131">
        <v>1967</v>
      </c>
      <c r="I147" s="200" t="str">
        <f t="shared" si="2"/>
        <v>CORRECTO</v>
      </c>
      <c r="J147" s="88" t="s">
        <v>1272</v>
      </c>
      <c r="K147" s="116" t="s">
        <v>360</v>
      </c>
      <c r="L147" s="95" t="s">
        <v>227</v>
      </c>
      <c r="M147" s="117">
        <v>45756</v>
      </c>
      <c r="N147" s="22" t="s">
        <v>1271</v>
      </c>
      <c r="P147" s="89"/>
      <c r="Q147" s="89"/>
    </row>
    <row r="148" spans="1:17" ht="14.25" customHeight="1" x14ac:dyDescent="0.3">
      <c r="A148" s="115" t="s">
        <v>1266</v>
      </c>
      <c r="B148" s="115" t="s">
        <v>1268</v>
      </c>
      <c r="C148" s="28" t="s">
        <v>167</v>
      </c>
      <c r="D148" s="28" t="str">
        <f>IFERROR(VLOOKUP($C148,CUENTAS[],2,0),"")</f>
        <v>LOGÍSTICA</v>
      </c>
      <c r="E148" s="28" t="str">
        <f>IFERROR(VLOOKUP($C148,CUENTAS[],3,0),"")</f>
        <v>MDE2025-006D</v>
      </c>
      <c r="F148" s="86">
        <v>884.48</v>
      </c>
      <c r="G148" s="129">
        <v>141.52000000000001</v>
      </c>
      <c r="H148" s="131">
        <v>1026</v>
      </c>
      <c r="I148" s="200" t="str">
        <f t="shared" si="2"/>
        <v>CORRECTO</v>
      </c>
      <c r="J148" s="88" t="s">
        <v>1272</v>
      </c>
      <c r="K148" s="116" t="s">
        <v>360</v>
      </c>
      <c r="L148" s="95" t="s">
        <v>227</v>
      </c>
      <c r="M148" s="117">
        <v>45758</v>
      </c>
      <c r="N148" s="22" t="s">
        <v>1273</v>
      </c>
      <c r="P148" s="89"/>
      <c r="Q148" s="89"/>
    </row>
    <row r="149" spans="1:17" ht="14.25" customHeight="1" x14ac:dyDescent="0.3">
      <c r="A149" s="115" t="s">
        <v>1266</v>
      </c>
      <c r="B149" s="115" t="s">
        <v>1269</v>
      </c>
      <c r="C149" s="28" t="s">
        <v>167</v>
      </c>
      <c r="D149" s="28" t="str">
        <f>IFERROR(VLOOKUP($C149,CUENTAS[],2,0),"")</f>
        <v>LOGÍSTICA</v>
      </c>
      <c r="E149" s="28" t="str">
        <f>IFERROR(VLOOKUP($C149,CUENTAS[],3,0),"")</f>
        <v>MDE2025-006D</v>
      </c>
      <c r="F149" s="86">
        <v>1546.98</v>
      </c>
      <c r="G149" s="129">
        <v>247.52</v>
      </c>
      <c r="H149" s="131">
        <v>1794.5</v>
      </c>
      <c r="I149" s="200" t="str">
        <f t="shared" si="2"/>
        <v>CORRECTO</v>
      </c>
      <c r="J149" s="88" t="s">
        <v>1272</v>
      </c>
      <c r="K149" s="116" t="s">
        <v>360</v>
      </c>
      <c r="L149" s="95" t="s">
        <v>227</v>
      </c>
      <c r="M149" s="117">
        <v>45771</v>
      </c>
      <c r="N149" s="22" t="s">
        <v>1274</v>
      </c>
      <c r="P149" s="89"/>
      <c r="Q149" s="89"/>
    </row>
    <row r="150" spans="1:17" ht="14.25" customHeight="1" x14ac:dyDescent="0.3">
      <c r="A150" s="115" t="s">
        <v>1266</v>
      </c>
      <c r="B150" s="115" t="s">
        <v>1270</v>
      </c>
      <c r="C150" s="28" t="s">
        <v>167</v>
      </c>
      <c r="D150" s="28" t="str">
        <f>IFERROR(VLOOKUP($C150,CUENTAS[],2,0),"")</f>
        <v>LOGÍSTICA</v>
      </c>
      <c r="E150" s="28" t="str">
        <f>IFERROR(VLOOKUP($C150,CUENTAS[],3,0),"")</f>
        <v>MDE2025-006D</v>
      </c>
      <c r="F150" s="86">
        <v>2892.24</v>
      </c>
      <c r="G150" s="129">
        <v>462.76</v>
      </c>
      <c r="H150" s="131">
        <v>3355</v>
      </c>
      <c r="I150" s="200" t="str">
        <f t="shared" si="2"/>
        <v>CORRECTO</v>
      </c>
      <c r="J150" s="88" t="s">
        <v>1272</v>
      </c>
      <c r="K150" s="116" t="s">
        <v>360</v>
      </c>
      <c r="L150" s="95" t="s">
        <v>227</v>
      </c>
      <c r="M150" s="117">
        <v>45771</v>
      </c>
      <c r="N150" s="22" t="s">
        <v>1274</v>
      </c>
      <c r="P150" s="89"/>
      <c r="Q150" s="89"/>
    </row>
    <row r="151" spans="1:17" ht="14.25" customHeight="1" x14ac:dyDescent="0.3">
      <c r="A151" s="115" t="s">
        <v>606</v>
      </c>
      <c r="B151" s="115" t="s">
        <v>1286</v>
      </c>
      <c r="C151" s="28" t="s">
        <v>153</v>
      </c>
      <c r="D151" s="28" t="str">
        <f>IFERROR(VLOOKUP($C151,CUENTAS[],2,0),"")</f>
        <v>GASTOS FIJOS</v>
      </c>
      <c r="E151" s="28" t="str">
        <f>IFERROR(VLOOKUP($C151,CUENTAS[],3,0),"")</f>
        <v>MDE2025-002L</v>
      </c>
      <c r="F151" s="86">
        <v>250000</v>
      </c>
      <c r="G151" s="129">
        <v>0</v>
      </c>
      <c r="H151" s="131">
        <v>250000</v>
      </c>
      <c r="I151" s="200" t="str">
        <f t="shared" si="2"/>
        <v>CORRECTO</v>
      </c>
      <c r="J151" s="88" t="s">
        <v>3244</v>
      </c>
      <c r="K151" s="116" t="s">
        <v>360</v>
      </c>
      <c r="L151" s="95" t="s">
        <v>227</v>
      </c>
      <c r="M151" s="117">
        <v>45763</v>
      </c>
      <c r="N151" s="22" t="s">
        <v>371</v>
      </c>
      <c r="P151" s="89"/>
      <c r="Q151" s="89"/>
    </row>
    <row r="152" spans="1:17" x14ac:dyDescent="0.3">
      <c r="A152" s="120" t="s">
        <v>929</v>
      </c>
      <c r="B152" s="120" t="s">
        <v>1244</v>
      </c>
      <c r="C152" s="28" t="s">
        <v>153</v>
      </c>
      <c r="D152" s="28" t="str">
        <f>IFERROR(VLOOKUP($C152,CUENTAS[],2,0),"")</f>
        <v>GASTOS FIJOS</v>
      </c>
      <c r="E152" s="28" t="str">
        <f>IFERROR(VLOOKUP($C152,CUENTAS[],3,0),"")</f>
        <v>MDE2025-002L</v>
      </c>
      <c r="F152" s="86">
        <v>19431.64</v>
      </c>
      <c r="G152" s="129">
        <v>0</v>
      </c>
      <c r="H152" s="132">
        <v>19431.64</v>
      </c>
      <c r="I152" s="200" t="str">
        <f t="shared" si="2"/>
        <v>CORRECTO</v>
      </c>
      <c r="J152" s="88" t="s">
        <v>3244</v>
      </c>
      <c r="K152" s="121" t="s">
        <v>364</v>
      </c>
      <c r="L152" s="95" t="s">
        <v>227</v>
      </c>
      <c r="M152" s="122">
        <v>45755</v>
      </c>
      <c r="N152" s="123" t="s">
        <v>371</v>
      </c>
    </row>
    <row r="153" spans="1:17" x14ac:dyDescent="0.3">
      <c r="A153" s="120" t="s">
        <v>929</v>
      </c>
      <c r="B153" s="120" t="s">
        <v>1244</v>
      </c>
      <c r="C153" s="28" t="s">
        <v>153</v>
      </c>
      <c r="D153" s="28" t="str">
        <f>IFERROR(VLOOKUP($C153,CUENTAS[],2,0),"")</f>
        <v>GASTOS FIJOS</v>
      </c>
      <c r="E153" s="28" t="str">
        <f>IFERROR(VLOOKUP($C153,CUENTAS[],3,0),"")</f>
        <v>MDE2025-002L</v>
      </c>
      <c r="F153" s="86">
        <v>289.29000000000002</v>
      </c>
      <c r="G153" s="129">
        <v>0</v>
      </c>
      <c r="H153" s="132">
        <v>289.29000000000002</v>
      </c>
      <c r="I153" s="200" t="str">
        <f t="shared" si="2"/>
        <v>CORRECTO</v>
      </c>
      <c r="J153" s="88" t="s">
        <v>3244</v>
      </c>
      <c r="K153" s="121" t="s">
        <v>364</v>
      </c>
      <c r="L153" s="95" t="s">
        <v>227</v>
      </c>
      <c r="M153" s="122">
        <v>45755</v>
      </c>
      <c r="N153" s="123" t="s">
        <v>371</v>
      </c>
    </row>
    <row r="154" spans="1:17" x14ac:dyDescent="0.3">
      <c r="A154" s="120" t="s">
        <v>929</v>
      </c>
      <c r="B154" s="120" t="s">
        <v>1245</v>
      </c>
      <c r="C154" s="28" t="s">
        <v>153</v>
      </c>
      <c r="D154" s="28" t="str">
        <f>IFERROR(VLOOKUP($C154,CUENTAS[],2,0),"")</f>
        <v>GASTOS FIJOS</v>
      </c>
      <c r="E154" s="28" t="str">
        <f>IFERROR(VLOOKUP($C154,CUENTAS[],3,0),"")</f>
        <v>MDE2025-002L</v>
      </c>
      <c r="F154" s="86">
        <v>19806.12</v>
      </c>
      <c r="G154" s="129">
        <v>0</v>
      </c>
      <c r="H154" s="132">
        <v>19806.12</v>
      </c>
      <c r="I154" s="200" t="str">
        <f t="shared" si="2"/>
        <v>CORRECTO</v>
      </c>
      <c r="J154" s="88" t="s">
        <v>3244</v>
      </c>
      <c r="K154" s="121" t="s">
        <v>364</v>
      </c>
      <c r="L154" s="95" t="s">
        <v>227</v>
      </c>
      <c r="M154" s="122">
        <v>45761</v>
      </c>
      <c r="N154" s="123" t="s">
        <v>371</v>
      </c>
    </row>
    <row r="155" spans="1:17" x14ac:dyDescent="0.3">
      <c r="A155" s="120" t="s">
        <v>929</v>
      </c>
      <c r="B155" s="120" t="s">
        <v>1246</v>
      </c>
      <c r="C155" s="28" t="s">
        <v>153</v>
      </c>
      <c r="D155" s="28" t="str">
        <f>IFERROR(VLOOKUP($C155,CUENTAS[],2,0),"")</f>
        <v>GASTOS FIJOS</v>
      </c>
      <c r="E155" s="28" t="str">
        <f>IFERROR(VLOOKUP($C155,CUENTAS[],3,0),"")</f>
        <v>MDE2025-002L</v>
      </c>
      <c r="F155" s="86">
        <v>27326.44</v>
      </c>
      <c r="G155" s="129">
        <v>0</v>
      </c>
      <c r="H155" s="132">
        <v>27326.44</v>
      </c>
      <c r="I155" s="200" t="str">
        <f t="shared" si="2"/>
        <v>CORRECTO</v>
      </c>
      <c r="J155" s="88" t="s">
        <v>3244</v>
      </c>
      <c r="K155" s="121" t="s">
        <v>364</v>
      </c>
      <c r="L155" s="95" t="s">
        <v>227</v>
      </c>
      <c r="M155" s="122">
        <v>45768</v>
      </c>
      <c r="N155" s="123" t="s">
        <v>371</v>
      </c>
    </row>
    <row r="156" spans="1:17" x14ac:dyDescent="0.3">
      <c r="A156" s="120" t="s">
        <v>929</v>
      </c>
      <c r="B156" s="120" t="s">
        <v>1246</v>
      </c>
      <c r="C156" s="28" t="s">
        <v>153</v>
      </c>
      <c r="D156" s="28" t="str">
        <f>IFERROR(VLOOKUP($C156,CUENTAS[],2,0),"")</f>
        <v>GASTOS FIJOS</v>
      </c>
      <c r="E156" s="28" t="str">
        <f>IFERROR(VLOOKUP($C156,CUENTAS[],3,0),"")</f>
        <v>MDE2025-002L</v>
      </c>
      <c r="F156" s="86">
        <v>321.43</v>
      </c>
      <c r="G156" s="129">
        <v>0</v>
      </c>
      <c r="H156" s="132">
        <v>321.43</v>
      </c>
      <c r="I156" s="200" t="str">
        <f t="shared" si="2"/>
        <v>CORRECTO</v>
      </c>
      <c r="J156" s="88" t="s">
        <v>3244</v>
      </c>
      <c r="K156" s="121" t="s">
        <v>364</v>
      </c>
      <c r="L156" s="95" t="s">
        <v>227</v>
      </c>
      <c r="M156" s="122">
        <v>45768</v>
      </c>
      <c r="N156" s="123" t="s">
        <v>371</v>
      </c>
    </row>
    <row r="157" spans="1:17" x14ac:dyDescent="0.3">
      <c r="A157" s="120" t="s">
        <v>929</v>
      </c>
      <c r="B157" s="120" t="s">
        <v>1247</v>
      </c>
      <c r="C157" s="28" t="s">
        <v>153</v>
      </c>
      <c r="D157" s="28" t="str">
        <f>IFERROR(VLOOKUP($C157,CUENTAS[],2,0),"")</f>
        <v>GASTOS FIJOS</v>
      </c>
      <c r="E157" s="28" t="str">
        <f>IFERROR(VLOOKUP($C157,CUENTAS[],3,0),"")</f>
        <v>MDE2025-002L</v>
      </c>
      <c r="F157" s="86">
        <v>20308.22</v>
      </c>
      <c r="G157" s="129">
        <v>0</v>
      </c>
      <c r="H157" s="132">
        <v>20308.22</v>
      </c>
      <c r="I157" s="200" t="str">
        <f t="shared" si="2"/>
        <v>CORRECTO</v>
      </c>
      <c r="J157" s="88" t="s">
        <v>3244</v>
      </c>
      <c r="K157" s="121" t="s">
        <v>364</v>
      </c>
      <c r="L157" s="95" t="s">
        <v>227</v>
      </c>
      <c r="M157" s="122">
        <v>45768</v>
      </c>
      <c r="N157" s="123" t="s">
        <v>371</v>
      </c>
    </row>
    <row r="158" spans="1:17" x14ac:dyDescent="0.3">
      <c r="A158" s="120" t="s">
        <v>929</v>
      </c>
      <c r="B158" s="120" t="s">
        <v>1248</v>
      </c>
      <c r="C158" s="28" t="s">
        <v>178</v>
      </c>
      <c r="D158" s="28" t="str">
        <f>IFERROR(VLOOKUP($C158,CUENTAS[],2,0),"")</f>
        <v>GASTOS FIJOS</v>
      </c>
      <c r="E158" s="28" t="str">
        <f>IFERROR(VLOOKUP($C158,CUENTAS[],3,0),"")</f>
        <v>MDE2025-002O</v>
      </c>
      <c r="F158" s="86">
        <v>57640.94</v>
      </c>
      <c r="G158" s="129">
        <v>0</v>
      </c>
      <c r="H158" s="132">
        <v>57640.94</v>
      </c>
      <c r="I158" s="200" t="str">
        <f t="shared" si="2"/>
        <v>CORRECTO</v>
      </c>
      <c r="J158" s="88" t="s">
        <v>3244</v>
      </c>
      <c r="K158" s="121" t="s">
        <v>364</v>
      </c>
      <c r="L158" s="95" t="s">
        <v>227</v>
      </c>
      <c r="M158" s="122">
        <v>45762</v>
      </c>
      <c r="N158" s="123" t="s">
        <v>371</v>
      </c>
    </row>
    <row r="159" spans="1:17" x14ac:dyDescent="0.3">
      <c r="A159" s="120" t="s">
        <v>929</v>
      </c>
      <c r="B159" s="120" t="s">
        <v>1249</v>
      </c>
      <c r="C159" s="28" t="s">
        <v>178</v>
      </c>
      <c r="D159" s="28" t="str">
        <f>IFERROR(VLOOKUP($C159,CUENTAS[],2,0),"")</f>
        <v>GASTOS FIJOS</v>
      </c>
      <c r="E159" s="28" t="str">
        <f>IFERROR(VLOOKUP($C159,CUENTAS[],3,0),"")</f>
        <v>MDE2025-002O</v>
      </c>
      <c r="F159" s="86">
        <v>166671.06</v>
      </c>
      <c r="G159" s="129">
        <v>0</v>
      </c>
      <c r="H159" s="132">
        <v>166671.06</v>
      </c>
      <c r="I159" s="200" t="str">
        <f t="shared" si="2"/>
        <v>CORRECTO</v>
      </c>
      <c r="J159" s="88" t="s">
        <v>3244</v>
      </c>
      <c r="K159" s="121" t="s">
        <v>364</v>
      </c>
      <c r="L159" s="95" t="s">
        <v>227</v>
      </c>
      <c r="M159" s="122">
        <v>45762</v>
      </c>
      <c r="N159" s="123" t="s">
        <v>371</v>
      </c>
    </row>
    <row r="160" spans="1:17" x14ac:dyDescent="0.3">
      <c r="A160" s="120" t="s">
        <v>929</v>
      </c>
      <c r="B160" s="120" t="s">
        <v>935</v>
      </c>
      <c r="C160" s="28" t="s">
        <v>157</v>
      </c>
      <c r="D160" s="28" t="str">
        <f>IFERROR(VLOOKUP($C160,CUENTAS[],2,0),"")</f>
        <v>GASTOS FIJOS</v>
      </c>
      <c r="E160" s="28" t="str">
        <f>IFERROR(VLOOKUP($C160,CUENTAS[],3,0),"")</f>
        <v>MDE2025-002Q</v>
      </c>
      <c r="F160" s="86">
        <v>-3750</v>
      </c>
      <c r="G160" s="129">
        <v>0</v>
      </c>
      <c r="H160" s="132">
        <v>-3750</v>
      </c>
      <c r="I160" s="200" t="str">
        <f t="shared" si="2"/>
        <v>CORRECTO</v>
      </c>
      <c r="J160" s="88" t="s">
        <v>3244</v>
      </c>
      <c r="K160" s="121" t="s">
        <v>364</v>
      </c>
      <c r="L160" s="95" t="s">
        <v>227</v>
      </c>
      <c r="M160" s="122">
        <v>45762</v>
      </c>
      <c r="N160" s="123" t="s">
        <v>371</v>
      </c>
    </row>
    <row r="161" spans="1:16" x14ac:dyDescent="0.3">
      <c r="A161" s="120" t="s">
        <v>929</v>
      </c>
      <c r="B161" s="120" t="s">
        <v>940</v>
      </c>
      <c r="C161" s="28" t="s">
        <v>178</v>
      </c>
      <c r="D161" s="28" t="str">
        <f>IFERROR(VLOOKUP($C161,CUENTAS[],2,0),"")</f>
        <v>GASTOS FIJOS</v>
      </c>
      <c r="E161" s="28" t="str">
        <f>IFERROR(VLOOKUP($C161,CUENTAS[],3,0),"")</f>
        <v>MDE2025-002O</v>
      </c>
      <c r="F161" s="86">
        <v>7000</v>
      </c>
      <c r="G161" s="129">
        <v>0</v>
      </c>
      <c r="H161" s="132">
        <v>7000</v>
      </c>
      <c r="I161" s="200" t="str">
        <f t="shared" si="2"/>
        <v>CORRECTO</v>
      </c>
      <c r="J161" s="88" t="s">
        <v>3244</v>
      </c>
      <c r="K161" s="121" t="s">
        <v>364</v>
      </c>
      <c r="L161" s="95" t="s">
        <v>227</v>
      </c>
      <c r="M161" s="122">
        <v>45777</v>
      </c>
      <c r="N161" s="123" t="s">
        <v>371</v>
      </c>
    </row>
    <row r="162" spans="1:16" x14ac:dyDescent="0.3">
      <c r="A162" s="120" t="s">
        <v>929</v>
      </c>
      <c r="B162" s="120" t="s">
        <v>1250</v>
      </c>
      <c r="C162" s="28" t="s">
        <v>178</v>
      </c>
      <c r="D162" s="28" t="str">
        <f>IFERROR(VLOOKUP($C162,CUENTAS[],2,0),"")</f>
        <v>GASTOS FIJOS</v>
      </c>
      <c r="E162" s="28" t="str">
        <f>IFERROR(VLOOKUP($C162,CUENTAS[],3,0),"")</f>
        <v>MDE2025-002O</v>
      </c>
      <c r="F162" s="86">
        <v>57640.94</v>
      </c>
      <c r="G162" s="129">
        <v>0</v>
      </c>
      <c r="H162" s="132">
        <v>57640.94</v>
      </c>
      <c r="I162" s="200" t="str">
        <f t="shared" si="2"/>
        <v>CORRECTO</v>
      </c>
      <c r="J162" s="88" t="s">
        <v>3244</v>
      </c>
      <c r="K162" s="121" t="s">
        <v>364</v>
      </c>
      <c r="L162" s="95" t="s">
        <v>227</v>
      </c>
      <c r="M162" s="122">
        <v>45777</v>
      </c>
      <c r="N162" s="123" t="s">
        <v>371</v>
      </c>
    </row>
    <row r="163" spans="1:16" x14ac:dyDescent="0.3">
      <c r="A163" s="120" t="s">
        <v>929</v>
      </c>
      <c r="B163" s="120" t="s">
        <v>1251</v>
      </c>
      <c r="C163" s="28" t="s">
        <v>178</v>
      </c>
      <c r="D163" s="28" t="str">
        <f>IFERROR(VLOOKUP($C163,CUENTAS[],2,0),"")</f>
        <v>GASTOS FIJOS</v>
      </c>
      <c r="E163" s="28" t="str">
        <f>IFERROR(VLOOKUP($C163,CUENTAS[],3,0),"")</f>
        <v>MDE2025-002O</v>
      </c>
      <c r="F163" s="86">
        <v>174271.06</v>
      </c>
      <c r="G163" s="129">
        <v>0</v>
      </c>
      <c r="H163" s="132">
        <v>174271.06</v>
      </c>
      <c r="I163" s="200" t="str">
        <f t="shared" si="2"/>
        <v>CORRECTO</v>
      </c>
      <c r="J163" s="88" t="s">
        <v>3244</v>
      </c>
      <c r="K163" s="121" t="s">
        <v>364</v>
      </c>
      <c r="L163" s="95" t="s">
        <v>227</v>
      </c>
      <c r="M163" s="122">
        <v>45777</v>
      </c>
      <c r="N163" s="123" t="s">
        <v>371</v>
      </c>
    </row>
    <row r="164" spans="1:16" x14ac:dyDescent="0.3">
      <c r="A164" s="120" t="s">
        <v>929</v>
      </c>
      <c r="B164" s="120" t="s">
        <v>935</v>
      </c>
      <c r="C164" s="28" t="s">
        <v>157</v>
      </c>
      <c r="D164" s="28" t="str">
        <f>IFERROR(VLOOKUP($C164,CUENTAS[],2,0),"")</f>
        <v>GASTOS FIJOS</v>
      </c>
      <c r="E164" s="28" t="str">
        <f>IFERROR(VLOOKUP($C164,CUENTAS[],3,0),"")</f>
        <v>MDE2025-002Q</v>
      </c>
      <c r="F164" s="86">
        <v>-2750</v>
      </c>
      <c r="G164" s="129">
        <v>0</v>
      </c>
      <c r="H164" s="132">
        <v>-2750</v>
      </c>
      <c r="I164" s="200" t="str">
        <f t="shared" si="2"/>
        <v>CORRECTO</v>
      </c>
      <c r="J164" s="88" t="s">
        <v>3244</v>
      </c>
      <c r="K164" s="121" t="s">
        <v>364</v>
      </c>
      <c r="L164" s="95" t="s">
        <v>227</v>
      </c>
      <c r="M164" s="122">
        <v>45777</v>
      </c>
      <c r="N164" s="123" t="s">
        <v>371</v>
      </c>
    </row>
    <row r="165" spans="1:16" x14ac:dyDescent="0.3">
      <c r="A165" s="120" t="s">
        <v>1252</v>
      </c>
      <c r="B165" s="120" t="s">
        <v>494</v>
      </c>
      <c r="C165" s="28" t="s">
        <v>153</v>
      </c>
      <c r="D165" s="28" t="str">
        <f>IFERROR(VLOOKUP($C165,CUENTAS[],2,0),"")</f>
        <v>GASTOS FIJOS</v>
      </c>
      <c r="E165" s="28" t="str">
        <f>IFERROR(VLOOKUP($C165,CUENTAS[],3,0),"")</f>
        <v>MDE2025-002L</v>
      </c>
      <c r="F165" s="86">
        <v>4948.6000000000004</v>
      </c>
      <c r="G165" s="129">
        <v>0</v>
      </c>
      <c r="H165" s="132">
        <v>4948.6000000000004</v>
      </c>
      <c r="I165" s="200" t="str">
        <f t="shared" si="2"/>
        <v>CORRECTO</v>
      </c>
      <c r="J165" s="88" t="s">
        <v>3244</v>
      </c>
      <c r="K165" s="121" t="s">
        <v>364</v>
      </c>
      <c r="L165" s="95" t="s">
        <v>227</v>
      </c>
      <c r="M165" s="122">
        <v>45750</v>
      </c>
      <c r="N165" s="123" t="s">
        <v>371</v>
      </c>
    </row>
    <row r="166" spans="1:16" x14ac:dyDescent="0.3">
      <c r="A166" s="77"/>
      <c r="B166" s="106"/>
      <c r="F166" s="124"/>
      <c r="G166" s="125"/>
      <c r="J166" s="125"/>
      <c r="L166" s="107"/>
      <c r="M166" s="108"/>
      <c r="N166" s="108"/>
    </row>
    <row r="167" spans="1:16" x14ac:dyDescent="0.3">
      <c r="A167" s="77"/>
      <c r="B167" s="106"/>
      <c r="F167" s="124"/>
      <c r="G167" s="125"/>
      <c r="J167" s="125"/>
      <c r="L167" s="107"/>
      <c r="M167" s="108"/>
      <c r="N167" s="108"/>
    </row>
    <row r="168" spans="1:16" ht="13.8" x14ac:dyDescent="0.3">
      <c r="A168" s="77"/>
      <c r="B168" s="106"/>
      <c r="F168" s="124"/>
      <c r="J168" s="125"/>
      <c r="L168" s="107"/>
      <c r="M168" s="108"/>
      <c r="N168" s="4" t="s">
        <v>106</v>
      </c>
      <c r="O168" s="7">
        <f>+SUM(F:F)</f>
        <v>2215727.1300000004</v>
      </c>
    </row>
    <row r="169" spans="1:16" ht="13.8" x14ac:dyDescent="0.3">
      <c r="A169" s="77"/>
      <c r="B169" s="106"/>
      <c r="F169" s="124"/>
      <c r="J169" s="125"/>
      <c r="L169" s="107"/>
      <c r="M169" s="108"/>
      <c r="N169" s="4" t="s">
        <v>107</v>
      </c>
      <c r="O169" s="7">
        <f>+SUM(G:G)</f>
        <v>99905.480000000069</v>
      </c>
    </row>
    <row r="170" spans="1:16" ht="15.6" x14ac:dyDescent="0.3">
      <c r="A170" s="77"/>
      <c r="B170" s="106"/>
      <c r="F170" s="124"/>
      <c r="J170" s="125"/>
      <c r="L170" s="107"/>
      <c r="M170" s="108"/>
      <c r="N170" s="29" t="s">
        <v>149</v>
      </c>
      <c r="O170" s="7">
        <f>+SUM(H:H)</f>
        <v>2315632.61</v>
      </c>
      <c r="P170" s="31">
        <f>O170-O169-O168</f>
        <v>0</v>
      </c>
    </row>
    <row r="171" spans="1:16" x14ac:dyDescent="0.3">
      <c r="A171" s="77"/>
      <c r="B171" s="106"/>
      <c r="F171" s="124"/>
      <c r="J171" s="125"/>
      <c r="L171" s="107"/>
      <c r="M171" s="108"/>
      <c r="N171" s="77"/>
      <c r="O171" s="67" t="str">
        <f>IF(P170&lt;&gt;0,"REVISAR CAPTURA","")</f>
        <v/>
      </c>
    </row>
    <row r="172" spans="1:16" x14ac:dyDescent="0.3">
      <c r="A172" s="77"/>
      <c r="B172" s="106"/>
      <c r="F172" s="124"/>
      <c r="G172" s="125"/>
      <c r="J172" s="125"/>
      <c r="L172" s="107"/>
      <c r="M172" s="108"/>
      <c r="N172" s="108"/>
    </row>
    <row r="173" spans="1:16" x14ac:dyDescent="0.3">
      <c r="A173" s="77"/>
      <c r="B173" s="106"/>
      <c r="F173" s="124"/>
      <c r="G173" s="125"/>
      <c r="J173" s="125"/>
      <c r="L173" s="107"/>
      <c r="M173" s="108"/>
      <c r="N173" s="108"/>
    </row>
    <row r="174" spans="1:16" x14ac:dyDescent="0.3">
      <c r="A174" s="77"/>
      <c r="B174" s="106"/>
      <c r="F174" s="124"/>
      <c r="G174" s="125"/>
      <c r="J174" s="125"/>
      <c r="L174" s="107"/>
      <c r="M174" s="108"/>
      <c r="N174" s="108"/>
    </row>
    <row r="175" spans="1:16" x14ac:dyDescent="0.3">
      <c r="A175" s="77"/>
      <c r="B175" s="106"/>
      <c r="F175" s="124"/>
      <c r="G175" s="125"/>
      <c r="J175" s="125"/>
      <c r="L175" s="107"/>
      <c r="M175" s="108"/>
      <c r="N175" s="108"/>
    </row>
    <row r="176" spans="1:16" x14ac:dyDescent="0.3">
      <c r="A176" s="77"/>
      <c r="B176" s="106"/>
      <c r="F176" s="124"/>
      <c r="G176" s="125"/>
      <c r="J176" s="125"/>
      <c r="L176" s="107"/>
      <c r="M176" s="108"/>
      <c r="N176" s="108"/>
    </row>
    <row r="177" spans="1:14" x14ac:dyDescent="0.3">
      <c r="A177" s="77"/>
      <c r="B177" s="106"/>
      <c r="F177" s="124"/>
      <c r="G177" s="125"/>
      <c r="J177" s="125"/>
      <c r="L177" s="107"/>
      <c r="M177" s="108"/>
      <c r="N177" s="108"/>
    </row>
    <row r="178" spans="1:14" x14ac:dyDescent="0.3">
      <c r="A178" s="77"/>
      <c r="B178" s="106"/>
      <c r="F178" s="124"/>
      <c r="G178" s="125"/>
      <c r="J178" s="125"/>
      <c r="L178" s="107"/>
      <c r="M178" s="108"/>
      <c r="N178" s="108"/>
    </row>
    <row r="179" spans="1:14" x14ac:dyDescent="0.3">
      <c r="A179" s="77"/>
      <c r="B179" s="106"/>
      <c r="F179" s="124"/>
      <c r="G179" s="125"/>
      <c r="J179" s="125"/>
      <c r="L179" s="107"/>
      <c r="M179" s="108"/>
      <c r="N179" s="108"/>
    </row>
    <row r="180" spans="1:14" x14ac:dyDescent="0.3">
      <c r="A180" s="77"/>
      <c r="B180" s="106"/>
      <c r="F180" s="124"/>
      <c r="G180" s="125"/>
      <c r="J180" s="125"/>
      <c r="L180" s="107"/>
      <c r="M180" s="108"/>
      <c r="N180" s="108"/>
    </row>
    <row r="181" spans="1:14" x14ac:dyDescent="0.3">
      <c r="A181" s="77"/>
      <c r="B181" s="106"/>
      <c r="F181" s="124"/>
      <c r="G181" s="125"/>
      <c r="J181" s="125"/>
      <c r="L181" s="107"/>
      <c r="M181" s="108"/>
      <c r="N181" s="108"/>
    </row>
    <row r="182" spans="1:14" x14ac:dyDescent="0.3">
      <c r="A182" s="77"/>
      <c r="B182" s="106"/>
      <c r="F182" s="124"/>
      <c r="G182" s="125"/>
      <c r="J182" s="125"/>
      <c r="L182" s="107"/>
      <c r="M182" s="108"/>
      <c r="N182" s="108"/>
    </row>
    <row r="183" spans="1:14" x14ac:dyDescent="0.3">
      <c r="A183" s="77"/>
      <c r="B183" s="106"/>
      <c r="F183" s="124"/>
      <c r="G183" s="125"/>
      <c r="J183" s="125"/>
      <c r="L183" s="107"/>
      <c r="M183" s="108"/>
      <c r="N183" s="108"/>
    </row>
    <row r="184" spans="1:14" x14ac:dyDescent="0.3">
      <c r="A184" s="77"/>
      <c r="B184" s="106"/>
      <c r="F184" s="124"/>
      <c r="G184" s="125"/>
      <c r="J184" s="125"/>
      <c r="L184" s="107"/>
      <c r="M184" s="108"/>
      <c r="N184" s="108"/>
    </row>
    <row r="185" spans="1:14" x14ac:dyDescent="0.3">
      <c r="A185" s="77"/>
      <c r="B185" s="106"/>
      <c r="F185" s="124"/>
      <c r="G185" s="125"/>
      <c r="J185" s="125"/>
      <c r="L185" s="107"/>
      <c r="M185" s="108"/>
      <c r="N185" s="108"/>
    </row>
    <row r="186" spans="1:14" x14ac:dyDescent="0.3">
      <c r="A186" s="77"/>
      <c r="B186" s="106"/>
      <c r="F186" s="124"/>
      <c r="G186" s="125"/>
      <c r="J186" s="125"/>
      <c r="L186" s="107"/>
      <c r="M186" s="108"/>
      <c r="N186" s="108"/>
    </row>
    <row r="187" spans="1:14" x14ac:dyDescent="0.3">
      <c r="A187" s="77"/>
      <c r="B187" s="106"/>
      <c r="F187" s="124"/>
      <c r="G187" s="125"/>
      <c r="J187" s="125"/>
      <c r="L187" s="107"/>
      <c r="M187" s="108"/>
      <c r="N187" s="108"/>
    </row>
    <row r="188" spans="1:14" x14ac:dyDescent="0.3">
      <c r="A188" s="77"/>
      <c r="B188" s="106"/>
      <c r="F188" s="124"/>
      <c r="G188" s="125"/>
      <c r="J188" s="125"/>
      <c r="L188" s="107"/>
      <c r="M188" s="108"/>
      <c r="N188" s="108"/>
    </row>
    <row r="189" spans="1:14" x14ac:dyDescent="0.3">
      <c r="A189" s="77"/>
      <c r="B189" s="106"/>
      <c r="F189" s="124"/>
      <c r="G189" s="125"/>
      <c r="J189" s="125"/>
      <c r="L189" s="107"/>
      <c r="M189" s="108"/>
      <c r="N189" s="108"/>
    </row>
    <row r="190" spans="1:14" x14ac:dyDescent="0.3">
      <c r="A190" s="77"/>
      <c r="B190" s="106"/>
      <c r="F190" s="124"/>
      <c r="G190" s="125"/>
      <c r="J190" s="125"/>
      <c r="L190" s="107"/>
      <c r="M190" s="108"/>
      <c r="N190" s="108"/>
    </row>
    <row r="191" spans="1:14" x14ac:dyDescent="0.3">
      <c r="A191" s="77"/>
      <c r="B191" s="106"/>
      <c r="F191" s="124"/>
      <c r="G191" s="125"/>
      <c r="J191" s="125"/>
      <c r="L191" s="107"/>
      <c r="M191" s="108"/>
      <c r="N191" s="108"/>
    </row>
    <row r="192" spans="1:14" x14ac:dyDescent="0.3">
      <c r="A192" s="77"/>
      <c r="B192" s="106"/>
      <c r="F192" s="124"/>
      <c r="G192" s="125"/>
      <c r="J192" s="125"/>
      <c r="L192" s="107"/>
      <c r="M192" s="108"/>
      <c r="N192" s="108"/>
    </row>
    <row r="193" spans="1:14" x14ac:dyDescent="0.3">
      <c r="A193" s="77"/>
      <c r="B193" s="106"/>
      <c r="F193" s="124"/>
      <c r="G193" s="125"/>
      <c r="J193" s="125"/>
      <c r="L193" s="107"/>
      <c r="M193" s="108"/>
      <c r="N193" s="108"/>
    </row>
    <row r="194" spans="1:14" x14ac:dyDescent="0.3">
      <c r="A194" s="77"/>
      <c r="B194" s="106"/>
      <c r="F194" s="124"/>
      <c r="G194" s="125"/>
      <c r="J194" s="125"/>
      <c r="L194" s="107"/>
      <c r="M194" s="108"/>
      <c r="N194" s="108"/>
    </row>
    <row r="195" spans="1:14" x14ac:dyDescent="0.3">
      <c r="A195" s="77"/>
      <c r="B195" s="106"/>
      <c r="F195" s="124"/>
      <c r="G195" s="125"/>
      <c r="J195" s="125"/>
      <c r="L195" s="107"/>
      <c r="M195" s="108"/>
      <c r="N195" s="108"/>
    </row>
    <row r="196" spans="1:14" x14ac:dyDescent="0.3">
      <c r="A196" s="77"/>
      <c r="B196" s="106"/>
      <c r="F196" s="124"/>
      <c r="G196" s="125"/>
      <c r="J196" s="125"/>
      <c r="L196" s="107"/>
      <c r="M196" s="108"/>
      <c r="N196" s="108"/>
    </row>
    <row r="197" spans="1:14" x14ac:dyDescent="0.3">
      <c r="A197" s="77"/>
      <c r="B197" s="106"/>
      <c r="F197" s="124"/>
      <c r="G197" s="125"/>
      <c r="J197" s="125"/>
      <c r="L197" s="107"/>
      <c r="M197" s="108"/>
      <c r="N197" s="108"/>
    </row>
    <row r="198" spans="1:14" x14ac:dyDescent="0.3">
      <c r="A198" s="77"/>
      <c r="B198" s="106"/>
      <c r="F198" s="124"/>
      <c r="G198" s="125"/>
      <c r="J198" s="125"/>
      <c r="L198" s="107"/>
      <c r="M198" s="108"/>
      <c r="N198" s="108"/>
    </row>
    <row r="199" spans="1:14" x14ac:dyDescent="0.3">
      <c r="A199" s="77"/>
      <c r="B199" s="106"/>
      <c r="F199" s="124"/>
      <c r="G199" s="125"/>
      <c r="J199" s="125"/>
      <c r="L199" s="107"/>
      <c r="M199" s="108"/>
      <c r="N199" s="108"/>
    </row>
    <row r="200" spans="1:14" x14ac:dyDescent="0.3">
      <c r="A200" s="77"/>
      <c r="B200" s="106"/>
      <c r="F200" s="124"/>
      <c r="G200" s="125"/>
      <c r="J200" s="125"/>
      <c r="L200" s="107"/>
      <c r="M200" s="108"/>
      <c r="N200" s="108"/>
    </row>
    <row r="201" spans="1:14" x14ac:dyDescent="0.3">
      <c r="A201" s="77"/>
      <c r="B201" s="106"/>
      <c r="F201" s="124"/>
      <c r="G201" s="125"/>
      <c r="J201" s="125"/>
      <c r="L201" s="107"/>
      <c r="M201" s="108"/>
      <c r="N201" s="108"/>
    </row>
    <row r="202" spans="1:14" x14ac:dyDescent="0.3">
      <c r="A202" s="77"/>
      <c r="B202" s="106"/>
      <c r="F202" s="124"/>
      <c r="G202" s="125"/>
      <c r="J202" s="125"/>
      <c r="L202" s="107"/>
      <c r="M202" s="108"/>
      <c r="N202" s="108"/>
    </row>
    <row r="203" spans="1:14" x14ac:dyDescent="0.3">
      <c r="A203" s="77"/>
      <c r="B203" s="106"/>
      <c r="F203" s="124"/>
      <c r="G203" s="125"/>
      <c r="J203" s="125"/>
      <c r="L203" s="107"/>
      <c r="M203" s="108"/>
      <c r="N203" s="108"/>
    </row>
    <row r="204" spans="1:14" x14ac:dyDescent="0.3">
      <c r="A204" s="77"/>
      <c r="B204" s="106"/>
      <c r="F204" s="124"/>
      <c r="G204" s="125"/>
      <c r="J204" s="125"/>
      <c r="L204" s="107"/>
      <c r="M204" s="108"/>
      <c r="N204" s="108"/>
    </row>
    <row r="205" spans="1:14" x14ac:dyDescent="0.3">
      <c r="A205" s="77"/>
      <c r="B205" s="106"/>
      <c r="F205" s="124"/>
      <c r="G205" s="125"/>
      <c r="J205" s="125"/>
      <c r="L205" s="107"/>
      <c r="M205" s="108"/>
      <c r="N205" s="108"/>
    </row>
    <row r="206" spans="1:14" x14ac:dyDescent="0.3">
      <c r="A206" s="77"/>
      <c r="B206" s="106"/>
      <c r="F206" s="124"/>
      <c r="G206" s="125"/>
      <c r="J206" s="125"/>
      <c r="L206" s="107"/>
      <c r="M206" s="108"/>
      <c r="N206" s="108"/>
    </row>
    <row r="207" spans="1:14" x14ac:dyDescent="0.3">
      <c r="A207" s="77"/>
      <c r="B207" s="106"/>
      <c r="F207" s="124"/>
      <c r="G207" s="125"/>
      <c r="J207" s="125"/>
      <c r="L207" s="107"/>
      <c r="M207" s="108"/>
      <c r="N207" s="108"/>
    </row>
    <row r="208" spans="1:14" x14ac:dyDescent="0.3">
      <c r="A208" s="77"/>
      <c r="B208" s="106"/>
      <c r="F208" s="124"/>
      <c r="G208" s="125"/>
      <c r="J208" s="125"/>
      <c r="L208" s="107"/>
      <c r="M208" s="108"/>
      <c r="N208" s="108"/>
    </row>
    <row r="209" spans="1:14" x14ac:dyDescent="0.3">
      <c r="A209" s="77"/>
      <c r="B209" s="106"/>
      <c r="F209" s="124"/>
      <c r="G209" s="125"/>
      <c r="J209" s="125"/>
      <c r="L209" s="107"/>
      <c r="M209" s="108"/>
      <c r="N209" s="108"/>
    </row>
    <row r="210" spans="1:14" x14ac:dyDescent="0.3">
      <c r="A210" s="77"/>
      <c r="B210" s="106"/>
      <c r="F210" s="124"/>
      <c r="G210" s="125"/>
      <c r="J210" s="125"/>
      <c r="L210" s="107"/>
      <c r="M210" s="108"/>
      <c r="N210" s="108"/>
    </row>
    <row r="211" spans="1:14" x14ac:dyDescent="0.3">
      <c r="A211" s="77"/>
      <c r="B211" s="106"/>
      <c r="F211" s="124"/>
      <c r="G211" s="125"/>
      <c r="J211" s="125"/>
      <c r="L211" s="107"/>
      <c r="M211" s="108"/>
      <c r="N211" s="108"/>
    </row>
    <row r="212" spans="1:14" x14ac:dyDescent="0.3">
      <c r="A212" s="77"/>
      <c r="B212" s="106"/>
      <c r="F212" s="124"/>
      <c r="G212" s="125"/>
      <c r="J212" s="125"/>
      <c r="L212" s="107"/>
      <c r="M212" s="108"/>
      <c r="N212" s="108"/>
    </row>
    <row r="213" spans="1:14" x14ac:dyDescent="0.3">
      <c r="A213" s="77"/>
      <c r="B213" s="106"/>
      <c r="F213" s="124"/>
      <c r="G213" s="125"/>
      <c r="J213" s="125"/>
      <c r="L213" s="107"/>
      <c r="M213" s="108"/>
      <c r="N213" s="108"/>
    </row>
    <row r="214" spans="1:14" x14ac:dyDescent="0.3">
      <c r="A214" s="77"/>
      <c r="B214" s="106"/>
      <c r="F214" s="124"/>
      <c r="G214" s="125"/>
      <c r="J214" s="125"/>
      <c r="L214" s="107"/>
      <c r="M214" s="108"/>
      <c r="N214" s="108"/>
    </row>
    <row r="215" spans="1:14" x14ac:dyDescent="0.3">
      <c r="A215" s="77"/>
      <c r="B215" s="106"/>
      <c r="F215" s="124"/>
      <c r="G215" s="125"/>
      <c r="J215" s="125"/>
      <c r="L215" s="107"/>
      <c r="M215" s="108"/>
      <c r="N215" s="108"/>
    </row>
    <row r="216" spans="1:14" x14ac:dyDescent="0.3">
      <c r="A216" s="77"/>
      <c r="B216" s="106"/>
      <c r="F216" s="124"/>
      <c r="G216" s="125"/>
      <c r="J216" s="125"/>
      <c r="L216" s="107"/>
      <c r="M216" s="108"/>
      <c r="N216" s="108"/>
    </row>
    <row r="217" spans="1:14" x14ac:dyDescent="0.3">
      <c r="A217" s="77"/>
      <c r="B217" s="106"/>
      <c r="F217" s="124"/>
      <c r="G217" s="125"/>
      <c r="J217" s="125"/>
      <c r="L217" s="107"/>
      <c r="M217" s="108"/>
      <c r="N217" s="108"/>
    </row>
    <row r="218" spans="1:14" x14ac:dyDescent="0.3">
      <c r="A218" s="77"/>
      <c r="B218" s="106"/>
      <c r="F218" s="124"/>
      <c r="G218" s="125"/>
      <c r="J218" s="125"/>
      <c r="L218" s="107"/>
      <c r="M218" s="108"/>
      <c r="N218" s="108"/>
    </row>
    <row r="219" spans="1:14" x14ac:dyDescent="0.3">
      <c r="A219" s="77"/>
      <c r="B219" s="106"/>
      <c r="F219" s="124"/>
      <c r="G219" s="125"/>
      <c r="J219" s="125"/>
      <c r="L219" s="107"/>
      <c r="M219" s="108"/>
      <c r="N219" s="108"/>
    </row>
    <row r="220" spans="1:14" x14ac:dyDescent="0.3">
      <c r="A220" s="77"/>
      <c r="B220" s="106"/>
      <c r="F220" s="124"/>
      <c r="G220" s="125"/>
      <c r="J220" s="125"/>
      <c r="L220" s="107"/>
      <c r="M220" s="108"/>
      <c r="N220" s="108"/>
    </row>
    <row r="221" spans="1:14" x14ac:dyDescent="0.3">
      <c r="A221" s="77"/>
      <c r="B221" s="106"/>
      <c r="F221" s="124"/>
      <c r="G221" s="125"/>
      <c r="J221" s="125"/>
      <c r="L221" s="107"/>
      <c r="M221" s="108"/>
      <c r="N221" s="108"/>
    </row>
    <row r="222" spans="1:14" x14ac:dyDescent="0.3">
      <c r="A222" s="77"/>
      <c r="B222" s="106"/>
      <c r="F222" s="124"/>
      <c r="G222" s="125"/>
      <c r="J222" s="125"/>
      <c r="L222" s="107"/>
      <c r="M222" s="108"/>
      <c r="N222" s="108"/>
    </row>
    <row r="223" spans="1:14" x14ac:dyDescent="0.3">
      <c r="A223" s="77"/>
      <c r="B223" s="106"/>
      <c r="F223" s="124"/>
      <c r="G223" s="125"/>
      <c r="J223" s="125"/>
      <c r="L223" s="107"/>
      <c r="M223" s="108"/>
      <c r="N223" s="108"/>
    </row>
    <row r="224" spans="1:14" x14ac:dyDescent="0.3">
      <c r="A224" s="77"/>
      <c r="B224" s="106"/>
      <c r="F224" s="124"/>
      <c r="G224" s="125"/>
      <c r="J224" s="125"/>
      <c r="L224" s="107"/>
      <c r="M224" s="108"/>
      <c r="N224" s="108"/>
    </row>
    <row r="225" spans="1:14" x14ac:dyDescent="0.3">
      <c r="A225" s="77"/>
      <c r="B225" s="106"/>
      <c r="F225" s="124"/>
      <c r="G225" s="125"/>
      <c r="J225" s="125"/>
      <c r="L225" s="107"/>
      <c r="M225" s="108"/>
      <c r="N225" s="108"/>
    </row>
    <row r="226" spans="1:14" x14ac:dyDescent="0.3">
      <c r="A226" s="77"/>
      <c r="B226" s="106"/>
      <c r="F226" s="124"/>
      <c r="G226" s="125"/>
      <c r="J226" s="125"/>
      <c r="L226" s="107"/>
      <c r="M226" s="108"/>
      <c r="N226" s="108"/>
    </row>
    <row r="227" spans="1:14" x14ac:dyDescent="0.3">
      <c r="A227" s="77"/>
      <c r="B227" s="106"/>
      <c r="F227" s="124"/>
      <c r="G227" s="125"/>
      <c r="J227" s="125"/>
      <c r="L227" s="107"/>
      <c r="M227" s="108"/>
      <c r="N227" s="108"/>
    </row>
    <row r="228" spans="1:14" x14ac:dyDescent="0.3">
      <c r="A228" s="77"/>
      <c r="B228" s="106"/>
      <c r="F228" s="124"/>
      <c r="G228" s="125"/>
      <c r="J228" s="125"/>
      <c r="L228" s="107"/>
      <c r="M228" s="108"/>
      <c r="N228" s="108"/>
    </row>
    <row r="229" spans="1:14" x14ac:dyDescent="0.3">
      <c r="A229" s="77"/>
      <c r="B229" s="106"/>
      <c r="F229" s="124"/>
      <c r="G229" s="125"/>
      <c r="J229" s="125"/>
      <c r="L229" s="107"/>
      <c r="M229" s="108"/>
      <c r="N229" s="108"/>
    </row>
    <row r="230" spans="1:14" x14ac:dyDescent="0.3">
      <c r="A230" s="77"/>
      <c r="B230" s="106"/>
      <c r="F230" s="124"/>
      <c r="G230" s="125"/>
      <c r="J230" s="125"/>
      <c r="L230" s="107"/>
      <c r="M230" s="108"/>
      <c r="N230" s="108"/>
    </row>
    <row r="231" spans="1:14" x14ac:dyDescent="0.3">
      <c r="A231" s="77"/>
      <c r="B231" s="106"/>
      <c r="F231" s="124"/>
      <c r="G231" s="125"/>
      <c r="J231" s="125"/>
      <c r="L231" s="107"/>
      <c r="M231" s="108"/>
      <c r="N231" s="108"/>
    </row>
    <row r="232" spans="1:14" x14ac:dyDescent="0.3">
      <c r="A232" s="77"/>
      <c r="B232" s="106"/>
      <c r="F232" s="124"/>
      <c r="G232" s="125"/>
      <c r="J232" s="125"/>
      <c r="L232" s="107"/>
      <c r="M232" s="108"/>
      <c r="N232" s="108"/>
    </row>
    <row r="233" spans="1:14" x14ac:dyDescent="0.3">
      <c r="A233" s="77"/>
      <c r="B233" s="106"/>
      <c r="F233" s="124"/>
      <c r="G233" s="125"/>
      <c r="J233" s="125"/>
      <c r="L233" s="107"/>
      <c r="M233" s="108"/>
      <c r="N233" s="108"/>
    </row>
    <row r="234" spans="1:14" x14ac:dyDescent="0.3">
      <c r="A234" s="77"/>
      <c r="B234" s="106"/>
      <c r="F234" s="124"/>
      <c r="G234" s="125"/>
      <c r="J234" s="125"/>
      <c r="L234" s="107"/>
      <c r="M234" s="108"/>
      <c r="N234" s="108"/>
    </row>
    <row r="235" spans="1:14" x14ac:dyDescent="0.3">
      <c r="A235" s="77"/>
      <c r="B235" s="106"/>
      <c r="F235" s="124"/>
      <c r="G235" s="125"/>
      <c r="J235" s="125"/>
      <c r="L235" s="107"/>
      <c r="M235" s="108"/>
      <c r="N235" s="108"/>
    </row>
    <row r="236" spans="1:14" x14ac:dyDescent="0.3">
      <c r="A236" s="77"/>
      <c r="B236" s="106"/>
      <c r="F236" s="124"/>
      <c r="G236" s="125"/>
      <c r="J236" s="125"/>
      <c r="L236" s="107"/>
      <c r="M236" s="108"/>
      <c r="N236" s="108"/>
    </row>
    <row r="237" spans="1:14" x14ac:dyDescent="0.3">
      <c r="A237" s="77"/>
      <c r="B237" s="106"/>
      <c r="F237" s="124"/>
      <c r="G237" s="125"/>
      <c r="J237" s="125"/>
      <c r="L237" s="107"/>
      <c r="M237" s="108"/>
      <c r="N237" s="108"/>
    </row>
    <row r="238" spans="1:14" x14ac:dyDescent="0.3">
      <c r="A238" s="77"/>
      <c r="B238" s="106"/>
      <c r="F238" s="124"/>
      <c r="G238" s="125"/>
      <c r="J238" s="125"/>
      <c r="L238" s="107"/>
      <c r="M238" s="108"/>
      <c r="N238" s="108"/>
    </row>
    <row r="239" spans="1:14" x14ac:dyDescent="0.3">
      <c r="A239" s="77"/>
      <c r="B239" s="106"/>
      <c r="F239" s="124"/>
      <c r="G239" s="125"/>
      <c r="J239" s="125"/>
      <c r="L239" s="107"/>
      <c r="M239" s="108"/>
      <c r="N239" s="108"/>
    </row>
    <row r="240" spans="1:14" x14ac:dyDescent="0.3">
      <c r="A240" s="77"/>
      <c r="B240" s="106"/>
      <c r="F240" s="124"/>
      <c r="G240" s="125"/>
      <c r="J240" s="125"/>
      <c r="L240" s="107"/>
      <c r="M240" s="108"/>
      <c r="N240" s="108"/>
    </row>
    <row r="241" spans="1:14" x14ac:dyDescent="0.3">
      <c r="A241" s="77"/>
      <c r="B241" s="106"/>
      <c r="F241" s="124"/>
      <c r="G241" s="125"/>
      <c r="J241" s="125"/>
      <c r="L241" s="107"/>
      <c r="M241" s="108"/>
      <c r="N241" s="108"/>
    </row>
    <row r="242" spans="1:14" x14ac:dyDescent="0.3">
      <c r="A242" s="77"/>
      <c r="B242" s="106"/>
      <c r="F242" s="124"/>
      <c r="G242" s="125"/>
      <c r="J242" s="125"/>
      <c r="L242" s="107"/>
      <c r="M242" s="108"/>
      <c r="N242" s="108"/>
    </row>
    <row r="243" spans="1:14" x14ac:dyDescent="0.3">
      <c r="A243" s="77"/>
      <c r="B243" s="106"/>
      <c r="F243" s="124"/>
      <c r="G243" s="125"/>
      <c r="J243" s="125"/>
      <c r="L243" s="107"/>
      <c r="M243" s="108"/>
      <c r="N243" s="108"/>
    </row>
    <row r="244" spans="1:14" x14ac:dyDescent="0.3">
      <c r="A244" s="77"/>
      <c r="B244" s="106"/>
      <c r="F244" s="124"/>
      <c r="G244" s="125"/>
      <c r="J244" s="125"/>
      <c r="L244" s="107"/>
      <c r="M244" s="108"/>
      <c r="N244" s="108"/>
    </row>
    <row r="245" spans="1:14" x14ac:dyDescent="0.3">
      <c r="A245" s="77"/>
      <c r="B245" s="106"/>
      <c r="F245" s="124"/>
      <c r="G245" s="125"/>
      <c r="J245" s="125"/>
      <c r="L245" s="107"/>
      <c r="M245" s="108"/>
      <c r="N245" s="108"/>
    </row>
    <row r="246" spans="1:14" x14ac:dyDescent="0.3">
      <c r="A246" s="77"/>
      <c r="B246" s="106"/>
      <c r="F246" s="124"/>
      <c r="G246" s="125"/>
      <c r="J246" s="125"/>
      <c r="L246" s="107"/>
      <c r="M246" s="108"/>
      <c r="N246" s="108"/>
    </row>
    <row r="247" spans="1:14" x14ac:dyDescent="0.3">
      <c r="A247" s="77"/>
      <c r="B247" s="106"/>
      <c r="F247" s="124"/>
      <c r="G247" s="125"/>
      <c r="J247" s="125"/>
      <c r="L247" s="107"/>
      <c r="M247" s="108"/>
      <c r="N247" s="108"/>
    </row>
    <row r="248" spans="1:14" x14ac:dyDescent="0.3">
      <c r="A248" s="77"/>
      <c r="B248" s="106"/>
      <c r="F248" s="124"/>
      <c r="G248" s="125"/>
      <c r="J248" s="125"/>
      <c r="L248" s="107"/>
      <c r="M248" s="108"/>
      <c r="N248" s="108"/>
    </row>
    <row r="249" spans="1:14" x14ac:dyDescent="0.3">
      <c r="A249" s="77"/>
      <c r="B249" s="106"/>
      <c r="F249" s="124"/>
      <c r="G249" s="125"/>
      <c r="J249" s="125"/>
      <c r="L249" s="107"/>
      <c r="M249" s="108"/>
      <c r="N249" s="108"/>
    </row>
    <row r="250" spans="1:14" x14ac:dyDescent="0.3">
      <c r="A250" s="77"/>
      <c r="B250" s="106"/>
      <c r="F250" s="124"/>
      <c r="G250" s="125"/>
      <c r="J250" s="125"/>
      <c r="L250" s="107"/>
      <c r="M250" s="108"/>
      <c r="N250" s="108"/>
    </row>
    <row r="251" spans="1:14" x14ac:dyDescent="0.3">
      <c r="A251" s="77"/>
      <c r="B251" s="106"/>
      <c r="F251" s="124"/>
      <c r="G251" s="125"/>
      <c r="J251" s="125"/>
      <c r="L251" s="107"/>
      <c r="M251" s="108"/>
      <c r="N251" s="108"/>
    </row>
    <row r="252" spans="1:14" x14ac:dyDescent="0.3">
      <c r="A252" s="77"/>
      <c r="B252" s="106"/>
      <c r="F252" s="124"/>
      <c r="G252" s="125"/>
      <c r="J252" s="125"/>
      <c r="L252" s="107"/>
      <c r="M252" s="108"/>
      <c r="N252" s="108"/>
    </row>
    <row r="253" spans="1:14" x14ac:dyDescent="0.3">
      <c r="A253" s="77"/>
      <c r="B253" s="106"/>
      <c r="F253" s="124"/>
      <c r="G253" s="125"/>
      <c r="J253" s="125"/>
      <c r="L253" s="107"/>
      <c r="M253" s="108"/>
      <c r="N253" s="108"/>
    </row>
    <row r="254" spans="1:14" x14ac:dyDescent="0.3">
      <c r="A254" s="77"/>
      <c r="B254" s="106"/>
      <c r="F254" s="124"/>
      <c r="G254" s="125"/>
      <c r="J254" s="125"/>
      <c r="L254" s="107"/>
      <c r="M254" s="108"/>
      <c r="N254" s="108"/>
    </row>
    <row r="255" spans="1:14" x14ac:dyDescent="0.3">
      <c r="A255" s="77"/>
      <c r="B255" s="106"/>
      <c r="F255" s="124"/>
      <c r="G255" s="125"/>
      <c r="J255" s="125"/>
      <c r="L255" s="107"/>
      <c r="M255" s="108"/>
      <c r="N255" s="108"/>
    </row>
    <row r="256" spans="1:14" x14ac:dyDescent="0.3">
      <c r="A256" s="77"/>
      <c r="B256" s="106"/>
      <c r="F256" s="124"/>
      <c r="G256" s="125"/>
      <c r="J256" s="125"/>
      <c r="L256" s="107"/>
      <c r="M256" s="108"/>
      <c r="N256" s="108"/>
    </row>
    <row r="257" spans="1:14" x14ac:dyDescent="0.3">
      <c r="A257" s="77"/>
      <c r="B257" s="106"/>
      <c r="F257" s="124"/>
      <c r="G257" s="125"/>
      <c r="J257" s="125"/>
      <c r="L257" s="107"/>
      <c r="M257" s="108"/>
      <c r="N257" s="108"/>
    </row>
    <row r="258" spans="1:14" x14ac:dyDescent="0.3">
      <c r="A258" s="77"/>
      <c r="B258" s="106"/>
      <c r="F258" s="124"/>
      <c r="G258" s="125"/>
      <c r="J258" s="125"/>
      <c r="L258" s="107"/>
      <c r="M258" s="108"/>
      <c r="N258" s="108"/>
    </row>
    <row r="259" spans="1:14" x14ac:dyDescent="0.3">
      <c r="A259" s="77"/>
      <c r="B259" s="106"/>
      <c r="F259" s="124"/>
      <c r="G259" s="125"/>
      <c r="J259" s="125"/>
      <c r="L259" s="107"/>
      <c r="M259" s="108"/>
      <c r="N259" s="108"/>
    </row>
    <row r="260" spans="1:14" x14ac:dyDescent="0.3">
      <c r="A260" s="77"/>
      <c r="B260" s="106"/>
      <c r="F260" s="124"/>
      <c r="G260" s="125"/>
      <c r="J260" s="125"/>
      <c r="L260" s="107"/>
      <c r="M260" s="108"/>
      <c r="N260" s="108"/>
    </row>
    <row r="261" spans="1:14" x14ac:dyDescent="0.3">
      <c r="A261" s="77"/>
      <c r="B261" s="106"/>
      <c r="F261" s="124"/>
      <c r="G261" s="125"/>
      <c r="J261" s="125"/>
      <c r="L261" s="107"/>
      <c r="M261" s="108"/>
      <c r="N261" s="108"/>
    </row>
    <row r="262" spans="1:14" x14ac:dyDescent="0.3">
      <c r="A262" s="77"/>
      <c r="B262" s="106"/>
      <c r="F262" s="124"/>
      <c r="G262" s="125"/>
      <c r="J262" s="125"/>
      <c r="L262" s="107"/>
      <c r="M262" s="108"/>
      <c r="N262" s="108"/>
    </row>
    <row r="263" spans="1:14" x14ac:dyDescent="0.3">
      <c r="A263" s="77"/>
      <c r="B263" s="106"/>
      <c r="F263" s="124"/>
      <c r="G263" s="125"/>
      <c r="J263" s="125"/>
      <c r="L263" s="107"/>
      <c r="M263" s="108"/>
      <c r="N263" s="108"/>
    </row>
    <row r="264" spans="1:14" x14ac:dyDescent="0.3">
      <c r="A264" s="77"/>
      <c r="B264" s="106"/>
      <c r="F264" s="124"/>
      <c r="G264" s="125"/>
      <c r="J264" s="125"/>
      <c r="L264" s="107"/>
      <c r="M264" s="108"/>
      <c r="N264" s="108"/>
    </row>
    <row r="265" spans="1:14" x14ac:dyDescent="0.3">
      <c r="A265" s="77"/>
      <c r="B265" s="106"/>
      <c r="F265" s="124"/>
      <c r="G265" s="125"/>
      <c r="J265" s="125"/>
      <c r="L265" s="107"/>
      <c r="M265" s="108"/>
      <c r="N265" s="108"/>
    </row>
    <row r="266" spans="1:14" x14ac:dyDescent="0.3">
      <c r="A266" s="77"/>
      <c r="B266" s="106"/>
      <c r="F266" s="124"/>
      <c r="G266" s="125"/>
      <c r="J266" s="125"/>
      <c r="L266" s="107"/>
      <c r="M266" s="108"/>
      <c r="N266" s="108"/>
    </row>
    <row r="267" spans="1:14" x14ac:dyDescent="0.3">
      <c r="A267" s="77"/>
      <c r="B267" s="106"/>
      <c r="F267" s="124"/>
      <c r="G267" s="125"/>
      <c r="J267" s="125"/>
      <c r="L267" s="107"/>
      <c r="M267" s="108"/>
      <c r="N267" s="108"/>
    </row>
    <row r="268" spans="1:14" x14ac:dyDescent="0.3">
      <c r="A268" s="77"/>
      <c r="B268" s="106"/>
      <c r="F268" s="124"/>
      <c r="G268" s="125"/>
      <c r="J268" s="125"/>
      <c r="L268" s="107"/>
      <c r="M268" s="108"/>
      <c r="N268" s="108"/>
    </row>
    <row r="269" spans="1:14" x14ac:dyDescent="0.3">
      <c r="A269" s="77"/>
      <c r="B269" s="106"/>
      <c r="F269" s="124"/>
      <c r="G269" s="125"/>
      <c r="J269" s="125"/>
      <c r="L269" s="107"/>
      <c r="M269" s="108"/>
      <c r="N269" s="108"/>
    </row>
    <row r="270" spans="1:14" x14ac:dyDescent="0.3">
      <c r="A270" s="77"/>
      <c r="B270" s="106"/>
      <c r="F270" s="124"/>
      <c r="G270" s="125"/>
      <c r="J270" s="125"/>
      <c r="L270" s="107"/>
      <c r="M270" s="108"/>
      <c r="N270" s="108"/>
    </row>
    <row r="271" spans="1:14" x14ac:dyDescent="0.3">
      <c r="A271" s="77"/>
      <c r="B271" s="106"/>
      <c r="F271" s="124"/>
      <c r="G271" s="125"/>
      <c r="J271" s="125"/>
      <c r="L271" s="107"/>
      <c r="M271" s="108"/>
      <c r="N271" s="108"/>
    </row>
    <row r="272" spans="1:14" x14ac:dyDescent="0.3">
      <c r="A272" s="77"/>
      <c r="B272" s="106"/>
      <c r="F272" s="124"/>
      <c r="G272" s="125"/>
      <c r="J272" s="125"/>
      <c r="L272" s="107"/>
      <c r="M272" s="108"/>
      <c r="N272" s="108"/>
    </row>
    <row r="273" spans="1:14" x14ac:dyDescent="0.3">
      <c r="A273" s="77"/>
      <c r="B273" s="106"/>
      <c r="F273" s="124"/>
      <c r="G273" s="125"/>
      <c r="J273" s="125"/>
      <c r="L273" s="107"/>
      <c r="M273" s="108"/>
      <c r="N273" s="108"/>
    </row>
    <row r="274" spans="1:14" x14ac:dyDescent="0.3">
      <c r="A274" s="77"/>
      <c r="B274" s="106"/>
      <c r="F274" s="124"/>
      <c r="G274" s="125"/>
      <c r="J274" s="125"/>
      <c r="L274" s="107"/>
      <c r="M274" s="108"/>
      <c r="N274" s="108"/>
    </row>
    <row r="275" spans="1:14" x14ac:dyDescent="0.3">
      <c r="A275" s="77"/>
      <c r="B275" s="106"/>
      <c r="F275" s="124"/>
      <c r="G275" s="125"/>
      <c r="J275" s="125"/>
      <c r="L275" s="107"/>
      <c r="M275" s="108"/>
      <c r="N275" s="108"/>
    </row>
    <row r="276" spans="1:14" x14ac:dyDescent="0.3">
      <c r="A276" s="77"/>
      <c r="B276" s="106"/>
      <c r="F276" s="124"/>
      <c r="G276" s="125"/>
      <c r="J276" s="125"/>
      <c r="L276" s="107"/>
      <c r="M276" s="108"/>
      <c r="N276" s="108"/>
    </row>
    <row r="277" spans="1:14" x14ac:dyDescent="0.3">
      <c r="A277" s="77"/>
      <c r="B277" s="106"/>
      <c r="F277" s="124"/>
      <c r="G277" s="125"/>
      <c r="J277" s="125"/>
      <c r="L277" s="107"/>
      <c r="M277" s="108"/>
      <c r="N277" s="108"/>
    </row>
    <row r="278" spans="1:14" x14ac:dyDescent="0.3">
      <c r="A278" s="77"/>
      <c r="B278" s="106"/>
      <c r="F278" s="124"/>
      <c r="G278" s="125"/>
      <c r="J278" s="125"/>
      <c r="L278" s="107"/>
      <c r="M278" s="108"/>
      <c r="N278" s="108"/>
    </row>
    <row r="279" spans="1:14" x14ac:dyDescent="0.3">
      <c r="A279" s="77"/>
      <c r="B279" s="106"/>
      <c r="F279" s="124"/>
      <c r="G279" s="125"/>
      <c r="J279" s="125"/>
      <c r="L279" s="107"/>
      <c r="M279" s="108"/>
      <c r="N279" s="108"/>
    </row>
    <row r="280" spans="1:14" x14ac:dyDescent="0.3">
      <c r="A280" s="77"/>
      <c r="B280" s="106"/>
      <c r="F280" s="124"/>
      <c r="G280" s="125"/>
      <c r="J280" s="125"/>
      <c r="L280" s="107"/>
      <c r="M280" s="108"/>
      <c r="N280" s="108"/>
    </row>
    <row r="281" spans="1:14" x14ac:dyDescent="0.3">
      <c r="A281" s="77"/>
      <c r="B281" s="106"/>
      <c r="F281" s="124"/>
      <c r="G281" s="125"/>
      <c r="J281" s="125"/>
      <c r="L281" s="107"/>
      <c r="M281" s="108"/>
      <c r="N281" s="108"/>
    </row>
    <row r="282" spans="1:14" x14ac:dyDescent="0.3">
      <c r="A282" s="77"/>
      <c r="B282" s="106"/>
      <c r="F282" s="124"/>
      <c r="G282" s="125"/>
      <c r="J282" s="125"/>
      <c r="L282" s="107"/>
      <c r="M282" s="108"/>
      <c r="N282" s="108"/>
    </row>
    <row r="283" spans="1:14" x14ac:dyDescent="0.3">
      <c r="A283" s="77"/>
      <c r="B283" s="106"/>
      <c r="F283" s="124"/>
      <c r="G283" s="125"/>
      <c r="J283" s="125"/>
      <c r="L283" s="107"/>
      <c r="M283" s="108"/>
      <c r="N283" s="108"/>
    </row>
    <row r="284" spans="1:14" x14ac:dyDescent="0.3">
      <c r="A284" s="77"/>
      <c r="B284" s="106"/>
      <c r="F284" s="124"/>
      <c r="G284" s="125"/>
      <c r="J284" s="125"/>
      <c r="L284" s="107"/>
      <c r="M284" s="108"/>
      <c r="N284" s="108"/>
    </row>
    <row r="285" spans="1:14" x14ac:dyDescent="0.3">
      <c r="A285" s="77"/>
      <c r="B285" s="106"/>
      <c r="F285" s="124"/>
      <c r="G285" s="125"/>
      <c r="J285" s="125"/>
      <c r="L285" s="107"/>
      <c r="M285" s="108"/>
      <c r="N285" s="108"/>
    </row>
    <row r="286" spans="1:14" x14ac:dyDescent="0.3">
      <c r="A286" s="77"/>
      <c r="B286" s="106"/>
      <c r="F286" s="124"/>
      <c r="G286" s="125"/>
      <c r="J286" s="125"/>
      <c r="L286" s="107"/>
      <c r="M286" s="108"/>
      <c r="N286" s="108"/>
    </row>
    <row r="287" spans="1:14" x14ac:dyDescent="0.3">
      <c r="A287" s="77"/>
      <c r="B287" s="106"/>
      <c r="F287" s="124"/>
      <c r="G287" s="125"/>
      <c r="J287" s="125"/>
      <c r="L287" s="107"/>
      <c r="M287" s="108"/>
      <c r="N287" s="108"/>
    </row>
    <row r="288" spans="1:14" x14ac:dyDescent="0.3">
      <c r="A288" s="77"/>
      <c r="B288" s="106"/>
      <c r="F288" s="124"/>
      <c r="G288" s="125"/>
      <c r="J288" s="125"/>
      <c r="L288" s="107"/>
      <c r="M288" s="108"/>
      <c r="N288" s="108"/>
    </row>
    <row r="289" spans="1:14" x14ac:dyDescent="0.3">
      <c r="A289" s="77"/>
      <c r="B289" s="106"/>
      <c r="F289" s="124"/>
      <c r="G289" s="125"/>
      <c r="J289" s="125"/>
      <c r="L289" s="107"/>
      <c r="M289" s="108"/>
      <c r="N289" s="108"/>
    </row>
    <row r="290" spans="1:14" x14ac:dyDescent="0.3">
      <c r="A290" s="77"/>
      <c r="B290" s="106"/>
      <c r="F290" s="124"/>
      <c r="G290" s="125"/>
      <c r="J290" s="125"/>
      <c r="L290" s="107"/>
      <c r="M290" s="108"/>
      <c r="N290" s="108"/>
    </row>
    <row r="291" spans="1:14" x14ac:dyDescent="0.3">
      <c r="A291" s="77"/>
      <c r="B291" s="106"/>
      <c r="F291" s="124"/>
      <c r="G291" s="125"/>
      <c r="J291" s="125"/>
      <c r="L291" s="107"/>
      <c r="M291" s="108"/>
      <c r="N291" s="108"/>
    </row>
    <row r="292" spans="1:14" x14ac:dyDescent="0.3">
      <c r="A292" s="77"/>
      <c r="B292" s="106"/>
      <c r="F292" s="124"/>
      <c r="G292" s="125"/>
      <c r="J292" s="125"/>
      <c r="L292" s="107"/>
      <c r="M292" s="108"/>
      <c r="N292" s="108"/>
    </row>
    <row r="293" spans="1:14" x14ac:dyDescent="0.3">
      <c r="A293" s="77"/>
      <c r="B293" s="106"/>
      <c r="F293" s="124"/>
      <c r="G293" s="125"/>
      <c r="J293" s="125"/>
      <c r="L293" s="107"/>
      <c r="M293" s="108"/>
      <c r="N293" s="108"/>
    </row>
    <row r="294" spans="1:14" x14ac:dyDescent="0.3">
      <c r="A294" s="77"/>
      <c r="B294" s="106"/>
      <c r="F294" s="124"/>
      <c r="G294" s="125"/>
      <c r="J294" s="125"/>
      <c r="L294" s="107"/>
      <c r="M294" s="108"/>
      <c r="N294" s="108"/>
    </row>
    <row r="295" spans="1:14" x14ac:dyDescent="0.3">
      <c r="A295" s="77"/>
      <c r="B295" s="106"/>
      <c r="F295" s="124"/>
      <c r="G295" s="125"/>
      <c r="J295" s="125"/>
      <c r="L295" s="107"/>
      <c r="M295" s="108"/>
      <c r="N295" s="108"/>
    </row>
    <row r="296" spans="1:14" x14ac:dyDescent="0.3">
      <c r="A296" s="77"/>
      <c r="B296" s="106"/>
      <c r="F296" s="124"/>
      <c r="G296" s="125"/>
      <c r="J296" s="125"/>
      <c r="L296" s="107"/>
      <c r="M296" s="108"/>
      <c r="N296" s="108"/>
    </row>
    <row r="297" spans="1:14" x14ac:dyDescent="0.3">
      <c r="A297" s="77"/>
      <c r="B297" s="106"/>
      <c r="F297" s="124"/>
      <c r="G297" s="125"/>
      <c r="J297" s="125"/>
      <c r="L297" s="107"/>
      <c r="M297" s="108"/>
      <c r="N297" s="108"/>
    </row>
    <row r="298" spans="1:14" x14ac:dyDescent="0.3">
      <c r="A298" s="77"/>
      <c r="B298" s="106"/>
      <c r="F298" s="124"/>
      <c r="G298" s="125"/>
      <c r="J298" s="125"/>
      <c r="L298" s="107"/>
      <c r="M298" s="108"/>
      <c r="N298" s="108"/>
    </row>
    <row r="299" spans="1:14" x14ac:dyDescent="0.3">
      <c r="A299" s="77"/>
      <c r="B299" s="106"/>
      <c r="F299" s="124"/>
      <c r="G299" s="125"/>
      <c r="J299" s="125"/>
      <c r="L299" s="107"/>
      <c r="M299" s="108"/>
      <c r="N299" s="108"/>
    </row>
    <row r="300" spans="1:14" x14ac:dyDescent="0.3">
      <c r="A300" s="77"/>
      <c r="B300" s="106"/>
      <c r="F300" s="124"/>
      <c r="G300" s="125"/>
      <c r="J300" s="125"/>
      <c r="L300" s="107"/>
      <c r="M300" s="108"/>
      <c r="N300" s="108"/>
    </row>
    <row r="301" spans="1:14" x14ac:dyDescent="0.3">
      <c r="A301" s="77"/>
      <c r="B301" s="106"/>
      <c r="F301" s="124"/>
      <c r="G301" s="125"/>
      <c r="J301" s="125"/>
      <c r="L301" s="107"/>
      <c r="M301" s="108"/>
      <c r="N301" s="108"/>
    </row>
    <row r="302" spans="1:14" x14ac:dyDescent="0.3">
      <c r="A302" s="77"/>
      <c r="B302" s="106"/>
      <c r="F302" s="124"/>
      <c r="G302" s="125"/>
      <c r="J302" s="125"/>
      <c r="L302" s="107"/>
      <c r="M302" s="108"/>
      <c r="N302" s="108"/>
    </row>
    <row r="303" spans="1:14" x14ac:dyDescent="0.3">
      <c r="A303" s="77"/>
      <c r="B303" s="106"/>
      <c r="F303" s="124"/>
      <c r="G303" s="125"/>
      <c r="J303" s="125"/>
      <c r="L303" s="107"/>
      <c r="M303" s="108"/>
      <c r="N303" s="108"/>
    </row>
    <row r="304" spans="1:14" x14ac:dyDescent="0.3">
      <c r="A304" s="77"/>
      <c r="B304" s="106"/>
      <c r="F304" s="124"/>
      <c r="G304" s="125"/>
      <c r="J304" s="125"/>
      <c r="L304" s="107"/>
      <c r="M304" s="108"/>
      <c r="N304" s="108"/>
    </row>
    <row r="305" spans="1:14" x14ac:dyDescent="0.3">
      <c r="A305" s="77"/>
      <c r="B305" s="106"/>
      <c r="F305" s="124"/>
      <c r="G305" s="125"/>
      <c r="J305" s="125"/>
      <c r="L305" s="107"/>
      <c r="M305" s="108"/>
      <c r="N305" s="108"/>
    </row>
    <row r="306" spans="1:14" x14ac:dyDescent="0.3">
      <c r="A306" s="77"/>
      <c r="B306" s="106"/>
      <c r="F306" s="124"/>
      <c r="G306" s="125"/>
      <c r="J306" s="125"/>
      <c r="L306" s="107"/>
      <c r="M306" s="108"/>
      <c r="N306" s="108"/>
    </row>
    <row r="307" spans="1:14" x14ac:dyDescent="0.3">
      <c r="A307" s="77"/>
      <c r="B307" s="106"/>
      <c r="F307" s="124"/>
      <c r="G307" s="125"/>
      <c r="J307" s="125"/>
      <c r="L307" s="107"/>
      <c r="M307" s="108"/>
      <c r="N307" s="108"/>
    </row>
    <row r="308" spans="1:14" x14ac:dyDescent="0.3">
      <c r="A308" s="77"/>
      <c r="B308" s="106"/>
      <c r="F308" s="124"/>
      <c r="G308" s="125"/>
      <c r="J308" s="125"/>
      <c r="L308" s="107"/>
      <c r="M308" s="108"/>
      <c r="N308" s="108"/>
    </row>
    <row r="309" spans="1:14" x14ac:dyDescent="0.3">
      <c r="A309" s="77"/>
      <c r="B309" s="106"/>
      <c r="F309" s="124"/>
      <c r="G309" s="125"/>
      <c r="J309" s="125"/>
      <c r="L309" s="107"/>
      <c r="M309" s="108"/>
      <c r="N309" s="108"/>
    </row>
    <row r="310" spans="1:14" x14ac:dyDescent="0.3">
      <c r="A310" s="77"/>
      <c r="B310" s="106"/>
      <c r="F310" s="124"/>
      <c r="G310" s="125"/>
      <c r="J310" s="125"/>
      <c r="L310" s="107"/>
      <c r="M310" s="108"/>
      <c r="N310" s="108"/>
    </row>
    <row r="311" spans="1:14" x14ac:dyDescent="0.3">
      <c r="A311" s="77"/>
      <c r="B311" s="106"/>
      <c r="F311" s="124"/>
      <c r="G311" s="125"/>
      <c r="J311" s="125"/>
      <c r="L311" s="107"/>
      <c r="M311" s="108"/>
      <c r="N311" s="108"/>
    </row>
    <row r="312" spans="1:14" x14ac:dyDescent="0.3">
      <c r="A312" s="77"/>
      <c r="B312" s="106"/>
      <c r="F312" s="124"/>
      <c r="G312" s="125"/>
      <c r="J312" s="125"/>
      <c r="L312" s="107"/>
      <c r="M312" s="108"/>
      <c r="N312" s="108"/>
    </row>
    <row r="313" spans="1:14" x14ac:dyDescent="0.3">
      <c r="A313" s="77"/>
      <c r="B313" s="106"/>
      <c r="F313" s="124"/>
      <c r="G313" s="125"/>
      <c r="J313" s="125"/>
      <c r="L313" s="107"/>
      <c r="M313" s="108"/>
      <c r="N313" s="108"/>
    </row>
    <row r="314" spans="1:14" x14ac:dyDescent="0.3">
      <c r="A314" s="77"/>
      <c r="B314" s="106"/>
      <c r="F314" s="124"/>
      <c r="G314" s="125"/>
      <c r="J314" s="125"/>
      <c r="L314" s="107"/>
      <c r="M314" s="108"/>
      <c r="N314" s="108"/>
    </row>
    <row r="315" spans="1:14" x14ac:dyDescent="0.3">
      <c r="A315" s="77"/>
      <c r="B315" s="106"/>
      <c r="F315" s="124"/>
      <c r="G315" s="125"/>
      <c r="J315" s="125"/>
      <c r="L315" s="107"/>
      <c r="M315" s="108"/>
      <c r="N315" s="108"/>
    </row>
    <row r="316" spans="1:14" x14ac:dyDescent="0.3">
      <c r="A316" s="77"/>
      <c r="B316" s="106"/>
      <c r="F316" s="124"/>
      <c r="G316" s="125"/>
      <c r="J316" s="125"/>
      <c r="L316" s="107"/>
      <c r="M316" s="108"/>
      <c r="N316" s="108"/>
    </row>
    <row r="317" spans="1:14" x14ac:dyDescent="0.3">
      <c r="A317" s="77"/>
      <c r="B317" s="106"/>
      <c r="F317" s="124"/>
      <c r="G317" s="125"/>
      <c r="J317" s="125"/>
      <c r="L317" s="107"/>
      <c r="M317" s="108"/>
      <c r="N317" s="108"/>
    </row>
    <row r="318" spans="1:14" x14ac:dyDescent="0.3">
      <c r="A318" s="77"/>
      <c r="B318" s="106"/>
      <c r="F318" s="124"/>
      <c r="G318" s="125"/>
      <c r="J318" s="125"/>
      <c r="L318" s="107"/>
      <c r="M318" s="108"/>
      <c r="N318" s="108"/>
    </row>
    <row r="319" spans="1:14" x14ac:dyDescent="0.3">
      <c r="A319" s="77"/>
      <c r="B319" s="106"/>
      <c r="F319" s="124"/>
      <c r="G319" s="125"/>
      <c r="J319" s="125"/>
      <c r="L319" s="107"/>
      <c r="M319" s="108"/>
      <c r="N319" s="108"/>
    </row>
    <row r="320" spans="1:14" x14ac:dyDescent="0.3">
      <c r="A320" s="77"/>
      <c r="B320" s="106"/>
      <c r="F320" s="124"/>
      <c r="G320" s="125"/>
      <c r="J320" s="125"/>
      <c r="L320" s="107"/>
      <c r="M320" s="108"/>
      <c r="N320" s="108"/>
    </row>
    <row r="321" spans="1:14" x14ac:dyDescent="0.3">
      <c r="A321" s="77"/>
      <c r="B321" s="106"/>
      <c r="F321" s="124"/>
      <c r="G321" s="125"/>
      <c r="J321" s="125"/>
      <c r="L321" s="107"/>
      <c r="M321" s="108"/>
      <c r="N321" s="108"/>
    </row>
    <row r="322" spans="1:14" x14ac:dyDescent="0.3">
      <c r="A322" s="77"/>
      <c r="B322" s="106"/>
      <c r="F322" s="124"/>
      <c r="G322" s="125"/>
      <c r="J322" s="125"/>
      <c r="L322" s="107"/>
      <c r="M322" s="108"/>
      <c r="N322" s="108"/>
    </row>
    <row r="323" spans="1:14" x14ac:dyDescent="0.3">
      <c r="A323" s="77"/>
      <c r="B323" s="106"/>
      <c r="F323" s="124"/>
      <c r="G323" s="125"/>
      <c r="J323" s="125"/>
      <c r="L323" s="107"/>
      <c r="M323" s="108"/>
      <c r="N323" s="108"/>
    </row>
    <row r="324" spans="1:14" x14ac:dyDescent="0.3">
      <c r="A324" s="77"/>
      <c r="B324" s="106"/>
      <c r="F324" s="124"/>
      <c r="G324" s="125"/>
      <c r="J324" s="125"/>
      <c r="L324" s="107"/>
      <c r="M324" s="108"/>
      <c r="N324" s="108"/>
    </row>
    <row r="325" spans="1:14" x14ac:dyDescent="0.3">
      <c r="A325" s="77"/>
      <c r="B325" s="106"/>
      <c r="F325" s="124"/>
      <c r="G325" s="125"/>
      <c r="J325" s="125"/>
      <c r="L325" s="107"/>
      <c r="M325" s="108"/>
      <c r="N325" s="108"/>
    </row>
    <row r="326" spans="1:14" x14ac:dyDescent="0.3">
      <c r="A326" s="77"/>
      <c r="B326" s="106"/>
      <c r="F326" s="124"/>
      <c r="G326" s="125"/>
      <c r="J326" s="125"/>
      <c r="L326" s="107"/>
      <c r="M326" s="108"/>
      <c r="N326" s="108"/>
    </row>
    <row r="327" spans="1:14" x14ac:dyDescent="0.3">
      <c r="A327" s="77"/>
      <c r="B327" s="106"/>
      <c r="F327" s="124"/>
      <c r="G327" s="125"/>
      <c r="J327" s="125"/>
      <c r="L327" s="107"/>
      <c r="M327" s="108"/>
      <c r="N327" s="108"/>
    </row>
    <row r="328" spans="1:14" x14ac:dyDescent="0.3">
      <c r="A328" s="77"/>
      <c r="B328" s="106"/>
      <c r="F328" s="124"/>
      <c r="G328" s="125"/>
      <c r="J328" s="125"/>
      <c r="L328" s="107"/>
      <c r="M328" s="108"/>
      <c r="N328" s="108"/>
    </row>
    <row r="329" spans="1:14" x14ac:dyDescent="0.3">
      <c r="A329" s="77"/>
      <c r="B329" s="106"/>
      <c r="F329" s="124"/>
      <c r="G329" s="125"/>
      <c r="J329" s="125"/>
      <c r="L329" s="107"/>
      <c r="M329" s="108"/>
      <c r="N329" s="108"/>
    </row>
    <row r="330" spans="1:14" x14ac:dyDescent="0.3">
      <c r="A330" s="77"/>
      <c r="B330" s="106"/>
      <c r="F330" s="124"/>
      <c r="G330" s="125"/>
      <c r="J330" s="125"/>
      <c r="L330" s="107"/>
      <c r="M330" s="108"/>
      <c r="N330" s="108"/>
    </row>
    <row r="331" spans="1:14" x14ac:dyDescent="0.3">
      <c r="A331" s="77"/>
      <c r="B331" s="106"/>
      <c r="F331" s="124"/>
      <c r="G331" s="125"/>
      <c r="J331" s="125"/>
      <c r="L331" s="107"/>
      <c r="M331" s="108"/>
      <c r="N331" s="108"/>
    </row>
    <row r="332" spans="1:14" x14ac:dyDescent="0.3">
      <c r="A332" s="77"/>
      <c r="B332" s="106"/>
      <c r="F332" s="124"/>
      <c r="G332" s="125"/>
      <c r="J332" s="125"/>
      <c r="L332" s="107"/>
      <c r="M332" s="108"/>
      <c r="N332" s="108"/>
    </row>
    <row r="333" spans="1:14" x14ac:dyDescent="0.3">
      <c r="A333" s="77"/>
      <c r="B333" s="106"/>
      <c r="F333" s="124"/>
      <c r="G333" s="125"/>
      <c r="J333" s="125"/>
      <c r="L333" s="107"/>
      <c r="M333" s="108"/>
      <c r="N333" s="108"/>
    </row>
    <row r="334" spans="1:14" x14ac:dyDescent="0.3">
      <c r="A334" s="77"/>
      <c r="B334" s="106"/>
      <c r="F334" s="124"/>
      <c r="G334" s="125"/>
      <c r="J334" s="125"/>
      <c r="L334" s="107"/>
      <c r="M334" s="108"/>
      <c r="N334" s="108"/>
    </row>
    <row r="335" spans="1:14" x14ac:dyDescent="0.3">
      <c r="A335" s="77"/>
      <c r="B335" s="106"/>
      <c r="F335" s="124"/>
      <c r="G335" s="125"/>
      <c r="J335" s="125"/>
      <c r="L335" s="107"/>
      <c r="M335" s="108"/>
      <c r="N335" s="108"/>
    </row>
    <row r="336" spans="1:14" x14ac:dyDescent="0.3">
      <c r="A336" s="77"/>
      <c r="B336" s="106"/>
      <c r="F336" s="124"/>
      <c r="G336" s="125"/>
      <c r="J336" s="125"/>
      <c r="L336" s="107"/>
      <c r="M336" s="108"/>
      <c r="N336" s="108"/>
    </row>
    <row r="337" spans="1:14" x14ac:dyDescent="0.3">
      <c r="A337" s="77"/>
      <c r="B337" s="106"/>
      <c r="F337" s="124"/>
      <c r="G337" s="125"/>
      <c r="J337" s="125"/>
      <c r="L337" s="107"/>
      <c r="M337" s="108"/>
      <c r="N337" s="108"/>
    </row>
    <row r="338" spans="1:14" x14ac:dyDescent="0.3">
      <c r="A338" s="77"/>
      <c r="B338" s="106"/>
      <c r="F338" s="124"/>
      <c r="G338" s="125"/>
      <c r="J338" s="125"/>
      <c r="L338" s="107"/>
      <c r="M338" s="108"/>
      <c r="N338" s="108"/>
    </row>
    <row r="339" spans="1:14" x14ac:dyDescent="0.3">
      <c r="A339" s="77"/>
      <c r="B339" s="106"/>
      <c r="F339" s="124"/>
      <c r="G339" s="125"/>
      <c r="J339" s="125"/>
      <c r="L339" s="107"/>
      <c r="M339" s="108"/>
      <c r="N339" s="108"/>
    </row>
    <row r="340" spans="1:14" x14ac:dyDescent="0.3">
      <c r="A340" s="77"/>
      <c r="B340" s="106"/>
      <c r="F340" s="124"/>
      <c r="G340" s="125"/>
      <c r="J340" s="125"/>
      <c r="L340" s="107"/>
      <c r="M340" s="108"/>
      <c r="N340" s="108"/>
    </row>
    <row r="341" spans="1:14" x14ac:dyDescent="0.3">
      <c r="A341" s="77"/>
      <c r="B341" s="106"/>
      <c r="F341" s="124"/>
      <c r="G341" s="125"/>
      <c r="J341" s="125"/>
      <c r="L341" s="107"/>
      <c r="M341" s="108"/>
      <c r="N341" s="108"/>
    </row>
    <row r="342" spans="1:14" x14ac:dyDescent="0.3">
      <c r="A342" s="77"/>
      <c r="B342" s="106"/>
      <c r="F342" s="124"/>
      <c r="G342" s="125"/>
      <c r="J342" s="125"/>
      <c r="L342" s="107"/>
      <c r="M342" s="108"/>
      <c r="N342" s="108"/>
    </row>
    <row r="343" spans="1:14" x14ac:dyDescent="0.3">
      <c r="A343" s="77"/>
      <c r="B343" s="106"/>
      <c r="F343" s="124"/>
      <c r="G343" s="125"/>
      <c r="J343" s="125"/>
      <c r="L343" s="107"/>
      <c r="M343" s="108"/>
      <c r="N343" s="108"/>
    </row>
    <row r="344" spans="1:14" x14ac:dyDescent="0.3">
      <c r="A344" s="77"/>
      <c r="B344" s="106"/>
      <c r="F344" s="124"/>
      <c r="G344" s="125"/>
      <c r="J344" s="125"/>
      <c r="L344" s="107"/>
      <c r="M344" s="108"/>
      <c r="N344" s="108"/>
    </row>
    <row r="345" spans="1:14" x14ac:dyDescent="0.3">
      <c r="A345" s="77"/>
      <c r="B345" s="106"/>
      <c r="F345" s="124"/>
      <c r="G345" s="125"/>
      <c r="J345" s="125"/>
      <c r="L345" s="107"/>
      <c r="M345" s="108"/>
      <c r="N345" s="108"/>
    </row>
    <row r="346" spans="1:14" x14ac:dyDescent="0.3">
      <c r="A346" s="77"/>
      <c r="B346" s="106"/>
      <c r="F346" s="124"/>
      <c r="G346" s="125"/>
      <c r="J346" s="125"/>
      <c r="L346" s="107"/>
      <c r="M346" s="108"/>
      <c r="N346" s="108"/>
    </row>
    <row r="347" spans="1:14" x14ac:dyDescent="0.3">
      <c r="A347" s="77"/>
      <c r="B347" s="106"/>
      <c r="F347" s="124"/>
      <c r="G347" s="125"/>
      <c r="J347" s="125"/>
      <c r="L347" s="107"/>
      <c r="M347" s="108"/>
      <c r="N347" s="108"/>
    </row>
    <row r="348" spans="1:14" x14ac:dyDescent="0.3">
      <c r="A348" s="77"/>
      <c r="B348" s="106"/>
      <c r="F348" s="124"/>
      <c r="G348" s="125"/>
      <c r="J348" s="125"/>
      <c r="L348" s="107"/>
      <c r="M348" s="108"/>
      <c r="N348" s="108"/>
    </row>
    <row r="349" spans="1:14" x14ac:dyDescent="0.3">
      <c r="A349" s="77"/>
      <c r="B349" s="106"/>
      <c r="F349" s="124"/>
      <c r="G349" s="125"/>
      <c r="J349" s="125"/>
      <c r="L349" s="107"/>
      <c r="M349" s="108"/>
      <c r="N349" s="108"/>
    </row>
    <row r="350" spans="1:14" x14ac:dyDescent="0.3">
      <c r="A350" s="77"/>
      <c r="B350" s="106"/>
      <c r="F350" s="124"/>
      <c r="G350" s="125"/>
      <c r="J350" s="125"/>
      <c r="L350" s="107"/>
      <c r="M350" s="108"/>
      <c r="N350" s="108"/>
    </row>
    <row r="351" spans="1:14" x14ac:dyDescent="0.3">
      <c r="A351" s="77"/>
      <c r="B351" s="106"/>
      <c r="F351" s="124"/>
      <c r="G351" s="125"/>
      <c r="J351" s="125"/>
      <c r="L351" s="107"/>
      <c r="M351" s="108"/>
      <c r="N351" s="108"/>
    </row>
    <row r="352" spans="1:14" x14ac:dyDescent="0.3">
      <c r="A352" s="77"/>
      <c r="B352" s="106"/>
      <c r="F352" s="124"/>
      <c r="G352" s="125"/>
      <c r="J352" s="125"/>
      <c r="L352" s="107"/>
      <c r="M352" s="108"/>
      <c r="N352" s="108"/>
    </row>
    <row r="353" spans="1:14" x14ac:dyDescent="0.3">
      <c r="A353" s="77"/>
      <c r="B353" s="106"/>
      <c r="F353" s="124"/>
      <c r="G353" s="125"/>
      <c r="J353" s="125"/>
      <c r="L353" s="107"/>
      <c r="M353" s="108"/>
      <c r="N353" s="108"/>
    </row>
    <row r="354" spans="1:14" x14ac:dyDescent="0.3">
      <c r="A354" s="77"/>
      <c r="B354" s="106"/>
      <c r="F354" s="124"/>
      <c r="G354" s="125"/>
      <c r="J354" s="125"/>
      <c r="L354" s="107"/>
      <c r="M354" s="108"/>
      <c r="N354" s="108"/>
    </row>
    <row r="355" spans="1:14" x14ac:dyDescent="0.3">
      <c r="A355" s="77"/>
      <c r="B355" s="106"/>
      <c r="F355" s="124"/>
      <c r="G355" s="125"/>
      <c r="J355" s="125"/>
      <c r="L355" s="107"/>
      <c r="M355" s="108"/>
      <c r="N355" s="108"/>
    </row>
    <row r="356" spans="1:14" x14ac:dyDescent="0.3">
      <c r="A356" s="77"/>
      <c r="B356" s="106"/>
      <c r="F356" s="124"/>
      <c r="G356" s="125"/>
      <c r="J356" s="125"/>
      <c r="L356" s="107"/>
      <c r="M356" s="108"/>
      <c r="N356" s="108"/>
    </row>
    <row r="357" spans="1:14" x14ac:dyDescent="0.3">
      <c r="A357" s="77"/>
      <c r="B357" s="106"/>
      <c r="F357" s="124"/>
      <c r="G357" s="125"/>
      <c r="J357" s="125"/>
      <c r="L357" s="107"/>
      <c r="M357" s="108"/>
      <c r="N357" s="108"/>
    </row>
    <row r="358" spans="1:14" x14ac:dyDescent="0.3">
      <c r="A358" s="77"/>
      <c r="B358" s="106"/>
      <c r="F358" s="124"/>
      <c r="G358" s="125"/>
      <c r="J358" s="125"/>
      <c r="L358" s="107"/>
      <c r="M358" s="108"/>
      <c r="N358" s="108"/>
    </row>
    <row r="359" spans="1:14" x14ac:dyDescent="0.3">
      <c r="A359" s="77"/>
      <c r="B359" s="106"/>
      <c r="F359" s="124"/>
      <c r="G359" s="125"/>
      <c r="J359" s="125"/>
      <c r="L359" s="107"/>
      <c r="M359" s="108"/>
      <c r="N359" s="108"/>
    </row>
    <row r="360" spans="1:14" x14ac:dyDescent="0.3">
      <c r="A360" s="77"/>
      <c r="B360" s="106"/>
      <c r="F360" s="124"/>
      <c r="G360" s="125"/>
      <c r="J360" s="125"/>
      <c r="L360" s="107"/>
      <c r="M360" s="108"/>
      <c r="N360" s="108"/>
    </row>
    <row r="361" spans="1:14" x14ac:dyDescent="0.3">
      <c r="A361" s="77"/>
      <c r="B361" s="106"/>
      <c r="F361" s="124"/>
      <c r="G361" s="125"/>
      <c r="J361" s="125"/>
      <c r="L361" s="107"/>
      <c r="M361" s="108"/>
      <c r="N361" s="108"/>
    </row>
    <row r="362" spans="1:14" x14ac:dyDescent="0.3">
      <c r="A362" s="77"/>
      <c r="B362" s="106"/>
      <c r="F362" s="124"/>
      <c r="G362" s="125"/>
      <c r="J362" s="125"/>
      <c r="L362" s="107"/>
      <c r="M362" s="108"/>
      <c r="N362" s="108"/>
    </row>
    <row r="363" spans="1:14" x14ac:dyDescent="0.3">
      <c r="A363" s="77"/>
      <c r="B363" s="106"/>
      <c r="F363" s="124"/>
      <c r="G363" s="125"/>
      <c r="J363" s="125"/>
      <c r="L363" s="107"/>
      <c r="M363" s="108"/>
      <c r="N363" s="108"/>
    </row>
    <row r="364" spans="1:14" x14ac:dyDescent="0.3">
      <c r="A364" s="77"/>
      <c r="B364" s="106"/>
      <c r="F364" s="124"/>
      <c r="G364" s="125"/>
      <c r="J364" s="125"/>
      <c r="L364" s="107"/>
      <c r="M364" s="108"/>
      <c r="N364" s="108"/>
    </row>
    <row r="365" spans="1:14" x14ac:dyDescent="0.3">
      <c r="A365" s="77"/>
      <c r="B365" s="106"/>
      <c r="F365" s="124"/>
      <c r="G365" s="125"/>
      <c r="J365" s="125"/>
      <c r="L365" s="107"/>
      <c r="M365" s="108"/>
      <c r="N365" s="108"/>
    </row>
    <row r="366" spans="1:14" x14ac:dyDescent="0.3">
      <c r="A366" s="77"/>
      <c r="B366" s="106"/>
      <c r="F366" s="124"/>
      <c r="G366" s="125"/>
      <c r="J366" s="125"/>
      <c r="L366" s="107"/>
      <c r="M366" s="108"/>
      <c r="N366" s="108"/>
    </row>
    <row r="367" spans="1:14" x14ac:dyDescent="0.3">
      <c r="A367" s="77"/>
      <c r="B367" s="106"/>
      <c r="F367" s="124"/>
      <c r="G367" s="125"/>
      <c r="J367" s="125"/>
      <c r="L367" s="107"/>
      <c r="M367" s="108"/>
      <c r="N367" s="108"/>
    </row>
    <row r="368" spans="1:14" x14ac:dyDescent="0.3">
      <c r="A368" s="77"/>
      <c r="B368" s="106"/>
      <c r="F368" s="124"/>
      <c r="G368" s="125"/>
      <c r="J368" s="125"/>
      <c r="L368" s="107"/>
      <c r="M368" s="108"/>
      <c r="N368" s="108"/>
    </row>
    <row r="369" spans="1:14" x14ac:dyDescent="0.3">
      <c r="A369" s="77"/>
      <c r="B369" s="106"/>
      <c r="F369" s="124"/>
      <c r="G369" s="125"/>
      <c r="J369" s="125"/>
      <c r="L369" s="107"/>
      <c r="M369" s="108"/>
      <c r="N369" s="108"/>
    </row>
    <row r="370" spans="1:14" x14ac:dyDescent="0.3">
      <c r="A370" s="77"/>
      <c r="B370" s="106"/>
      <c r="F370" s="124"/>
      <c r="G370" s="125"/>
      <c r="J370" s="125"/>
      <c r="L370" s="107"/>
      <c r="M370" s="108"/>
      <c r="N370" s="108"/>
    </row>
    <row r="371" spans="1:14" x14ac:dyDescent="0.3">
      <c r="A371" s="77"/>
      <c r="B371" s="106"/>
      <c r="F371" s="124"/>
      <c r="G371" s="125"/>
      <c r="J371" s="125"/>
      <c r="L371" s="107"/>
      <c r="M371" s="108"/>
      <c r="N371" s="108"/>
    </row>
    <row r="372" spans="1:14" x14ac:dyDescent="0.3">
      <c r="A372" s="77"/>
      <c r="B372" s="106"/>
      <c r="F372" s="124"/>
      <c r="G372" s="125"/>
      <c r="J372" s="125"/>
      <c r="L372" s="107"/>
      <c r="M372" s="108"/>
      <c r="N372" s="108"/>
    </row>
    <row r="373" spans="1:14" x14ac:dyDescent="0.3">
      <c r="A373" s="77"/>
      <c r="B373" s="106"/>
      <c r="F373" s="124"/>
      <c r="G373" s="125"/>
      <c r="J373" s="125"/>
      <c r="L373" s="107"/>
      <c r="M373" s="108"/>
      <c r="N373" s="108"/>
    </row>
    <row r="374" spans="1:14" x14ac:dyDescent="0.3">
      <c r="A374" s="77"/>
      <c r="B374" s="106"/>
      <c r="F374" s="124"/>
      <c r="G374" s="125"/>
      <c r="J374" s="125"/>
      <c r="L374" s="107"/>
      <c r="M374" s="108"/>
      <c r="N374" s="108"/>
    </row>
    <row r="375" spans="1:14" x14ac:dyDescent="0.3">
      <c r="A375" s="77"/>
      <c r="B375" s="106"/>
      <c r="F375" s="124"/>
      <c r="G375" s="125"/>
      <c r="J375" s="125"/>
      <c r="L375" s="107"/>
      <c r="M375" s="108"/>
      <c r="N375" s="108"/>
    </row>
    <row r="376" spans="1:14" x14ac:dyDescent="0.3">
      <c r="A376" s="77"/>
      <c r="B376" s="106"/>
      <c r="F376" s="124"/>
      <c r="G376" s="125"/>
      <c r="J376" s="125"/>
      <c r="L376" s="107"/>
      <c r="M376" s="108"/>
      <c r="N376" s="108"/>
    </row>
    <row r="377" spans="1:14" x14ac:dyDescent="0.3">
      <c r="A377" s="77"/>
      <c r="B377" s="106"/>
      <c r="F377" s="124"/>
      <c r="G377" s="125"/>
      <c r="J377" s="125"/>
      <c r="L377" s="107"/>
      <c r="M377" s="108"/>
      <c r="N377" s="108"/>
    </row>
    <row r="378" spans="1:14" x14ac:dyDescent="0.3">
      <c r="A378" s="77"/>
      <c r="B378" s="106"/>
      <c r="F378" s="124"/>
      <c r="G378" s="125"/>
      <c r="J378" s="125"/>
      <c r="L378" s="107"/>
      <c r="M378" s="108"/>
      <c r="N378" s="108"/>
    </row>
    <row r="379" spans="1:14" x14ac:dyDescent="0.3">
      <c r="A379" s="77"/>
      <c r="B379" s="106"/>
      <c r="F379" s="124"/>
      <c r="G379" s="125"/>
      <c r="J379" s="125"/>
      <c r="L379" s="107"/>
      <c r="M379" s="108"/>
      <c r="N379" s="108"/>
    </row>
    <row r="380" spans="1:14" x14ac:dyDescent="0.3">
      <c r="A380" s="77"/>
      <c r="B380" s="106"/>
      <c r="F380" s="124"/>
      <c r="G380" s="125"/>
      <c r="J380" s="125"/>
      <c r="L380" s="107"/>
      <c r="M380" s="108"/>
      <c r="N380" s="108"/>
    </row>
    <row r="381" spans="1:14" x14ac:dyDescent="0.3">
      <c r="A381" s="77"/>
      <c r="B381" s="106"/>
      <c r="F381" s="124"/>
      <c r="G381" s="125"/>
      <c r="J381" s="125"/>
      <c r="L381" s="107"/>
      <c r="M381" s="108"/>
      <c r="N381" s="108"/>
    </row>
    <row r="382" spans="1:14" x14ac:dyDescent="0.3">
      <c r="A382" s="77"/>
      <c r="B382" s="106"/>
      <c r="F382" s="124"/>
      <c r="G382" s="125"/>
      <c r="J382" s="125"/>
      <c r="L382" s="107"/>
      <c r="M382" s="108"/>
      <c r="N382" s="108"/>
    </row>
    <row r="383" spans="1:14" x14ac:dyDescent="0.3">
      <c r="A383" s="77"/>
      <c r="B383" s="106"/>
      <c r="F383" s="124"/>
      <c r="G383" s="125"/>
      <c r="J383" s="125"/>
      <c r="L383" s="107"/>
      <c r="M383" s="108"/>
      <c r="N383" s="108"/>
    </row>
    <row r="384" spans="1:14" x14ac:dyDescent="0.3">
      <c r="A384" s="77"/>
      <c r="B384" s="106"/>
      <c r="F384" s="124"/>
      <c r="G384" s="125"/>
      <c r="J384" s="125"/>
      <c r="L384" s="107"/>
      <c r="M384" s="108"/>
      <c r="N384" s="108"/>
    </row>
    <row r="385" spans="1:14" x14ac:dyDescent="0.3">
      <c r="A385" s="77"/>
      <c r="B385" s="106"/>
      <c r="F385" s="124"/>
      <c r="G385" s="125"/>
      <c r="J385" s="125"/>
      <c r="L385" s="107"/>
      <c r="M385" s="108"/>
      <c r="N385" s="108"/>
    </row>
    <row r="386" spans="1:14" x14ac:dyDescent="0.3">
      <c r="A386" s="77"/>
      <c r="B386" s="106"/>
      <c r="F386" s="124"/>
      <c r="G386" s="125"/>
      <c r="J386" s="125"/>
      <c r="L386" s="107"/>
      <c r="M386" s="108"/>
      <c r="N386" s="108"/>
    </row>
    <row r="387" spans="1:14" x14ac:dyDescent="0.3">
      <c r="A387" s="77"/>
      <c r="B387" s="106"/>
      <c r="F387" s="124"/>
      <c r="G387" s="125"/>
      <c r="J387" s="125"/>
      <c r="L387" s="107"/>
      <c r="M387" s="108"/>
      <c r="N387" s="108"/>
    </row>
    <row r="388" spans="1:14" x14ac:dyDescent="0.3">
      <c r="A388" s="77"/>
      <c r="B388" s="106"/>
      <c r="F388" s="124"/>
      <c r="G388" s="125"/>
      <c r="J388" s="125"/>
      <c r="L388" s="107"/>
      <c r="M388" s="108"/>
      <c r="N388" s="108"/>
    </row>
    <row r="389" spans="1:14" x14ac:dyDescent="0.3">
      <c r="A389" s="77"/>
      <c r="B389" s="106"/>
      <c r="F389" s="124"/>
      <c r="G389" s="125"/>
      <c r="J389" s="125"/>
      <c r="L389" s="107"/>
      <c r="M389" s="108"/>
      <c r="N389" s="108"/>
    </row>
    <row r="390" spans="1:14" x14ac:dyDescent="0.3">
      <c r="A390" s="77"/>
      <c r="B390" s="106"/>
      <c r="F390" s="124"/>
      <c r="G390" s="125"/>
      <c r="J390" s="125"/>
      <c r="L390" s="107"/>
      <c r="M390" s="108"/>
      <c r="N390" s="108"/>
    </row>
    <row r="391" spans="1:14" x14ac:dyDescent="0.3">
      <c r="A391" s="77"/>
      <c r="B391" s="106"/>
      <c r="F391" s="124"/>
      <c r="G391" s="125"/>
      <c r="J391" s="125"/>
      <c r="L391" s="107"/>
      <c r="M391" s="108"/>
      <c r="N391" s="108"/>
    </row>
    <row r="392" spans="1:14" x14ac:dyDescent="0.3">
      <c r="A392" s="77"/>
      <c r="B392" s="106"/>
      <c r="F392" s="124"/>
      <c r="G392" s="125"/>
      <c r="J392" s="125"/>
      <c r="L392" s="107"/>
      <c r="M392" s="108"/>
      <c r="N392" s="108"/>
    </row>
    <row r="393" spans="1:14" x14ac:dyDescent="0.3">
      <c r="A393" s="77"/>
      <c r="B393" s="106"/>
      <c r="F393" s="124"/>
      <c r="G393" s="125"/>
      <c r="J393" s="125"/>
      <c r="L393" s="107"/>
      <c r="M393" s="108"/>
      <c r="N393" s="108"/>
    </row>
    <row r="394" spans="1:14" x14ac:dyDescent="0.3">
      <c r="A394" s="77"/>
      <c r="B394" s="106"/>
      <c r="F394" s="124"/>
      <c r="G394" s="125"/>
      <c r="J394" s="125"/>
      <c r="L394" s="107"/>
      <c r="M394" s="108"/>
      <c r="N394" s="108"/>
    </row>
    <row r="395" spans="1:14" x14ac:dyDescent="0.3">
      <c r="A395" s="77"/>
      <c r="B395" s="106"/>
      <c r="F395" s="124"/>
      <c r="G395" s="125"/>
      <c r="J395" s="125"/>
      <c r="L395" s="107"/>
      <c r="M395" s="108"/>
      <c r="N395" s="108"/>
    </row>
    <row r="396" spans="1:14" x14ac:dyDescent="0.3">
      <c r="A396" s="77"/>
      <c r="B396" s="106"/>
      <c r="F396" s="124"/>
      <c r="G396" s="125"/>
      <c r="J396" s="125"/>
      <c r="L396" s="107"/>
      <c r="M396" s="108"/>
      <c r="N396" s="108"/>
    </row>
    <row r="397" spans="1:14" x14ac:dyDescent="0.3">
      <c r="A397" s="77"/>
      <c r="B397" s="106"/>
      <c r="F397" s="124"/>
      <c r="G397" s="125"/>
      <c r="J397" s="125"/>
      <c r="L397" s="107"/>
      <c r="M397" s="108"/>
      <c r="N397" s="108"/>
    </row>
    <row r="398" spans="1:14" x14ac:dyDescent="0.3">
      <c r="A398" s="77"/>
      <c r="B398" s="106"/>
      <c r="F398" s="124"/>
      <c r="G398" s="125"/>
      <c r="J398" s="125"/>
      <c r="L398" s="107"/>
      <c r="M398" s="108"/>
      <c r="N398" s="108"/>
    </row>
    <row r="399" spans="1:14" x14ac:dyDescent="0.3">
      <c r="A399" s="77"/>
      <c r="B399" s="106"/>
      <c r="F399" s="124"/>
      <c r="G399" s="125"/>
      <c r="J399" s="125"/>
      <c r="L399" s="107"/>
      <c r="M399" s="108"/>
      <c r="N399" s="108"/>
    </row>
    <row r="400" spans="1:14" x14ac:dyDescent="0.3">
      <c r="A400" s="77"/>
      <c r="B400" s="106"/>
      <c r="F400" s="124"/>
      <c r="G400" s="125"/>
      <c r="J400" s="125"/>
      <c r="L400" s="107"/>
      <c r="M400" s="108"/>
      <c r="N400" s="108"/>
    </row>
    <row r="401" spans="1:14" x14ac:dyDescent="0.3">
      <c r="A401" s="77"/>
      <c r="B401" s="106"/>
      <c r="F401" s="124"/>
      <c r="G401" s="125"/>
      <c r="J401" s="125"/>
      <c r="L401" s="107"/>
      <c r="M401" s="108"/>
      <c r="N401" s="108"/>
    </row>
    <row r="402" spans="1:14" x14ac:dyDescent="0.3">
      <c r="A402" s="77"/>
      <c r="B402" s="106"/>
      <c r="F402" s="124"/>
      <c r="G402" s="125"/>
      <c r="J402" s="125"/>
      <c r="L402" s="107"/>
      <c r="M402" s="108"/>
      <c r="N402" s="108"/>
    </row>
    <row r="403" spans="1:14" x14ac:dyDescent="0.3">
      <c r="A403" s="77"/>
      <c r="B403" s="106"/>
      <c r="F403" s="124"/>
      <c r="G403" s="125"/>
      <c r="J403" s="125"/>
      <c r="L403" s="107"/>
      <c r="M403" s="108"/>
      <c r="N403" s="108"/>
    </row>
    <row r="404" spans="1:14" x14ac:dyDescent="0.3">
      <c r="A404" s="77"/>
      <c r="B404" s="106"/>
      <c r="F404" s="124"/>
      <c r="G404" s="125"/>
      <c r="J404" s="125"/>
      <c r="L404" s="107"/>
      <c r="M404" s="108"/>
      <c r="N404" s="108"/>
    </row>
    <row r="405" spans="1:14" x14ac:dyDescent="0.3">
      <c r="A405" s="77"/>
      <c r="B405" s="106"/>
      <c r="F405" s="124"/>
      <c r="G405" s="125"/>
      <c r="J405" s="125"/>
      <c r="L405" s="107"/>
      <c r="M405" s="108"/>
      <c r="N405" s="108"/>
    </row>
    <row r="406" spans="1:14" x14ac:dyDescent="0.3">
      <c r="A406" s="77"/>
      <c r="B406" s="106"/>
      <c r="F406" s="124"/>
      <c r="G406" s="125"/>
      <c r="J406" s="125"/>
      <c r="L406" s="107"/>
      <c r="M406" s="108"/>
      <c r="N406" s="108"/>
    </row>
    <row r="407" spans="1:14" x14ac:dyDescent="0.3">
      <c r="A407" s="77"/>
      <c r="B407" s="106"/>
      <c r="F407" s="124"/>
      <c r="G407" s="125"/>
      <c r="J407" s="125"/>
      <c r="L407" s="107"/>
      <c r="M407" s="108"/>
      <c r="N407" s="108"/>
    </row>
    <row r="408" spans="1:14" x14ac:dyDescent="0.3">
      <c r="A408" s="77"/>
      <c r="B408" s="106"/>
      <c r="F408" s="124"/>
      <c r="G408" s="125"/>
      <c r="J408" s="125"/>
      <c r="L408" s="107"/>
      <c r="M408" s="108"/>
      <c r="N408" s="108"/>
    </row>
    <row r="409" spans="1:14" x14ac:dyDescent="0.3">
      <c r="A409" s="77"/>
      <c r="B409" s="106"/>
      <c r="F409" s="124"/>
      <c r="G409" s="125"/>
      <c r="J409" s="125"/>
      <c r="L409" s="107"/>
      <c r="M409" s="108"/>
      <c r="N409" s="108"/>
    </row>
    <row r="410" spans="1:14" x14ac:dyDescent="0.3">
      <c r="A410" s="77"/>
      <c r="B410" s="106"/>
      <c r="F410" s="124"/>
      <c r="G410" s="125"/>
      <c r="J410" s="125"/>
      <c r="L410" s="107"/>
      <c r="M410" s="108"/>
      <c r="N410" s="108"/>
    </row>
    <row r="411" spans="1:14" x14ac:dyDescent="0.3">
      <c r="A411" s="77"/>
      <c r="B411" s="106"/>
      <c r="F411" s="124"/>
      <c r="G411" s="125"/>
      <c r="J411" s="125"/>
      <c r="L411" s="107"/>
      <c r="M411" s="108"/>
      <c r="N411" s="108"/>
    </row>
    <row r="412" spans="1:14" x14ac:dyDescent="0.3">
      <c r="A412" s="77"/>
      <c r="B412" s="106"/>
      <c r="F412" s="124"/>
      <c r="G412" s="125"/>
      <c r="J412" s="125"/>
      <c r="L412" s="107"/>
      <c r="M412" s="108"/>
      <c r="N412" s="108"/>
    </row>
    <row r="413" spans="1:14" x14ac:dyDescent="0.3">
      <c r="A413" s="77"/>
      <c r="B413" s="106"/>
      <c r="F413" s="124"/>
      <c r="G413" s="125"/>
      <c r="J413" s="125"/>
      <c r="L413" s="107"/>
      <c r="M413" s="108"/>
      <c r="N413" s="108"/>
    </row>
    <row r="414" spans="1:14" x14ac:dyDescent="0.3">
      <c r="A414" s="77"/>
      <c r="B414" s="106"/>
      <c r="F414" s="124"/>
      <c r="G414" s="125"/>
      <c r="J414" s="125"/>
      <c r="L414" s="107"/>
      <c r="M414" s="108"/>
      <c r="N414" s="108"/>
    </row>
    <row r="415" spans="1:14" x14ac:dyDescent="0.3">
      <c r="A415" s="77"/>
      <c r="B415" s="106"/>
      <c r="F415" s="124"/>
      <c r="G415" s="125"/>
      <c r="J415" s="125"/>
      <c r="L415" s="107"/>
      <c r="M415" s="108"/>
      <c r="N415" s="108"/>
    </row>
    <row r="416" spans="1:14" x14ac:dyDescent="0.3">
      <c r="A416" s="77"/>
      <c r="B416" s="106"/>
      <c r="F416" s="124"/>
      <c r="G416" s="125"/>
      <c r="J416" s="125"/>
      <c r="L416" s="107"/>
      <c r="M416" s="108"/>
      <c r="N416" s="108"/>
    </row>
    <row r="417" spans="1:14" x14ac:dyDescent="0.3">
      <c r="A417" s="77"/>
      <c r="B417" s="106"/>
      <c r="F417" s="124"/>
      <c r="G417" s="125"/>
      <c r="J417" s="125"/>
      <c r="L417" s="107"/>
      <c r="M417" s="108"/>
      <c r="N417" s="108"/>
    </row>
    <row r="418" spans="1:14" x14ac:dyDescent="0.3">
      <c r="A418" s="77"/>
      <c r="B418" s="106"/>
      <c r="F418" s="124"/>
      <c r="G418" s="125"/>
      <c r="J418" s="125"/>
      <c r="L418" s="107"/>
      <c r="M418" s="108"/>
      <c r="N418" s="108"/>
    </row>
    <row r="419" spans="1:14" x14ac:dyDescent="0.3">
      <c r="A419" s="77"/>
      <c r="B419" s="106"/>
      <c r="F419" s="124"/>
      <c r="G419" s="125"/>
      <c r="J419" s="125"/>
      <c r="L419" s="107"/>
      <c r="M419" s="108"/>
      <c r="N419" s="108"/>
    </row>
    <row r="420" spans="1:14" x14ac:dyDescent="0.3">
      <c r="A420" s="77"/>
      <c r="B420" s="106"/>
      <c r="F420" s="124"/>
      <c r="G420" s="125"/>
      <c r="J420" s="125"/>
      <c r="L420" s="107"/>
      <c r="M420" s="108"/>
      <c r="N420" s="108"/>
    </row>
    <row r="421" spans="1:14" x14ac:dyDescent="0.3">
      <c r="A421" s="77"/>
      <c r="B421" s="106"/>
      <c r="F421" s="124"/>
      <c r="G421" s="125"/>
      <c r="J421" s="125"/>
      <c r="L421" s="107"/>
      <c r="M421" s="108"/>
      <c r="N421" s="108"/>
    </row>
    <row r="422" spans="1:14" x14ac:dyDescent="0.3">
      <c r="A422" s="77"/>
      <c r="B422" s="106"/>
      <c r="F422" s="124"/>
      <c r="G422" s="125"/>
      <c r="J422" s="125"/>
      <c r="L422" s="107"/>
      <c r="M422" s="108"/>
      <c r="N422" s="108"/>
    </row>
    <row r="423" spans="1:14" x14ac:dyDescent="0.3">
      <c r="A423" s="77"/>
      <c r="B423" s="106"/>
      <c r="F423" s="124"/>
      <c r="G423" s="125"/>
      <c r="J423" s="125"/>
      <c r="L423" s="107"/>
      <c r="M423" s="108"/>
      <c r="N423" s="108"/>
    </row>
    <row r="424" spans="1:14" x14ac:dyDescent="0.3">
      <c r="A424" s="77"/>
      <c r="B424" s="106"/>
      <c r="F424" s="124"/>
      <c r="G424" s="125"/>
      <c r="J424" s="125"/>
      <c r="L424" s="107"/>
      <c r="M424" s="108"/>
      <c r="N424" s="108"/>
    </row>
    <row r="425" spans="1:14" x14ac:dyDescent="0.3">
      <c r="A425" s="77"/>
      <c r="B425" s="106"/>
      <c r="F425" s="124"/>
      <c r="G425" s="125"/>
      <c r="J425" s="125"/>
      <c r="L425" s="107"/>
      <c r="M425" s="108"/>
      <c r="N425" s="108"/>
    </row>
    <row r="426" spans="1:14" x14ac:dyDescent="0.3">
      <c r="A426" s="77"/>
      <c r="B426" s="106"/>
      <c r="F426" s="124"/>
      <c r="G426" s="125"/>
      <c r="J426" s="125"/>
      <c r="L426" s="107"/>
      <c r="M426" s="108"/>
      <c r="N426" s="108"/>
    </row>
    <row r="427" spans="1:14" x14ac:dyDescent="0.3">
      <c r="A427" s="77"/>
      <c r="B427" s="106"/>
      <c r="F427" s="124"/>
      <c r="G427" s="125"/>
      <c r="J427" s="125"/>
      <c r="L427" s="107"/>
      <c r="M427" s="108"/>
      <c r="N427" s="108"/>
    </row>
    <row r="428" spans="1:14" x14ac:dyDescent="0.3">
      <c r="A428" s="77"/>
      <c r="B428" s="106"/>
      <c r="F428" s="124"/>
      <c r="G428" s="125"/>
      <c r="J428" s="125"/>
      <c r="L428" s="107"/>
      <c r="M428" s="108"/>
      <c r="N428" s="108"/>
    </row>
    <row r="429" spans="1:14" x14ac:dyDescent="0.3">
      <c r="A429" s="77"/>
      <c r="B429" s="106"/>
      <c r="F429" s="124"/>
      <c r="G429" s="125"/>
      <c r="J429" s="125"/>
      <c r="L429" s="107"/>
      <c r="M429" s="108"/>
      <c r="N429" s="108"/>
    </row>
    <row r="430" spans="1:14" x14ac:dyDescent="0.3">
      <c r="A430" s="77"/>
      <c r="B430" s="106"/>
      <c r="F430" s="124"/>
      <c r="G430" s="125"/>
      <c r="J430" s="125"/>
      <c r="L430" s="107"/>
      <c r="M430" s="108"/>
      <c r="N430" s="108"/>
    </row>
    <row r="431" spans="1:14" x14ac:dyDescent="0.3">
      <c r="A431" s="77"/>
      <c r="B431" s="106"/>
      <c r="F431" s="124"/>
      <c r="G431" s="125"/>
      <c r="J431" s="125"/>
      <c r="L431" s="107"/>
      <c r="M431" s="108"/>
      <c r="N431" s="108"/>
    </row>
    <row r="432" spans="1:14" x14ac:dyDescent="0.3">
      <c r="A432" s="77"/>
      <c r="B432" s="106"/>
      <c r="F432" s="124"/>
      <c r="G432" s="125"/>
      <c r="J432" s="125"/>
      <c r="L432" s="107"/>
      <c r="M432" s="108"/>
      <c r="N432" s="108"/>
    </row>
    <row r="433" spans="1:14" x14ac:dyDescent="0.3">
      <c r="A433" s="77"/>
      <c r="B433" s="106"/>
      <c r="F433" s="124"/>
      <c r="G433" s="125"/>
      <c r="J433" s="125"/>
      <c r="L433" s="107"/>
      <c r="M433" s="108"/>
      <c r="N433" s="108"/>
    </row>
    <row r="434" spans="1:14" x14ac:dyDescent="0.3">
      <c r="A434" s="77"/>
      <c r="B434" s="106"/>
      <c r="F434" s="124"/>
      <c r="G434" s="125"/>
      <c r="J434" s="125"/>
      <c r="L434" s="107"/>
      <c r="M434" s="108"/>
      <c r="N434" s="108"/>
    </row>
    <row r="435" spans="1:14" x14ac:dyDescent="0.3">
      <c r="A435" s="77"/>
      <c r="B435" s="106"/>
      <c r="F435" s="124"/>
      <c r="G435" s="125"/>
      <c r="J435" s="125"/>
      <c r="L435" s="107"/>
      <c r="M435" s="108"/>
      <c r="N435" s="108"/>
    </row>
    <row r="436" spans="1:14" x14ac:dyDescent="0.3">
      <c r="A436" s="77"/>
      <c r="B436" s="106"/>
      <c r="F436" s="124"/>
      <c r="G436" s="125"/>
      <c r="J436" s="125"/>
      <c r="L436" s="107"/>
      <c r="M436" s="108"/>
      <c r="N436" s="108"/>
    </row>
    <row r="437" spans="1:14" x14ac:dyDescent="0.3">
      <c r="A437" s="77"/>
      <c r="B437" s="106"/>
      <c r="F437" s="124"/>
      <c r="G437" s="125"/>
      <c r="J437" s="125"/>
      <c r="L437" s="107"/>
      <c r="M437" s="108"/>
      <c r="N437" s="108"/>
    </row>
    <row r="438" spans="1:14" x14ac:dyDescent="0.3">
      <c r="A438" s="77"/>
      <c r="B438" s="106"/>
      <c r="F438" s="124"/>
      <c r="G438" s="125"/>
      <c r="J438" s="125"/>
      <c r="L438" s="107"/>
      <c r="M438" s="108"/>
      <c r="N438" s="108"/>
    </row>
    <row r="439" spans="1:14" x14ac:dyDescent="0.3">
      <c r="A439" s="77"/>
      <c r="B439" s="106"/>
      <c r="F439" s="124"/>
      <c r="G439" s="125"/>
      <c r="J439" s="125"/>
      <c r="L439" s="107"/>
      <c r="M439" s="108"/>
      <c r="N439" s="108"/>
    </row>
    <row r="440" spans="1:14" x14ac:dyDescent="0.3">
      <c r="A440" s="77"/>
      <c r="B440" s="106"/>
      <c r="F440" s="124"/>
      <c r="G440" s="125"/>
      <c r="J440" s="125"/>
      <c r="L440" s="107"/>
      <c r="M440" s="108"/>
      <c r="N440" s="108"/>
    </row>
    <row r="441" spans="1:14" x14ac:dyDescent="0.3">
      <c r="A441" s="77"/>
      <c r="B441" s="106"/>
      <c r="F441" s="124"/>
      <c r="G441" s="125"/>
      <c r="J441" s="125"/>
      <c r="L441" s="107"/>
      <c r="M441" s="108"/>
      <c r="N441" s="108"/>
    </row>
    <row r="442" spans="1:14" x14ac:dyDescent="0.3">
      <c r="A442" s="77"/>
      <c r="B442" s="106"/>
      <c r="F442" s="124"/>
      <c r="G442" s="125"/>
      <c r="J442" s="125"/>
      <c r="L442" s="107"/>
      <c r="M442" s="108"/>
      <c r="N442" s="108"/>
    </row>
    <row r="443" spans="1:14" x14ac:dyDescent="0.3">
      <c r="A443" s="77"/>
      <c r="B443" s="106"/>
      <c r="F443" s="124"/>
      <c r="G443" s="125"/>
      <c r="J443" s="125"/>
      <c r="L443" s="107"/>
      <c r="M443" s="108"/>
      <c r="N443" s="108"/>
    </row>
    <row r="444" spans="1:14" x14ac:dyDescent="0.3">
      <c r="A444" s="77"/>
      <c r="B444" s="106"/>
      <c r="F444" s="124"/>
      <c r="G444" s="125"/>
      <c r="J444" s="125"/>
      <c r="L444" s="107"/>
      <c r="M444" s="108"/>
      <c r="N444" s="108"/>
    </row>
    <row r="445" spans="1:14" x14ac:dyDescent="0.3">
      <c r="A445" s="77"/>
      <c r="B445" s="106"/>
      <c r="F445" s="124"/>
      <c r="G445" s="125"/>
      <c r="J445" s="125"/>
      <c r="L445" s="107"/>
      <c r="M445" s="108"/>
      <c r="N445" s="108"/>
    </row>
    <row r="446" spans="1:14" x14ac:dyDescent="0.3">
      <c r="A446" s="77"/>
      <c r="B446" s="106"/>
      <c r="F446" s="124"/>
      <c r="G446" s="125"/>
      <c r="J446" s="125"/>
      <c r="L446" s="107"/>
      <c r="M446" s="108"/>
      <c r="N446" s="108"/>
    </row>
    <row r="447" spans="1:14" x14ac:dyDescent="0.3">
      <c r="A447" s="77"/>
      <c r="B447" s="106"/>
      <c r="F447" s="124"/>
      <c r="G447" s="125"/>
      <c r="J447" s="125"/>
      <c r="L447" s="107"/>
      <c r="M447" s="108"/>
      <c r="N447" s="108"/>
    </row>
    <row r="448" spans="1:14" x14ac:dyDescent="0.3">
      <c r="A448" s="77"/>
      <c r="B448" s="106"/>
      <c r="F448" s="124"/>
      <c r="G448" s="125"/>
      <c r="J448" s="125"/>
      <c r="L448" s="107"/>
      <c r="M448" s="108"/>
      <c r="N448" s="108"/>
    </row>
    <row r="449" spans="1:14" x14ac:dyDescent="0.3">
      <c r="A449" s="77"/>
      <c r="B449" s="106"/>
      <c r="F449" s="124"/>
      <c r="G449" s="125"/>
      <c r="J449" s="125"/>
      <c r="L449" s="107"/>
      <c r="M449" s="108"/>
      <c r="N449" s="108"/>
    </row>
    <row r="450" spans="1:14" x14ac:dyDescent="0.3">
      <c r="A450" s="77"/>
      <c r="B450" s="106"/>
      <c r="F450" s="124"/>
      <c r="G450" s="125"/>
      <c r="J450" s="125"/>
      <c r="L450" s="107"/>
      <c r="M450" s="108"/>
      <c r="N450" s="108"/>
    </row>
    <row r="451" spans="1:14" x14ac:dyDescent="0.3">
      <c r="A451" s="77"/>
      <c r="B451" s="106"/>
      <c r="F451" s="124"/>
      <c r="G451" s="125"/>
      <c r="J451" s="125"/>
      <c r="L451" s="107"/>
      <c r="M451" s="108"/>
      <c r="N451" s="108"/>
    </row>
    <row r="452" spans="1:14" x14ac:dyDescent="0.3">
      <c r="A452" s="77"/>
      <c r="B452" s="106"/>
      <c r="F452" s="124"/>
      <c r="G452" s="125"/>
      <c r="J452" s="125"/>
      <c r="L452" s="107"/>
      <c r="M452" s="108"/>
      <c r="N452" s="108"/>
    </row>
    <row r="453" spans="1:14" x14ac:dyDescent="0.3">
      <c r="A453" s="77"/>
      <c r="B453" s="106"/>
      <c r="F453" s="124"/>
      <c r="G453" s="125"/>
      <c r="J453" s="125"/>
      <c r="L453" s="107"/>
      <c r="M453" s="108"/>
      <c r="N453" s="108"/>
    </row>
    <row r="454" spans="1:14" x14ac:dyDescent="0.3">
      <c r="A454" s="77"/>
      <c r="B454" s="106"/>
      <c r="F454" s="124"/>
      <c r="G454" s="125"/>
      <c r="J454" s="125"/>
      <c r="L454" s="107"/>
      <c r="M454" s="108"/>
      <c r="N454" s="108"/>
    </row>
    <row r="455" spans="1:14" x14ac:dyDescent="0.3">
      <c r="A455" s="77"/>
      <c r="B455" s="106"/>
      <c r="F455" s="124"/>
      <c r="G455" s="125"/>
      <c r="J455" s="125"/>
      <c r="L455" s="107"/>
      <c r="M455" s="108"/>
      <c r="N455" s="108"/>
    </row>
    <row r="456" spans="1:14" x14ac:dyDescent="0.3">
      <c r="A456" s="77"/>
      <c r="B456" s="106"/>
      <c r="F456" s="124"/>
      <c r="G456" s="125"/>
      <c r="J456" s="125"/>
      <c r="L456" s="107"/>
      <c r="M456" s="108"/>
      <c r="N456" s="108"/>
    </row>
    <row r="457" spans="1:14" x14ac:dyDescent="0.3">
      <c r="A457" s="77"/>
      <c r="B457" s="106"/>
      <c r="F457" s="124"/>
      <c r="G457" s="125"/>
      <c r="J457" s="125"/>
      <c r="L457" s="107"/>
      <c r="M457" s="108"/>
      <c r="N457" s="108"/>
    </row>
    <row r="458" spans="1:14" x14ac:dyDescent="0.3">
      <c r="A458" s="77"/>
      <c r="B458" s="106"/>
      <c r="F458" s="124"/>
      <c r="G458" s="125"/>
      <c r="J458" s="125"/>
      <c r="L458" s="107"/>
      <c r="M458" s="108"/>
      <c r="N458" s="108"/>
    </row>
    <row r="459" spans="1:14" x14ac:dyDescent="0.3">
      <c r="A459" s="77"/>
      <c r="B459" s="106"/>
      <c r="F459" s="124"/>
      <c r="G459" s="125"/>
      <c r="J459" s="125"/>
      <c r="L459" s="107"/>
      <c r="M459" s="108"/>
      <c r="N459" s="108"/>
    </row>
    <row r="460" spans="1:14" x14ac:dyDescent="0.3">
      <c r="A460" s="77"/>
      <c r="B460" s="106"/>
      <c r="F460" s="124"/>
      <c r="G460" s="125"/>
      <c r="J460" s="125"/>
      <c r="L460" s="107"/>
      <c r="M460" s="108"/>
      <c r="N460" s="108"/>
    </row>
    <row r="461" spans="1:14" x14ac:dyDescent="0.3">
      <c r="A461" s="77"/>
      <c r="B461" s="106"/>
      <c r="F461" s="124"/>
      <c r="G461" s="125"/>
      <c r="J461" s="125"/>
      <c r="L461" s="107"/>
      <c r="M461" s="108"/>
      <c r="N461" s="108"/>
    </row>
    <row r="462" spans="1:14" x14ac:dyDescent="0.3">
      <c r="A462" s="77"/>
      <c r="B462" s="106"/>
      <c r="F462" s="124"/>
      <c r="G462" s="125"/>
      <c r="J462" s="125"/>
      <c r="L462" s="107"/>
      <c r="M462" s="108"/>
      <c r="N462" s="108"/>
    </row>
    <row r="463" spans="1:14" x14ac:dyDescent="0.3">
      <c r="A463" s="77"/>
      <c r="B463" s="106"/>
      <c r="F463" s="124"/>
      <c r="G463" s="125"/>
      <c r="J463" s="125"/>
      <c r="L463" s="107"/>
      <c r="M463" s="108"/>
      <c r="N463" s="108"/>
    </row>
    <row r="464" spans="1:14" x14ac:dyDescent="0.3">
      <c r="A464" s="77"/>
      <c r="B464" s="106"/>
      <c r="F464" s="124"/>
      <c r="G464" s="125"/>
      <c r="J464" s="125"/>
      <c r="L464" s="107"/>
      <c r="M464" s="108"/>
      <c r="N464" s="108"/>
    </row>
    <row r="465" spans="1:14" x14ac:dyDescent="0.3">
      <c r="A465" s="77"/>
      <c r="B465" s="106"/>
      <c r="F465" s="124"/>
      <c r="G465" s="125"/>
      <c r="J465" s="125"/>
      <c r="L465" s="107"/>
      <c r="M465" s="108"/>
      <c r="N465" s="108"/>
    </row>
    <row r="466" spans="1:14" x14ac:dyDescent="0.3">
      <c r="A466" s="77"/>
      <c r="B466" s="106"/>
      <c r="F466" s="124"/>
      <c r="G466" s="125"/>
      <c r="J466" s="125"/>
      <c r="L466" s="107"/>
      <c r="M466" s="108"/>
      <c r="N466" s="108"/>
    </row>
    <row r="467" spans="1:14" x14ac:dyDescent="0.3">
      <c r="A467" s="77"/>
      <c r="B467" s="106"/>
      <c r="F467" s="124"/>
      <c r="G467" s="125"/>
      <c r="J467" s="125"/>
      <c r="L467" s="107"/>
      <c r="M467" s="108"/>
      <c r="N467" s="108"/>
    </row>
    <row r="468" spans="1:14" x14ac:dyDescent="0.3">
      <c r="A468" s="77"/>
      <c r="B468" s="106"/>
      <c r="F468" s="124"/>
      <c r="G468" s="125"/>
      <c r="J468" s="125"/>
      <c r="L468" s="107"/>
      <c r="M468" s="108"/>
      <c r="N468" s="108"/>
    </row>
    <row r="469" spans="1:14" x14ac:dyDescent="0.3">
      <c r="A469" s="77"/>
      <c r="B469" s="106"/>
      <c r="F469" s="124"/>
      <c r="G469" s="125"/>
      <c r="J469" s="125"/>
      <c r="L469" s="107"/>
      <c r="M469" s="108"/>
      <c r="N469" s="108"/>
    </row>
    <row r="470" spans="1:14" x14ac:dyDescent="0.3">
      <c r="A470" s="77"/>
      <c r="B470" s="106"/>
      <c r="F470" s="124"/>
      <c r="G470" s="125"/>
      <c r="J470" s="125"/>
      <c r="L470" s="107"/>
      <c r="M470" s="108"/>
      <c r="N470" s="108"/>
    </row>
    <row r="471" spans="1:14" x14ac:dyDescent="0.3">
      <c r="A471" s="77"/>
      <c r="B471" s="106"/>
      <c r="F471" s="124"/>
      <c r="G471" s="125"/>
      <c r="J471" s="125"/>
      <c r="L471" s="107"/>
      <c r="M471" s="108"/>
      <c r="N471" s="108"/>
    </row>
    <row r="472" spans="1:14" x14ac:dyDescent="0.3">
      <c r="A472" s="77"/>
      <c r="B472" s="106"/>
      <c r="F472" s="124"/>
      <c r="G472" s="125"/>
      <c r="J472" s="125"/>
      <c r="L472" s="107"/>
      <c r="M472" s="108"/>
      <c r="N472" s="108"/>
    </row>
    <row r="473" spans="1:14" x14ac:dyDescent="0.3">
      <c r="A473" s="77"/>
      <c r="B473" s="106"/>
      <c r="F473" s="124"/>
      <c r="G473" s="125"/>
      <c r="J473" s="125"/>
      <c r="L473" s="107"/>
      <c r="M473" s="108"/>
      <c r="N473" s="108"/>
    </row>
    <row r="474" spans="1:14" x14ac:dyDescent="0.3">
      <c r="A474" s="77"/>
      <c r="B474" s="106"/>
      <c r="F474" s="124"/>
      <c r="G474" s="125"/>
      <c r="J474" s="125"/>
      <c r="L474" s="107"/>
      <c r="M474" s="108"/>
      <c r="N474" s="108"/>
    </row>
    <row r="475" spans="1:14" x14ac:dyDescent="0.3">
      <c r="A475" s="77"/>
      <c r="B475" s="106"/>
      <c r="F475" s="124"/>
      <c r="G475" s="125"/>
      <c r="J475" s="125"/>
      <c r="L475" s="107"/>
      <c r="M475" s="108"/>
      <c r="N475" s="108"/>
    </row>
    <row r="476" spans="1:14" x14ac:dyDescent="0.3">
      <c r="A476" s="77"/>
      <c r="B476" s="106"/>
      <c r="F476" s="124"/>
      <c r="G476" s="125"/>
      <c r="J476" s="125"/>
      <c r="L476" s="107"/>
      <c r="M476" s="108"/>
      <c r="N476" s="108"/>
    </row>
    <row r="477" spans="1:14" x14ac:dyDescent="0.3">
      <c r="A477" s="77"/>
      <c r="B477" s="106"/>
      <c r="F477" s="124"/>
      <c r="G477" s="125"/>
      <c r="J477" s="125"/>
      <c r="L477" s="107"/>
      <c r="M477" s="108"/>
      <c r="N477" s="108"/>
    </row>
    <row r="478" spans="1:14" x14ac:dyDescent="0.3">
      <c r="A478" s="77"/>
      <c r="B478" s="106"/>
      <c r="F478" s="124"/>
      <c r="G478" s="125"/>
      <c r="J478" s="125"/>
      <c r="L478" s="107"/>
      <c r="M478" s="108"/>
      <c r="N478" s="108"/>
    </row>
    <row r="479" spans="1:14" x14ac:dyDescent="0.3">
      <c r="A479" s="77"/>
      <c r="B479" s="106"/>
      <c r="F479" s="124"/>
      <c r="G479" s="125"/>
      <c r="J479" s="125"/>
      <c r="L479" s="107"/>
      <c r="M479" s="108"/>
      <c r="N479" s="108"/>
    </row>
    <row r="480" spans="1:14" x14ac:dyDescent="0.3">
      <c r="A480" s="77"/>
      <c r="B480" s="106"/>
      <c r="F480" s="124"/>
      <c r="G480" s="125"/>
      <c r="J480" s="125"/>
      <c r="L480" s="107"/>
      <c r="M480" s="108"/>
      <c r="N480" s="108"/>
    </row>
    <row r="481" spans="1:14" x14ac:dyDescent="0.3">
      <c r="A481" s="77"/>
      <c r="B481" s="106"/>
      <c r="F481" s="124"/>
      <c r="G481" s="125"/>
      <c r="J481" s="125"/>
      <c r="L481" s="107"/>
      <c r="M481" s="108"/>
      <c r="N481" s="108"/>
    </row>
    <row r="482" spans="1:14" x14ac:dyDescent="0.3">
      <c r="A482" s="77"/>
      <c r="B482" s="106"/>
      <c r="F482" s="124"/>
      <c r="G482" s="125"/>
      <c r="J482" s="125"/>
      <c r="L482" s="107"/>
      <c r="M482" s="108"/>
      <c r="N482" s="108"/>
    </row>
    <row r="483" spans="1:14" x14ac:dyDescent="0.3">
      <c r="A483" s="77"/>
      <c r="B483" s="106"/>
      <c r="F483" s="124"/>
      <c r="G483" s="125"/>
      <c r="J483" s="125"/>
      <c r="L483" s="107"/>
      <c r="M483" s="108"/>
      <c r="N483" s="108"/>
    </row>
    <row r="484" spans="1:14" x14ac:dyDescent="0.3">
      <c r="A484" s="77"/>
      <c r="B484" s="106"/>
      <c r="F484" s="124"/>
      <c r="G484" s="125"/>
      <c r="J484" s="125"/>
      <c r="L484" s="107"/>
      <c r="M484" s="108"/>
      <c r="N484" s="108"/>
    </row>
    <row r="485" spans="1:14" x14ac:dyDescent="0.3">
      <c r="A485" s="77"/>
      <c r="B485" s="106"/>
      <c r="F485" s="124"/>
      <c r="G485" s="125"/>
      <c r="J485" s="125"/>
      <c r="L485" s="107"/>
      <c r="M485" s="108"/>
      <c r="N485" s="108"/>
    </row>
    <row r="486" spans="1:14" x14ac:dyDescent="0.3">
      <c r="A486" s="77"/>
      <c r="B486" s="106"/>
      <c r="F486" s="124"/>
      <c r="G486" s="125"/>
      <c r="J486" s="125"/>
      <c r="L486" s="107"/>
      <c r="M486" s="108"/>
      <c r="N486" s="108"/>
    </row>
    <row r="487" spans="1:14" x14ac:dyDescent="0.3">
      <c r="A487" s="77"/>
      <c r="B487" s="106"/>
      <c r="F487" s="124"/>
      <c r="G487" s="125"/>
      <c r="J487" s="125"/>
      <c r="L487" s="107"/>
      <c r="M487" s="108"/>
      <c r="N487" s="108"/>
    </row>
    <row r="488" spans="1:14" x14ac:dyDescent="0.3">
      <c r="A488" s="77"/>
      <c r="B488" s="106"/>
      <c r="F488" s="124"/>
      <c r="G488" s="125"/>
      <c r="J488" s="125"/>
      <c r="L488" s="107"/>
      <c r="M488" s="108"/>
      <c r="N488" s="108"/>
    </row>
    <row r="489" spans="1:14" x14ac:dyDescent="0.3">
      <c r="A489" s="77"/>
      <c r="B489" s="106"/>
      <c r="F489" s="124"/>
      <c r="G489" s="125"/>
      <c r="J489" s="125"/>
      <c r="L489" s="107"/>
      <c r="M489" s="108"/>
      <c r="N489" s="108"/>
    </row>
    <row r="490" spans="1:14" x14ac:dyDescent="0.3">
      <c r="A490" s="77"/>
      <c r="B490" s="106"/>
      <c r="F490" s="124"/>
      <c r="G490" s="125"/>
      <c r="J490" s="125"/>
      <c r="L490" s="107"/>
      <c r="M490" s="108"/>
      <c r="N490" s="108"/>
    </row>
    <row r="491" spans="1:14" x14ac:dyDescent="0.3">
      <c r="A491" s="77"/>
      <c r="B491" s="106"/>
      <c r="F491" s="124"/>
      <c r="G491" s="125"/>
      <c r="J491" s="125"/>
      <c r="L491" s="107"/>
      <c r="M491" s="108"/>
      <c r="N491" s="108"/>
    </row>
    <row r="492" spans="1:14" x14ac:dyDescent="0.3">
      <c r="A492" s="77"/>
      <c r="B492" s="106"/>
      <c r="F492" s="124"/>
      <c r="G492" s="125"/>
      <c r="J492" s="125"/>
      <c r="L492" s="107"/>
      <c r="M492" s="108"/>
      <c r="N492" s="108"/>
    </row>
    <row r="493" spans="1:14" x14ac:dyDescent="0.3">
      <c r="A493" s="77"/>
      <c r="B493" s="106"/>
      <c r="F493" s="124"/>
      <c r="G493" s="125"/>
      <c r="J493" s="125"/>
      <c r="L493" s="107"/>
      <c r="M493" s="108"/>
      <c r="N493" s="108"/>
    </row>
    <row r="494" spans="1:14" x14ac:dyDescent="0.3">
      <c r="A494" s="77"/>
      <c r="B494" s="106"/>
      <c r="F494" s="124"/>
      <c r="G494" s="125"/>
      <c r="J494" s="125"/>
      <c r="L494" s="107"/>
      <c r="M494" s="108"/>
      <c r="N494" s="108"/>
    </row>
    <row r="495" spans="1:14" x14ac:dyDescent="0.3">
      <c r="A495" s="77"/>
      <c r="B495" s="106"/>
      <c r="F495" s="124"/>
      <c r="G495" s="125"/>
      <c r="J495" s="125"/>
      <c r="L495" s="107"/>
      <c r="M495" s="108"/>
      <c r="N495" s="108"/>
    </row>
    <row r="496" spans="1:14" x14ac:dyDescent="0.3">
      <c r="A496" s="77"/>
      <c r="B496" s="106"/>
      <c r="F496" s="124"/>
      <c r="G496" s="125"/>
      <c r="J496" s="125"/>
      <c r="L496" s="107"/>
      <c r="M496" s="108"/>
      <c r="N496" s="108"/>
    </row>
    <row r="497" spans="1:14" x14ac:dyDescent="0.3">
      <c r="A497" s="77"/>
      <c r="B497" s="106"/>
      <c r="F497" s="124"/>
      <c r="G497" s="125"/>
      <c r="J497" s="125"/>
      <c r="L497" s="107"/>
      <c r="M497" s="108"/>
      <c r="N497" s="108"/>
    </row>
    <row r="498" spans="1:14" x14ac:dyDescent="0.3">
      <c r="A498" s="77"/>
      <c r="B498" s="106"/>
      <c r="F498" s="124"/>
      <c r="G498" s="125"/>
      <c r="J498" s="125"/>
      <c r="L498" s="107"/>
      <c r="M498" s="108"/>
      <c r="N498" s="108"/>
    </row>
    <row r="499" spans="1:14" x14ac:dyDescent="0.3">
      <c r="A499" s="77"/>
      <c r="B499" s="106"/>
      <c r="F499" s="124"/>
      <c r="G499" s="125"/>
      <c r="J499" s="125"/>
      <c r="L499" s="107"/>
      <c r="M499" s="108"/>
      <c r="N499" s="108"/>
    </row>
    <row r="500" spans="1:14" x14ac:dyDescent="0.3">
      <c r="A500" s="77"/>
      <c r="B500" s="106"/>
      <c r="F500" s="124"/>
      <c r="G500" s="125"/>
      <c r="J500" s="125"/>
      <c r="L500" s="107"/>
      <c r="M500" s="108"/>
      <c r="N500" s="108"/>
    </row>
    <row r="501" spans="1:14" x14ac:dyDescent="0.3">
      <c r="A501" s="77"/>
      <c r="B501" s="106"/>
      <c r="F501" s="124"/>
      <c r="G501" s="125"/>
      <c r="J501" s="125"/>
      <c r="L501" s="107"/>
      <c r="M501" s="108"/>
      <c r="N501" s="108"/>
    </row>
    <row r="502" spans="1:14" x14ac:dyDescent="0.3">
      <c r="A502" s="77"/>
      <c r="B502" s="106"/>
      <c r="F502" s="124"/>
      <c r="G502" s="125"/>
      <c r="J502" s="125"/>
      <c r="L502" s="107"/>
      <c r="M502" s="108"/>
      <c r="N502" s="108"/>
    </row>
    <row r="503" spans="1:14" x14ac:dyDescent="0.3">
      <c r="A503" s="77"/>
      <c r="B503" s="106"/>
      <c r="F503" s="124"/>
      <c r="G503" s="125"/>
      <c r="J503" s="125"/>
      <c r="L503" s="107"/>
      <c r="M503" s="108"/>
      <c r="N503" s="108"/>
    </row>
    <row r="504" spans="1:14" x14ac:dyDescent="0.3">
      <c r="A504" s="77"/>
      <c r="B504" s="106"/>
      <c r="F504" s="124"/>
      <c r="G504" s="125"/>
      <c r="J504" s="125"/>
      <c r="L504" s="107"/>
      <c r="M504" s="108"/>
      <c r="N504" s="108"/>
    </row>
    <row r="505" spans="1:14" x14ac:dyDescent="0.3">
      <c r="A505" s="77"/>
      <c r="B505" s="106"/>
      <c r="F505" s="124"/>
      <c r="G505" s="125"/>
      <c r="J505" s="125"/>
      <c r="L505" s="107"/>
      <c r="M505" s="108"/>
      <c r="N505" s="108"/>
    </row>
    <row r="506" spans="1:14" x14ac:dyDescent="0.3">
      <c r="A506" s="77"/>
      <c r="B506" s="106"/>
      <c r="F506" s="124"/>
      <c r="G506" s="125"/>
      <c r="J506" s="125"/>
      <c r="L506" s="107"/>
      <c r="M506" s="108"/>
      <c r="N506" s="108"/>
    </row>
    <row r="507" spans="1:14" x14ac:dyDescent="0.3">
      <c r="A507" s="77"/>
      <c r="B507" s="106"/>
      <c r="F507" s="124"/>
      <c r="G507" s="125"/>
      <c r="J507" s="125"/>
      <c r="L507" s="107"/>
      <c r="M507" s="108"/>
      <c r="N507" s="108"/>
    </row>
    <row r="508" spans="1:14" x14ac:dyDescent="0.3">
      <c r="A508" s="77"/>
      <c r="B508" s="106"/>
      <c r="F508" s="124"/>
      <c r="G508" s="125"/>
      <c r="J508" s="125"/>
      <c r="L508" s="107"/>
      <c r="M508" s="108"/>
      <c r="N508" s="108"/>
    </row>
    <row r="509" spans="1:14" x14ac:dyDescent="0.3">
      <c r="A509" s="77"/>
      <c r="B509" s="106"/>
      <c r="F509" s="124"/>
      <c r="G509" s="125"/>
      <c r="J509" s="125"/>
      <c r="L509" s="107"/>
      <c r="M509" s="108"/>
      <c r="N509" s="108"/>
    </row>
    <row r="510" spans="1:14" x14ac:dyDescent="0.3">
      <c r="A510" s="77"/>
      <c r="B510" s="106"/>
      <c r="F510" s="124"/>
      <c r="G510" s="125"/>
      <c r="J510" s="125"/>
      <c r="L510" s="107"/>
      <c r="M510" s="108"/>
      <c r="N510" s="108"/>
    </row>
    <row r="511" spans="1:14" x14ac:dyDescent="0.3">
      <c r="A511" s="77"/>
      <c r="B511" s="106"/>
      <c r="F511" s="124"/>
      <c r="G511" s="125"/>
      <c r="J511" s="125"/>
      <c r="L511" s="107"/>
      <c r="M511" s="108"/>
      <c r="N511" s="108"/>
    </row>
    <row r="512" spans="1:14" x14ac:dyDescent="0.3">
      <c r="A512" s="77"/>
      <c r="B512" s="106"/>
      <c r="F512" s="124"/>
      <c r="G512" s="125"/>
      <c r="J512" s="125"/>
      <c r="L512" s="107"/>
      <c r="M512" s="108"/>
      <c r="N512" s="108"/>
    </row>
    <row r="513" spans="1:14" x14ac:dyDescent="0.3">
      <c r="A513" s="77"/>
      <c r="B513" s="106"/>
      <c r="F513" s="124"/>
      <c r="G513" s="125"/>
      <c r="J513" s="125"/>
      <c r="L513" s="107"/>
      <c r="M513" s="108"/>
      <c r="N513" s="108"/>
    </row>
    <row r="514" spans="1:14" x14ac:dyDescent="0.3">
      <c r="A514" s="77"/>
      <c r="B514" s="106"/>
      <c r="F514" s="124"/>
      <c r="G514" s="125"/>
      <c r="J514" s="125"/>
      <c r="L514" s="107"/>
      <c r="M514" s="108"/>
      <c r="N514" s="108"/>
    </row>
    <row r="515" spans="1:14" x14ac:dyDescent="0.3">
      <c r="A515" s="77"/>
      <c r="B515" s="106"/>
      <c r="F515" s="124"/>
      <c r="G515" s="125"/>
      <c r="J515" s="125"/>
      <c r="L515" s="107"/>
      <c r="M515" s="108"/>
      <c r="N515" s="108"/>
    </row>
    <row r="516" spans="1:14" x14ac:dyDescent="0.3">
      <c r="A516" s="77"/>
      <c r="B516" s="106"/>
      <c r="F516" s="124"/>
      <c r="G516" s="125"/>
      <c r="J516" s="125"/>
      <c r="L516" s="107"/>
      <c r="M516" s="108"/>
      <c r="N516" s="108"/>
    </row>
    <row r="517" spans="1:14" x14ac:dyDescent="0.3">
      <c r="A517" s="77"/>
      <c r="B517" s="106"/>
      <c r="F517" s="124"/>
      <c r="G517" s="125"/>
      <c r="J517" s="125"/>
      <c r="L517" s="107"/>
      <c r="M517" s="108"/>
      <c r="N517" s="108"/>
    </row>
    <row r="518" spans="1:14" x14ac:dyDescent="0.3">
      <c r="A518" s="77"/>
      <c r="B518" s="106"/>
      <c r="F518" s="124"/>
      <c r="G518" s="125"/>
      <c r="J518" s="125"/>
      <c r="L518" s="107"/>
      <c r="M518" s="108"/>
      <c r="N518" s="108"/>
    </row>
    <row r="519" spans="1:14" x14ac:dyDescent="0.3">
      <c r="A519" s="77"/>
      <c r="B519" s="106"/>
      <c r="F519" s="124"/>
      <c r="G519" s="125"/>
      <c r="J519" s="125"/>
      <c r="L519" s="107"/>
      <c r="M519" s="108"/>
      <c r="N519" s="108"/>
    </row>
    <row r="520" spans="1:14" x14ac:dyDescent="0.3">
      <c r="A520" s="77"/>
      <c r="B520" s="106"/>
      <c r="F520" s="124"/>
      <c r="G520" s="125"/>
      <c r="J520" s="125"/>
      <c r="L520" s="107"/>
      <c r="M520" s="108"/>
      <c r="N520" s="108"/>
    </row>
    <row r="521" spans="1:14" x14ac:dyDescent="0.3">
      <c r="A521" s="77"/>
      <c r="B521" s="106"/>
      <c r="F521" s="124"/>
      <c r="G521" s="125"/>
      <c r="J521" s="125"/>
      <c r="L521" s="107"/>
      <c r="M521" s="108"/>
      <c r="N521" s="108"/>
    </row>
    <row r="522" spans="1:14" x14ac:dyDescent="0.3">
      <c r="A522" s="77"/>
      <c r="B522" s="106"/>
      <c r="F522" s="124"/>
      <c r="G522" s="125"/>
      <c r="J522" s="125"/>
      <c r="L522" s="107"/>
      <c r="M522" s="108"/>
      <c r="N522" s="108"/>
    </row>
    <row r="523" spans="1:14" x14ac:dyDescent="0.3">
      <c r="A523" s="77"/>
      <c r="B523" s="106"/>
      <c r="F523" s="124"/>
      <c r="G523" s="125"/>
      <c r="J523" s="125"/>
      <c r="L523" s="107"/>
      <c r="M523" s="108"/>
      <c r="N523" s="108"/>
    </row>
    <row r="524" spans="1:14" x14ac:dyDescent="0.3">
      <c r="A524" s="77"/>
      <c r="B524" s="106"/>
      <c r="F524" s="124"/>
      <c r="G524" s="125"/>
      <c r="J524" s="125"/>
      <c r="L524" s="107"/>
      <c r="M524" s="108"/>
      <c r="N524" s="108"/>
    </row>
    <row r="525" spans="1:14" x14ac:dyDescent="0.3">
      <c r="A525" s="77"/>
      <c r="B525" s="106"/>
      <c r="F525" s="124"/>
      <c r="G525" s="125"/>
      <c r="J525" s="125"/>
      <c r="L525" s="107"/>
      <c r="M525" s="108"/>
      <c r="N525" s="108"/>
    </row>
    <row r="526" spans="1:14" x14ac:dyDescent="0.3">
      <c r="A526" s="77"/>
      <c r="B526" s="106"/>
      <c r="F526" s="124"/>
      <c r="G526" s="125"/>
      <c r="J526" s="125"/>
      <c r="L526" s="107"/>
      <c r="M526" s="108"/>
      <c r="N526" s="108"/>
    </row>
    <row r="527" spans="1:14" x14ac:dyDescent="0.3">
      <c r="A527" s="77"/>
      <c r="B527" s="106"/>
      <c r="F527" s="124"/>
      <c r="G527" s="125"/>
      <c r="J527" s="125"/>
      <c r="L527" s="107"/>
      <c r="M527" s="108"/>
      <c r="N527" s="108"/>
    </row>
    <row r="528" spans="1:14" x14ac:dyDescent="0.3">
      <c r="A528" s="77"/>
      <c r="B528" s="106"/>
      <c r="F528" s="124"/>
      <c r="G528" s="125"/>
      <c r="J528" s="125"/>
      <c r="L528" s="107"/>
      <c r="M528" s="108"/>
      <c r="N528" s="108"/>
    </row>
    <row r="529" spans="1:14" x14ac:dyDescent="0.3">
      <c r="A529" s="77"/>
      <c r="B529" s="106"/>
      <c r="F529" s="124"/>
      <c r="G529" s="125"/>
      <c r="J529" s="125"/>
      <c r="L529" s="107"/>
      <c r="M529" s="108"/>
      <c r="N529" s="108"/>
    </row>
    <row r="530" spans="1:14" x14ac:dyDescent="0.3">
      <c r="A530" s="77"/>
      <c r="B530" s="106"/>
      <c r="F530" s="124"/>
      <c r="G530" s="125"/>
      <c r="J530" s="125"/>
      <c r="L530" s="107"/>
      <c r="M530" s="108"/>
      <c r="N530" s="108"/>
    </row>
    <row r="531" spans="1:14" x14ac:dyDescent="0.3">
      <c r="A531" s="77"/>
      <c r="B531" s="106"/>
      <c r="F531" s="124"/>
      <c r="G531" s="125"/>
      <c r="J531" s="125"/>
      <c r="L531" s="107"/>
      <c r="M531" s="108"/>
      <c r="N531" s="108"/>
    </row>
    <row r="532" spans="1:14" x14ac:dyDescent="0.3">
      <c r="A532" s="77"/>
      <c r="B532" s="106"/>
      <c r="F532" s="124"/>
      <c r="G532" s="125"/>
      <c r="J532" s="125"/>
      <c r="L532" s="107"/>
      <c r="M532" s="108"/>
      <c r="N532" s="108"/>
    </row>
    <row r="533" spans="1:14" x14ac:dyDescent="0.3">
      <c r="A533" s="77"/>
      <c r="B533" s="106"/>
      <c r="F533" s="124"/>
      <c r="G533" s="125"/>
      <c r="J533" s="125"/>
      <c r="L533" s="107"/>
      <c r="M533" s="108"/>
      <c r="N533" s="108"/>
    </row>
    <row r="534" spans="1:14" x14ac:dyDescent="0.3">
      <c r="A534" s="77"/>
      <c r="B534" s="106"/>
      <c r="F534" s="124"/>
      <c r="G534" s="125"/>
      <c r="J534" s="125"/>
      <c r="L534" s="107"/>
      <c r="M534" s="108"/>
      <c r="N534" s="108"/>
    </row>
    <row r="535" spans="1:14" x14ac:dyDescent="0.3">
      <c r="A535" s="77"/>
      <c r="B535" s="106"/>
      <c r="F535" s="124"/>
      <c r="G535" s="125"/>
      <c r="J535" s="125"/>
      <c r="L535" s="107"/>
      <c r="M535" s="108"/>
      <c r="N535" s="108"/>
    </row>
    <row r="536" spans="1:14" x14ac:dyDescent="0.3">
      <c r="A536" s="77"/>
      <c r="B536" s="106"/>
      <c r="F536" s="124"/>
      <c r="G536" s="125"/>
      <c r="J536" s="125"/>
      <c r="L536" s="107"/>
      <c r="M536" s="108"/>
      <c r="N536" s="108"/>
    </row>
    <row r="537" spans="1:14" x14ac:dyDescent="0.3">
      <c r="A537" s="77"/>
      <c r="B537" s="106"/>
      <c r="F537" s="124"/>
      <c r="G537" s="125"/>
      <c r="J537" s="125"/>
      <c r="L537" s="107"/>
      <c r="M537" s="108"/>
      <c r="N537" s="108"/>
    </row>
    <row r="538" spans="1:14" x14ac:dyDescent="0.3">
      <c r="A538" s="77"/>
      <c r="B538" s="106"/>
      <c r="F538" s="124"/>
      <c r="G538" s="125"/>
      <c r="J538" s="125"/>
      <c r="L538" s="107"/>
      <c r="M538" s="108"/>
      <c r="N538" s="108"/>
    </row>
    <row r="539" spans="1:14" x14ac:dyDescent="0.3">
      <c r="A539" s="77"/>
      <c r="B539" s="106"/>
      <c r="F539" s="124"/>
      <c r="G539" s="125"/>
      <c r="J539" s="125"/>
      <c r="L539" s="107"/>
      <c r="M539" s="108"/>
      <c r="N539" s="108"/>
    </row>
    <row r="540" spans="1:14" x14ac:dyDescent="0.3">
      <c r="A540" s="77"/>
      <c r="B540" s="106"/>
      <c r="F540" s="124"/>
      <c r="G540" s="125"/>
      <c r="J540" s="125"/>
      <c r="L540" s="107"/>
      <c r="M540" s="108"/>
      <c r="N540" s="108"/>
    </row>
    <row r="541" spans="1:14" x14ac:dyDescent="0.3">
      <c r="A541" s="77"/>
      <c r="B541" s="106"/>
      <c r="F541" s="124"/>
      <c r="G541" s="125"/>
      <c r="J541" s="125"/>
      <c r="L541" s="107"/>
      <c r="M541" s="108"/>
      <c r="N541" s="108"/>
    </row>
    <row r="542" spans="1:14" x14ac:dyDescent="0.3">
      <c r="A542" s="77"/>
      <c r="B542" s="106"/>
      <c r="F542" s="124"/>
      <c r="G542" s="125"/>
      <c r="J542" s="125"/>
      <c r="L542" s="107"/>
      <c r="M542" s="108"/>
      <c r="N542" s="108"/>
    </row>
    <row r="543" spans="1:14" x14ac:dyDescent="0.3">
      <c r="A543" s="77"/>
      <c r="B543" s="106"/>
      <c r="F543" s="124"/>
      <c r="G543" s="125"/>
      <c r="J543" s="125"/>
      <c r="L543" s="107"/>
      <c r="M543" s="108"/>
      <c r="N543" s="108"/>
    </row>
    <row r="544" spans="1:14" x14ac:dyDescent="0.3">
      <c r="A544" s="77"/>
      <c r="B544" s="106"/>
      <c r="F544" s="124"/>
      <c r="G544" s="125"/>
      <c r="J544" s="125"/>
      <c r="L544" s="107"/>
      <c r="M544" s="108"/>
      <c r="N544" s="108"/>
    </row>
    <row r="545" spans="1:14" x14ac:dyDescent="0.3">
      <c r="A545" s="77"/>
      <c r="B545" s="106"/>
      <c r="F545" s="124"/>
      <c r="G545" s="125"/>
      <c r="J545" s="125"/>
      <c r="L545" s="107"/>
      <c r="M545" s="108"/>
      <c r="N545" s="108"/>
    </row>
    <row r="546" spans="1:14" x14ac:dyDescent="0.3">
      <c r="A546" s="77"/>
      <c r="B546" s="106"/>
      <c r="F546" s="124"/>
      <c r="G546" s="125"/>
      <c r="J546" s="125"/>
      <c r="L546" s="107"/>
      <c r="M546" s="108"/>
      <c r="N546" s="108"/>
    </row>
    <row r="547" spans="1:14" x14ac:dyDescent="0.3">
      <c r="A547" s="77"/>
      <c r="B547" s="106"/>
      <c r="F547" s="124"/>
      <c r="G547" s="125"/>
      <c r="J547" s="125"/>
      <c r="L547" s="107"/>
      <c r="M547" s="108"/>
      <c r="N547" s="108"/>
    </row>
    <row r="548" spans="1:14" x14ac:dyDescent="0.3">
      <c r="A548" s="77"/>
      <c r="B548" s="106"/>
      <c r="F548" s="124"/>
      <c r="G548" s="125"/>
      <c r="J548" s="125"/>
      <c r="L548" s="107"/>
      <c r="M548" s="108"/>
      <c r="N548" s="108"/>
    </row>
    <row r="549" spans="1:14" x14ac:dyDescent="0.3">
      <c r="A549" s="77"/>
      <c r="B549" s="106"/>
      <c r="F549" s="124"/>
      <c r="G549" s="125"/>
      <c r="J549" s="125"/>
      <c r="L549" s="107"/>
      <c r="M549" s="108"/>
      <c r="N549" s="108"/>
    </row>
    <row r="550" spans="1:14" x14ac:dyDescent="0.3">
      <c r="A550" s="77"/>
      <c r="B550" s="106"/>
      <c r="F550" s="124"/>
      <c r="G550" s="125"/>
      <c r="J550" s="125"/>
      <c r="L550" s="107"/>
      <c r="M550" s="108"/>
      <c r="N550" s="108"/>
    </row>
    <row r="551" spans="1:14" x14ac:dyDescent="0.3">
      <c r="A551" s="77"/>
      <c r="B551" s="106"/>
      <c r="F551" s="124"/>
      <c r="G551" s="125"/>
      <c r="J551" s="125"/>
      <c r="L551" s="107"/>
      <c r="M551" s="108"/>
      <c r="N551" s="108"/>
    </row>
    <row r="552" spans="1:14" x14ac:dyDescent="0.3">
      <c r="A552" s="77"/>
      <c r="B552" s="106"/>
      <c r="F552" s="124"/>
      <c r="G552" s="125"/>
      <c r="J552" s="125"/>
      <c r="L552" s="107"/>
      <c r="M552" s="108"/>
      <c r="N552" s="108"/>
    </row>
    <row r="553" spans="1:14" x14ac:dyDescent="0.3">
      <c r="A553" s="77"/>
      <c r="B553" s="106"/>
      <c r="F553" s="124"/>
      <c r="G553" s="125"/>
      <c r="J553" s="125"/>
      <c r="L553" s="107"/>
      <c r="M553" s="108"/>
      <c r="N553" s="108"/>
    </row>
    <row r="554" spans="1:14" x14ac:dyDescent="0.3">
      <c r="A554" s="77"/>
      <c r="B554" s="106"/>
      <c r="F554" s="124"/>
      <c r="G554" s="125"/>
      <c r="J554" s="125"/>
      <c r="L554" s="107"/>
      <c r="M554" s="108"/>
      <c r="N554" s="108"/>
    </row>
    <row r="555" spans="1:14" x14ac:dyDescent="0.3">
      <c r="A555" s="77"/>
      <c r="B555" s="106"/>
      <c r="F555" s="124"/>
      <c r="G555" s="125"/>
      <c r="J555" s="125"/>
      <c r="L555" s="107"/>
      <c r="M555" s="108"/>
      <c r="N555" s="108"/>
    </row>
    <row r="556" spans="1:14" x14ac:dyDescent="0.3">
      <c r="A556" s="77"/>
      <c r="B556" s="106"/>
      <c r="F556" s="124"/>
      <c r="G556" s="125"/>
      <c r="J556" s="125"/>
      <c r="L556" s="107"/>
      <c r="M556" s="108"/>
      <c r="N556" s="108"/>
    </row>
    <row r="557" spans="1:14" x14ac:dyDescent="0.3">
      <c r="A557" s="77"/>
      <c r="B557" s="106"/>
      <c r="F557" s="124"/>
      <c r="G557" s="125"/>
      <c r="J557" s="125"/>
      <c r="L557" s="107"/>
      <c r="M557" s="108"/>
      <c r="N557" s="108"/>
    </row>
    <row r="558" spans="1:14" x14ac:dyDescent="0.3">
      <c r="A558" s="77"/>
      <c r="B558" s="106"/>
      <c r="F558" s="124"/>
      <c r="G558" s="125"/>
      <c r="J558" s="125"/>
      <c r="L558" s="107"/>
      <c r="M558" s="108"/>
      <c r="N558" s="108"/>
    </row>
    <row r="559" spans="1:14" x14ac:dyDescent="0.3">
      <c r="A559" s="77"/>
      <c r="B559" s="106"/>
      <c r="F559" s="124"/>
      <c r="G559" s="125"/>
      <c r="J559" s="125"/>
      <c r="L559" s="107"/>
      <c r="M559" s="108"/>
      <c r="N559" s="108"/>
    </row>
    <row r="560" spans="1:14" x14ac:dyDescent="0.3">
      <c r="A560" s="77"/>
      <c r="B560" s="106"/>
      <c r="F560" s="124"/>
      <c r="G560" s="125"/>
      <c r="J560" s="125"/>
      <c r="L560" s="107"/>
      <c r="M560" s="108"/>
      <c r="N560" s="108"/>
    </row>
    <row r="561" spans="1:14" x14ac:dyDescent="0.3">
      <c r="A561" s="77"/>
      <c r="B561" s="106"/>
      <c r="F561" s="124"/>
      <c r="G561" s="125"/>
      <c r="J561" s="125"/>
      <c r="L561" s="107"/>
      <c r="M561" s="108"/>
      <c r="N561" s="108"/>
    </row>
    <row r="562" spans="1:14" x14ac:dyDescent="0.3">
      <c r="A562" s="77"/>
      <c r="B562" s="106"/>
      <c r="F562" s="124"/>
      <c r="G562" s="125"/>
      <c r="J562" s="125"/>
      <c r="L562" s="107"/>
      <c r="M562" s="108"/>
      <c r="N562" s="108"/>
    </row>
    <row r="563" spans="1:14" x14ac:dyDescent="0.3">
      <c r="A563" s="77"/>
      <c r="B563" s="106"/>
      <c r="F563" s="124"/>
      <c r="G563" s="125"/>
      <c r="J563" s="125"/>
      <c r="L563" s="107"/>
      <c r="M563" s="108"/>
      <c r="N563" s="108"/>
    </row>
    <row r="564" spans="1:14" x14ac:dyDescent="0.3">
      <c r="A564" s="77"/>
      <c r="B564" s="106"/>
      <c r="F564" s="124"/>
      <c r="G564" s="125"/>
      <c r="J564" s="125"/>
      <c r="L564" s="107"/>
      <c r="M564" s="108"/>
      <c r="N564" s="108"/>
    </row>
    <row r="565" spans="1:14" x14ac:dyDescent="0.3">
      <c r="A565" s="77"/>
      <c r="B565" s="106"/>
      <c r="F565" s="124"/>
      <c r="G565" s="125"/>
      <c r="J565" s="125"/>
      <c r="L565" s="107"/>
      <c r="M565" s="108"/>
      <c r="N565" s="108"/>
    </row>
    <row r="566" spans="1:14" x14ac:dyDescent="0.3">
      <c r="A566" s="77"/>
      <c r="B566" s="106"/>
      <c r="F566" s="124"/>
      <c r="G566" s="125"/>
      <c r="J566" s="125"/>
      <c r="L566" s="107"/>
      <c r="M566" s="108"/>
      <c r="N566" s="108"/>
    </row>
    <row r="567" spans="1:14" x14ac:dyDescent="0.3">
      <c r="A567" s="77"/>
      <c r="B567" s="106"/>
      <c r="F567" s="124"/>
      <c r="G567" s="125"/>
      <c r="J567" s="125"/>
      <c r="L567" s="107"/>
      <c r="M567" s="108"/>
      <c r="N567" s="108"/>
    </row>
    <row r="568" spans="1:14" x14ac:dyDescent="0.3">
      <c r="A568" s="77"/>
      <c r="B568" s="106"/>
      <c r="F568" s="124"/>
      <c r="G568" s="125"/>
      <c r="J568" s="125"/>
      <c r="L568" s="107"/>
      <c r="M568" s="108"/>
      <c r="N568" s="108"/>
    </row>
    <row r="569" spans="1:14" x14ac:dyDescent="0.3">
      <c r="A569" s="77"/>
      <c r="B569" s="106"/>
      <c r="F569" s="124"/>
      <c r="G569" s="125"/>
      <c r="J569" s="125"/>
      <c r="L569" s="107"/>
      <c r="M569" s="108"/>
      <c r="N569" s="108"/>
    </row>
    <row r="570" spans="1:14" x14ac:dyDescent="0.3">
      <c r="A570" s="77"/>
      <c r="B570" s="106"/>
      <c r="F570" s="124"/>
      <c r="G570" s="125"/>
      <c r="J570" s="125"/>
      <c r="L570" s="107"/>
      <c r="M570" s="108"/>
      <c r="N570" s="108"/>
    </row>
    <row r="571" spans="1:14" x14ac:dyDescent="0.3">
      <c r="A571" s="77"/>
      <c r="B571" s="106"/>
      <c r="F571" s="124"/>
      <c r="G571" s="125"/>
      <c r="J571" s="125"/>
      <c r="L571" s="107"/>
      <c r="M571" s="108"/>
      <c r="N571" s="108"/>
    </row>
    <row r="572" spans="1:14" x14ac:dyDescent="0.3">
      <c r="A572" s="77"/>
      <c r="B572" s="106"/>
      <c r="F572" s="124"/>
      <c r="G572" s="125"/>
      <c r="J572" s="125"/>
      <c r="L572" s="107"/>
      <c r="M572" s="108"/>
      <c r="N572" s="108"/>
    </row>
    <row r="573" spans="1:14" x14ac:dyDescent="0.3">
      <c r="A573" s="77"/>
      <c r="B573" s="106"/>
      <c r="F573" s="124"/>
      <c r="G573" s="125"/>
      <c r="J573" s="125"/>
      <c r="L573" s="107"/>
      <c r="M573" s="108"/>
      <c r="N573" s="108"/>
    </row>
    <row r="574" spans="1:14" x14ac:dyDescent="0.3">
      <c r="A574" s="77"/>
      <c r="B574" s="106"/>
      <c r="F574" s="124"/>
      <c r="G574" s="125"/>
      <c r="J574" s="125"/>
      <c r="L574" s="107"/>
      <c r="M574" s="108"/>
      <c r="N574" s="108"/>
    </row>
    <row r="575" spans="1:14" x14ac:dyDescent="0.3">
      <c r="A575" s="77"/>
      <c r="B575" s="106"/>
      <c r="F575" s="124"/>
      <c r="G575" s="125"/>
      <c r="J575" s="125"/>
      <c r="L575" s="107"/>
      <c r="M575" s="108"/>
      <c r="N575" s="108"/>
    </row>
    <row r="576" spans="1:14" x14ac:dyDescent="0.3">
      <c r="A576" s="77"/>
      <c r="B576" s="106"/>
      <c r="F576" s="124"/>
      <c r="G576" s="125"/>
      <c r="J576" s="125"/>
      <c r="L576" s="107"/>
      <c r="M576" s="108"/>
      <c r="N576" s="108"/>
    </row>
    <row r="577" spans="1:14" x14ac:dyDescent="0.3">
      <c r="A577" s="77"/>
      <c r="B577" s="106"/>
      <c r="F577" s="124"/>
      <c r="G577" s="125"/>
      <c r="J577" s="125"/>
      <c r="L577" s="107"/>
      <c r="M577" s="108"/>
      <c r="N577" s="108"/>
    </row>
    <row r="578" spans="1:14" x14ac:dyDescent="0.3">
      <c r="A578" s="77"/>
      <c r="B578" s="106"/>
      <c r="F578" s="124"/>
      <c r="G578" s="125"/>
      <c r="J578" s="125"/>
      <c r="L578" s="107"/>
      <c r="M578" s="108"/>
      <c r="N578" s="108"/>
    </row>
    <row r="579" spans="1:14" x14ac:dyDescent="0.3">
      <c r="A579" s="77"/>
      <c r="B579" s="106"/>
      <c r="F579" s="124"/>
      <c r="G579" s="125"/>
      <c r="J579" s="125"/>
      <c r="L579" s="107"/>
      <c r="M579" s="108"/>
      <c r="N579" s="108"/>
    </row>
    <row r="580" spans="1:14" x14ac:dyDescent="0.3">
      <c r="A580" s="77"/>
      <c r="B580" s="106"/>
      <c r="F580" s="124"/>
      <c r="G580" s="125"/>
      <c r="J580" s="125"/>
      <c r="L580" s="107"/>
      <c r="M580" s="108"/>
      <c r="N580" s="108"/>
    </row>
    <row r="581" spans="1:14" x14ac:dyDescent="0.3">
      <c r="A581" s="77"/>
      <c r="B581" s="106"/>
      <c r="F581" s="124"/>
      <c r="G581" s="125"/>
      <c r="J581" s="125"/>
      <c r="L581" s="107"/>
      <c r="M581" s="108"/>
      <c r="N581" s="108"/>
    </row>
    <row r="582" spans="1:14" x14ac:dyDescent="0.3">
      <c r="A582" s="77"/>
      <c r="B582" s="106"/>
      <c r="F582" s="124"/>
      <c r="G582" s="125"/>
      <c r="J582" s="125"/>
      <c r="L582" s="107"/>
      <c r="M582" s="108"/>
      <c r="N582" s="108"/>
    </row>
    <row r="583" spans="1:14" x14ac:dyDescent="0.3">
      <c r="A583" s="77"/>
      <c r="B583" s="106"/>
      <c r="F583" s="124"/>
      <c r="G583" s="125"/>
      <c r="J583" s="125"/>
      <c r="L583" s="107"/>
      <c r="M583" s="108"/>
      <c r="N583" s="108"/>
    </row>
    <row r="584" spans="1:14" x14ac:dyDescent="0.3">
      <c r="A584" s="77"/>
      <c r="B584" s="106"/>
      <c r="F584" s="124"/>
      <c r="G584" s="125"/>
      <c r="J584" s="125"/>
      <c r="L584" s="107"/>
      <c r="M584" s="108"/>
      <c r="N584" s="108"/>
    </row>
    <row r="585" spans="1:14" x14ac:dyDescent="0.3">
      <c r="A585" s="77"/>
      <c r="B585" s="106"/>
      <c r="F585" s="124"/>
      <c r="G585" s="125"/>
      <c r="J585" s="125"/>
      <c r="L585" s="107"/>
      <c r="M585" s="108"/>
      <c r="N585" s="108"/>
    </row>
    <row r="586" spans="1:14" x14ac:dyDescent="0.3">
      <c r="A586" s="77"/>
      <c r="B586" s="106"/>
      <c r="F586" s="124"/>
      <c r="G586" s="125"/>
      <c r="J586" s="125"/>
      <c r="L586" s="107"/>
      <c r="M586" s="108"/>
      <c r="N586" s="108"/>
    </row>
    <row r="587" spans="1:14" x14ac:dyDescent="0.3">
      <c r="A587" s="77"/>
      <c r="B587" s="106"/>
      <c r="F587" s="124"/>
      <c r="G587" s="125"/>
      <c r="J587" s="125"/>
      <c r="L587" s="107"/>
      <c r="M587" s="108"/>
      <c r="N587" s="108"/>
    </row>
    <row r="588" spans="1:14" x14ac:dyDescent="0.3">
      <c r="A588" s="77"/>
      <c r="B588" s="106"/>
      <c r="F588" s="124"/>
      <c r="G588" s="125"/>
      <c r="J588" s="125"/>
      <c r="L588" s="107"/>
      <c r="M588" s="108"/>
      <c r="N588" s="108"/>
    </row>
    <row r="589" spans="1:14" x14ac:dyDescent="0.3">
      <c r="A589" s="77"/>
      <c r="B589" s="106"/>
      <c r="F589" s="124"/>
      <c r="G589" s="125"/>
      <c r="J589" s="125"/>
      <c r="L589" s="107"/>
      <c r="M589" s="108"/>
      <c r="N589" s="108"/>
    </row>
    <row r="590" spans="1:14" x14ac:dyDescent="0.3">
      <c r="A590" s="77"/>
      <c r="B590" s="106"/>
      <c r="F590" s="124"/>
      <c r="G590" s="125"/>
      <c r="J590" s="125"/>
      <c r="L590" s="107"/>
      <c r="M590" s="108"/>
      <c r="N590" s="108"/>
    </row>
    <row r="591" spans="1:14" x14ac:dyDescent="0.3">
      <c r="A591" s="77"/>
      <c r="B591" s="106"/>
      <c r="F591" s="124"/>
      <c r="G591" s="125"/>
      <c r="J591" s="125"/>
      <c r="L591" s="107"/>
      <c r="M591" s="108"/>
      <c r="N591" s="108"/>
    </row>
    <row r="592" spans="1:14" x14ac:dyDescent="0.3">
      <c r="A592" s="77"/>
      <c r="B592" s="106"/>
      <c r="F592" s="124"/>
      <c r="G592" s="125"/>
      <c r="J592" s="125"/>
      <c r="L592" s="107"/>
      <c r="M592" s="108"/>
      <c r="N592" s="108"/>
    </row>
    <row r="593" spans="1:14" x14ac:dyDescent="0.3">
      <c r="A593" s="77"/>
      <c r="B593" s="106"/>
      <c r="F593" s="124"/>
      <c r="G593" s="125"/>
      <c r="J593" s="125"/>
      <c r="L593" s="107"/>
      <c r="M593" s="108"/>
      <c r="N593" s="108"/>
    </row>
    <row r="594" spans="1:14" x14ac:dyDescent="0.3">
      <c r="A594" s="77"/>
      <c r="B594" s="106"/>
      <c r="F594" s="124"/>
      <c r="G594" s="125"/>
      <c r="J594" s="125"/>
      <c r="L594" s="107"/>
      <c r="M594" s="108"/>
      <c r="N594" s="108"/>
    </row>
    <row r="595" spans="1:14" x14ac:dyDescent="0.3">
      <c r="A595" s="77"/>
      <c r="B595" s="106"/>
      <c r="F595" s="124"/>
      <c r="G595" s="125"/>
      <c r="J595" s="125"/>
      <c r="L595" s="107"/>
      <c r="M595" s="108"/>
      <c r="N595" s="108"/>
    </row>
    <row r="596" spans="1:14" x14ac:dyDescent="0.3">
      <c r="A596" s="77"/>
      <c r="B596" s="106"/>
      <c r="F596" s="124"/>
      <c r="G596" s="125"/>
      <c r="J596" s="125"/>
      <c r="L596" s="107"/>
      <c r="M596" s="108"/>
      <c r="N596" s="108"/>
    </row>
    <row r="597" spans="1:14" x14ac:dyDescent="0.3">
      <c r="A597" s="77"/>
      <c r="B597" s="106"/>
      <c r="F597" s="124"/>
      <c r="G597" s="125"/>
      <c r="J597" s="125"/>
      <c r="L597" s="107"/>
      <c r="M597" s="108"/>
      <c r="N597" s="108"/>
    </row>
    <row r="598" spans="1:14" x14ac:dyDescent="0.3">
      <c r="A598" s="77"/>
      <c r="B598" s="106"/>
      <c r="F598" s="124"/>
      <c r="G598" s="125"/>
      <c r="J598" s="125"/>
      <c r="L598" s="107"/>
      <c r="M598" s="108"/>
      <c r="N598" s="108"/>
    </row>
    <row r="599" spans="1:14" x14ac:dyDescent="0.3">
      <c r="A599" s="77"/>
      <c r="B599" s="106"/>
      <c r="F599" s="124"/>
      <c r="G599" s="125"/>
      <c r="J599" s="125"/>
      <c r="L599" s="107"/>
      <c r="M599" s="108"/>
      <c r="N599" s="108"/>
    </row>
    <row r="600" spans="1:14" x14ac:dyDescent="0.3">
      <c r="A600" s="77"/>
      <c r="B600" s="106"/>
      <c r="F600" s="124"/>
      <c r="G600" s="125"/>
      <c r="J600" s="125"/>
      <c r="L600" s="107"/>
      <c r="M600" s="108"/>
      <c r="N600" s="108"/>
    </row>
    <row r="601" spans="1:14" x14ac:dyDescent="0.3">
      <c r="A601" s="77"/>
      <c r="B601" s="106"/>
      <c r="F601" s="124"/>
      <c r="G601" s="125"/>
      <c r="J601" s="125"/>
      <c r="L601" s="107"/>
      <c r="M601" s="108"/>
      <c r="N601" s="108"/>
    </row>
    <row r="602" spans="1:14" x14ac:dyDescent="0.3">
      <c r="A602" s="77"/>
      <c r="B602" s="106"/>
      <c r="F602" s="124"/>
      <c r="G602" s="125"/>
      <c r="J602" s="125"/>
      <c r="L602" s="107"/>
      <c r="M602" s="108"/>
      <c r="N602" s="108"/>
    </row>
    <row r="603" spans="1:14" x14ac:dyDescent="0.3">
      <c r="A603" s="77"/>
      <c r="B603" s="106"/>
      <c r="F603" s="124"/>
      <c r="G603" s="125"/>
      <c r="J603" s="125"/>
      <c r="L603" s="107"/>
      <c r="M603" s="108"/>
      <c r="N603" s="108"/>
    </row>
    <row r="604" spans="1:14" x14ac:dyDescent="0.3">
      <c r="A604" s="77"/>
      <c r="B604" s="106"/>
      <c r="F604" s="124"/>
      <c r="G604" s="125"/>
      <c r="J604" s="125"/>
      <c r="L604" s="107"/>
      <c r="M604" s="108"/>
      <c r="N604" s="108"/>
    </row>
    <row r="605" spans="1:14" x14ac:dyDescent="0.3">
      <c r="A605" s="77"/>
      <c r="B605" s="106"/>
      <c r="F605" s="124"/>
      <c r="G605" s="125"/>
      <c r="J605" s="125"/>
      <c r="L605" s="107"/>
      <c r="M605" s="108"/>
      <c r="N605" s="108"/>
    </row>
    <row r="606" spans="1:14" x14ac:dyDescent="0.3">
      <c r="A606" s="77"/>
      <c r="B606" s="106"/>
      <c r="F606" s="124"/>
      <c r="G606" s="125"/>
      <c r="J606" s="125"/>
      <c r="L606" s="107"/>
      <c r="M606" s="108"/>
      <c r="N606" s="108"/>
    </row>
    <row r="607" spans="1:14" x14ac:dyDescent="0.3">
      <c r="A607" s="77"/>
      <c r="B607" s="106"/>
      <c r="F607" s="124"/>
      <c r="G607" s="125"/>
      <c r="J607" s="125"/>
      <c r="L607" s="107"/>
      <c r="M607" s="108"/>
      <c r="N607" s="108"/>
    </row>
    <row r="608" spans="1:14" x14ac:dyDescent="0.3">
      <c r="A608" s="77"/>
      <c r="B608" s="106"/>
      <c r="F608" s="124"/>
      <c r="G608" s="125"/>
      <c r="J608" s="125"/>
      <c r="L608" s="107"/>
      <c r="M608" s="108"/>
      <c r="N608" s="108"/>
    </row>
    <row r="609" spans="1:14" x14ac:dyDescent="0.3">
      <c r="A609" s="77"/>
      <c r="B609" s="106"/>
      <c r="F609" s="124"/>
      <c r="G609" s="125"/>
      <c r="J609" s="125"/>
      <c r="L609" s="107"/>
      <c r="M609" s="108"/>
      <c r="N609" s="108"/>
    </row>
    <row r="610" spans="1:14" x14ac:dyDescent="0.3">
      <c r="A610" s="77"/>
      <c r="B610" s="106"/>
      <c r="F610" s="124"/>
      <c r="G610" s="125"/>
      <c r="J610" s="125"/>
      <c r="L610" s="107"/>
      <c r="M610" s="108"/>
      <c r="N610" s="108"/>
    </row>
    <row r="611" spans="1:14" x14ac:dyDescent="0.3">
      <c r="A611" s="77"/>
      <c r="B611" s="106"/>
      <c r="F611" s="124"/>
      <c r="G611" s="125"/>
      <c r="J611" s="125"/>
      <c r="L611" s="107"/>
      <c r="M611" s="108"/>
      <c r="N611" s="108"/>
    </row>
    <row r="612" spans="1:14" x14ac:dyDescent="0.3">
      <c r="A612" s="77"/>
      <c r="B612" s="106"/>
      <c r="F612" s="124"/>
      <c r="G612" s="125"/>
      <c r="J612" s="125"/>
      <c r="L612" s="107"/>
      <c r="M612" s="108"/>
      <c r="N612" s="108"/>
    </row>
    <row r="613" spans="1:14" x14ac:dyDescent="0.3">
      <c r="A613" s="77"/>
      <c r="B613" s="106"/>
      <c r="F613" s="124"/>
      <c r="G613" s="125"/>
      <c r="J613" s="125"/>
      <c r="L613" s="107"/>
      <c r="M613" s="108"/>
      <c r="N613" s="108"/>
    </row>
    <row r="614" spans="1:14" x14ac:dyDescent="0.3">
      <c r="A614" s="77"/>
      <c r="B614" s="106"/>
      <c r="F614" s="124"/>
      <c r="G614" s="125"/>
      <c r="J614" s="125"/>
      <c r="L614" s="107"/>
      <c r="M614" s="108"/>
      <c r="N614" s="108"/>
    </row>
    <row r="615" spans="1:14" x14ac:dyDescent="0.3">
      <c r="A615" s="77"/>
      <c r="B615" s="106"/>
      <c r="F615" s="124"/>
      <c r="G615" s="125"/>
      <c r="J615" s="125"/>
      <c r="L615" s="107"/>
      <c r="M615" s="108"/>
      <c r="N615" s="108"/>
    </row>
    <row r="616" spans="1:14" x14ac:dyDescent="0.3">
      <c r="A616" s="77"/>
      <c r="B616" s="106"/>
      <c r="F616" s="124"/>
      <c r="G616" s="125"/>
      <c r="J616" s="125"/>
      <c r="L616" s="107"/>
      <c r="M616" s="108"/>
      <c r="N616" s="108"/>
    </row>
    <row r="617" spans="1:14" x14ac:dyDescent="0.3">
      <c r="A617" s="77"/>
      <c r="B617" s="106"/>
      <c r="F617" s="124"/>
      <c r="G617" s="125"/>
      <c r="J617" s="125"/>
      <c r="L617" s="107"/>
      <c r="M617" s="108"/>
      <c r="N617" s="108"/>
    </row>
    <row r="618" spans="1:14" x14ac:dyDescent="0.3">
      <c r="A618" s="77"/>
      <c r="B618" s="106"/>
      <c r="F618" s="124"/>
      <c r="G618" s="125"/>
      <c r="J618" s="125"/>
      <c r="L618" s="107"/>
      <c r="M618" s="108"/>
      <c r="N618" s="108"/>
    </row>
    <row r="619" spans="1:14" x14ac:dyDescent="0.3">
      <c r="A619" s="77"/>
      <c r="B619" s="106"/>
      <c r="F619" s="124"/>
      <c r="G619" s="125"/>
      <c r="J619" s="125"/>
      <c r="L619" s="107"/>
      <c r="M619" s="108"/>
      <c r="N619" s="108"/>
    </row>
    <row r="620" spans="1:14" x14ac:dyDescent="0.3">
      <c r="A620" s="77"/>
      <c r="B620" s="106"/>
      <c r="F620" s="124"/>
      <c r="G620" s="125"/>
      <c r="J620" s="125"/>
      <c r="L620" s="107"/>
      <c r="M620" s="108"/>
      <c r="N620" s="108"/>
    </row>
    <row r="621" spans="1:14" x14ac:dyDescent="0.3">
      <c r="A621" s="77"/>
      <c r="B621" s="106"/>
      <c r="F621" s="124"/>
      <c r="G621" s="125"/>
      <c r="J621" s="125"/>
      <c r="L621" s="107"/>
      <c r="M621" s="108"/>
      <c r="N621" s="108"/>
    </row>
    <row r="622" spans="1:14" x14ac:dyDescent="0.3">
      <c r="A622" s="77"/>
      <c r="B622" s="106"/>
      <c r="F622" s="124"/>
      <c r="G622" s="125"/>
      <c r="J622" s="125"/>
      <c r="L622" s="107"/>
      <c r="M622" s="108"/>
      <c r="N622" s="108"/>
    </row>
    <row r="623" spans="1:14" x14ac:dyDescent="0.3">
      <c r="A623" s="77"/>
      <c r="B623" s="106"/>
      <c r="F623" s="124"/>
      <c r="G623" s="125"/>
      <c r="J623" s="125"/>
      <c r="L623" s="107"/>
      <c r="M623" s="108"/>
      <c r="N623" s="108"/>
    </row>
    <row r="624" spans="1:14" x14ac:dyDescent="0.3">
      <c r="A624" s="77"/>
      <c r="B624" s="106"/>
      <c r="F624" s="124"/>
      <c r="G624" s="125"/>
      <c r="J624" s="125"/>
      <c r="L624" s="107"/>
      <c r="M624" s="108"/>
      <c r="N624" s="108"/>
    </row>
    <row r="625" spans="1:14" x14ac:dyDescent="0.3">
      <c r="A625" s="77"/>
      <c r="B625" s="106"/>
      <c r="F625" s="124"/>
      <c r="G625" s="125"/>
      <c r="J625" s="125"/>
      <c r="L625" s="107"/>
      <c r="M625" s="108"/>
      <c r="N625" s="108"/>
    </row>
    <row r="626" spans="1:14" x14ac:dyDescent="0.3">
      <c r="A626" s="77"/>
      <c r="B626" s="106"/>
      <c r="F626" s="124"/>
      <c r="G626" s="125"/>
      <c r="J626" s="125"/>
      <c r="L626" s="107"/>
      <c r="M626" s="108"/>
      <c r="N626" s="108"/>
    </row>
    <row r="627" spans="1:14" x14ac:dyDescent="0.3">
      <c r="A627" s="77"/>
      <c r="B627" s="106"/>
      <c r="F627" s="124"/>
      <c r="G627" s="125"/>
      <c r="J627" s="125"/>
      <c r="L627" s="107"/>
      <c r="M627" s="108"/>
      <c r="N627" s="108"/>
    </row>
    <row r="628" spans="1:14" x14ac:dyDescent="0.3">
      <c r="A628" s="77"/>
      <c r="B628" s="106"/>
      <c r="F628" s="124"/>
      <c r="G628" s="125"/>
      <c r="J628" s="125"/>
      <c r="L628" s="107"/>
      <c r="M628" s="108"/>
      <c r="N628" s="108"/>
    </row>
    <row r="629" spans="1:14" x14ac:dyDescent="0.3">
      <c r="A629" s="77"/>
      <c r="B629" s="106"/>
      <c r="F629" s="124"/>
      <c r="G629" s="125"/>
      <c r="J629" s="125"/>
      <c r="L629" s="107"/>
      <c r="M629" s="108"/>
      <c r="N629" s="108"/>
    </row>
    <row r="630" spans="1:14" x14ac:dyDescent="0.3">
      <c r="A630" s="77"/>
      <c r="B630" s="106"/>
      <c r="F630" s="124"/>
      <c r="G630" s="125"/>
      <c r="J630" s="125"/>
      <c r="L630" s="107"/>
      <c r="M630" s="108"/>
      <c r="N630" s="108"/>
    </row>
    <row r="631" spans="1:14" x14ac:dyDescent="0.3">
      <c r="A631" s="77"/>
      <c r="B631" s="106"/>
      <c r="F631" s="124"/>
      <c r="G631" s="125"/>
      <c r="J631" s="125"/>
      <c r="L631" s="107"/>
      <c r="M631" s="108"/>
      <c r="N631" s="108"/>
    </row>
    <row r="632" spans="1:14" x14ac:dyDescent="0.3">
      <c r="A632" s="77"/>
      <c r="B632" s="106"/>
      <c r="F632" s="124"/>
      <c r="G632" s="125"/>
      <c r="J632" s="125"/>
      <c r="L632" s="107"/>
      <c r="M632" s="108"/>
      <c r="N632" s="108"/>
    </row>
    <row r="633" spans="1:14" x14ac:dyDescent="0.3">
      <c r="A633" s="77"/>
      <c r="B633" s="106"/>
      <c r="F633" s="124"/>
      <c r="G633" s="125"/>
      <c r="J633" s="125"/>
      <c r="L633" s="107"/>
      <c r="M633" s="108"/>
      <c r="N633" s="108"/>
    </row>
    <row r="634" spans="1:14" x14ac:dyDescent="0.3">
      <c r="A634" s="77"/>
      <c r="B634" s="106"/>
      <c r="F634" s="124"/>
      <c r="G634" s="125"/>
      <c r="J634" s="125"/>
      <c r="L634" s="107"/>
      <c r="M634" s="108"/>
      <c r="N634" s="108"/>
    </row>
    <row r="635" spans="1:14" x14ac:dyDescent="0.3">
      <c r="A635" s="77"/>
      <c r="B635" s="106"/>
      <c r="F635" s="124"/>
      <c r="G635" s="125"/>
      <c r="L635" s="107"/>
      <c r="M635" s="108"/>
      <c r="N635" s="108"/>
    </row>
    <row r="636" spans="1:14" x14ac:dyDescent="0.3">
      <c r="A636" s="77"/>
      <c r="B636" s="106"/>
      <c r="F636" s="124"/>
      <c r="G636" s="125"/>
      <c r="L636" s="107"/>
      <c r="M636" s="108"/>
      <c r="N636" s="108"/>
    </row>
    <row r="637" spans="1:14" x14ac:dyDescent="0.3">
      <c r="A637" s="77"/>
      <c r="B637" s="106"/>
      <c r="F637" s="124"/>
      <c r="G637" s="125"/>
      <c r="L637" s="107"/>
      <c r="M637" s="108"/>
      <c r="N637" s="108"/>
    </row>
    <row r="638" spans="1:14" x14ac:dyDescent="0.3">
      <c r="A638" s="77"/>
      <c r="B638" s="106"/>
      <c r="F638" s="124"/>
      <c r="G638" s="125"/>
      <c r="L638" s="107"/>
      <c r="M638" s="108"/>
      <c r="N638" s="108"/>
    </row>
  </sheetData>
  <conditionalFormatting sqref="I2:I165">
    <cfRule type="cellIs" dxfId="44" priority="1" operator="equal">
      <formula>"REVISAR"</formula>
    </cfRule>
    <cfRule type="cellIs" dxfId="43" priority="2" operator="equal">
      <formula>"CORRECTO"</formula>
    </cfRule>
  </conditionalFormatting>
  <conditionalFormatting sqref="L2:L165">
    <cfRule type="cellIs" dxfId="42" priority="3" operator="equal">
      <formula>"APROBADO"</formula>
    </cfRule>
    <cfRule type="cellIs" dxfId="41" priority="4" operator="equal">
      <formula>"PENDIENTE"</formula>
    </cfRule>
    <cfRule type="cellIs" dxfId="40" priority="5" operator="equal">
      <formula>"PAGADO"</formula>
    </cfRule>
  </conditionalFormatting>
  <dataValidations count="1">
    <dataValidation type="list" allowBlank="1" showErrorMessage="1" sqref="L2:L165" xr:uid="{5C71FE0E-54FC-4DE8-BC5B-431056A4F1CE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E4EA003-EC8B-44A4-9354-4C6F4D8F25AF}">
          <x14:formula1>
            <xm:f>'CUENTAS'!$A$2:$A$59</xm:f>
          </x14:formula1>
          <xm:sqref>C2:C165</xm:sqref>
        </x14:dataValidation>
        <x14:dataValidation type="list" allowBlank="1" showInputMessage="1" showErrorMessage="1" xr:uid="{663F5CBE-3D15-4988-A9D5-89B27A66FCE1}">
          <x14:formula1>
            <xm:f>'CUENTAS'!$G$2:$G$8</xm:f>
          </x14:formula1>
          <xm:sqref>J2:J165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E555-E072-4578-88E8-B52FCB6A52EA}">
  <sheetPr>
    <tabColor theme="1" tint="4.9989318521683403E-2"/>
  </sheetPr>
  <dimension ref="A1:Q686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4.4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7.5546875" style="83" customWidth="1"/>
    <col min="8" max="9" width="17.5546875" style="97" customWidth="1"/>
    <col min="10" max="10" width="23.44140625" style="83" bestFit="1" customWidth="1"/>
    <col min="11" max="11" width="14.77734375" style="98" customWidth="1"/>
    <col min="12" max="12" width="11.21875" style="99" bestFit="1" customWidth="1"/>
    <col min="13" max="13" width="12.6640625" style="182"/>
    <col min="14" max="14" width="23.554687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77" customFormat="1" ht="24.6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81" t="s">
        <v>104</v>
      </c>
      <c r="N1" s="12" t="s">
        <v>105</v>
      </c>
    </row>
    <row r="2" spans="1:17" x14ac:dyDescent="0.3">
      <c r="A2" s="16" t="s">
        <v>1287</v>
      </c>
      <c r="B2" s="16">
        <v>9990250</v>
      </c>
      <c r="C2" s="28" t="s">
        <v>123</v>
      </c>
      <c r="D2" s="28" t="str">
        <f>IFERROR(VLOOKUP($C2,CUENTAS[],2,0),"")</f>
        <v>ACTIVOS FIJOS</v>
      </c>
      <c r="E2" s="28" t="str">
        <f>IFERROR(VLOOKUP($C2,CUENTAS[],3,0),"")</f>
        <v>MDE2025-007C</v>
      </c>
      <c r="F2" s="86">
        <v>50462.879999999997</v>
      </c>
      <c r="G2" s="86">
        <v>0</v>
      </c>
      <c r="H2" s="74">
        <v>50462.879999999997</v>
      </c>
      <c r="I2" s="200" t="str">
        <f>IFERROR(IF(F2+G2&lt;&gt;H2,"REVISAR","CORRECTO"),"")</f>
        <v>CORRECTO</v>
      </c>
      <c r="J2" s="88" t="s">
        <v>3244</v>
      </c>
      <c r="K2" s="69" t="s">
        <v>360</v>
      </c>
      <c r="L2" s="84" t="s">
        <v>227</v>
      </c>
      <c r="M2" s="135">
        <v>45779</v>
      </c>
      <c r="N2" s="75" t="s">
        <v>368</v>
      </c>
      <c r="P2" s="89"/>
      <c r="Q2" s="89"/>
    </row>
    <row r="3" spans="1:17" x14ac:dyDescent="0.3">
      <c r="A3" s="16" t="s">
        <v>1068</v>
      </c>
      <c r="B3" s="16" t="s">
        <v>1288</v>
      </c>
      <c r="C3" s="28" t="s">
        <v>177</v>
      </c>
      <c r="D3" s="28" t="str">
        <f>IFERROR(VLOOKUP($C3,CUENTAS[],2,0),"")</f>
        <v>GASTOS FIJOS</v>
      </c>
      <c r="E3" s="28" t="str">
        <f>IFERROR(VLOOKUP($C3,CUENTAS[],3,0),"")</f>
        <v>MDE2025-002A</v>
      </c>
      <c r="F3" s="86">
        <v>3500</v>
      </c>
      <c r="G3" s="86">
        <v>0</v>
      </c>
      <c r="H3" s="74">
        <v>3500</v>
      </c>
      <c r="I3" s="200" t="str">
        <f t="shared" ref="I3:I66" si="0">IFERROR(IF(F3+G3&lt;&gt;H3,"REVISAR","CORRECTO"),"")</f>
        <v>CORRECTO</v>
      </c>
      <c r="J3" s="88" t="s">
        <v>3244</v>
      </c>
      <c r="K3" s="69" t="s">
        <v>365</v>
      </c>
      <c r="L3" s="84" t="s">
        <v>227</v>
      </c>
      <c r="M3" s="135">
        <v>45779</v>
      </c>
      <c r="N3" s="75" t="s">
        <v>371</v>
      </c>
      <c r="P3" s="89"/>
      <c r="Q3" s="89"/>
    </row>
    <row r="4" spans="1:17" x14ac:dyDescent="0.3">
      <c r="A4" s="16" t="s">
        <v>1289</v>
      </c>
      <c r="B4" s="16" t="s">
        <v>1290</v>
      </c>
      <c r="C4" s="28" t="s">
        <v>224</v>
      </c>
      <c r="D4" s="28" t="str">
        <f>IFERROR(VLOOKUP($C4,CUENTAS[],2,0),"")</f>
        <v>MATERIALES</v>
      </c>
      <c r="E4" s="28" t="str">
        <f>IFERROR(VLOOKUP($C4,CUENTAS[],3,0),"")</f>
        <v>MDE2025-004</v>
      </c>
      <c r="F4" s="86">
        <v>3654</v>
      </c>
      <c r="G4" s="86">
        <v>0</v>
      </c>
      <c r="H4" s="74">
        <v>3654</v>
      </c>
      <c r="I4" s="200" t="str">
        <f t="shared" si="0"/>
        <v>CORRECTO</v>
      </c>
      <c r="J4" s="88" t="s">
        <v>3244</v>
      </c>
      <c r="K4" s="69" t="s">
        <v>407</v>
      </c>
      <c r="L4" s="84" t="s">
        <v>227</v>
      </c>
      <c r="M4" s="135">
        <v>45779</v>
      </c>
      <c r="N4" s="75" t="s">
        <v>1415</v>
      </c>
      <c r="P4" s="89"/>
      <c r="Q4" s="89"/>
    </row>
    <row r="5" spans="1:17" x14ac:dyDescent="0.3">
      <c r="A5" s="16" t="s">
        <v>491</v>
      </c>
      <c r="B5" s="16" t="s">
        <v>1291</v>
      </c>
      <c r="C5" s="28" t="s">
        <v>178</v>
      </c>
      <c r="D5" s="28" t="str">
        <f>IFERROR(VLOOKUP($C5,CUENTAS[],2,0),"")</f>
        <v>GASTOS FIJOS</v>
      </c>
      <c r="E5" s="28" t="str">
        <f>IFERROR(VLOOKUP($C5,CUENTAS[],3,0),"")</f>
        <v>MDE2025-002O</v>
      </c>
      <c r="F5" s="86">
        <v>1000</v>
      </c>
      <c r="G5" s="86">
        <v>0</v>
      </c>
      <c r="H5" s="74">
        <v>1000</v>
      </c>
      <c r="I5" s="200" t="str">
        <f t="shared" si="0"/>
        <v>CORRECTO</v>
      </c>
      <c r="J5" s="88" t="s">
        <v>3244</v>
      </c>
      <c r="K5" s="69" t="s">
        <v>405</v>
      </c>
      <c r="L5" s="84" t="s">
        <v>227</v>
      </c>
      <c r="M5" s="136">
        <v>45779</v>
      </c>
      <c r="N5" s="75" t="s">
        <v>371</v>
      </c>
      <c r="P5" s="89"/>
      <c r="Q5" s="89"/>
    </row>
    <row r="6" spans="1:17" x14ac:dyDescent="0.3">
      <c r="A6" s="16" t="s">
        <v>236</v>
      </c>
      <c r="B6" s="16" t="s">
        <v>1088</v>
      </c>
      <c r="C6" s="28" t="s">
        <v>201</v>
      </c>
      <c r="D6" s="28" t="str">
        <f>IFERROR(VLOOKUP($C6,CUENTAS[],2,0),"")</f>
        <v>ACTIVOS FIJOS</v>
      </c>
      <c r="E6" s="28" t="str">
        <f>IFERROR(VLOOKUP($C6,CUENTAS[],3,0),"")</f>
        <v>MDE2025-007I</v>
      </c>
      <c r="F6" s="86">
        <v>3500</v>
      </c>
      <c r="G6" s="86">
        <v>0</v>
      </c>
      <c r="H6" s="74">
        <v>3500</v>
      </c>
      <c r="I6" s="200" t="str">
        <f t="shared" si="0"/>
        <v>CORRECTO</v>
      </c>
      <c r="J6" s="88" t="s">
        <v>3244</v>
      </c>
      <c r="K6" s="69" t="s">
        <v>363</v>
      </c>
      <c r="L6" s="84" t="s">
        <v>227</v>
      </c>
      <c r="M6" s="135">
        <v>45779</v>
      </c>
      <c r="N6" s="75" t="s">
        <v>371</v>
      </c>
      <c r="P6" s="89"/>
      <c r="Q6" s="89"/>
    </row>
    <row r="7" spans="1:17" x14ac:dyDescent="0.3">
      <c r="A7" s="16" t="s">
        <v>238</v>
      </c>
      <c r="B7" s="16" t="s">
        <v>1088</v>
      </c>
      <c r="C7" s="28" t="s">
        <v>201</v>
      </c>
      <c r="D7" s="28" t="str">
        <f>IFERROR(VLOOKUP($C7,CUENTAS[],2,0),"")</f>
        <v>ACTIVOS FIJOS</v>
      </c>
      <c r="E7" s="28" t="str">
        <f>IFERROR(VLOOKUP($C7,CUENTAS[],3,0),"")</f>
        <v>MDE2025-007I</v>
      </c>
      <c r="F7" s="86">
        <v>3200</v>
      </c>
      <c r="G7" s="86">
        <v>0</v>
      </c>
      <c r="H7" s="74">
        <v>3200</v>
      </c>
      <c r="I7" s="200" t="str">
        <f t="shared" si="0"/>
        <v>CORRECTO</v>
      </c>
      <c r="J7" s="88" t="s">
        <v>3244</v>
      </c>
      <c r="K7" s="69" t="s">
        <v>363</v>
      </c>
      <c r="L7" s="84" t="s">
        <v>227</v>
      </c>
      <c r="M7" s="135">
        <v>45779</v>
      </c>
      <c r="N7" s="75" t="s">
        <v>371</v>
      </c>
      <c r="P7" s="89"/>
      <c r="Q7" s="89"/>
    </row>
    <row r="8" spans="1:17" x14ac:dyDescent="0.3">
      <c r="A8" s="16" t="s">
        <v>240</v>
      </c>
      <c r="B8" s="16" t="s">
        <v>1292</v>
      </c>
      <c r="C8" s="28" t="s">
        <v>201</v>
      </c>
      <c r="D8" s="28" t="str">
        <f>IFERROR(VLOOKUP($C8,CUENTAS[],2,0),"")</f>
        <v>ACTIVOS FIJOS</v>
      </c>
      <c r="E8" s="28" t="str">
        <f>IFERROR(VLOOKUP($C8,CUENTAS[],3,0),"")</f>
        <v>MDE2025-007I</v>
      </c>
      <c r="F8" s="86">
        <v>10000</v>
      </c>
      <c r="G8" s="86">
        <v>0</v>
      </c>
      <c r="H8" s="74">
        <v>10000</v>
      </c>
      <c r="I8" s="200" t="str">
        <f t="shared" si="0"/>
        <v>CORRECTO</v>
      </c>
      <c r="J8" s="88" t="s">
        <v>3244</v>
      </c>
      <c r="K8" s="69" t="s">
        <v>360</v>
      </c>
      <c r="L8" s="84" t="s">
        <v>227</v>
      </c>
      <c r="M8" s="135">
        <v>45779</v>
      </c>
      <c r="N8" s="75" t="s">
        <v>371</v>
      </c>
      <c r="P8" s="89"/>
      <c r="Q8" s="89"/>
    </row>
    <row r="9" spans="1:17" x14ac:dyDescent="0.3">
      <c r="A9" s="16" t="s">
        <v>1293</v>
      </c>
      <c r="B9" s="16" t="s">
        <v>1294</v>
      </c>
      <c r="C9" s="28" t="s">
        <v>224</v>
      </c>
      <c r="D9" s="28" t="str">
        <f>IFERROR(VLOOKUP($C9,CUENTAS[],2,0),"")</f>
        <v>MATERIALES</v>
      </c>
      <c r="E9" s="28" t="str">
        <f>IFERROR(VLOOKUP($C9,CUENTAS[],3,0),"")</f>
        <v>MDE2025-004</v>
      </c>
      <c r="F9" s="86">
        <v>55450.84</v>
      </c>
      <c r="G9" s="86">
        <v>8872.1299999999992</v>
      </c>
      <c r="H9" s="74">
        <v>64322.97</v>
      </c>
      <c r="I9" s="200" t="str">
        <f t="shared" si="0"/>
        <v>CORRECTO</v>
      </c>
      <c r="J9" s="88" t="s">
        <v>3244</v>
      </c>
      <c r="K9" s="69" t="s">
        <v>363</v>
      </c>
      <c r="L9" s="84" t="s">
        <v>227</v>
      </c>
      <c r="M9" s="135">
        <v>45779</v>
      </c>
      <c r="N9" s="75" t="s">
        <v>368</v>
      </c>
      <c r="P9" s="89"/>
      <c r="Q9" s="89"/>
    </row>
    <row r="10" spans="1:17" x14ac:dyDescent="0.3">
      <c r="A10" s="16" t="s">
        <v>232</v>
      </c>
      <c r="B10" s="16" t="s">
        <v>1295</v>
      </c>
      <c r="C10" s="28" t="s">
        <v>224</v>
      </c>
      <c r="D10" s="28" t="str">
        <f>IFERROR(VLOOKUP($C10,CUENTAS[],2,0),"")</f>
        <v>MATERIALES</v>
      </c>
      <c r="E10" s="28" t="str">
        <f>IFERROR(VLOOKUP($C10,CUENTAS[],3,0),"")</f>
        <v>MDE2025-004</v>
      </c>
      <c r="F10" s="86">
        <v>3828</v>
      </c>
      <c r="G10" s="86">
        <v>0</v>
      </c>
      <c r="H10" s="74">
        <v>3828</v>
      </c>
      <c r="I10" s="200" t="str">
        <f t="shared" si="0"/>
        <v>CORRECTO</v>
      </c>
      <c r="J10" s="88" t="s">
        <v>3244</v>
      </c>
      <c r="K10" s="69" t="s">
        <v>363</v>
      </c>
      <c r="L10" s="84" t="s">
        <v>227</v>
      </c>
      <c r="M10" s="135">
        <v>45779</v>
      </c>
      <c r="N10" s="75" t="s">
        <v>1416</v>
      </c>
      <c r="P10" s="89"/>
      <c r="Q10" s="89"/>
    </row>
    <row r="11" spans="1:17" x14ac:dyDescent="0.3">
      <c r="A11" s="16" t="s">
        <v>283</v>
      </c>
      <c r="B11" s="16">
        <v>123</v>
      </c>
      <c r="C11" s="28" t="s">
        <v>146</v>
      </c>
      <c r="D11" s="28" t="str">
        <f>IFERROR(VLOOKUP($C11,CUENTAS[],2,0),"")</f>
        <v>TOKA</v>
      </c>
      <c r="E11" s="28" t="str">
        <f>IFERROR(VLOOKUP($C11,CUENTAS[],3,0),"")</f>
        <v>TOK2025-001A</v>
      </c>
      <c r="F11" s="86">
        <v>400</v>
      </c>
      <c r="G11" s="86">
        <v>6</v>
      </c>
      <c r="H11" s="74">
        <v>406</v>
      </c>
      <c r="I11" s="200" t="str">
        <f t="shared" si="0"/>
        <v>CORRECTO</v>
      </c>
      <c r="J11" s="88" t="s">
        <v>3244</v>
      </c>
      <c r="K11" s="69" t="s">
        <v>363</v>
      </c>
      <c r="L11" s="84" t="s">
        <v>227</v>
      </c>
      <c r="M11" s="135">
        <v>45779</v>
      </c>
      <c r="N11" s="75" t="s">
        <v>570</v>
      </c>
      <c r="P11" s="89"/>
      <c r="Q11" s="89"/>
    </row>
    <row r="12" spans="1:17" x14ac:dyDescent="0.3">
      <c r="A12" s="16" t="s">
        <v>284</v>
      </c>
      <c r="B12" s="16" t="s">
        <v>1296</v>
      </c>
      <c r="C12" s="28" t="s">
        <v>224</v>
      </c>
      <c r="D12" s="28" t="str">
        <f>IFERROR(VLOOKUP($C12,CUENTAS[],2,0),"")</f>
        <v>MATERIALES</v>
      </c>
      <c r="E12" s="28" t="str">
        <f>IFERROR(VLOOKUP($C12,CUENTAS[],3,0),"")</f>
        <v>MDE2025-004</v>
      </c>
      <c r="F12" s="86">
        <v>9621</v>
      </c>
      <c r="G12" s="86">
        <v>1539.32</v>
      </c>
      <c r="H12" s="74">
        <v>11160.32</v>
      </c>
      <c r="I12" s="200" t="str">
        <f t="shared" si="0"/>
        <v>CORRECTO</v>
      </c>
      <c r="J12" s="88" t="s">
        <v>3244</v>
      </c>
      <c r="K12" s="69" t="s">
        <v>363</v>
      </c>
      <c r="L12" s="84" t="s">
        <v>227</v>
      </c>
      <c r="M12" s="135">
        <v>45783</v>
      </c>
      <c r="N12" s="75" t="s">
        <v>1417</v>
      </c>
      <c r="P12" s="89"/>
      <c r="Q12" s="89"/>
    </row>
    <row r="13" spans="1:17" x14ac:dyDescent="0.3">
      <c r="A13" s="16" t="s">
        <v>284</v>
      </c>
      <c r="B13" s="16" t="s">
        <v>1297</v>
      </c>
      <c r="C13" s="28" t="s">
        <v>224</v>
      </c>
      <c r="D13" s="28" t="str">
        <f>IFERROR(VLOOKUP($C13,CUENTAS[],2,0),"")</f>
        <v>MATERIALES</v>
      </c>
      <c r="E13" s="28" t="str">
        <f>IFERROR(VLOOKUP($C13,CUENTAS[],3,0),"")</f>
        <v>MDE2025-004</v>
      </c>
      <c r="F13" s="86">
        <v>2320.4699999999998</v>
      </c>
      <c r="G13" s="86">
        <v>371.28</v>
      </c>
      <c r="H13" s="74">
        <v>2691.75</v>
      </c>
      <c r="I13" s="200" t="str">
        <f t="shared" si="0"/>
        <v>CORRECTO</v>
      </c>
      <c r="J13" s="88" t="s">
        <v>3244</v>
      </c>
      <c r="K13" s="69" t="s">
        <v>363</v>
      </c>
      <c r="L13" s="84" t="s">
        <v>227</v>
      </c>
      <c r="M13" s="135">
        <v>45783</v>
      </c>
      <c r="N13" s="75" t="s">
        <v>1418</v>
      </c>
      <c r="P13" s="89"/>
      <c r="Q13" s="89"/>
    </row>
    <row r="14" spans="1:17" x14ac:dyDescent="0.3">
      <c r="A14" s="16" t="s">
        <v>284</v>
      </c>
      <c r="B14" s="16" t="s">
        <v>1298</v>
      </c>
      <c r="C14" s="28" t="s">
        <v>224</v>
      </c>
      <c r="D14" s="28" t="str">
        <f>IFERROR(VLOOKUP($C14,CUENTAS[],2,0),"")</f>
        <v>MATERIALES</v>
      </c>
      <c r="E14" s="28" t="str">
        <f>IFERROR(VLOOKUP($C14,CUENTAS[],3,0),"")</f>
        <v>MDE2025-004</v>
      </c>
      <c r="F14" s="86">
        <v>35924.82</v>
      </c>
      <c r="G14" s="86">
        <v>5747.96</v>
      </c>
      <c r="H14" s="74">
        <v>41672.78</v>
      </c>
      <c r="I14" s="200" t="str">
        <f t="shared" si="0"/>
        <v>CORRECTO</v>
      </c>
      <c r="J14" s="88" t="s">
        <v>3244</v>
      </c>
      <c r="K14" s="69" t="s">
        <v>363</v>
      </c>
      <c r="L14" s="84" t="s">
        <v>227</v>
      </c>
      <c r="M14" s="135">
        <v>45783</v>
      </c>
      <c r="N14" s="75" t="s">
        <v>1419</v>
      </c>
      <c r="P14" s="89"/>
      <c r="Q14" s="89"/>
    </row>
    <row r="15" spans="1:17" x14ac:dyDescent="0.3">
      <c r="A15" s="16" t="s">
        <v>284</v>
      </c>
      <c r="B15" s="16" t="s">
        <v>1299</v>
      </c>
      <c r="C15" s="28" t="s">
        <v>224</v>
      </c>
      <c r="D15" s="28" t="str">
        <f>IFERROR(VLOOKUP($C15,CUENTAS[],2,0),"")</f>
        <v>MATERIALES</v>
      </c>
      <c r="E15" s="28" t="str">
        <f>IFERROR(VLOOKUP($C15,CUENTAS[],3,0),"")</f>
        <v>MDE2025-004</v>
      </c>
      <c r="F15" s="86">
        <v>3000</v>
      </c>
      <c r="G15" s="86">
        <v>480</v>
      </c>
      <c r="H15" s="74">
        <v>3480</v>
      </c>
      <c r="I15" s="200" t="str">
        <f t="shared" si="0"/>
        <v>CORRECTO</v>
      </c>
      <c r="J15" s="88" t="s">
        <v>3244</v>
      </c>
      <c r="K15" s="69" t="s">
        <v>363</v>
      </c>
      <c r="L15" s="84" t="s">
        <v>227</v>
      </c>
      <c r="M15" s="135">
        <v>45783</v>
      </c>
      <c r="N15" s="75" t="s">
        <v>1420</v>
      </c>
      <c r="P15" s="89"/>
      <c r="Q15" s="89"/>
    </row>
    <row r="16" spans="1:17" x14ac:dyDescent="0.3">
      <c r="A16" s="16" t="s">
        <v>284</v>
      </c>
      <c r="B16" s="16" t="s">
        <v>1300</v>
      </c>
      <c r="C16" s="28" t="s">
        <v>224</v>
      </c>
      <c r="D16" s="28" t="str">
        <f>IFERROR(VLOOKUP($C16,CUENTAS[],2,0),"")</f>
        <v>MATERIALES</v>
      </c>
      <c r="E16" s="28" t="str">
        <f>IFERROR(VLOOKUP($C16,CUENTAS[],3,0),"")</f>
        <v>MDE2025-004</v>
      </c>
      <c r="F16" s="86">
        <v>14190.52</v>
      </c>
      <c r="G16" s="86">
        <v>2270.48</v>
      </c>
      <c r="H16" s="74">
        <v>16461</v>
      </c>
      <c r="I16" s="200" t="str">
        <f t="shared" si="0"/>
        <v>CORRECTO</v>
      </c>
      <c r="J16" s="88" t="s">
        <v>3244</v>
      </c>
      <c r="K16" s="69" t="s">
        <v>363</v>
      </c>
      <c r="L16" s="84" t="s">
        <v>227</v>
      </c>
      <c r="M16" s="135">
        <v>45783</v>
      </c>
      <c r="N16" s="75" t="s">
        <v>1421</v>
      </c>
      <c r="P16" s="89"/>
      <c r="Q16" s="89"/>
    </row>
    <row r="17" spans="1:17" x14ac:dyDescent="0.3">
      <c r="A17" s="16" t="s">
        <v>284</v>
      </c>
      <c r="B17" s="16" t="s">
        <v>1301</v>
      </c>
      <c r="C17" s="28" t="s">
        <v>224</v>
      </c>
      <c r="D17" s="28" t="str">
        <f>IFERROR(VLOOKUP($C17,CUENTAS[],2,0),"")</f>
        <v>MATERIALES</v>
      </c>
      <c r="E17" s="28" t="str">
        <f>IFERROR(VLOOKUP($C17,CUENTAS[],3,0),"")</f>
        <v>MDE2025-004</v>
      </c>
      <c r="F17" s="86">
        <v>1400</v>
      </c>
      <c r="G17" s="86">
        <v>0</v>
      </c>
      <c r="H17" s="74">
        <v>1400</v>
      </c>
      <c r="I17" s="200" t="str">
        <f t="shared" si="0"/>
        <v>CORRECTO</v>
      </c>
      <c r="J17" s="88" t="s">
        <v>3244</v>
      </c>
      <c r="K17" s="69" t="s">
        <v>363</v>
      </c>
      <c r="L17" s="84" t="s">
        <v>227</v>
      </c>
      <c r="M17" s="135">
        <v>45783</v>
      </c>
      <c r="N17" s="75" t="s">
        <v>1422</v>
      </c>
      <c r="P17" s="89"/>
      <c r="Q17" s="89"/>
    </row>
    <row r="18" spans="1:17" x14ac:dyDescent="0.3">
      <c r="A18" s="16" t="s">
        <v>284</v>
      </c>
      <c r="B18" s="16" t="s">
        <v>1302</v>
      </c>
      <c r="C18" s="28" t="s">
        <v>224</v>
      </c>
      <c r="D18" s="28" t="str">
        <f>IFERROR(VLOOKUP($C18,CUENTAS[],2,0),"")</f>
        <v>MATERIALES</v>
      </c>
      <c r="E18" s="28" t="str">
        <f>IFERROR(VLOOKUP($C18,CUENTAS[],3,0),"")</f>
        <v>MDE2025-004</v>
      </c>
      <c r="F18" s="86">
        <v>990</v>
      </c>
      <c r="G18" s="86">
        <v>0</v>
      </c>
      <c r="H18" s="74">
        <v>990</v>
      </c>
      <c r="I18" s="200" t="str">
        <f t="shared" si="0"/>
        <v>CORRECTO</v>
      </c>
      <c r="J18" s="88" t="s">
        <v>3244</v>
      </c>
      <c r="K18" s="69" t="s">
        <v>1423</v>
      </c>
      <c r="L18" s="84" t="s">
        <v>227</v>
      </c>
      <c r="M18" s="135">
        <v>45783</v>
      </c>
      <c r="N18" s="75" t="s">
        <v>1424</v>
      </c>
      <c r="P18" s="89"/>
      <c r="Q18" s="89"/>
    </row>
    <row r="19" spans="1:17" ht="13.8" x14ac:dyDescent="0.3">
      <c r="A19" s="16" t="s">
        <v>284</v>
      </c>
      <c r="B19" s="16" t="s">
        <v>1303</v>
      </c>
      <c r="C19" s="28" t="s">
        <v>224</v>
      </c>
      <c r="D19" s="28" t="str">
        <f>IFERROR(VLOOKUP($C19,CUENTAS[],2,0),"")</f>
        <v>MATERIALES</v>
      </c>
      <c r="E19" s="28" t="str">
        <f>IFERROR(VLOOKUP($C19,CUENTAS[],3,0),"")</f>
        <v>MDE2025-004</v>
      </c>
      <c r="F19" s="86">
        <v>506.9</v>
      </c>
      <c r="G19" s="86">
        <v>81.099999999999994</v>
      </c>
      <c r="H19" s="74">
        <v>588</v>
      </c>
      <c r="I19" s="200" t="str">
        <f t="shared" si="0"/>
        <v>CORRECTO</v>
      </c>
      <c r="J19" s="88" t="s">
        <v>3244</v>
      </c>
      <c r="K19" s="69" t="s">
        <v>1423</v>
      </c>
      <c r="L19" s="84" t="s">
        <v>227</v>
      </c>
      <c r="M19" s="135">
        <v>45783</v>
      </c>
      <c r="N19" s="75" t="s">
        <v>1425</v>
      </c>
      <c r="O19" s="180" t="s">
        <v>1598</v>
      </c>
      <c r="P19" s="89"/>
    </row>
    <row r="20" spans="1:17" x14ac:dyDescent="0.3">
      <c r="A20" s="16" t="s">
        <v>284</v>
      </c>
      <c r="B20" s="16" t="s">
        <v>1304</v>
      </c>
      <c r="C20" s="28" t="s">
        <v>224</v>
      </c>
      <c r="D20" s="28" t="str">
        <f>IFERROR(VLOOKUP($C20,CUENTAS[],2,0),"")</f>
        <v>MATERIALES</v>
      </c>
      <c r="E20" s="28" t="str">
        <f>IFERROR(VLOOKUP($C20,CUENTAS[],3,0),"")</f>
        <v>MDE2025-004</v>
      </c>
      <c r="F20" s="86">
        <v>831.06</v>
      </c>
      <c r="G20" s="86">
        <v>132.97</v>
      </c>
      <c r="H20" s="74">
        <v>964.03</v>
      </c>
      <c r="I20" s="200" t="str">
        <f t="shared" si="0"/>
        <v>CORRECTO</v>
      </c>
      <c r="J20" s="88" t="s">
        <v>3244</v>
      </c>
      <c r="K20" s="69" t="s">
        <v>1423</v>
      </c>
      <c r="L20" s="84" t="s">
        <v>227</v>
      </c>
      <c r="M20" s="135">
        <v>45783</v>
      </c>
      <c r="N20" s="75" t="s">
        <v>1426</v>
      </c>
      <c r="P20" s="89"/>
      <c r="Q20" s="89"/>
    </row>
    <row r="21" spans="1:17" x14ac:dyDescent="0.3">
      <c r="A21" s="16" t="s">
        <v>283</v>
      </c>
      <c r="B21" s="16">
        <v>2501758</v>
      </c>
      <c r="C21" s="28" t="s">
        <v>173</v>
      </c>
      <c r="D21" s="28" t="str">
        <f>IFERROR(VLOOKUP($C21,CUENTAS[],2,0),"")</f>
        <v>TOKA</v>
      </c>
      <c r="E21" s="28" t="str">
        <f>IFERROR(VLOOKUP($C21,CUENTAS[],3,0),"")</f>
        <v>TOK2025-001B</v>
      </c>
      <c r="F21" s="86">
        <v>500</v>
      </c>
      <c r="G21" s="86">
        <v>80</v>
      </c>
      <c r="H21" s="74">
        <v>580</v>
      </c>
      <c r="I21" s="200" t="str">
        <f t="shared" si="0"/>
        <v>CORRECTO</v>
      </c>
      <c r="J21" s="88" t="s">
        <v>3244</v>
      </c>
      <c r="K21" s="69" t="s">
        <v>363</v>
      </c>
      <c r="L21" s="84" t="s">
        <v>227</v>
      </c>
      <c r="M21" s="135">
        <v>45784</v>
      </c>
      <c r="N21" s="75" t="s">
        <v>226</v>
      </c>
      <c r="P21" s="89"/>
      <c r="Q21" s="89"/>
    </row>
    <row r="22" spans="1:17" x14ac:dyDescent="0.3">
      <c r="A22" s="16" t="s">
        <v>232</v>
      </c>
      <c r="B22" s="16" t="s">
        <v>1305</v>
      </c>
      <c r="C22" s="28" t="s">
        <v>224</v>
      </c>
      <c r="D22" s="28" t="str">
        <f>IFERROR(VLOOKUP($C22,CUENTAS[],2,0),"")</f>
        <v>MATERIALES</v>
      </c>
      <c r="E22" s="28" t="str">
        <f>IFERROR(VLOOKUP($C22,CUENTAS[],3,0),"")</f>
        <v>MDE2025-004</v>
      </c>
      <c r="F22" s="86">
        <v>44379.6</v>
      </c>
      <c r="G22" s="86">
        <v>7100.74</v>
      </c>
      <c r="H22" s="74">
        <v>51480.34</v>
      </c>
      <c r="I22" s="200" t="str">
        <f t="shared" si="0"/>
        <v>CORRECTO</v>
      </c>
      <c r="J22" s="88" t="s">
        <v>3244</v>
      </c>
      <c r="K22" s="69" t="s">
        <v>407</v>
      </c>
      <c r="L22" s="84" t="s">
        <v>227</v>
      </c>
      <c r="M22" s="135">
        <v>45783</v>
      </c>
      <c r="N22" s="75" t="s">
        <v>1481</v>
      </c>
      <c r="P22" s="89"/>
      <c r="Q22" s="89"/>
    </row>
    <row r="23" spans="1:17" x14ac:dyDescent="0.3">
      <c r="A23" s="16" t="s">
        <v>256</v>
      </c>
      <c r="B23" s="16" t="s">
        <v>1306</v>
      </c>
      <c r="C23" s="28" t="s">
        <v>223</v>
      </c>
      <c r="D23" s="28" t="str">
        <f>IFERROR(VLOOKUP($C23,CUENTAS[],2,0),"")</f>
        <v>MANTENIMIENTO</v>
      </c>
      <c r="E23" s="28" t="str">
        <f>IFERROR(VLOOKUP($C23,CUENTAS[],3,0),"")</f>
        <v>MDE2025-009B</v>
      </c>
      <c r="F23" s="86">
        <v>16282.73</v>
      </c>
      <c r="G23" s="86">
        <v>2605.2399999999998</v>
      </c>
      <c r="H23" s="74">
        <v>18887.97</v>
      </c>
      <c r="I23" s="200" t="str">
        <f t="shared" si="0"/>
        <v>CORRECTO</v>
      </c>
      <c r="J23" s="88" t="s">
        <v>3244</v>
      </c>
      <c r="K23" s="69" t="s">
        <v>357</v>
      </c>
      <c r="L23" s="84" t="s">
        <v>227</v>
      </c>
      <c r="M23" s="135">
        <v>45783</v>
      </c>
      <c r="N23" s="75" t="s">
        <v>105</v>
      </c>
      <c r="P23" s="89"/>
      <c r="Q23" s="89"/>
    </row>
    <row r="24" spans="1:17" x14ac:dyDescent="0.3">
      <c r="A24" s="16" t="s">
        <v>283</v>
      </c>
      <c r="B24" s="16">
        <v>123</v>
      </c>
      <c r="C24" s="28" t="s">
        <v>146</v>
      </c>
      <c r="D24" s="28" t="str">
        <f>IFERROR(VLOOKUP($C24,CUENTAS[],2,0),"")</f>
        <v>TOKA</v>
      </c>
      <c r="E24" s="28" t="str">
        <f>IFERROR(VLOOKUP($C24,CUENTAS[],3,0),"")</f>
        <v>TOK2025-001A</v>
      </c>
      <c r="F24" s="86">
        <v>400</v>
      </c>
      <c r="G24" s="86">
        <v>6</v>
      </c>
      <c r="H24" s="74">
        <v>406</v>
      </c>
      <c r="I24" s="200" t="str">
        <f t="shared" si="0"/>
        <v>CORRECTO</v>
      </c>
      <c r="J24" s="88" t="s">
        <v>3244</v>
      </c>
      <c r="K24" s="69" t="s">
        <v>363</v>
      </c>
      <c r="L24" s="84" t="s">
        <v>227</v>
      </c>
      <c r="M24" s="135">
        <v>45784</v>
      </c>
      <c r="N24" s="75" t="s">
        <v>570</v>
      </c>
      <c r="P24" s="89"/>
      <c r="Q24" s="89"/>
    </row>
    <row r="25" spans="1:17" x14ac:dyDescent="0.3">
      <c r="A25" s="16" t="s">
        <v>953</v>
      </c>
      <c r="B25" s="16" t="s">
        <v>1307</v>
      </c>
      <c r="C25" s="28" t="s">
        <v>153</v>
      </c>
      <c r="D25" s="28" t="str">
        <f>IFERROR(VLOOKUP($C25,CUENTAS[],2,0),"")</f>
        <v>GASTOS FIJOS</v>
      </c>
      <c r="E25" s="28" t="str">
        <f>IFERROR(VLOOKUP($C25,CUENTAS[],3,0),"")</f>
        <v>MDE2025-002L</v>
      </c>
      <c r="F25" s="86">
        <v>712.47</v>
      </c>
      <c r="G25" s="86">
        <v>0</v>
      </c>
      <c r="H25" s="74">
        <v>712.47</v>
      </c>
      <c r="I25" s="200" t="str">
        <f t="shared" si="0"/>
        <v>CORRECTO</v>
      </c>
      <c r="J25" s="88" t="s">
        <v>3244</v>
      </c>
      <c r="K25" s="69" t="s">
        <v>364</v>
      </c>
      <c r="L25" s="84" t="s">
        <v>227</v>
      </c>
      <c r="M25" s="135">
        <v>45783</v>
      </c>
      <c r="N25" s="75" t="s">
        <v>371</v>
      </c>
      <c r="P25" s="89"/>
      <c r="Q25" s="89"/>
    </row>
    <row r="26" spans="1:17" x14ac:dyDescent="0.3">
      <c r="A26" s="16" t="s">
        <v>230</v>
      </c>
      <c r="B26" s="16" t="s">
        <v>1308</v>
      </c>
      <c r="C26" s="28" t="s">
        <v>110</v>
      </c>
      <c r="D26" s="28" t="str">
        <f>IFERROR(VLOOKUP($C26,CUENTAS[],2,0),"")</f>
        <v>GASTOS FIJOS</v>
      </c>
      <c r="E26" s="28" t="str">
        <f>IFERROR(VLOOKUP($C26,CUENTAS[],3,0),"")</f>
        <v>MDE2025-002D</v>
      </c>
      <c r="F26" s="86">
        <v>7327.59</v>
      </c>
      <c r="G26" s="86">
        <v>1172.4100000000001</v>
      </c>
      <c r="H26" s="74">
        <v>8500</v>
      </c>
      <c r="I26" s="200" t="str">
        <f t="shared" si="0"/>
        <v>CORRECTO</v>
      </c>
      <c r="J26" s="88" t="s">
        <v>3244</v>
      </c>
      <c r="K26" s="69" t="s">
        <v>1423</v>
      </c>
      <c r="L26" s="84" t="s">
        <v>227</v>
      </c>
      <c r="M26" s="135">
        <v>45783</v>
      </c>
      <c r="N26" s="75" t="s">
        <v>1427</v>
      </c>
      <c r="P26" s="89"/>
      <c r="Q26" s="89"/>
    </row>
    <row r="27" spans="1:17" x14ac:dyDescent="0.3">
      <c r="A27" s="16" t="s">
        <v>284</v>
      </c>
      <c r="B27" s="16" t="s">
        <v>1309</v>
      </c>
      <c r="C27" s="28" t="s">
        <v>159</v>
      </c>
      <c r="D27" s="28" t="str">
        <f>IFERROR(VLOOKUP($C27,CUENTAS[],2,0),"")</f>
        <v>GASTOS VARIOS</v>
      </c>
      <c r="E27" s="28" t="str">
        <f>IFERROR(VLOOKUP($C27,CUENTAS[],3,0),"")</f>
        <v>MDE2025-003A</v>
      </c>
      <c r="F27" s="86">
        <v>955</v>
      </c>
      <c r="G27" s="86">
        <v>0</v>
      </c>
      <c r="H27" s="74">
        <v>955</v>
      </c>
      <c r="I27" s="200" t="str">
        <f t="shared" si="0"/>
        <v>CORRECTO</v>
      </c>
      <c r="J27" s="88" t="s">
        <v>3244</v>
      </c>
      <c r="K27" s="69" t="s">
        <v>407</v>
      </c>
      <c r="L27" s="84" t="s">
        <v>227</v>
      </c>
      <c r="M27" s="135">
        <v>45785</v>
      </c>
      <c r="N27" s="75" t="s">
        <v>1428</v>
      </c>
      <c r="P27" s="89"/>
      <c r="Q27" s="89"/>
    </row>
    <row r="28" spans="1:17" x14ac:dyDescent="0.3">
      <c r="A28" s="16" t="s">
        <v>281</v>
      </c>
      <c r="B28" s="16" t="s">
        <v>1310</v>
      </c>
      <c r="C28" s="28" t="s">
        <v>128</v>
      </c>
      <c r="D28" s="28" t="str">
        <f>IFERROR(VLOOKUP($C28,CUENTAS[],2,0),"")</f>
        <v>GASTOS FIJOS</v>
      </c>
      <c r="E28" s="28" t="str">
        <f>IFERROR(VLOOKUP($C28,CUENTAS[],3,0),"")</f>
        <v>MDE2025-002I</v>
      </c>
      <c r="F28" s="86">
        <v>8000</v>
      </c>
      <c r="G28" s="86">
        <v>0</v>
      </c>
      <c r="H28" s="74">
        <v>8000</v>
      </c>
      <c r="I28" s="200" t="str">
        <f t="shared" si="0"/>
        <v>CORRECTO</v>
      </c>
      <c r="J28" s="88" t="s">
        <v>3244</v>
      </c>
      <c r="K28" s="69" t="s">
        <v>363</v>
      </c>
      <c r="L28" s="84" t="s">
        <v>227</v>
      </c>
      <c r="M28" s="135">
        <v>45785</v>
      </c>
      <c r="N28" s="75" t="s">
        <v>371</v>
      </c>
      <c r="P28" s="89"/>
      <c r="Q28" s="89"/>
    </row>
    <row r="29" spans="1:17" x14ac:dyDescent="0.3">
      <c r="A29" s="16" t="s">
        <v>1066</v>
      </c>
      <c r="B29" s="16" t="s">
        <v>1311</v>
      </c>
      <c r="C29" s="28" t="s">
        <v>159</v>
      </c>
      <c r="D29" s="28" t="str">
        <f>IFERROR(VLOOKUP($C29,CUENTAS[],2,0),"")</f>
        <v>GASTOS VARIOS</v>
      </c>
      <c r="E29" s="28" t="str">
        <f>IFERROR(VLOOKUP($C29,CUENTAS[],3,0),"")</f>
        <v>MDE2025-003A</v>
      </c>
      <c r="F29" s="86">
        <v>4506.04</v>
      </c>
      <c r="G29" s="86">
        <v>720.96</v>
      </c>
      <c r="H29" s="74">
        <v>5227</v>
      </c>
      <c r="I29" s="200" t="str">
        <f t="shared" si="0"/>
        <v>CORRECTO</v>
      </c>
      <c r="J29" s="88" t="s">
        <v>3244</v>
      </c>
      <c r="K29" s="69" t="s">
        <v>407</v>
      </c>
      <c r="L29" s="84" t="s">
        <v>227</v>
      </c>
      <c r="M29" s="135">
        <v>45785</v>
      </c>
      <c r="N29" s="75" t="s">
        <v>1429</v>
      </c>
      <c r="P29" s="89"/>
      <c r="Q29" s="89"/>
    </row>
    <row r="30" spans="1:17" x14ac:dyDescent="0.3">
      <c r="A30" s="16" t="s">
        <v>1312</v>
      </c>
      <c r="B30" s="16" t="s">
        <v>1313</v>
      </c>
      <c r="C30" s="28" t="s">
        <v>144</v>
      </c>
      <c r="D30" s="28" t="str">
        <f>IFERROR(VLOOKUP($C30,CUENTAS[],2,0),"")</f>
        <v>LOGÍSTICA</v>
      </c>
      <c r="E30" s="28" t="str">
        <f>IFERROR(VLOOKUP($C30,CUENTAS[],3,0),"")</f>
        <v>MDE2025-006G</v>
      </c>
      <c r="F30" s="86">
        <v>3000</v>
      </c>
      <c r="G30" s="86">
        <v>0</v>
      </c>
      <c r="H30" s="74">
        <v>3000</v>
      </c>
      <c r="I30" s="200" t="str">
        <f t="shared" si="0"/>
        <v>CORRECTO</v>
      </c>
      <c r="J30" s="88" t="s">
        <v>3244</v>
      </c>
      <c r="K30" s="69" t="s">
        <v>362</v>
      </c>
      <c r="L30" s="84" t="s">
        <v>227</v>
      </c>
      <c r="M30" s="135">
        <v>45785</v>
      </c>
      <c r="N30" s="75"/>
      <c r="P30" s="89"/>
      <c r="Q30" s="89"/>
    </row>
    <row r="31" spans="1:17" x14ac:dyDescent="0.3">
      <c r="A31" s="16" t="s">
        <v>666</v>
      </c>
      <c r="B31" s="16" t="s">
        <v>1314</v>
      </c>
      <c r="C31" s="28" t="s">
        <v>224</v>
      </c>
      <c r="D31" s="28" t="str">
        <f>IFERROR(VLOOKUP($C31,CUENTAS[],2,0),"")</f>
        <v>MATERIALES</v>
      </c>
      <c r="E31" s="28" t="str">
        <f>IFERROR(VLOOKUP($C31,CUENTAS[],3,0),"")</f>
        <v>MDE2025-004</v>
      </c>
      <c r="F31" s="86">
        <v>3820.69</v>
      </c>
      <c r="G31" s="86">
        <v>611.30999999999995</v>
      </c>
      <c r="H31" s="74">
        <v>4432</v>
      </c>
      <c r="I31" s="200" t="str">
        <f t="shared" si="0"/>
        <v>CORRECTO</v>
      </c>
      <c r="J31" s="88" t="s">
        <v>3244</v>
      </c>
      <c r="K31" s="69" t="s">
        <v>407</v>
      </c>
      <c r="L31" s="84" t="s">
        <v>227</v>
      </c>
      <c r="M31" s="135">
        <v>45785</v>
      </c>
      <c r="N31" s="75" t="s">
        <v>1482</v>
      </c>
      <c r="P31" s="89"/>
      <c r="Q31" s="89"/>
    </row>
    <row r="32" spans="1:17" x14ac:dyDescent="0.3">
      <c r="A32" s="16" t="s">
        <v>666</v>
      </c>
      <c r="B32" s="16" t="s">
        <v>1315</v>
      </c>
      <c r="C32" s="28" t="s">
        <v>224</v>
      </c>
      <c r="D32" s="28" t="str">
        <f>IFERROR(VLOOKUP($C32,CUENTAS[],2,0),"")</f>
        <v>MATERIALES</v>
      </c>
      <c r="E32" s="28" t="str">
        <f>IFERROR(VLOOKUP($C32,CUENTAS[],3,0),"")</f>
        <v>MDE2025-004</v>
      </c>
      <c r="F32" s="86">
        <v>5603.45</v>
      </c>
      <c r="G32" s="86">
        <v>896.55</v>
      </c>
      <c r="H32" s="74">
        <v>6500</v>
      </c>
      <c r="I32" s="200" t="str">
        <f t="shared" si="0"/>
        <v>CORRECTO</v>
      </c>
      <c r="J32" s="88" t="s">
        <v>3244</v>
      </c>
      <c r="K32" s="69" t="s">
        <v>407</v>
      </c>
      <c r="L32" s="84" t="s">
        <v>227</v>
      </c>
      <c r="M32" s="135">
        <v>45785</v>
      </c>
      <c r="N32" s="75" t="s">
        <v>1483</v>
      </c>
      <c r="P32" s="89"/>
      <c r="Q32" s="89"/>
    </row>
    <row r="33" spans="1:17" x14ac:dyDescent="0.3">
      <c r="A33" s="16" t="s">
        <v>729</v>
      </c>
      <c r="B33" s="16" t="s">
        <v>1316</v>
      </c>
      <c r="C33" s="28" t="s">
        <v>224</v>
      </c>
      <c r="D33" s="28" t="str">
        <f>IFERROR(VLOOKUP($C33,CUENTAS[],2,0),"")</f>
        <v>MATERIALES</v>
      </c>
      <c r="E33" s="28" t="str">
        <f>IFERROR(VLOOKUP($C33,CUENTAS[],3,0),"")</f>
        <v>MDE2025-004</v>
      </c>
      <c r="F33" s="86">
        <v>35176.160000000003</v>
      </c>
      <c r="G33" s="86">
        <v>5628</v>
      </c>
      <c r="H33" s="74">
        <v>40804.160000000003</v>
      </c>
      <c r="I33" s="200" t="str">
        <f t="shared" si="0"/>
        <v>CORRECTO</v>
      </c>
      <c r="J33" s="88" t="s">
        <v>3244</v>
      </c>
      <c r="K33" s="69" t="s">
        <v>407</v>
      </c>
      <c r="L33" s="84" t="s">
        <v>227</v>
      </c>
      <c r="M33" s="135">
        <v>45785</v>
      </c>
      <c r="N33" s="75" t="s">
        <v>1430</v>
      </c>
      <c r="P33" s="89"/>
      <c r="Q33" s="89"/>
    </row>
    <row r="34" spans="1:17" x14ac:dyDescent="0.3">
      <c r="A34" s="16" t="s">
        <v>284</v>
      </c>
      <c r="B34" s="16" t="s">
        <v>1317</v>
      </c>
      <c r="C34" s="28" t="s">
        <v>224</v>
      </c>
      <c r="D34" s="28" t="str">
        <f>IFERROR(VLOOKUP($C34,CUENTAS[],2,0),"")</f>
        <v>MATERIALES</v>
      </c>
      <c r="E34" s="28" t="str">
        <f>IFERROR(VLOOKUP($C34,CUENTAS[],3,0),"")</f>
        <v>MDE2025-004</v>
      </c>
      <c r="F34" s="86">
        <v>900</v>
      </c>
      <c r="G34" s="86">
        <v>0</v>
      </c>
      <c r="H34" s="74">
        <v>900</v>
      </c>
      <c r="I34" s="200" t="str">
        <f t="shared" si="0"/>
        <v>CORRECTO</v>
      </c>
      <c r="J34" s="88" t="s">
        <v>3244</v>
      </c>
      <c r="K34" s="69" t="s">
        <v>363</v>
      </c>
      <c r="L34" s="84" t="s">
        <v>227</v>
      </c>
      <c r="M34" s="135">
        <v>45785</v>
      </c>
      <c r="N34" s="75" t="s">
        <v>1431</v>
      </c>
      <c r="P34" s="89"/>
      <c r="Q34" s="89"/>
    </row>
    <row r="35" spans="1:17" x14ac:dyDescent="0.3">
      <c r="A35" s="16" t="s">
        <v>284</v>
      </c>
      <c r="B35" s="16" t="s">
        <v>1318</v>
      </c>
      <c r="C35" s="28" t="s">
        <v>224</v>
      </c>
      <c r="D35" s="28" t="str">
        <f>IFERROR(VLOOKUP($C35,CUENTAS[],2,0),"")</f>
        <v>MATERIALES</v>
      </c>
      <c r="E35" s="28" t="str">
        <f>IFERROR(VLOOKUP($C35,CUENTAS[],3,0),"")</f>
        <v>MDE2025-004</v>
      </c>
      <c r="F35" s="86">
        <v>196</v>
      </c>
      <c r="G35" s="86">
        <v>0</v>
      </c>
      <c r="H35" s="74">
        <v>196</v>
      </c>
      <c r="I35" s="200" t="str">
        <f t="shared" si="0"/>
        <v>CORRECTO</v>
      </c>
      <c r="J35" s="88" t="s">
        <v>3244</v>
      </c>
      <c r="K35" s="69" t="s">
        <v>363</v>
      </c>
      <c r="L35" s="84" t="s">
        <v>227</v>
      </c>
      <c r="M35" s="135">
        <v>45785</v>
      </c>
      <c r="N35" s="75" t="s">
        <v>1432</v>
      </c>
      <c r="P35" s="89"/>
      <c r="Q35" s="89"/>
    </row>
    <row r="36" spans="1:17" x14ac:dyDescent="0.3">
      <c r="A36" s="16" t="s">
        <v>284</v>
      </c>
      <c r="B36" s="16" t="s">
        <v>1319</v>
      </c>
      <c r="C36" s="28" t="s">
        <v>224</v>
      </c>
      <c r="D36" s="28" t="str">
        <f>IFERROR(VLOOKUP($C36,CUENTAS[],2,0),"")</f>
        <v>MATERIALES</v>
      </c>
      <c r="E36" s="28" t="str">
        <f>IFERROR(VLOOKUP($C36,CUENTAS[],3,0),"")</f>
        <v>MDE2025-004</v>
      </c>
      <c r="F36" s="86">
        <v>2866.24</v>
      </c>
      <c r="G36" s="86">
        <v>0</v>
      </c>
      <c r="H36" s="74">
        <v>2866.24</v>
      </c>
      <c r="I36" s="200" t="str">
        <f t="shared" si="0"/>
        <v>CORRECTO</v>
      </c>
      <c r="J36" s="88" t="s">
        <v>3244</v>
      </c>
      <c r="K36" s="69" t="s">
        <v>363</v>
      </c>
      <c r="L36" s="84" t="s">
        <v>227</v>
      </c>
      <c r="M36" s="135">
        <v>45785</v>
      </c>
      <c r="N36" s="75" t="s">
        <v>1433</v>
      </c>
      <c r="P36" s="89"/>
      <c r="Q36" s="89"/>
    </row>
    <row r="37" spans="1:17" x14ac:dyDescent="0.3">
      <c r="A37" s="16" t="s">
        <v>284</v>
      </c>
      <c r="B37" s="16" t="s">
        <v>1320</v>
      </c>
      <c r="C37" s="28" t="s">
        <v>224</v>
      </c>
      <c r="D37" s="28" t="str">
        <f>IFERROR(VLOOKUP($C37,CUENTAS[],2,0),"")</f>
        <v>MATERIALES</v>
      </c>
      <c r="E37" s="28" t="str">
        <f>IFERROR(VLOOKUP($C37,CUENTAS[],3,0),"")</f>
        <v>MDE2025-004</v>
      </c>
      <c r="F37" s="86">
        <v>206</v>
      </c>
      <c r="G37" s="86">
        <v>0</v>
      </c>
      <c r="H37" s="74">
        <v>206</v>
      </c>
      <c r="I37" s="200" t="str">
        <f t="shared" si="0"/>
        <v>CORRECTO</v>
      </c>
      <c r="J37" s="88" t="s">
        <v>3244</v>
      </c>
      <c r="K37" s="69" t="s">
        <v>363</v>
      </c>
      <c r="L37" s="84" t="s">
        <v>227</v>
      </c>
      <c r="M37" s="135">
        <v>45785</v>
      </c>
      <c r="N37" s="75" t="s">
        <v>1434</v>
      </c>
      <c r="P37" s="89"/>
      <c r="Q37" s="89"/>
    </row>
    <row r="38" spans="1:17" x14ac:dyDescent="0.3">
      <c r="A38" s="16" t="s">
        <v>1321</v>
      </c>
      <c r="B38" s="16" t="s">
        <v>1322</v>
      </c>
      <c r="C38" s="28" t="s">
        <v>224</v>
      </c>
      <c r="D38" s="28" t="str">
        <f>IFERROR(VLOOKUP($C38,CUENTAS[],2,0),"")</f>
        <v>MATERIALES</v>
      </c>
      <c r="E38" s="28" t="str">
        <f>IFERROR(VLOOKUP($C38,CUENTAS[],3,0),"")</f>
        <v>MDE2025-004</v>
      </c>
      <c r="F38" s="86">
        <v>10023.75</v>
      </c>
      <c r="G38" s="86">
        <v>1603</v>
      </c>
      <c r="H38" s="74">
        <v>11626.75</v>
      </c>
      <c r="I38" s="200" t="str">
        <f t="shared" si="0"/>
        <v>CORRECTO</v>
      </c>
      <c r="J38" s="88" t="s">
        <v>3244</v>
      </c>
      <c r="K38" s="69" t="s">
        <v>407</v>
      </c>
      <c r="L38" s="84" t="s">
        <v>227</v>
      </c>
      <c r="M38" s="135">
        <v>45785</v>
      </c>
      <c r="N38" s="75" t="s">
        <v>1435</v>
      </c>
      <c r="P38" s="89"/>
      <c r="Q38" s="89"/>
    </row>
    <row r="39" spans="1:17" x14ac:dyDescent="0.3">
      <c r="A39" s="16" t="s">
        <v>230</v>
      </c>
      <c r="B39" s="16" t="s">
        <v>1323</v>
      </c>
      <c r="C39" s="28" t="s">
        <v>224</v>
      </c>
      <c r="D39" s="28" t="str">
        <f>IFERROR(VLOOKUP($C39,CUENTAS[],2,0),"")</f>
        <v>MATERIALES</v>
      </c>
      <c r="E39" s="28" t="str">
        <f>IFERROR(VLOOKUP($C39,CUENTAS[],3,0),"")</f>
        <v>MDE2025-004</v>
      </c>
      <c r="F39" s="86">
        <v>16482.759999999998</v>
      </c>
      <c r="G39" s="86">
        <v>2637.24</v>
      </c>
      <c r="H39" s="74">
        <v>19120</v>
      </c>
      <c r="I39" s="200" t="str">
        <f t="shared" si="0"/>
        <v>CORRECTO</v>
      </c>
      <c r="J39" s="88" t="s">
        <v>3244</v>
      </c>
      <c r="K39" s="69" t="s">
        <v>363</v>
      </c>
      <c r="L39" s="84" t="s">
        <v>227</v>
      </c>
      <c r="M39" s="135">
        <v>45785</v>
      </c>
      <c r="N39" s="75" t="s">
        <v>1436</v>
      </c>
      <c r="P39" s="89"/>
      <c r="Q39" s="89"/>
    </row>
    <row r="40" spans="1:17" x14ac:dyDescent="0.3">
      <c r="A40" s="16" t="s">
        <v>284</v>
      </c>
      <c r="B40" s="16" t="s">
        <v>1324</v>
      </c>
      <c r="C40" s="28" t="s">
        <v>224</v>
      </c>
      <c r="D40" s="28" t="str">
        <f>IFERROR(VLOOKUP($C40,CUENTAS[],2,0),"")</f>
        <v>MATERIALES</v>
      </c>
      <c r="E40" s="28" t="str">
        <f>IFERROR(VLOOKUP($C40,CUENTAS[],3,0),"")</f>
        <v>MDE2025-004</v>
      </c>
      <c r="F40" s="86">
        <v>7800</v>
      </c>
      <c r="G40" s="86">
        <v>0</v>
      </c>
      <c r="H40" s="74">
        <v>7800</v>
      </c>
      <c r="I40" s="200" t="str">
        <f t="shared" si="0"/>
        <v>CORRECTO</v>
      </c>
      <c r="J40" s="88" t="s">
        <v>3244</v>
      </c>
      <c r="K40" s="69" t="s">
        <v>363</v>
      </c>
      <c r="L40" s="84" t="s">
        <v>227</v>
      </c>
      <c r="M40" s="135">
        <v>45785</v>
      </c>
      <c r="N40" s="75" t="s">
        <v>1437</v>
      </c>
      <c r="P40" s="89"/>
      <c r="Q40" s="89"/>
    </row>
    <row r="41" spans="1:17" x14ac:dyDescent="0.3">
      <c r="A41" s="16" t="s">
        <v>284</v>
      </c>
      <c r="B41" s="16" t="s">
        <v>1325</v>
      </c>
      <c r="C41" s="28" t="s">
        <v>224</v>
      </c>
      <c r="D41" s="28" t="str">
        <f>IFERROR(VLOOKUP($C41,CUENTAS[],2,0),"")</f>
        <v>MATERIALES</v>
      </c>
      <c r="E41" s="28" t="str">
        <f>IFERROR(VLOOKUP($C41,CUENTAS[],3,0),"")</f>
        <v>MDE2025-004</v>
      </c>
      <c r="F41" s="86">
        <v>2625.52</v>
      </c>
      <c r="G41" s="86">
        <v>420.08</v>
      </c>
      <c r="H41" s="74">
        <v>3045.6</v>
      </c>
      <c r="I41" s="200" t="str">
        <f t="shared" si="0"/>
        <v>CORRECTO</v>
      </c>
      <c r="J41" s="88" t="s">
        <v>3244</v>
      </c>
      <c r="K41" s="69" t="s">
        <v>363</v>
      </c>
      <c r="L41" s="84" t="s">
        <v>227</v>
      </c>
      <c r="M41" s="136">
        <v>45785</v>
      </c>
      <c r="N41" s="75" t="s">
        <v>1438</v>
      </c>
      <c r="P41" s="89"/>
      <c r="Q41" s="89"/>
    </row>
    <row r="42" spans="1:17" x14ac:dyDescent="0.3">
      <c r="A42" s="16" t="s">
        <v>341</v>
      </c>
      <c r="B42" s="16" t="s">
        <v>1326</v>
      </c>
      <c r="C42" s="28" t="s">
        <v>109</v>
      </c>
      <c r="D42" s="28" t="str">
        <f>IFERROR(VLOOKUP($C42,CUENTAS[],2,0),"")</f>
        <v>LOGÍSTICA</v>
      </c>
      <c r="E42" s="28" t="str">
        <f>IFERROR(VLOOKUP($C42,CUENTAS[],3,0),"")</f>
        <v>MDE2025-006A</v>
      </c>
      <c r="F42" s="86">
        <v>300</v>
      </c>
      <c r="G42" s="86">
        <v>0</v>
      </c>
      <c r="H42" s="74">
        <v>300</v>
      </c>
      <c r="I42" s="200" t="str">
        <f t="shared" si="0"/>
        <v>CORRECTO</v>
      </c>
      <c r="J42" s="88" t="s">
        <v>3244</v>
      </c>
      <c r="K42" s="69" t="s">
        <v>362</v>
      </c>
      <c r="L42" s="84" t="s">
        <v>227</v>
      </c>
      <c r="M42" s="136">
        <v>45785</v>
      </c>
      <c r="N42" s="75" t="s">
        <v>368</v>
      </c>
      <c r="P42" s="89"/>
      <c r="Q42" s="89"/>
    </row>
    <row r="43" spans="1:17" x14ac:dyDescent="0.3">
      <c r="A43" s="16" t="s">
        <v>284</v>
      </c>
      <c r="B43" s="16" t="s">
        <v>1327</v>
      </c>
      <c r="C43" s="28" t="s">
        <v>123</v>
      </c>
      <c r="D43" s="28" t="str">
        <f>IFERROR(VLOOKUP($C43,CUENTAS[],2,0),"")</f>
        <v>ACTIVOS FIJOS</v>
      </c>
      <c r="E43" s="28" t="str">
        <f>IFERROR(VLOOKUP($C43,CUENTAS[],3,0),"")</f>
        <v>MDE2025-007C</v>
      </c>
      <c r="F43" s="86">
        <v>3280</v>
      </c>
      <c r="G43" s="86">
        <v>0</v>
      </c>
      <c r="H43" s="74">
        <v>3280</v>
      </c>
      <c r="I43" s="200" t="str">
        <f t="shared" si="0"/>
        <v>CORRECTO</v>
      </c>
      <c r="J43" s="88" t="s">
        <v>3244</v>
      </c>
      <c r="K43" s="69" t="s">
        <v>363</v>
      </c>
      <c r="L43" s="84" t="s">
        <v>227</v>
      </c>
      <c r="M43" s="135">
        <v>45785</v>
      </c>
      <c r="N43" s="75" t="s">
        <v>1439</v>
      </c>
      <c r="P43" s="89"/>
      <c r="Q43" s="89"/>
    </row>
    <row r="44" spans="1:17" x14ac:dyDescent="0.3">
      <c r="A44" s="16" t="s">
        <v>236</v>
      </c>
      <c r="B44" s="16" t="s">
        <v>1088</v>
      </c>
      <c r="C44" s="28" t="s">
        <v>201</v>
      </c>
      <c r="D44" s="28" t="str">
        <f>IFERROR(VLOOKUP($C44,CUENTAS[],2,0),"")</f>
        <v>ACTIVOS FIJOS</v>
      </c>
      <c r="E44" s="28" t="str">
        <f>IFERROR(VLOOKUP($C44,CUENTAS[],3,0),"")</f>
        <v>MDE2025-007I</v>
      </c>
      <c r="F44" s="86">
        <v>3033.33</v>
      </c>
      <c r="G44" s="86">
        <v>0</v>
      </c>
      <c r="H44" s="74">
        <v>3033.33</v>
      </c>
      <c r="I44" s="200" t="str">
        <f t="shared" si="0"/>
        <v>CORRECTO</v>
      </c>
      <c r="J44" s="88" t="s">
        <v>3244</v>
      </c>
      <c r="K44" s="69" t="s">
        <v>363</v>
      </c>
      <c r="L44" s="84" t="s">
        <v>227</v>
      </c>
      <c r="M44" s="135">
        <v>45785</v>
      </c>
      <c r="N44" s="75" t="s">
        <v>371</v>
      </c>
      <c r="P44" s="89"/>
      <c r="Q44" s="89"/>
    </row>
    <row r="45" spans="1:17" x14ac:dyDescent="0.3">
      <c r="A45" s="16" t="s">
        <v>238</v>
      </c>
      <c r="B45" s="16" t="s">
        <v>1088</v>
      </c>
      <c r="C45" s="28" t="s">
        <v>201</v>
      </c>
      <c r="D45" s="28" t="str">
        <f>IFERROR(VLOOKUP($C45,CUENTAS[],2,0),"")</f>
        <v>ACTIVOS FIJOS</v>
      </c>
      <c r="E45" s="28" t="str">
        <f>IFERROR(VLOOKUP($C45,CUENTAS[],3,0),"")</f>
        <v>MDE2025-007I</v>
      </c>
      <c r="F45" s="86">
        <v>3200</v>
      </c>
      <c r="G45" s="86">
        <v>0</v>
      </c>
      <c r="H45" s="74">
        <v>3200</v>
      </c>
      <c r="I45" s="200" t="str">
        <f t="shared" si="0"/>
        <v>CORRECTO</v>
      </c>
      <c r="J45" s="88" t="s">
        <v>3244</v>
      </c>
      <c r="K45" s="69" t="s">
        <v>363</v>
      </c>
      <c r="L45" s="84" t="s">
        <v>227</v>
      </c>
      <c r="M45" s="135">
        <v>45785</v>
      </c>
      <c r="N45" s="75" t="s">
        <v>371</v>
      </c>
      <c r="P45" s="89"/>
      <c r="Q45" s="89"/>
    </row>
    <row r="46" spans="1:17" x14ac:dyDescent="0.3">
      <c r="A46" s="16" t="s">
        <v>228</v>
      </c>
      <c r="B46" s="16" t="s">
        <v>1328</v>
      </c>
      <c r="C46" s="28" t="s">
        <v>140</v>
      </c>
      <c r="D46" s="28" t="str">
        <f>IFERROR(VLOOKUP($C46,CUENTAS[],2,0),"")</f>
        <v>LOGÍSTICA</v>
      </c>
      <c r="E46" s="28" t="str">
        <f>IFERROR(VLOOKUP($C46,CUENTAS[],3,0),"")</f>
        <v>MDE2025-006B</v>
      </c>
      <c r="F46" s="86">
        <v>1800</v>
      </c>
      <c r="G46" s="86">
        <v>0</v>
      </c>
      <c r="H46" s="74">
        <v>1800</v>
      </c>
      <c r="I46" s="200" t="str">
        <f t="shared" si="0"/>
        <v>CORRECTO</v>
      </c>
      <c r="J46" s="88" t="s">
        <v>3244</v>
      </c>
      <c r="K46" s="69" t="s">
        <v>363</v>
      </c>
      <c r="L46" s="84" t="s">
        <v>227</v>
      </c>
      <c r="M46" s="135">
        <v>45785</v>
      </c>
      <c r="N46" s="75" t="s">
        <v>368</v>
      </c>
      <c r="P46" s="89"/>
      <c r="Q46" s="89"/>
    </row>
    <row r="47" spans="1:17" x14ac:dyDescent="0.3">
      <c r="A47" s="16" t="s">
        <v>228</v>
      </c>
      <c r="B47" s="16" t="s">
        <v>1329</v>
      </c>
      <c r="C47" s="28" t="s">
        <v>224</v>
      </c>
      <c r="D47" s="28" t="str">
        <f>IFERROR(VLOOKUP($C47,CUENTAS[],2,0),"")</f>
        <v>MATERIALES</v>
      </c>
      <c r="E47" s="28" t="str">
        <f>IFERROR(VLOOKUP($C47,CUENTAS[],3,0),"")</f>
        <v>MDE2025-004</v>
      </c>
      <c r="F47" s="86">
        <v>3086.25</v>
      </c>
      <c r="G47" s="86">
        <v>493.75</v>
      </c>
      <c r="H47" s="74">
        <v>3580</v>
      </c>
      <c r="I47" s="200" t="str">
        <f t="shared" si="0"/>
        <v>CORRECTO</v>
      </c>
      <c r="J47" s="88" t="s">
        <v>3244</v>
      </c>
      <c r="K47" s="69" t="s">
        <v>1423</v>
      </c>
      <c r="L47" s="84" t="s">
        <v>227</v>
      </c>
      <c r="M47" s="135">
        <v>45785</v>
      </c>
      <c r="N47" s="75" t="s">
        <v>1440</v>
      </c>
      <c r="P47" s="89"/>
      <c r="Q47" s="89"/>
    </row>
    <row r="48" spans="1:17" x14ac:dyDescent="0.3">
      <c r="A48" s="16" t="s">
        <v>228</v>
      </c>
      <c r="B48" s="16" t="s">
        <v>1330</v>
      </c>
      <c r="C48" s="28" t="s">
        <v>145</v>
      </c>
      <c r="D48" s="28" t="str">
        <f>IFERROR(VLOOKUP($C48,CUENTAS[],2,0),"")</f>
        <v>GASTOS VARIOS</v>
      </c>
      <c r="E48" s="28" t="str">
        <f>IFERROR(VLOOKUP($C48,CUENTAS[],3,0),"")</f>
        <v>MDE2025-003H</v>
      </c>
      <c r="F48" s="86">
        <v>1500</v>
      </c>
      <c r="G48" s="86">
        <v>0</v>
      </c>
      <c r="H48" s="74">
        <v>1500</v>
      </c>
      <c r="I48" s="200" t="str">
        <f t="shared" si="0"/>
        <v>CORRECTO</v>
      </c>
      <c r="J48" s="88" t="s">
        <v>3244</v>
      </c>
      <c r="K48" s="69" t="s">
        <v>363</v>
      </c>
      <c r="L48" s="84" t="s">
        <v>227</v>
      </c>
      <c r="M48" s="135">
        <v>45785</v>
      </c>
      <c r="N48" s="75" t="s">
        <v>368</v>
      </c>
      <c r="P48" s="89"/>
      <c r="Q48" s="89"/>
    </row>
    <row r="49" spans="1:17" x14ac:dyDescent="0.3">
      <c r="A49" s="16" t="s">
        <v>228</v>
      </c>
      <c r="B49" s="16" t="s">
        <v>1331</v>
      </c>
      <c r="C49" s="28" t="s">
        <v>224</v>
      </c>
      <c r="D49" s="28" t="str">
        <f>IFERROR(VLOOKUP($C49,CUENTAS[],2,0),"")</f>
        <v>MATERIALES</v>
      </c>
      <c r="E49" s="28" t="str">
        <f>IFERROR(VLOOKUP($C49,CUENTAS[],3,0),"")</f>
        <v>MDE2025-004</v>
      </c>
      <c r="F49" s="86">
        <v>2958</v>
      </c>
      <c r="G49" s="86">
        <v>0</v>
      </c>
      <c r="H49" s="74">
        <v>2958</v>
      </c>
      <c r="I49" s="200" t="str">
        <f t="shared" si="0"/>
        <v>CORRECTO</v>
      </c>
      <c r="J49" s="88" t="s">
        <v>3244</v>
      </c>
      <c r="K49" s="69" t="s">
        <v>363</v>
      </c>
      <c r="L49" s="84" t="s">
        <v>227</v>
      </c>
      <c r="M49" s="135">
        <v>45785</v>
      </c>
      <c r="N49" s="75" t="s">
        <v>1440</v>
      </c>
      <c r="P49" s="89"/>
      <c r="Q49" s="89"/>
    </row>
    <row r="50" spans="1:17" x14ac:dyDescent="0.3">
      <c r="A50" s="16" t="s">
        <v>228</v>
      </c>
      <c r="B50" s="16" t="s">
        <v>1332</v>
      </c>
      <c r="C50" s="28" t="s">
        <v>201</v>
      </c>
      <c r="D50" s="28" t="str">
        <f>IFERROR(VLOOKUP($C50,CUENTAS[],2,0),"")</f>
        <v>ACTIVOS FIJOS</v>
      </c>
      <c r="E50" s="28" t="str">
        <f>IFERROR(VLOOKUP($C50,CUENTAS[],3,0),"")</f>
        <v>MDE2025-007I</v>
      </c>
      <c r="F50" s="86">
        <v>5000</v>
      </c>
      <c r="G50" s="86">
        <v>0</v>
      </c>
      <c r="H50" s="74">
        <v>5000</v>
      </c>
      <c r="I50" s="200" t="str">
        <f t="shared" si="0"/>
        <v>CORRECTO</v>
      </c>
      <c r="J50" s="88" t="s">
        <v>3244</v>
      </c>
      <c r="K50" s="69" t="s">
        <v>363</v>
      </c>
      <c r="L50" s="84" t="s">
        <v>227</v>
      </c>
      <c r="M50" s="135">
        <v>45785</v>
      </c>
      <c r="N50" s="75" t="s">
        <v>368</v>
      </c>
      <c r="P50" s="89"/>
      <c r="Q50" s="89"/>
    </row>
    <row r="51" spans="1:17" x14ac:dyDescent="0.3">
      <c r="A51" s="16" t="s">
        <v>283</v>
      </c>
      <c r="B51" s="16">
        <v>2505854</v>
      </c>
      <c r="C51" s="28" t="s">
        <v>120</v>
      </c>
      <c r="D51" s="28" t="str">
        <f>IFERROR(VLOOKUP($C51,CUENTAS[],2,0),"")</f>
        <v>TOKA</v>
      </c>
      <c r="E51" s="28" t="str">
        <f>IFERROR(VLOOKUP($C51,CUENTAS[],3,0),"")</f>
        <v>TOK2025-001C</v>
      </c>
      <c r="F51" s="86">
        <v>387.92</v>
      </c>
      <c r="G51" s="86">
        <v>0</v>
      </c>
      <c r="H51" s="74">
        <v>387.92</v>
      </c>
      <c r="I51" s="200" t="str">
        <f t="shared" si="0"/>
        <v>CORRECTO</v>
      </c>
      <c r="J51" s="88" t="s">
        <v>3244</v>
      </c>
      <c r="K51" s="69" t="s">
        <v>363</v>
      </c>
      <c r="L51" s="84" t="s">
        <v>227</v>
      </c>
      <c r="M51" s="135">
        <v>45791</v>
      </c>
      <c r="N51" s="75" t="s">
        <v>368</v>
      </c>
      <c r="P51" s="89"/>
      <c r="Q51" s="89"/>
    </row>
    <row r="52" spans="1:17" x14ac:dyDescent="0.3">
      <c r="A52" s="16" t="s">
        <v>283</v>
      </c>
      <c r="B52" s="16">
        <v>7104288</v>
      </c>
      <c r="C52" s="28" t="s">
        <v>120</v>
      </c>
      <c r="D52" s="28" t="str">
        <f>IFERROR(VLOOKUP($C52,CUENTAS[],2,0),"")</f>
        <v>TOKA</v>
      </c>
      <c r="E52" s="28" t="str">
        <f>IFERROR(VLOOKUP($C52,CUENTAS[],3,0),"")</f>
        <v>TOK2025-001C</v>
      </c>
      <c r="F52" s="86">
        <v>406</v>
      </c>
      <c r="G52" s="86">
        <v>0</v>
      </c>
      <c r="H52" s="74">
        <v>406</v>
      </c>
      <c r="I52" s="200" t="str">
        <f t="shared" si="0"/>
        <v>CORRECTO</v>
      </c>
      <c r="J52" s="88" t="s">
        <v>3244</v>
      </c>
      <c r="K52" s="69" t="s">
        <v>363</v>
      </c>
      <c r="L52" s="84" t="s">
        <v>227</v>
      </c>
      <c r="M52" s="135">
        <v>45791</v>
      </c>
      <c r="N52" s="75" t="s">
        <v>368</v>
      </c>
      <c r="P52" s="89"/>
      <c r="Q52" s="89"/>
    </row>
    <row r="53" spans="1:17" x14ac:dyDescent="0.3">
      <c r="A53" s="16" t="s">
        <v>666</v>
      </c>
      <c r="B53" s="16" t="s">
        <v>1333</v>
      </c>
      <c r="C53" s="28" t="s">
        <v>224</v>
      </c>
      <c r="D53" s="28" t="str">
        <f>IFERROR(VLOOKUP($C53,CUENTAS[],2,0),"")</f>
        <v>MATERIALES</v>
      </c>
      <c r="E53" s="28" t="str">
        <f>IFERROR(VLOOKUP($C53,CUENTAS[],3,0),"")</f>
        <v>MDE2025-004</v>
      </c>
      <c r="F53" s="86">
        <v>7791.17</v>
      </c>
      <c r="G53" s="86">
        <v>1246.58</v>
      </c>
      <c r="H53" s="74">
        <v>9037.75</v>
      </c>
      <c r="I53" s="200" t="str">
        <f t="shared" si="0"/>
        <v>CORRECTO</v>
      </c>
      <c r="J53" s="88" t="s">
        <v>3244</v>
      </c>
      <c r="K53" s="69" t="s">
        <v>407</v>
      </c>
      <c r="L53" s="84" t="s">
        <v>227</v>
      </c>
      <c r="M53" s="135">
        <v>45790</v>
      </c>
      <c r="N53" s="75" t="s">
        <v>1441</v>
      </c>
      <c r="P53" s="89"/>
      <c r="Q53" s="89"/>
    </row>
    <row r="54" spans="1:17" x14ac:dyDescent="0.3">
      <c r="A54" s="16" t="s">
        <v>666</v>
      </c>
      <c r="B54" s="16" t="s">
        <v>1334</v>
      </c>
      <c r="C54" s="28" t="s">
        <v>224</v>
      </c>
      <c r="D54" s="28" t="str">
        <f>IFERROR(VLOOKUP($C54,CUENTAS[],2,0),"")</f>
        <v>MATERIALES</v>
      </c>
      <c r="E54" s="28" t="str">
        <f>IFERROR(VLOOKUP($C54,CUENTAS[],3,0),"")</f>
        <v>MDE2025-004</v>
      </c>
      <c r="F54" s="86">
        <v>2452.59</v>
      </c>
      <c r="G54" s="86">
        <v>392.41</v>
      </c>
      <c r="H54" s="74">
        <v>2845</v>
      </c>
      <c r="I54" s="200" t="str">
        <f t="shared" si="0"/>
        <v>CORRECTO</v>
      </c>
      <c r="J54" s="88" t="s">
        <v>3244</v>
      </c>
      <c r="K54" s="69" t="s">
        <v>407</v>
      </c>
      <c r="L54" s="84" t="s">
        <v>227</v>
      </c>
      <c r="M54" s="135">
        <v>45790</v>
      </c>
      <c r="N54" s="75" t="s">
        <v>1484</v>
      </c>
      <c r="P54" s="89"/>
      <c r="Q54" s="89"/>
    </row>
    <row r="55" spans="1:17" x14ac:dyDescent="0.3">
      <c r="A55" s="16" t="s">
        <v>1335</v>
      </c>
      <c r="B55" s="16" t="s">
        <v>1336</v>
      </c>
      <c r="C55" s="28" t="s">
        <v>224</v>
      </c>
      <c r="D55" s="28" t="str">
        <f>IFERROR(VLOOKUP($C55,CUENTAS[],2,0),"")</f>
        <v>MATERIALES</v>
      </c>
      <c r="E55" s="28" t="str">
        <f>IFERROR(VLOOKUP($C55,CUENTAS[],3,0),"")</f>
        <v>MDE2025-004</v>
      </c>
      <c r="F55" s="86">
        <v>2058.2800000000002</v>
      </c>
      <c r="G55" s="86">
        <v>329.24</v>
      </c>
      <c r="H55" s="74">
        <v>2387.52</v>
      </c>
      <c r="I55" s="200" t="str">
        <f t="shared" si="0"/>
        <v>CORRECTO</v>
      </c>
      <c r="J55" s="88" t="s">
        <v>3244</v>
      </c>
      <c r="K55" s="69" t="s">
        <v>407</v>
      </c>
      <c r="L55" s="84" t="s">
        <v>227</v>
      </c>
      <c r="M55" s="135">
        <v>45790</v>
      </c>
      <c r="N55" s="75" t="s">
        <v>1442</v>
      </c>
      <c r="P55" s="89"/>
      <c r="Q55" s="89"/>
    </row>
    <row r="56" spans="1:17" x14ac:dyDescent="0.3">
      <c r="A56" s="16" t="s">
        <v>1109</v>
      </c>
      <c r="B56" s="16" t="s">
        <v>1337</v>
      </c>
      <c r="C56" s="28" t="s">
        <v>224</v>
      </c>
      <c r="D56" s="28" t="str">
        <f>IFERROR(VLOOKUP($C56,CUENTAS[],2,0),"")</f>
        <v>MATERIALES</v>
      </c>
      <c r="E56" s="28" t="str">
        <f>IFERROR(VLOOKUP($C56,CUENTAS[],3,0),"")</f>
        <v>MDE2025-004</v>
      </c>
      <c r="F56" s="86">
        <v>33740.620000000003</v>
      </c>
      <c r="G56" s="86">
        <v>0</v>
      </c>
      <c r="H56" s="74">
        <v>33740.620000000003</v>
      </c>
      <c r="I56" s="200" t="str">
        <f t="shared" si="0"/>
        <v>CORRECTO</v>
      </c>
      <c r="J56" s="88" t="s">
        <v>3244</v>
      </c>
      <c r="K56" s="69" t="s">
        <v>407</v>
      </c>
      <c r="L56" s="84" t="s">
        <v>227</v>
      </c>
      <c r="M56" s="135">
        <v>45790</v>
      </c>
      <c r="N56" s="75" t="s">
        <v>1181</v>
      </c>
      <c r="P56" s="89"/>
      <c r="Q56" s="89"/>
    </row>
    <row r="57" spans="1:17" x14ac:dyDescent="0.3">
      <c r="A57" s="16" t="s">
        <v>275</v>
      </c>
      <c r="B57" s="16" t="s">
        <v>1338</v>
      </c>
      <c r="C57" s="28" t="s">
        <v>121</v>
      </c>
      <c r="D57" s="28" t="str">
        <f>IFERROR(VLOOKUP($C57,CUENTAS[],2,0),"")</f>
        <v>GASTOS FIJOS</v>
      </c>
      <c r="E57" s="28" t="str">
        <f>IFERROR(VLOOKUP($C57,CUENTAS[],3,0),"")</f>
        <v>MDE2025-002K</v>
      </c>
      <c r="F57" s="86">
        <v>15525</v>
      </c>
      <c r="G57" s="86">
        <v>2484</v>
      </c>
      <c r="H57" s="74">
        <v>18009</v>
      </c>
      <c r="I57" s="200" t="str">
        <f t="shared" si="0"/>
        <v>CORRECTO</v>
      </c>
      <c r="J57" s="88" t="s">
        <v>3244</v>
      </c>
      <c r="K57" s="69" t="s">
        <v>363</v>
      </c>
      <c r="L57" s="84" t="s">
        <v>227</v>
      </c>
      <c r="M57" s="135">
        <v>45790</v>
      </c>
      <c r="N57" s="75" t="s">
        <v>1443</v>
      </c>
      <c r="P57" s="89"/>
      <c r="Q57" s="89"/>
    </row>
    <row r="58" spans="1:17" x14ac:dyDescent="0.3">
      <c r="A58" s="16" t="s">
        <v>284</v>
      </c>
      <c r="B58" s="16" t="s">
        <v>1339</v>
      </c>
      <c r="C58" s="28" t="s">
        <v>201</v>
      </c>
      <c r="D58" s="28" t="str">
        <f>IFERROR(VLOOKUP($C58,CUENTAS[],2,0),"")</f>
        <v>ACTIVOS FIJOS</v>
      </c>
      <c r="E58" s="28" t="str">
        <f>IFERROR(VLOOKUP($C58,CUENTAS[],3,0),"")</f>
        <v>MDE2025-007I</v>
      </c>
      <c r="F58" s="86">
        <v>3297.41</v>
      </c>
      <c r="G58" s="86">
        <v>527.59</v>
      </c>
      <c r="H58" s="74">
        <v>3825</v>
      </c>
      <c r="I58" s="200" t="str">
        <f t="shared" si="0"/>
        <v>CORRECTO</v>
      </c>
      <c r="J58" s="88" t="s">
        <v>3244</v>
      </c>
      <c r="K58" s="69" t="s">
        <v>407</v>
      </c>
      <c r="L58" s="84" t="s">
        <v>227</v>
      </c>
      <c r="M58" s="135">
        <v>45790</v>
      </c>
      <c r="N58" s="75" t="s">
        <v>1444</v>
      </c>
      <c r="P58" s="89"/>
      <c r="Q58" s="89"/>
    </row>
    <row r="59" spans="1:17" x14ac:dyDescent="0.3">
      <c r="A59" s="16" t="s">
        <v>284</v>
      </c>
      <c r="B59" s="16" t="s">
        <v>1340</v>
      </c>
      <c r="C59" s="28" t="s">
        <v>224</v>
      </c>
      <c r="D59" s="28" t="str">
        <f>IFERROR(VLOOKUP($C59,CUENTAS[],2,0),"")</f>
        <v>MATERIALES</v>
      </c>
      <c r="E59" s="28" t="str">
        <f>IFERROR(VLOOKUP($C59,CUENTAS[],3,0),"")</f>
        <v>MDE2025-004</v>
      </c>
      <c r="F59" s="86">
        <v>1231.01</v>
      </c>
      <c r="G59" s="86">
        <v>0</v>
      </c>
      <c r="H59" s="74">
        <v>1231.01</v>
      </c>
      <c r="I59" s="200" t="str">
        <f t="shared" si="0"/>
        <v>CORRECTO</v>
      </c>
      <c r="J59" s="88" t="s">
        <v>3244</v>
      </c>
      <c r="K59" s="69" t="s">
        <v>407</v>
      </c>
      <c r="L59" s="84" t="s">
        <v>227</v>
      </c>
      <c r="M59" s="135">
        <v>45790</v>
      </c>
      <c r="N59" s="75" t="s">
        <v>1445</v>
      </c>
      <c r="P59" s="89"/>
      <c r="Q59" s="89"/>
    </row>
    <row r="60" spans="1:17" x14ac:dyDescent="0.3">
      <c r="A60" s="16" t="s">
        <v>284</v>
      </c>
      <c r="B60" s="16" t="s">
        <v>1341</v>
      </c>
      <c r="C60" s="28" t="s">
        <v>224</v>
      </c>
      <c r="D60" s="28" t="str">
        <f>IFERROR(VLOOKUP($C60,CUENTAS[],2,0),"")</f>
        <v>MATERIALES</v>
      </c>
      <c r="E60" s="28" t="str">
        <f>IFERROR(VLOOKUP($C60,CUENTAS[],3,0),"")</f>
        <v>MDE2025-004</v>
      </c>
      <c r="F60" s="86">
        <v>9723.67</v>
      </c>
      <c r="G60" s="86">
        <v>1555.79</v>
      </c>
      <c r="H60" s="74">
        <v>11279.46</v>
      </c>
      <c r="I60" s="200" t="str">
        <f t="shared" si="0"/>
        <v>CORRECTO</v>
      </c>
      <c r="J60" s="88" t="s">
        <v>3244</v>
      </c>
      <c r="K60" s="69" t="s">
        <v>407</v>
      </c>
      <c r="L60" s="84" t="s">
        <v>227</v>
      </c>
      <c r="M60" s="135">
        <v>45790</v>
      </c>
      <c r="N60" s="75" t="s">
        <v>1446</v>
      </c>
      <c r="P60" s="89"/>
      <c r="Q60" s="89"/>
    </row>
    <row r="61" spans="1:17" x14ac:dyDescent="0.3">
      <c r="A61" s="16" t="s">
        <v>284</v>
      </c>
      <c r="B61" s="16" t="s">
        <v>1342</v>
      </c>
      <c r="C61" s="28" t="s">
        <v>224</v>
      </c>
      <c r="D61" s="28" t="str">
        <f>IFERROR(VLOOKUP($C61,CUENTAS[],2,0),"")</f>
        <v>MATERIALES</v>
      </c>
      <c r="E61" s="28" t="str">
        <f>IFERROR(VLOOKUP($C61,CUENTAS[],3,0),"")</f>
        <v>MDE2025-004</v>
      </c>
      <c r="F61" s="86">
        <v>1638</v>
      </c>
      <c r="G61" s="86">
        <v>0</v>
      </c>
      <c r="H61" s="74">
        <v>1638</v>
      </c>
      <c r="I61" s="200" t="str">
        <f t="shared" si="0"/>
        <v>CORRECTO</v>
      </c>
      <c r="J61" s="88" t="s">
        <v>3244</v>
      </c>
      <c r="K61" s="69" t="s">
        <v>407</v>
      </c>
      <c r="L61" s="84" t="s">
        <v>227</v>
      </c>
      <c r="M61" s="136">
        <v>45790</v>
      </c>
      <c r="N61" s="75" t="s">
        <v>1447</v>
      </c>
      <c r="P61" s="89"/>
      <c r="Q61" s="89"/>
    </row>
    <row r="62" spans="1:17" x14ac:dyDescent="0.3">
      <c r="A62" s="16" t="s">
        <v>284</v>
      </c>
      <c r="B62" s="16" t="s">
        <v>1343</v>
      </c>
      <c r="C62" s="28" t="s">
        <v>224</v>
      </c>
      <c r="D62" s="28" t="str">
        <f>IFERROR(VLOOKUP($C62,CUENTAS[],2,0),"")</f>
        <v>MATERIALES</v>
      </c>
      <c r="E62" s="28" t="str">
        <f>IFERROR(VLOOKUP($C62,CUENTAS[],3,0),"")</f>
        <v>MDE2025-004</v>
      </c>
      <c r="F62" s="86">
        <v>492.71</v>
      </c>
      <c r="G62" s="86">
        <v>78.83</v>
      </c>
      <c r="H62" s="74">
        <v>571.54</v>
      </c>
      <c r="I62" s="200" t="str">
        <f t="shared" si="0"/>
        <v>CORRECTO</v>
      </c>
      <c r="J62" s="88" t="s">
        <v>3244</v>
      </c>
      <c r="K62" s="69" t="s">
        <v>407</v>
      </c>
      <c r="L62" s="84" t="s">
        <v>227</v>
      </c>
      <c r="M62" s="136">
        <v>45790</v>
      </c>
      <c r="N62" s="75" t="s">
        <v>1448</v>
      </c>
      <c r="P62" s="89"/>
      <c r="Q62" s="89"/>
    </row>
    <row r="63" spans="1:17" x14ac:dyDescent="0.3">
      <c r="A63" s="16" t="s">
        <v>284</v>
      </c>
      <c r="B63" s="16" t="s">
        <v>1344</v>
      </c>
      <c r="C63" s="28" t="s">
        <v>224</v>
      </c>
      <c r="D63" s="28" t="str">
        <f>IFERROR(VLOOKUP($C63,CUENTAS[],2,0),"")</f>
        <v>MATERIALES</v>
      </c>
      <c r="E63" s="28" t="str">
        <f>IFERROR(VLOOKUP($C63,CUENTAS[],3,0),"")</f>
        <v>MDE2025-004</v>
      </c>
      <c r="F63" s="86">
        <v>1950</v>
      </c>
      <c r="G63" s="86">
        <v>0</v>
      </c>
      <c r="H63" s="74">
        <v>1950</v>
      </c>
      <c r="I63" s="200" t="str">
        <f t="shared" si="0"/>
        <v>CORRECTO</v>
      </c>
      <c r="J63" s="88" t="s">
        <v>3244</v>
      </c>
      <c r="K63" s="69" t="s">
        <v>407</v>
      </c>
      <c r="L63" s="84" t="s">
        <v>227</v>
      </c>
      <c r="M63" s="135">
        <v>45790</v>
      </c>
      <c r="N63" s="75" t="s">
        <v>1449</v>
      </c>
      <c r="P63" s="89"/>
      <c r="Q63" s="89"/>
    </row>
    <row r="64" spans="1:17" x14ac:dyDescent="0.3">
      <c r="A64" s="16" t="s">
        <v>284</v>
      </c>
      <c r="B64" s="16" t="s">
        <v>1345</v>
      </c>
      <c r="C64" s="28" t="s">
        <v>224</v>
      </c>
      <c r="D64" s="28" t="str">
        <f>IFERROR(VLOOKUP($C64,CUENTAS[],2,0),"")</f>
        <v>MATERIALES</v>
      </c>
      <c r="E64" s="28" t="str">
        <f>IFERROR(VLOOKUP($C64,CUENTAS[],3,0),"")</f>
        <v>MDE2025-004</v>
      </c>
      <c r="F64" s="86">
        <v>678</v>
      </c>
      <c r="G64" s="86">
        <v>32</v>
      </c>
      <c r="H64" s="74">
        <v>710</v>
      </c>
      <c r="I64" s="200" t="str">
        <f t="shared" si="0"/>
        <v>CORRECTO</v>
      </c>
      <c r="J64" s="88" t="s">
        <v>3244</v>
      </c>
      <c r="K64" s="69" t="s">
        <v>407</v>
      </c>
      <c r="L64" s="84" t="s">
        <v>227</v>
      </c>
      <c r="M64" s="135">
        <v>45790</v>
      </c>
      <c r="N64" s="75" t="s">
        <v>1450</v>
      </c>
      <c r="P64" s="89"/>
      <c r="Q64" s="89"/>
    </row>
    <row r="65" spans="1:17" x14ac:dyDescent="0.3">
      <c r="A65" s="16" t="s">
        <v>1293</v>
      </c>
      <c r="B65" s="16" t="s">
        <v>1346</v>
      </c>
      <c r="C65" s="28" t="s">
        <v>224</v>
      </c>
      <c r="D65" s="28" t="str">
        <f>IFERROR(VLOOKUP($C65,CUENTAS[],2,0),"")</f>
        <v>MATERIALES</v>
      </c>
      <c r="E65" s="28" t="str">
        <f>IFERROR(VLOOKUP($C65,CUENTAS[],3,0),"")</f>
        <v>MDE2025-004</v>
      </c>
      <c r="F65" s="86">
        <v>898.19</v>
      </c>
      <c r="G65" s="86">
        <v>0</v>
      </c>
      <c r="H65" s="74">
        <v>898.19</v>
      </c>
      <c r="I65" s="200" t="str">
        <f t="shared" si="0"/>
        <v>CORRECTO</v>
      </c>
      <c r="J65" s="88" t="s">
        <v>3244</v>
      </c>
      <c r="K65" s="69" t="s">
        <v>407</v>
      </c>
      <c r="L65" s="84" t="s">
        <v>227</v>
      </c>
      <c r="M65" s="135">
        <v>45790</v>
      </c>
      <c r="N65" s="75" t="s">
        <v>368</v>
      </c>
      <c r="P65" s="89"/>
      <c r="Q65" s="89"/>
    </row>
    <row r="66" spans="1:17" x14ac:dyDescent="0.3">
      <c r="A66" s="16" t="s">
        <v>541</v>
      </c>
      <c r="B66" s="16" t="s">
        <v>1347</v>
      </c>
      <c r="C66" s="28" t="s">
        <v>224</v>
      </c>
      <c r="D66" s="28" t="str">
        <f>IFERROR(VLOOKUP($C66,CUENTAS[],2,0),"")</f>
        <v>MATERIALES</v>
      </c>
      <c r="E66" s="28" t="str">
        <f>IFERROR(VLOOKUP($C66,CUENTAS[],3,0),"")</f>
        <v>MDE2025-004</v>
      </c>
      <c r="F66" s="86">
        <v>1321.24</v>
      </c>
      <c r="G66" s="86">
        <v>0</v>
      </c>
      <c r="H66" s="74">
        <v>1321.24</v>
      </c>
      <c r="I66" s="200" t="str">
        <f t="shared" si="0"/>
        <v>CORRECTO</v>
      </c>
      <c r="J66" s="88" t="s">
        <v>3244</v>
      </c>
      <c r="K66" s="69" t="s">
        <v>407</v>
      </c>
      <c r="L66" s="84" t="s">
        <v>227</v>
      </c>
      <c r="M66" s="135">
        <v>45790</v>
      </c>
      <c r="N66" s="75" t="s">
        <v>584</v>
      </c>
      <c r="P66" s="89"/>
      <c r="Q66" s="89"/>
    </row>
    <row r="67" spans="1:17" x14ac:dyDescent="0.3">
      <c r="A67" s="16" t="s">
        <v>1348</v>
      </c>
      <c r="B67" s="16">
        <v>30690</v>
      </c>
      <c r="C67" s="28" t="s">
        <v>224</v>
      </c>
      <c r="D67" s="28" t="str">
        <f>IFERROR(VLOOKUP($C67,CUENTAS[],2,0),"")</f>
        <v>MATERIALES</v>
      </c>
      <c r="E67" s="28" t="str">
        <f>IFERROR(VLOOKUP($C67,CUENTAS[],3,0),"")</f>
        <v>MDE2025-004</v>
      </c>
      <c r="F67" s="86">
        <v>4421.59</v>
      </c>
      <c r="G67" s="86">
        <v>0</v>
      </c>
      <c r="H67" s="74">
        <v>4421.59</v>
      </c>
      <c r="I67" s="200" t="str">
        <f t="shared" ref="I67:I130" si="1">IFERROR(IF(F67+G67&lt;&gt;H67,"REVISAR","CORRECTO"),"")</f>
        <v>CORRECTO</v>
      </c>
      <c r="J67" s="88" t="s">
        <v>3244</v>
      </c>
      <c r="K67" s="69" t="s">
        <v>407</v>
      </c>
      <c r="L67" s="84" t="s">
        <v>227</v>
      </c>
      <c r="M67" s="135">
        <v>45790</v>
      </c>
      <c r="N67" s="75" t="s">
        <v>1451</v>
      </c>
      <c r="P67" s="89"/>
      <c r="Q67" s="89"/>
    </row>
    <row r="68" spans="1:17" x14ac:dyDescent="0.3">
      <c r="A68" s="16" t="s">
        <v>1349</v>
      </c>
      <c r="B68" s="16" t="s">
        <v>1350</v>
      </c>
      <c r="C68" s="28" t="s">
        <v>201</v>
      </c>
      <c r="D68" s="28" t="str">
        <f>IFERROR(VLOOKUP($C68,CUENTAS[],2,0),"")</f>
        <v>ACTIVOS FIJOS</v>
      </c>
      <c r="E68" s="28" t="str">
        <f>IFERROR(VLOOKUP($C68,CUENTAS[],3,0),"")</f>
        <v>MDE2025-007I</v>
      </c>
      <c r="F68" s="86">
        <v>23760</v>
      </c>
      <c r="G68" s="86">
        <v>0</v>
      </c>
      <c r="H68" s="74">
        <v>23760</v>
      </c>
      <c r="I68" s="200" t="str">
        <f t="shared" si="1"/>
        <v>CORRECTO</v>
      </c>
      <c r="J68" s="88" t="s">
        <v>3244</v>
      </c>
      <c r="K68" s="69" t="s">
        <v>360</v>
      </c>
      <c r="L68" s="84" t="s">
        <v>227</v>
      </c>
      <c r="M68" s="135">
        <v>45790</v>
      </c>
      <c r="N68" s="75" t="s">
        <v>1452</v>
      </c>
      <c r="P68" s="89"/>
      <c r="Q68" s="89"/>
    </row>
    <row r="69" spans="1:17" x14ac:dyDescent="0.3">
      <c r="A69" s="16" t="s">
        <v>228</v>
      </c>
      <c r="B69" s="16" t="s">
        <v>1351</v>
      </c>
      <c r="C69" s="28" t="s">
        <v>201</v>
      </c>
      <c r="D69" s="28" t="str">
        <f>IFERROR(VLOOKUP($C69,CUENTAS[],2,0),"")</f>
        <v>ACTIVOS FIJOS</v>
      </c>
      <c r="E69" s="28" t="str">
        <f>IFERROR(VLOOKUP($C69,CUENTAS[],3,0),"")</f>
        <v>MDE2025-007I</v>
      </c>
      <c r="F69" s="86">
        <v>3000</v>
      </c>
      <c r="G69" s="86">
        <v>0</v>
      </c>
      <c r="H69" s="74">
        <v>3000</v>
      </c>
      <c r="I69" s="200" t="str">
        <f t="shared" si="1"/>
        <v>CORRECTO</v>
      </c>
      <c r="J69" s="88" t="s">
        <v>3244</v>
      </c>
      <c r="K69" s="69" t="s">
        <v>363</v>
      </c>
      <c r="L69" s="84" t="s">
        <v>227</v>
      </c>
      <c r="M69" s="135">
        <v>45793</v>
      </c>
      <c r="N69" s="75" t="s">
        <v>368</v>
      </c>
      <c r="P69" s="89"/>
      <c r="Q69" s="89"/>
    </row>
    <row r="70" spans="1:17" x14ac:dyDescent="0.3">
      <c r="A70" s="16" t="s">
        <v>228</v>
      </c>
      <c r="B70" s="16" t="s">
        <v>1352</v>
      </c>
      <c r="C70" s="28" t="s">
        <v>223</v>
      </c>
      <c r="D70" s="28" t="str">
        <f>IFERROR(VLOOKUP($C70,CUENTAS[],2,0),"")</f>
        <v>MANTENIMIENTO</v>
      </c>
      <c r="E70" s="28" t="str">
        <f>IFERROR(VLOOKUP($C70,CUENTAS[],3,0),"")</f>
        <v>MDE2025-009B</v>
      </c>
      <c r="F70" s="86">
        <v>500</v>
      </c>
      <c r="G70" s="86">
        <v>0</v>
      </c>
      <c r="H70" s="74">
        <v>500</v>
      </c>
      <c r="I70" s="200" t="str">
        <f t="shared" si="1"/>
        <v>CORRECTO</v>
      </c>
      <c r="J70" s="88" t="s">
        <v>3244</v>
      </c>
      <c r="K70" s="69" t="s">
        <v>363</v>
      </c>
      <c r="L70" s="84" t="s">
        <v>227</v>
      </c>
      <c r="M70" s="136">
        <v>45793</v>
      </c>
      <c r="N70" s="75" t="s">
        <v>387</v>
      </c>
      <c r="P70" s="89"/>
      <c r="Q70" s="89"/>
    </row>
    <row r="71" spans="1:17" x14ac:dyDescent="0.3">
      <c r="A71" s="16" t="s">
        <v>284</v>
      </c>
      <c r="B71" s="16" t="s">
        <v>1353</v>
      </c>
      <c r="C71" s="28" t="s">
        <v>224</v>
      </c>
      <c r="D71" s="28" t="str">
        <f>IFERROR(VLOOKUP($C71,CUENTAS[],2,0),"")</f>
        <v>MATERIALES</v>
      </c>
      <c r="E71" s="28" t="str">
        <f>IFERROR(VLOOKUP($C71,CUENTAS[],3,0),"")</f>
        <v>MDE2025-004</v>
      </c>
      <c r="F71" s="86">
        <v>1255.8599999999999</v>
      </c>
      <c r="G71" s="86">
        <v>200.94</v>
      </c>
      <c r="H71" s="74">
        <v>1456.8</v>
      </c>
      <c r="I71" s="200" t="str">
        <f t="shared" si="1"/>
        <v>CORRECTO</v>
      </c>
      <c r="J71" s="88" t="s">
        <v>3244</v>
      </c>
      <c r="K71" s="69" t="s">
        <v>407</v>
      </c>
      <c r="L71" s="84" t="s">
        <v>227</v>
      </c>
      <c r="M71" s="135">
        <v>45793</v>
      </c>
      <c r="N71" s="75" t="s">
        <v>578</v>
      </c>
      <c r="P71" s="89"/>
      <c r="Q71" s="89"/>
    </row>
    <row r="72" spans="1:17" x14ac:dyDescent="0.3">
      <c r="A72" s="16" t="s">
        <v>232</v>
      </c>
      <c r="B72" s="16" t="s">
        <v>1354</v>
      </c>
      <c r="C72" s="28" t="s">
        <v>224</v>
      </c>
      <c r="D72" s="28" t="str">
        <f>IFERROR(VLOOKUP($C72,CUENTAS[],2,0),"")</f>
        <v>MATERIALES</v>
      </c>
      <c r="E72" s="28" t="str">
        <f>IFERROR(VLOOKUP($C72,CUENTAS[],3,0),"")</f>
        <v>MDE2025-004</v>
      </c>
      <c r="F72" s="86">
        <v>32091.81</v>
      </c>
      <c r="G72" s="86">
        <v>5134.6899999999996</v>
      </c>
      <c r="H72" s="74">
        <v>37226.5</v>
      </c>
      <c r="I72" s="200" t="str">
        <f t="shared" si="1"/>
        <v>CORRECTO</v>
      </c>
      <c r="J72" s="88" t="s">
        <v>3244</v>
      </c>
      <c r="K72" s="69" t="s">
        <v>407</v>
      </c>
      <c r="L72" s="84" t="s">
        <v>227</v>
      </c>
      <c r="M72" s="137">
        <v>45793</v>
      </c>
      <c r="N72" s="75" t="s">
        <v>1453</v>
      </c>
      <c r="P72" s="89"/>
      <c r="Q72" s="89"/>
    </row>
    <row r="73" spans="1:17" x14ac:dyDescent="0.3">
      <c r="A73" s="16" t="s">
        <v>284</v>
      </c>
      <c r="B73" s="16" t="s">
        <v>1355</v>
      </c>
      <c r="C73" s="28" t="s">
        <v>224</v>
      </c>
      <c r="D73" s="28" t="str">
        <f>IFERROR(VLOOKUP($C73,CUENTAS[],2,0),"")</f>
        <v>MATERIALES</v>
      </c>
      <c r="E73" s="28" t="str">
        <f>IFERROR(VLOOKUP($C73,CUENTAS[],3,0),"")</f>
        <v>MDE2025-004</v>
      </c>
      <c r="F73" s="86">
        <v>1063.79</v>
      </c>
      <c r="G73" s="86">
        <v>170.21</v>
      </c>
      <c r="H73" s="74">
        <v>1234</v>
      </c>
      <c r="I73" s="200" t="str">
        <f t="shared" si="1"/>
        <v>CORRECTO</v>
      </c>
      <c r="J73" s="88" t="s">
        <v>3244</v>
      </c>
      <c r="K73" s="69" t="s">
        <v>407</v>
      </c>
      <c r="L73" s="84" t="s">
        <v>227</v>
      </c>
      <c r="M73" s="137">
        <v>45793</v>
      </c>
      <c r="N73" s="75" t="s">
        <v>1454</v>
      </c>
      <c r="P73" s="89"/>
      <c r="Q73" s="89"/>
    </row>
    <row r="74" spans="1:17" x14ac:dyDescent="0.3">
      <c r="A74" s="16" t="s">
        <v>284</v>
      </c>
      <c r="B74" s="16" t="s">
        <v>1356</v>
      </c>
      <c r="C74" s="28" t="s">
        <v>224</v>
      </c>
      <c r="D74" s="28" t="str">
        <f>IFERROR(VLOOKUP($C74,CUENTAS[],2,0),"")</f>
        <v>MATERIALES</v>
      </c>
      <c r="E74" s="28" t="str">
        <f>IFERROR(VLOOKUP($C74,CUENTAS[],3,0),"")</f>
        <v>MDE2025-004</v>
      </c>
      <c r="F74" s="86">
        <v>4075.86</v>
      </c>
      <c r="G74" s="86">
        <v>652.14</v>
      </c>
      <c r="H74" s="74">
        <v>4728</v>
      </c>
      <c r="I74" s="200" t="str">
        <f t="shared" si="1"/>
        <v>CORRECTO</v>
      </c>
      <c r="J74" s="88" t="s">
        <v>3244</v>
      </c>
      <c r="K74" s="69" t="s">
        <v>407</v>
      </c>
      <c r="L74" s="84" t="s">
        <v>227</v>
      </c>
      <c r="M74" s="135">
        <v>45793</v>
      </c>
      <c r="N74" s="75" t="s">
        <v>1455</v>
      </c>
      <c r="P74" s="89"/>
      <c r="Q74" s="89"/>
    </row>
    <row r="75" spans="1:17" x14ac:dyDescent="0.3">
      <c r="A75" s="16" t="s">
        <v>1357</v>
      </c>
      <c r="B75" s="16" t="s">
        <v>1358</v>
      </c>
      <c r="C75" s="28" t="s">
        <v>201</v>
      </c>
      <c r="D75" s="28" t="str">
        <f>IFERROR(VLOOKUP($C75,CUENTAS[],2,0),"")</f>
        <v>ACTIVOS FIJOS</v>
      </c>
      <c r="E75" s="28" t="str">
        <f>IFERROR(VLOOKUP($C75,CUENTAS[],3,0),"")</f>
        <v>MDE2025-007I</v>
      </c>
      <c r="F75" s="86">
        <v>7200</v>
      </c>
      <c r="G75" s="86">
        <v>0</v>
      </c>
      <c r="H75" s="74">
        <v>7200</v>
      </c>
      <c r="I75" s="200" t="str">
        <f t="shared" si="1"/>
        <v>CORRECTO</v>
      </c>
      <c r="J75" s="88" t="s">
        <v>3244</v>
      </c>
      <c r="K75" s="69" t="s">
        <v>407</v>
      </c>
      <c r="L75" s="84" t="s">
        <v>227</v>
      </c>
      <c r="M75" s="135">
        <v>45793</v>
      </c>
      <c r="N75" s="75" t="s">
        <v>1456</v>
      </c>
      <c r="P75" s="89"/>
      <c r="Q75" s="89"/>
    </row>
    <row r="76" spans="1:17" x14ac:dyDescent="0.3">
      <c r="A76" s="16" t="s">
        <v>284</v>
      </c>
      <c r="B76" s="16" t="s">
        <v>1359</v>
      </c>
      <c r="C76" s="28" t="s">
        <v>201</v>
      </c>
      <c r="D76" s="28" t="str">
        <f>IFERROR(VLOOKUP($C76,CUENTAS[],2,0),"")</f>
        <v>ACTIVOS FIJOS</v>
      </c>
      <c r="E76" s="28" t="str">
        <f>IFERROR(VLOOKUP($C76,CUENTAS[],3,0),"")</f>
        <v>MDE2025-007I</v>
      </c>
      <c r="F76" s="86">
        <v>1099.1400000000001</v>
      </c>
      <c r="G76" s="86">
        <v>175.86</v>
      </c>
      <c r="H76" s="74">
        <v>1275</v>
      </c>
      <c r="I76" s="200" t="str">
        <f t="shared" si="1"/>
        <v>CORRECTO</v>
      </c>
      <c r="J76" s="88" t="s">
        <v>3244</v>
      </c>
      <c r="K76" s="69" t="s">
        <v>407</v>
      </c>
      <c r="L76" s="84" t="s">
        <v>227</v>
      </c>
      <c r="M76" s="135">
        <v>45793</v>
      </c>
      <c r="N76" s="75" t="s">
        <v>1457</v>
      </c>
      <c r="P76" s="89"/>
      <c r="Q76" s="89"/>
    </row>
    <row r="77" spans="1:17" x14ac:dyDescent="0.3">
      <c r="A77" s="16" t="s">
        <v>230</v>
      </c>
      <c r="B77" s="16" t="s">
        <v>1360</v>
      </c>
      <c r="C77" s="28" t="s">
        <v>224</v>
      </c>
      <c r="D77" s="28" t="str">
        <f>IFERROR(VLOOKUP($C77,CUENTAS[],2,0),"")</f>
        <v>MATERIALES</v>
      </c>
      <c r="E77" s="28" t="str">
        <f>IFERROR(VLOOKUP($C77,CUENTAS[],3,0),"")</f>
        <v>MDE2025-004</v>
      </c>
      <c r="F77" s="86">
        <v>10948.28</v>
      </c>
      <c r="G77" s="86">
        <v>1751.72</v>
      </c>
      <c r="H77" s="74">
        <v>12700</v>
      </c>
      <c r="I77" s="200" t="str">
        <f t="shared" si="1"/>
        <v>CORRECTO</v>
      </c>
      <c r="J77" s="88" t="s">
        <v>3244</v>
      </c>
      <c r="K77" s="69" t="s">
        <v>407</v>
      </c>
      <c r="L77" s="84" t="s">
        <v>227</v>
      </c>
      <c r="M77" s="135">
        <v>45793</v>
      </c>
      <c r="N77" s="75" t="s">
        <v>1458</v>
      </c>
      <c r="P77" s="89"/>
      <c r="Q77" s="89"/>
    </row>
    <row r="78" spans="1:17" x14ac:dyDescent="0.3">
      <c r="A78" s="16" t="s">
        <v>1361</v>
      </c>
      <c r="B78" s="16" t="s">
        <v>1362</v>
      </c>
      <c r="C78" s="28" t="s">
        <v>167</v>
      </c>
      <c r="D78" s="28" t="str">
        <f>IFERROR(VLOOKUP($C78,CUENTAS[],2,0),"")</f>
        <v>LOGÍSTICA</v>
      </c>
      <c r="E78" s="28" t="str">
        <f>IFERROR(VLOOKUP($C78,CUENTAS[],3,0),"")</f>
        <v>MDE2025-006D</v>
      </c>
      <c r="F78" s="86">
        <v>206.69</v>
      </c>
      <c r="G78" s="86">
        <v>15.31</v>
      </c>
      <c r="H78" s="74">
        <v>222</v>
      </c>
      <c r="I78" s="200" t="str">
        <f t="shared" si="1"/>
        <v>CORRECTO</v>
      </c>
      <c r="J78" s="88" t="s">
        <v>3244</v>
      </c>
      <c r="K78" s="69" t="s">
        <v>363</v>
      </c>
      <c r="L78" s="84" t="s">
        <v>227</v>
      </c>
      <c r="M78" s="135">
        <v>45793</v>
      </c>
      <c r="N78" s="75" t="s">
        <v>1459</v>
      </c>
      <c r="P78" s="89"/>
      <c r="Q78" s="89"/>
    </row>
    <row r="79" spans="1:17" x14ac:dyDescent="0.3">
      <c r="A79" s="16" t="s">
        <v>236</v>
      </c>
      <c r="B79" s="16" t="s">
        <v>1088</v>
      </c>
      <c r="C79" s="28" t="s">
        <v>201</v>
      </c>
      <c r="D79" s="28" t="str">
        <f>IFERROR(VLOOKUP($C79,CUENTAS[],2,0),"")</f>
        <v>ACTIVOS FIJOS</v>
      </c>
      <c r="E79" s="28" t="str">
        <f>IFERROR(VLOOKUP($C79,CUENTAS[],3,0),"")</f>
        <v>MDE2025-007I</v>
      </c>
      <c r="F79" s="86">
        <v>3500</v>
      </c>
      <c r="G79" s="86">
        <v>0</v>
      </c>
      <c r="H79" s="74">
        <v>3500</v>
      </c>
      <c r="I79" s="200" t="str">
        <f t="shared" si="1"/>
        <v>CORRECTO</v>
      </c>
      <c r="J79" s="88" t="s">
        <v>3244</v>
      </c>
      <c r="K79" s="69" t="s">
        <v>363</v>
      </c>
      <c r="L79" s="84" t="s">
        <v>227</v>
      </c>
      <c r="M79" s="135">
        <v>45796</v>
      </c>
      <c r="N79" s="75" t="s">
        <v>371</v>
      </c>
      <c r="P79" s="89"/>
      <c r="Q79" s="89"/>
    </row>
    <row r="80" spans="1:17" x14ac:dyDescent="0.3">
      <c r="A80" s="16" t="s">
        <v>238</v>
      </c>
      <c r="B80" s="16" t="s">
        <v>1088</v>
      </c>
      <c r="C80" s="28" t="s">
        <v>201</v>
      </c>
      <c r="D80" s="28" t="str">
        <f>IFERROR(VLOOKUP($C80,CUENTAS[],2,0),"")</f>
        <v>ACTIVOS FIJOS</v>
      </c>
      <c r="E80" s="28" t="str">
        <f>IFERROR(VLOOKUP($C80,CUENTAS[],3,0),"")</f>
        <v>MDE2025-007I</v>
      </c>
      <c r="F80" s="86">
        <v>3200</v>
      </c>
      <c r="G80" s="86">
        <v>0</v>
      </c>
      <c r="H80" s="74">
        <v>3200</v>
      </c>
      <c r="I80" s="200" t="str">
        <f t="shared" si="1"/>
        <v>CORRECTO</v>
      </c>
      <c r="J80" s="88" t="s">
        <v>3244</v>
      </c>
      <c r="K80" s="69" t="s">
        <v>363</v>
      </c>
      <c r="L80" s="84" t="s">
        <v>227</v>
      </c>
      <c r="M80" s="135">
        <v>45796</v>
      </c>
      <c r="N80" s="75" t="s">
        <v>371</v>
      </c>
      <c r="P80" s="89"/>
      <c r="Q80" s="89"/>
    </row>
    <row r="81" spans="1:17" x14ac:dyDescent="0.3">
      <c r="A81" s="16" t="s">
        <v>284</v>
      </c>
      <c r="B81" s="16" t="s">
        <v>1363</v>
      </c>
      <c r="C81" s="28" t="s">
        <v>224</v>
      </c>
      <c r="D81" s="28" t="str">
        <f>IFERROR(VLOOKUP($C81,CUENTAS[],2,0),"")</f>
        <v>MATERIALES</v>
      </c>
      <c r="E81" s="28" t="str">
        <f>IFERROR(VLOOKUP($C81,CUENTAS[],3,0),"")</f>
        <v>MDE2025-004</v>
      </c>
      <c r="F81" s="86">
        <v>926.69</v>
      </c>
      <c r="G81" s="86">
        <v>123.31</v>
      </c>
      <c r="H81" s="74">
        <v>1050</v>
      </c>
      <c r="I81" s="200" t="str">
        <f t="shared" si="1"/>
        <v>CORRECTO</v>
      </c>
      <c r="J81" s="88" t="s">
        <v>3244</v>
      </c>
      <c r="K81" s="69" t="s">
        <v>407</v>
      </c>
      <c r="L81" s="84" t="s">
        <v>227</v>
      </c>
      <c r="M81" s="135">
        <v>45797</v>
      </c>
      <c r="N81" s="75" t="s">
        <v>1460</v>
      </c>
      <c r="P81" s="89"/>
      <c r="Q81" s="89"/>
    </row>
    <row r="82" spans="1:17" x14ac:dyDescent="0.3">
      <c r="A82" s="16" t="s">
        <v>284</v>
      </c>
      <c r="B82" s="16" t="s">
        <v>1364</v>
      </c>
      <c r="C82" s="28" t="s">
        <v>224</v>
      </c>
      <c r="D82" s="28" t="str">
        <f>IFERROR(VLOOKUP($C82,CUENTAS[],2,0),"")</f>
        <v>MATERIALES</v>
      </c>
      <c r="E82" s="28" t="str">
        <f>IFERROR(VLOOKUP($C82,CUENTAS[],3,0),"")</f>
        <v>MDE2025-004</v>
      </c>
      <c r="F82" s="86">
        <v>905.17</v>
      </c>
      <c r="G82" s="86">
        <v>144.83000000000001</v>
      </c>
      <c r="H82" s="74">
        <v>1050</v>
      </c>
      <c r="I82" s="200" t="str">
        <f t="shared" si="1"/>
        <v>CORRECTO</v>
      </c>
      <c r="J82" s="88" t="s">
        <v>3244</v>
      </c>
      <c r="K82" s="69" t="s">
        <v>407</v>
      </c>
      <c r="L82" s="84" t="s">
        <v>227</v>
      </c>
      <c r="M82" s="135">
        <v>45797</v>
      </c>
      <c r="N82" s="75" t="s">
        <v>1461</v>
      </c>
      <c r="P82" s="89"/>
      <c r="Q82" s="89"/>
    </row>
    <row r="83" spans="1:17" x14ac:dyDescent="0.3">
      <c r="A83" s="16" t="s">
        <v>666</v>
      </c>
      <c r="B83" s="16" t="s">
        <v>1315</v>
      </c>
      <c r="C83" s="28" t="s">
        <v>224</v>
      </c>
      <c r="D83" s="28" t="str">
        <f>IFERROR(VLOOKUP($C83,CUENTAS[],2,0),"")</f>
        <v>MATERIALES</v>
      </c>
      <c r="E83" s="28" t="str">
        <f>IFERROR(VLOOKUP($C83,CUENTAS[],3,0),"")</f>
        <v>MDE2025-004</v>
      </c>
      <c r="F83" s="86">
        <v>5603.45</v>
      </c>
      <c r="G83" s="86">
        <v>896.55</v>
      </c>
      <c r="H83" s="74">
        <v>6500</v>
      </c>
      <c r="I83" s="200" t="str">
        <f t="shared" si="1"/>
        <v>CORRECTO</v>
      </c>
      <c r="J83" s="88" t="s">
        <v>3244</v>
      </c>
      <c r="K83" s="69" t="s">
        <v>407</v>
      </c>
      <c r="L83" s="84" t="s">
        <v>227</v>
      </c>
      <c r="M83" s="136">
        <v>45797</v>
      </c>
      <c r="N83" s="75" t="s">
        <v>1485</v>
      </c>
      <c r="P83" s="89"/>
      <c r="Q83" s="89"/>
    </row>
    <row r="84" spans="1:17" x14ac:dyDescent="0.3">
      <c r="A84" s="16" t="s">
        <v>284</v>
      </c>
      <c r="B84" s="16" t="s">
        <v>1365</v>
      </c>
      <c r="C84" s="28" t="s">
        <v>224</v>
      </c>
      <c r="D84" s="28" t="str">
        <f>IFERROR(VLOOKUP($C84,CUENTAS[],2,0),"")</f>
        <v>MATERIALES</v>
      </c>
      <c r="E84" s="28" t="str">
        <f>IFERROR(VLOOKUP($C84,CUENTAS[],3,0),"")</f>
        <v>MDE2025-004</v>
      </c>
      <c r="F84" s="86">
        <v>513.79</v>
      </c>
      <c r="G84" s="86">
        <v>82.21</v>
      </c>
      <c r="H84" s="74">
        <v>596</v>
      </c>
      <c r="I84" s="200" t="str">
        <f t="shared" si="1"/>
        <v>CORRECTO</v>
      </c>
      <c r="J84" s="88" t="s">
        <v>3244</v>
      </c>
      <c r="K84" s="69" t="s">
        <v>407</v>
      </c>
      <c r="L84" s="84" t="s">
        <v>227</v>
      </c>
      <c r="M84" s="135">
        <v>45797</v>
      </c>
      <c r="N84" s="75" t="s">
        <v>1462</v>
      </c>
      <c r="P84" s="89"/>
      <c r="Q84" s="89"/>
    </row>
    <row r="85" spans="1:17" x14ac:dyDescent="0.3">
      <c r="A85" s="16" t="s">
        <v>284</v>
      </c>
      <c r="B85" s="16" t="s">
        <v>1366</v>
      </c>
      <c r="C85" s="28" t="s">
        <v>117</v>
      </c>
      <c r="D85" s="28" t="str">
        <f>IFERROR(VLOOKUP($C85,CUENTAS[],2,0),"")</f>
        <v>GASTOS VARIOS</v>
      </c>
      <c r="E85" s="28" t="str">
        <f>IFERROR(VLOOKUP($C85,CUENTAS[],3,0),"")</f>
        <v>MDE2025-003D</v>
      </c>
      <c r="F85" s="86">
        <v>173.07</v>
      </c>
      <c r="G85" s="86">
        <v>26.93</v>
      </c>
      <c r="H85" s="74">
        <v>200</v>
      </c>
      <c r="I85" s="200" t="str">
        <f t="shared" si="1"/>
        <v>CORRECTO</v>
      </c>
      <c r="J85" s="88" t="s">
        <v>3244</v>
      </c>
      <c r="K85" s="69" t="s">
        <v>363</v>
      </c>
      <c r="L85" s="84" t="s">
        <v>227</v>
      </c>
      <c r="M85" s="135">
        <v>45797</v>
      </c>
      <c r="N85" s="75" t="s">
        <v>1463</v>
      </c>
      <c r="P85" s="89"/>
      <c r="Q85" s="89"/>
    </row>
    <row r="86" spans="1:17" x14ac:dyDescent="0.3">
      <c r="A86" s="16" t="s">
        <v>1335</v>
      </c>
      <c r="B86" s="16" t="s">
        <v>1367</v>
      </c>
      <c r="C86" s="28" t="s">
        <v>224</v>
      </c>
      <c r="D86" s="28" t="str">
        <f>IFERROR(VLOOKUP($C86,CUENTAS[],2,0),"")</f>
        <v>MATERIALES</v>
      </c>
      <c r="E86" s="28" t="str">
        <f>IFERROR(VLOOKUP($C86,CUENTAS[],3,0),"")</f>
        <v>MDE2025-004</v>
      </c>
      <c r="F86" s="86">
        <v>2214.6</v>
      </c>
      <c r="G86" s="86">
        <v>354.34</v>
      </c>
      <c r="H86" s="74">
        <v>2568.94</v>
      </c>
      <c r="I86" s="200" t="str">
        <f t="shared" si="1"/>
        <v>CORRECTO</v>
      </c>
      <c r="J86" s="88" t="s">
        <v>3244</v>
      </c>
      <c r="K86" s="69" t="s">
        <v>407</v>
      </c>
      <c r="L86" s="84" t="s">
        <v>227</v>
      </c>
      <c r="M86" s="135">
        <v>45797</v>
      </c>
      <c r="N86" s="75" t="s">
        <v>1464</v>
      </c>
      <c r="P86" s="89"/>
      <c r="Q86" s="89"/>
    </row>
    <row r="87" spans="1:17" x14ac:dyDescent="0.3">
      <c r="A87" s="16" t="s">
        <v>279</v>
      </c>
      <c r="B87" s="16" t="s">
        <v>1368</v>
      </c>
      <c r="C87" s="28" t="s">
        <v>143</v>
      </c>
      <c r="D87" s="28" t="str">
        <f>IFERROR(VLOOKUP($C87,CUENTAS[],2,0),"")</f>
        <v>GASTOS FIJOS</v>
      </c>
      <c r="E87" s="28" t="str">
        <f>IFERROR(VLOOKUP($C87,CUENTAS[],3,0),"")</f>
        <v>MDE2025-002C</v>
      </c>
      <c r="F87" s="86">
        <v>9753</v>
      </c>
      <c r="G87" s="86">
        <v>0</v>
      </c>
      <c r="H87" s="74">
        <v>9753</v>
      </c>
      <c r="I87" s="200" t="str">
        <f t="shared" si="1"/>
        <v>CORRECTO</v>
      </c>
      <c r="J87" s="88" t="s">
        <v>3244</v>
      </c>
      <c r="K87" s="69" t="s">
        <v>363</v>
      </c>
      <c r="L87" s="84" t="s">
        <v>227</v>
      </c>
      <c r="M87" s="135">
        <v>45798</v>
      </c>
      <c r="N87" s="75" t="s">
        <v>368</v>
      </c>
      <c r="P87" s="89"/>
      <c r="Q87" s="89"/>
    </row>
    <row r="88" spans="1:17" x14ac:dyDescent="0.3">
      <c r="A88" s="16" t="s">
        <v>1369</v>
      </c>
      <c r="B88" s="16" t="s">
        <v>1370</v>
      </c>
      <c r="C88" s="28" t="s">
        <v>224</v>
      </c>
      <c r="D88" s="28" t="str">
        <f>IFERROR(VLOOKUP($C88,CUENTAS[],2,0),"")</f>
        <v>MATERIALES</v>
      </c>
      <c r="E88" s="28" t="str">
        <f>IFERROR(VLOOKUP($C88,CUENTAS[],3,0),"")</f>
        <v>MDE2025-004</v>
      </c>
      <c r="F88" s="86">
        <v>13000</v>
      </c>
      <c r="G88" s="86">
        <v>2080</v>
      </c>
      <c r="H88" s="74">
        <v>15080</v>
      </c>
      <c r="I88" s="200" t="str">
        <f t="shared" si="1"/>
        <v>CORRECTO</v>
      </c>
      <c r="J88" s="88" t="s">
        <v>3244</v>
      </c>
      <c r="K88" s="69" t="s">
        <v>407</v>
      </c>
      <c r="L88" s="84" t="s">
        <v>227</v>
      </c>
      <c r="M88" s="135">
        <v>45797</v>
      </c>
      <c r="N88" s="75" t="s">
        <v>1465</v>
      </c>
      <c r="P88" s="89"/>
      <c r="Q88" s="89"/>
    </row>
    <row r="89" spans="1:17" x14ac:dyDescent="0.3">
      <c r="A89" s="16" t="s">
        <v>1371</v>
      </c>
      <c r="B89" s="16" t="s">
        <v>1372</v>
      </c>
      <c r="C89" s="28" t="s">
        <v>153</v>
      </c>
      <c r="D89" s="28" t="str">
        <f>IFERROR(VLOOKUP($C89,CUENTAS[],2,0),"")</f>
        <v>GASTOS FIJOS</v>
      </c>
      <c r="E89" s="28" t="str">
        <f>IFERROR(VLOOKUP($C89,CUENTAS[],3,0),"")</f>
        <v>MDE2025-002L</v>
      </c>
      <c r="F89" s="86">
        <v>11350</v>
      </c>
      <c r="G89" s="86">
        <v>0</v>
      </c>
      <c r="H89" s="74">
        <v>11350</v>
      </c>
      <c r="I89" s="200" t="str">
        <f t="shared" si="1"/>
        <v>CORRECTO</v>
      </c>
      <c r="J89" s="88" t="s">
        <v>3244</v>
      </c>
      <c r="K89" s="69" t="s">
        <v>364</v>
      </c>
      <c r="L89" s="84" t="s">
        <v>227</v>
      </c>
      <c r="M89" s="135">
        <v>45797</v>
      </c>
      <c r="N89" s="75" t="s">
        <v>371</v>
      </c>
      <c r="P89" s="89"/>
      <c r="Q89" s="89"/>
    </row>
    <row r="90" spans="1:17" x14ac:dyDescent="0.3">
      <c r="A90" s="16" t="s">
        <v>1373</v>
      </c>
      <c r="B90" s="16" t="s">
        <v>1374</v>
      </c>
      <c r="C90" s="28" t="s">
        <v>126</v>
      </c>
      <c r="D90" s="28" t="str">
        <f>IFERROR(VLOOKUP($C90,CUENTAS[],2,0),"")</f>
        <v>ACTIVOS FIJOS</v>
      </c>
      <c r="E90" s="28" t="str">
        <f>IFERROR(VLOOKUP($C90,CUENTAS[],3,0),"")</f>
        <v>MDE2025-007A</v>
      </c>
      <c r="F90" s="86">
        <v>274137.93</v>
      </c>
      <c r="G90" s="86">
        <v>43862.07</v>
      </c>
      <c r="H90" s="74">
        <v>318000</v>
      </c>
      <c r="I90" s="200" t="str">
        <f t="shared" si="1"/>
        <v>CORRECTO</v>
      </c>
      <c r="J90" s="88" t="s">
        <v>3244</v>
      </c>
      <c r="K90" s="69" t="s">
        <v>360</v>
      </c>
      <c r="L90" s="84" t="s">
        <v>227</v>
      </c>
      <c r="M90" s="135">
        <v>45798</v>
      </c>
      <c r="N90" s="75" t="s">
        <v>368</v>
      </c>
      <c r="P90" s="89"/>
      <c r="Q90" s="89"/>
    </row>
    <row r="91" spans="1:17" x14ac:dyDescent="0.3">
      <c r="A91" s="16" t="s">
        <v>328</v>
      </c>
      <c r="B91" s="16" t="s">
        <v>1375</v>
      </c>
      <c r="C91" s="28" t="s">
        <v>167</v>
      </c>
      <c r="D91" s="28" t="str">
        <f>IFERROR(VLOOKUP($C91,CUENTAS[],2,0),"")</f>
        <v>LOGÍSTICA</v>
      </c>
      <c r="E91" s="28" t="str">
        <f>IFERROR(VLOOKUP($C91,CUENTAS[],3,0),"")</f>
        <v>MDE2025-006D</v>
      </c>
      <c r="F91" s="86">
        <v>10000</v>
      </c>
      <c r="G91" s="86">
        <v>0</v>
      </c>
      <c r="H91" s="74">
        <v>10000</v>
      </c>
      <c r="I91" s="200" t="str">
        <f t="shared" si="1"/>
        <v>CORRECTO</v>
      </c>
      <c r="J91" s="88" t="s">
        <v>3244</v>
      </c>
      <c r="K91" s="69" t="s">
        <v>362</v>
      </c>
      <c r="L91" s="84" t="s">
        <v>227</v>
      </c>
      <c r="M91" s="135">
        <v>45798</v>
      </c>
      <c r="N91" s="75" t="s">
        <v>368</v>
      </c>
      <c r="P91" s="89"/>
      <c r="Q91" s="89"/>
    </row>
    <row r="92" spans="1:17" x14ac:dyDescent="0.3">
      <c r="A92" s="16" t="s">
        <v>1376</v>
      </c>
      <c r="B92" s="16" t="s">
        <v>1377</v>
      </c>
      <c r="C92" s="28" t="s">
        <v>224</v>
      </c>
      <c r="D92" s="28" t="str">
        <f>IFERROR(VLOOKUP($C92,CUENTAS[],2,0),"")</f>
        <v>MATERIALES</v>
      </c>
      <c r="E92" s="28" t="str">
        <f>IFERROR(VLOOKUP($C92,CUENTAS[],3,0),"")</f>
        <v>MDE2025-004</v>
      </c>
      <c r="F92" s="86">
        <v>8488</v>
      </c>
      <c r="G92" s="86">
        <v>1358.08</v>
      </c>
      <c r="H92" s="74">
        <v>9846.08</v>
      </c>
      <c r="I92" s="200" t="str">
        <f t="shared" si="1"/>
        <v>CORRECTO</v>
      </c>
      <c r="J92" s="88" t="s">
        <v>3244</v>
      </c>
      <c r="K92" s="69" t="s">
        <v>407</v>
      </c>
      <c r="L92" s="84" t="s">
        <v>227</v>
      </c>
      <c r="M92" s="135">
        <v>45798</v>
      </c>
      <c r="N92" s="75" t="s">
        <v>1466</v>
      </c>
      <c r="P92" s="89"/>
      <c r="Q92" s="89"/>
    </row>
    <row r="93" spans="1:17" x14ac:dyDescent="0.3">
      <c r="A93" s="16" t="s">
        <v>1378</v>
      </c>
      <c r="B93" s="16" t="s">
        <v>1379</v>
      </c>
      <c r="C93" s="28" t="s">
        <v>224</v>
      </c>
      <c r="D93" s="28" t="str">
        <f>IFERROR(VLOOKUP($C93,CUENTAS[],2,0),"")</f>
        <v>MATERIALES</v>
      </c>
      <c r="E93" s="28" t="str">
        <f>IFERROR(VLOOKUP($C93,CUENTAS[],3,0),"")</f>
        <v>MDE2025-004</v>
      </c>
      <c r="F93" s="86">
        <v>3336.2</v>
      </c>
      <c r="G93" s="86">
        <v>533.79999999999995</v>
      </c>
      <c r="H93" s="74">
        <v>3870</v>
      </c>
      <c r="I93" s="200" t="str">
        <f t="shared" si="1"/>
        <v>CORRECTO</v>
      </c>
      <c r="J93" s="88" t="s">
        <v>3244</v>
      </c>
      <c r="K93" s="69" t="s">
        <v>407</v>
      </c>
      <c r="L93" s="84" t="s">
        <v>227</v>
      </c>
      <c r="M93" s="148">
        <v>45799</v>
      </c>
      <c r="N93" s="75" t="s">
        <v>368</v>
      </c>
      <c r="P93" s="89"/>
      <c r="Q93" s="89"/>
    </row>
    <row r="94" spans="1:17" x14ac:dyDescent="0.3">
      <c r="A94" s="16" t="s">
        <v>232</v>
      </c>
      <c r="B94" s="16" t="s">
        <v>1380</v>
      </c>
      <c r="C94" s="28" t="s">
        <v>224</v>
      </c>
      <c r="D94" s="28" t="str">
        <f>IFERROR(VLOOKUP($C94,CUENTAS[],2,0),"")</f>
        <v>MATERIALES</v>
      </c>
      <c r="E94" s="28" t="str">
        <f>IFERROR(VLOOKUP($C94,CUENTAS[],3,0),"")</f>
        <v>MDE2025-004</v>
      </c>
      <c r="F94" s="86">
        <v>47338.239999999998</v>
      </c>
      <c r="G94" s="86">
        <v>7574.12</v>
      </c>
      <c r="H94" s="74">
        <v>54912.36</v>
      </c>
      <c r="I94" s="200" t="str">
        <f t="shared" si="1"/>
        <v>CORRECTO</v>
      </c>
      <c r="J94" s="88" t="s">
        <v>3244</v>
      </c>
      <c r="K94" s="69" t="s">
        <v>407</v>
      </c>
      <c r="L94" s="84" t="s">
        <v>227</v>
      </c>
      <c r="M94" s="136">
        <v>45799</v>
      </c>
      <c r="N94" s="75" t="s">
        <v>1486</v>
      </c>
      <c r="P94" s="89"/>
      <c r="Q94" s="89"/>
    </row>
    <row r="95" spans="1:17" x14ac:dyDescent="0.3">
      <c r="A95" s="16" t="s">
        <v>1381</v>
      </c>
      <c r="B95" s="16" t="s">
        <v>1382</v>
      </c>
      <c r="C95" s="28" t="s">
        <v>168</v>
      </c>
      <c r="D95" s="28" t="str">
        <f>IFERROR(VLOOKUP($C95,CUENTAS[],2,0),"")</f>
        <v>ACTIVOS FIJOS</v>
      </c>
      <c r="E95" s="28" t="str">
        <f>IFERROR(VLOOKUP($C95,CUENTAS[],3,0),"")</f>
        <v>MDE2025-007B</v>
      </c>
      <c r="F95" s="86">
        <v>41354.120000000003</v>
      </c>
      <c r="G95" s="86">
        <v>0</v>
      </c>
      <c r="H95" s="74">
        <v>41354.120000000003</v>
      </c>
      <c r="I95" s="200" t="str">
        <f t="shared" si="1"/>
        <v>CORRECTO</v>
      </c>
      <c r="J95" s="88" t="s">
        <v>3244</v>
      </c>
      <c r="K95" s="69" t="s">
        <v>1467</v>
      </c>
      <c r="L95" s="84" t="s">
        <v>227</v>
      </c>
      <c r="M95" s="135">
        <v>45799</v>
      </c>
      <c r="N95" s="75" t="s">
        <v>371</v>
      </c>
      <c r="P95" s="89"/>
      <c r="Q95" s="89"/>
    </row>
    <row r="96" spans="1:17" x14ac:dyDescent="0.3">
      <c r="A96" s="16" t="s">
        <v>284</v>
      </c>
      <c r="B96" s="16" t="s">
        <v>1383</v>
      </c>
      <c r="C96" s="28" t="s">
        <v>224</v>
      </c>
      <c r="D96" s="28" t="str">
        <f>IFERROR(VLOOKUP($C96,CUENTAS[],2,0),"")</f>
        <v>MATERIALES</v>
      </c>
      <c r="E96" s="28" t="str">
        <f>IFERROR(VLOOKUP($C96,CUENTAS[],3,0),"")</f>
        <v>MDE2025-004</v>
      </c>
      <c r="F96" s="86">
        <v>700.86</v>
      </c>
      <c r="G96" s="86">
        <v>112.14</v>
      </c>
      <c r="H96" s="74">
        <v>813</v>
      </c>
      <c r="I96" s="200" t="str">
        <f t="shared" si="1"/>
        <v>CORRECTO</v>
      </c>
      <c r="J96" s="88" t="s">
        <v>3244</v>
      </c>
      <c r="K96" s="69" t="s">
        <v>407</v>
      </c>
      <c r="L96" s="84" t="s">
        <v>227</v>
      </c>
      <c r="M96" s="135">
        <v>45799</v>
      </c>
      <c r="N96" s="75" t="s">
        <v>1468</v>
      </c>
      <c r="P96" s="89"/>
      <c r="Q96" s="89"/>
    </row>
    <row r="97" spans="1:17" x14ac:dyDescent="0.3">
      <c r="A97" s="16" t="s">
        <v>284</v>
      </c>
      <c r="B97" s="16" t="s">
        <v>1384</v>
      </c>
      <c r="C97" s="28" t="s">
        <v>224</v>
      </c>
      <c r="D97" s="28" t="str">
        <f>IFERROR(VLOOKUP($C97,CUENTAS[],2,0),"")</f>
        <v>MATERIALES</v>
      </c>
      <c r="E97" s="28" t="str">
        <f>IFERROR(VLOOKUP($C97,CUENTAS[],3,0),"")</f>
        <v>MDE2025-004</v>
      </c>
      <c r="F97" s="86">
        <v>2035.78</v>
      </c>
      <c r="G97" s="86">
        <v>325.72000000000003</v>
      </c>
      <c r="H97" s="74">
        <v>2361.5</v>
      </c>
      <c r="I97" s="200" t="str">
        <f t="shared" si="1"/>
        <v>CORRECTO</v>
      </c>
      <c r="J97" s="88" t="s">
        <v>3244</v>
      </c>
      <c r="K97" s="69" t="s">
        <v>407</v>
      </c>
      <c r="L97" s="84" t="s">
        <v>227</v>
      </c>
      <c r="M97" s="135">
        <v>45799</v>
      </c>
      <c r="N97" s="75" t="s">
        <v>1469</v>
      </c>
      <c r="P97" s="89"/>
      <c r="Q97" s="89"/>
    </row>
    <row r="98" spans="1:17" x14ac:dyDescent="0.3">
      <c r="A98" s="16" t="s">
        <v>284</v>
      </c>
      <c r="B98" s="16" t="s">
        <v>1385</v>
      </c>
      <c r="C98" s="28" t="s">
        <v>224</v>
      </c>
      <c r="D98" s="28" t="str">
        <f>IFERROR(VLOOKUP($C98,CUENTAS[],2,0),"")</f>
        <v>MATERIALES</v>
      </c>
      <c r="E98" s="28" t="str">
        <f>IFERROR(VLOOKUP($C98,CUENTAS[],3,0),"")</f>
        <v>MDE2025-004</v>
      </c>
      <c r="F98" s="86">
        <v>16931.72</v>
      </c>
      <c r="G98" s="86">
        <v>2709.08</v>
      </c>
      <c r="H98" s="74">
        <v>19640.8</v>
      </c>
      <c r="I98" s="200" t="str">
        <f t="shared" si="1"/>
        <v>CORRECTO</v>
      </c>
      <c r="J98" s="88" t="s">
        <v>3244</v>
      </c>
      <c r="K98" s="69" t="s">
        <v>407</v>
      </c>
      <c r="L98" s="84" t="s">
        <v>227</v>
      </c>
      <c r="M98" s="135">
        <v>45799</v>
      </c>
      <c r="N98" s="75" t="s">
        <v>1470</v>
      </c>
      <c r="P98" s="89"/>
      <c r="Q98" s="89"/>
    </row>
    <row r="99" spans="1:17" x14ac:dyDescent="0.3">
      <c r="A99" s="16" t="s">
        <v>284</v>
      </c>
      <c r="B99" s="16" t="s">
        <v>1386</v>
      </c>
      <c r="C99" s="28" t="s">
        <v>224</v>
      </c>
      <c r="D99" s="28" t="str">
        <f>IFERROR(VLOOKUP($C99,CUENTAS[],2,0),"")</f>
        <v>MATERIALES</v>
      </c>
      <c r="E99" s="28" t="str">
        <f>IFERROR(VLOOKUP($C99,CUENTAS[],3,0),"")</f>
        <v>MDE2025-004</v>
      </c>
      <c r="F99" s="86">
        <v>2725.57</v>
      </c>
      <c r="G99" s="86">
        <v>436.1</v>
      </c>
      <c r="H99" s="74">
        <v>3161.67</v>
      </c>
      <c r="I99" s="200" t="str">
        <f t="shared" si="1"/>
        <v>CORRECTO</v>
      </c>
      <c r="J99" s="88" t="s">
        <v>3244</v>
      </c>
      <c r="K99" s="69" t="s">
        <v>407</v>
      </c>
      <c r="L99" s="84" t="s">
        <v>227</v>
      </c>
      <c r="M99" s="135">
        <v>45799</v>
      </c>
      <c r="N99" s="75" t="s">
        <v>1471</v>
      </c>
      <c r="P99" s="89"/>
      <c r="Q99" s="89"/>
    </row>
    <row r="100" spans="1:17" x14ac:dyDescent="0.3">
      <c r="A100" s="16" t="s">
        <v>284</v>
      </c>
      <c r="B100" s="16" t="s">
        <v>1387</v>
      </c>
      <c r="C100" s="28" t="s">
        <v>224</v>
      </c>
      <c r="D100" s="28" t="str">
        <f>IFERROR(VLOOKUP($C100,CUENTAS[],2,0),"")</f>
        <v>MATERIALES</v>
      </c>
      <c r="E100" s="28" t="str">
        <f>IFERROR(VLOOKUP($C100,CUENTAS[],3,0),"")</f>
        <v>MDE2025-004</v>
      </c>
      <c r="F100" s="86">
        <v>70</v>
      </c>
      <c r="G100" s="86">
        <v>0</v>
      </c>
      <c r="H100" s="74">
        <v>70</v>
      </c>
      <c r="I100" s="200" t="str">
        <f t="shared" si="1"/>
        <v>CORRECTO</v>
      </c>
      <c r="J100" s="88" t="s">
        <v>3244</v>
      </c>
      <c r="K100" s="69" t="s">
        <v>407</v>
      </c>
      <c r="L100" s="84" t="s">
        <v>227</v>
      </c>
      <c r="M100" s="135">
        <v>45799</v>
      </c>
      <c r="N100" s="75" t="s">
        <v>1472</v>
      </c>
      <c r="P100" s="89"/>
      <c r="Q100" s="89"/>
    </row>
    <row r="101" spans="1:17" x14ac:dyDescent="0.3">
      <c r="A101" s="16" t="s">
        <v>1388</v>
      </c>
      <c r="B101" s="16" t="s">
        <v>1389</v>
      </c>
      <c r="C101" s="28" t="s">
        <v>224</v>
      </c>
      <c r="D101" s="28" t="str">
        <f>IFERROR(VLOOKUP($C101,CUENTAS[],2,0),"")</f>
        <v>MATERIALES</v>
      </c>
      <c r="E101" s="28" t="str">
        <f>IFERROR(VLOOKUP($C101,CUENTAS[],3,0),"")</f>
        <v>MDE2025-004</v>
      </c>
      <c r="F101" s="86">
        <v>1986.2</v>
      </c>
      <c r="G101" s="86">
        <v>317.8</v>
      </c>
      <c r="H101" s="74">
        <v>2304</v>
      </c>
      <c r="I101" s="200" t="str">
        <f t="shared" si="1"/>
        <v>CORRECTO</v>
      </c>
      <c r="J101" s="88" t="s">
        <v>3244</v>
      </c>
      <c r="K101" s="69" t="s">
        <v>407</v>
      </c>
      <c r="L101" s="84" t="s">
        <v>227</v>
      </c>
      <c r="M101" s="135">
        <v>45799</v>
      </c>
      <c r="N101" s="75" t="s">
        <v>1487</v>
      </c>
      <c r="P101" s="89"/>
      <c r="Q101" s="89"/>
    </row>
    <row r="102" spans="1:17" x14ac:dyDescent="0.3">
      <c r="A102" s="16" t="s">
        <v>682</v>
      </c>
      <c r="B102" s="16" t="s">
        <v>1390</v>
      </c>
      <c r="C102" s="28" t="s">
        <v>109</v>
      </c>
      <c r="D102" s="28" t="str">
        <f>IFERROR(VLOOKUP($C102,CUENTAS[],2,0),"")</f>
        <v>LOGÍSTICA</v>
      </c>
      <c r="E102" s="28" t="str">
        <f>IFERROR(VLOOKUP($C102,CUENTAS[],3,0),"")</f>
        <v>MDE2025-006A</v>
      </c>
      <c r="F102" s="86">
        <v>18245</v>
      </c>
      <c r="G102" s="86">
        <v>2919.2</v>
      </c>
      <c r="H102" s="74">
        <v>21164.2</v>
      </c>
      <c r="I102" s="200" t="str">
        <f t="shared" si="1"/>
        <v>CORRECTO</v>
      </c>
      <c r="J102" s="88" t="s">
        <v>3244</v>
      </c>
      <c r="K102" s="69" t="s">
        <v>362</v>
      </c>
      <c r="L102" s="84" t="s">
        <v>227</v>
      </c>
      <c r="M102" s="135">
        <v>45799</v>
      </c>
      <c r="N102" s="75" t="s">
        <v>1473</v>
      </c>
      <c r="P102" s="89"/>
      <c r="Q102" s="89"/>
    </row>
    <row r="103" spans="1:17" x14ac:dyDescent="0.3">
      <c r="A103" s="16" t="s">
        <v>341</v>
      </c>
      <c r="B103" s="16" t="s">
        <v>1391</v>
      </c>
      <c r="C103" s="28" t="s">
        <v>140</v>
      </c>
      <c r="D103" s="28" t="str">
        <f>IFERROR(VLOOKUP($C103,CUENTAS[],2,0),"")</f>
        <v>LOGÍSTICA</v>
      </c>
      <c r="E103" s="28" t="str">
        <f>IFERROR(VLOOKUP($C103,CUENTAS[],3,0),"")</f>
        <v>MDE2025-006B</v>
      </c>
      <c r="F103" s="86">
        <v>200</v>
      </c>
      <c r="G103" s="86">
        <v>0</v>
      </c>
      <c r="H103" s="74">
        <v>200</v>
      </c>
      <c r="I103" s="200" t="str">
        <f t="shared" si="1"/>
        <v>CORRECTO</v>
      </c>
      <c r="J103" s="88" t="s">
        <v>3244</v>
      </c>
      <c r="K103" s="69" t="s">
        <v>1423</v>
      </c>
      <c r="L103" s="84" t="s">
        <v>227</v>
      </c>
      <c r="M103" s="135">
        <v>45799</v>
      </c>
      <c r="N103" s="75" t="s">
        <v>368</v>
      </c>
      <c r="P103" s="89"/>
      <c r="Q103" s="89"/>
    </row>
    <row r="104" spans="1:17" x14ac:dyDescent="0.3">
      <c r="A104" s="16" t="s">
        <v>341</v>
      </c>
      <c r="B104" s="16" t="s">
        <v>1392</v>
      </c>
      <c r="C104" s="28" t="s">
        <v>109</v>
      </c>
      <c r="D104" s="28" t="str">
        <f>IFERROR(VLOOKUP($C104,CUENTAS[],2,0),"")</f>
        <v>LOGÍSTICA</v>
      </c>
      <c r="E104" s="28" t="str">
        <f>IFERROR(VLOOKUP($C104,CUENTAS[],3,0),"")</f>
        <v>MDE2025-006A</v>
      </c>
      <c r="F104" s="86">
        <v>3070</v>
      </c>
      <c r="G104" s="86">
        <v>0</v>
      </c>
      <c r="H104" s="74">
        <v>3070</v>
      </c>
      <c r="I104" s="200" t="str">
        <f t="shared" si="1"/>
        <v>CORRECTO</v>
      </c>
      <c r="J104" s="88" t="s">
        <v>3244</v>
      </c>
      <c r="K104" s="69" t="s">
        <v>1423</v>
      </c>
      <c r="L104" s="84" t="s">
        <v>227</v>
      </c>
      <c r="M104" s="136">
        <v>45799</v>
      </c>
      <c r="N104" s="75" t="s">
        <v>368</v>
      </c>
      <c r="P104" s="89"/>
      <c r="Q104" s="89"/>
    </row>
    <row r="105" spans="1:17" x14ac:dyDescent="0.3">
      <c r="A105" s="16" t="s">
        <v>1393</v>
      </c>
      <c r="B105" s="16" t="s">
        <v>1394</v>
      </c>
      <c r="C105" s="28" t="s">
        <v>224</v>
      </c>
      <c r="D105" s="28" t="str">
        <f>IFERROR(VLOOKUP($C105,CUENTAS[],2,0),"")</f>
        <v>MATERIALES</v>
      </c>
      <c r="E105" s="28" t="str">
        <f>IFERROR(VLOOKUP($C105,CUENTAS[],3,0),"")</f>
        <v>MDE2025-004</v>
      </c>
      <c r="F105" s="86">
        <v>8275.86</v>
      </c>
      <c r="G105" s="86">
        <v>1324.14</v>
      </c>
      <c r="H105" s="74">
        <v>9600</v>
      </c>
      <c r="I105" s="200" t="str">
        <f t="shared" si="1"/>
        <v>CORRECTO</v>
      </c>
      <c r="J105" s="88" t="s">
        <v>3244</v>
      </c>
      <c r="K105" s="69" t="s">
        <v>407</v>
      </c>
      <c r="L105" s="84" t="s">
        <v>227</v>
      </c>
      <c r="M105" s="135">
        <v>45799</v>
      </c>
      <c r="N105" s="75" t="s">
        <v>368</v>
      </c>
      <c r="P105" s="89"/>
      <c r="Q105" s="89"/>
    </row>
    <row r="106" spans="1:17" x14ac:dyDescent="0.3">
      <c r="A106" s="16" t="s">
        <v>666</v>
      </c>
      <c r="B106" s="16" t="s">
        <v>1395</v>
      </c>
      <c r="C106" s="28" t="s">
        <v>224</v>
      </c>
      <c r="D106" s="28" t="str">
        <f>IFERROR(VLOOKUP($C106,CUENTAS[],2,0),"")</f>
        <v>MATERIALES</v>
      </c>
      <c r="E106" s="28" t="str">
        <f>IFERROR(VLOOKUP($C106,CUENTAS[],3,0),"")</f>
        <v>MDE2025-004</v>
      </c>
      <c r="F106" s="86">
        <v>9655.17</v>
      </c>
      <c r="G106" s="86">
        <v>1544.83</v>
      </c>
      <c r="H106" s="74">
        <v>11200</v>
      </c>
      <c r="I106" s="200" t="str">
        <f t="shared" si="1"/>
        <v>CORRECTO</v>
      </c>
      <c r="J106" s="88" t="s">
        <v>3244</v>
      </c>
      <c r="K106" s="69" t="s">
        <v>407</v>
      </c>
      <c r="L106" s="84" t="s">
        <v>227</v>
      </c>
      <c r="M106" s="135">
        <v>45799</v>
      </c>
      <c r="N106" s="75" t="s">
        <v>1488</v>
      </c>
      <c r="P106" s="89"/>
      <c r="Q106" s="89"/>
    </row>
    <row r="107" spans="1:17" x14ac:dyDescent="0.3">
      <c r="A107" s="16" t="s">
        <v>283</v>
      </c>
      <c r="B107" s="16">
        <v>2516654</v>
      </c>
      <c r="C107" s="28" t="s">
        <v>120</v>
      </c>
      <c r="D107" s="28" t="str">
        <f>IFERROR(VLOOKUP($C107,CUENTAS[],2,0),"")</f>
        <v>TOKA</v>
      </c>
      <c r="E107" s="28" t="str">
        <f>IFERROR(VLOOKUP($C107,CUENTAS[],3,0),"")</f>
        <v>TOK2025-001C</v>
      </c>
      <c r="F107" s="86">
        <v>300</v>
      </c>
      <c r="G107" s="86">
        <v>48</v>
      </c>
      <c r="H107" s="74">
        <v>348</v>
      </c>
      <c r="I107" s="200" t="str">
        <f t="shared" si="1"/>
        <v>CORRECTO</v>
      </c>
      <c r="J107" s="88" t="s">
        <v>3244</v>
      </c>
      <c r="K107" s="69" t="s">
        <v>363</v>
      </c>
      <c r="L107" s="84" t="s">
        <v>227</v>
      </c>
      <c r="M107" s="135">
        <v>45797</v>
      </c>
      <c r="N107" s="75" t="s">
        <v>570</v>
      </c>
      <c r="P107" s="89"/>
      <c r="Q107" s="89"/>
    </row>
    <row r="108" spans="1:17" x14ac:dyDescent="0.3">
      <c r="A108" s="16" t="s">
        <v>236</v>
      </c>
      <c r="B108" s="16" t="s">
        <v>1088</v>
      </c>
      <c r="C108" s="28" t="s">
        <v>201</v>
      </c>
      <c r="D108" s="28" t="str">
        <f>IFERROR(VLOOKUP($C108,CUENTAS[],2,0),"")</f>
        <v>ACTIVOS FIJOS</v>
      </c>
      <c r="E108" s="28" t="str">
        <f>IFERROR(VLOOKUP($C108,CUENTAS[],3,0),"")</f>
        <v>MDE2025-007I</v>
      </c>
      <c r="F108" s="86">
        <v>3500</v>
      </c>
      <c r="G108" s="86">
        <v>0</v>
      </c>
      <c r="H108" s="74">
        <v>3500</v>
      </c>
      <c r="I108" s="200" t="str">
        <f t="shared" si="1"/>
        <v>CORRECTO</v>
      </c>
      <c r="J108" s="88" t="s">
        <v>3244</v>
      </c>
      <c r="K108" s="69" t="s">
        <v>363</v>
      </c>
      <c r="L108" s="84" t="s">
        <v>227</v>
      </c>
      <c r="M108" s="135">
        <v>45800</v>
      </c>
      <c r="N108" s="75" t="s">
        <v>371</v>
      </c>
      <c r="P108" s="89"/>
      <c r="Q108" s="89"/>
    </row>
    <row r="109" spans="1:17" x14ac:dyDescent="0.3">
      <c r="A109" s="16" t="s">
        <v>238</v>
      </c>
      <c r="B109" s="16" t="s">
        <v>1088</v>
      </c>
      <c r="C109" s="28" t="s">
        <v>201</v>
      </c>
      <c r="D109" s="28" t="str">
        <f>IFERROR(VLOOKUP($C109,CUENTAS[],2,0),"")</f>
        <v>ACTIVOS FIJOS</v>
      </c>
      <c r="E109" s="28" t="str">
        <f>IFERROR(VLOOKUP($C109,CUENTAS[],3,0),"")</f>
        <v>MDE2025-007I</v>
      </c>
      <c r="F109" s="86">
        <v>3200</v>
      </c>
      <c r="G109" s="86">
        <v>0</v>
      </c>
      <c r="H109" s="74">
        <v>3200</v>
      </c>
      <c r="I109" s="200" t="str">
        <f t="shared" si="1"/>
        <v>CORRECTO</v>
      </c>
      <c r="J109" s="88" t="s">
        <v>3244</v>
      </c>
      <c r="K109" s="69" t="s">
        <v>363</v>
      </c>
      <c r="L109" s="84" t="s">
        <v>227</v>
      </c>
      <c r="M109" s="135">
        <v>45800</v>
      </c>
      <c r="N109" s="75" t="s">
        <v>371</v>
      </c>
      <c r="P109" s="89"/>
      <c r="Q109" s="89"/>
    </row>
    <row r="110" spans="1:17" x14ac:dyDescent="0.3">
      <c r="A110" s="16" t="s">
        <v>1381</v>
      </c>
      <c r="B110" s="16" t="s">
        <v>1396</v>
      </c>
      <c r="C110" s="28" t="s">
        <v>168</v>
      </c>
      <c r="D110" s="28" t="str">
        <f>IFERROR(VLOOKUP($C110,CUENTAS[],2,0),"")</f>
        <v>ACTIVOS FIJOS</v>
      </c>
      <c r="E110" s="28" t="str">
        <f>IFERROR(VLOOKUP($C110,CUENTAS[],3,0),"")</f>
        <v>MDE2025-007B</v>
      </c>
      <c r="F110" s="86">
        <v>41354.120000000003</v>
      </c>
      <c r="G110" s="86">
        <v>0</v>
      </c>
      <c r="H110" s="74">
        <v>41354.120000000003</v>
      </c>
      <c r="I110" s="200" t="str">
        <f t="shared" si="1"/>
        <v>CORRECTO</v>
      </c>
      <c r="J110" s="88" t="s">
        <v>3244</v>
      </c>
      <c r="K110" s="69" t="s">
        <v>1467</v>
      </c>
      <c r="L110" s="84" t="s">
        <v>227</v>
      </c>
      <c r="M110" s="136">
        <v>45800</v>
      </c>
      <c r="N110" s="75" t="s">
        <v>371</v>
      </c>
      <c r="P110" s="89"/>
      <c r="Q110" s="89"/>
    </row>
    <row r="111" spans="1:17" x14ac:dyDescent="0.3">
      <c r="A111" s="16" t="s">
        <v>1397</v>
      </c>
      <c r="B111" s="16" t="s">
        <v>1398</v>
      </c>
      <c r="C111" s="28" t="s">
        <v>147</v>
      </c>
      <c r="D111" s="28" t="str">
        <f>IFERROR(VLOOKUP($C111,CUENTAS[],2,0),"")</f>
        <v>ACTIVOS FIJOS</v>
      </c>
      <c r="E111" s="28" t="str">
        <f>IFERROR(VLOOKUP($C111,CUENTAS[],3,0),"")</f>
        <v>MDE2025-007D</v>
      </c>
      <c r="F111" s="86">
        <v>6499</v>
      </c>
      <c r="G111" s="86">
        <v>0</v>
      </c>
      <c r="H111" s="74">
        <v>6499</v>
      </c>
      <c r="I111" s="200" t="str">
        <f t="shared" si="1"/>
        <v>CORRECTO</v>
      </c>
      <c r="J111" s="88" t="s">
        <v>3244</v>
      </c>
      <c r="K111" s="69" t="s">
        <v>1467</v>
      </c>
      <c r="L111" s="84" t="s">
        <v>227</v>
      </c>
      <c r="M111" s="135">
        <v>45800</v>
      </c>
      <c r="N111" s="75" t="s">
        <v>368</v>
      </c>
      <c r="P111" s="89"/>
      <c r="Q111" s="89"/>
    </row>
    <row r="112" spans="1:17" x14ac:dyDescent="0.3">
      <c r="A112" s="16" t="s">
        <v>228</v>
      </c>
      <c r="B112" s="16" t="s">
        <v>1399</v>
      </c>
      <c r="C112" s="28" t="s">
        <v>109</v>
      </c>
      <c r="D112" s="28" t="str">
        <f>IFERROR(VLOOKUP($C112,CUENTAS[],2,0),"")</f>
        <v>LOGÍSTICA</v>
      </c>
      <c r="E112" s="28" t="str">
        <f>IFERROR(VLOOKUP($C112,CUENTAS[],3,0),"")</f>
        <v>MDE2025-006A</v>
      </c>
      <c r="F112" s="86">
        <v>20000</v>
      </c>
      <c r="G112" s="86">
        <v>0</v>
      </c>
      <c r="H112" s="74">
        <v>20000</v>
      </c>
      <c r="I112" s="200" t="str">
        <f t="shared" si="1"/>
        <v>CORRECTO</v>
      </c>
      <c r="J112" s="88" t="s">
        <v>3244</v>
      </c>
      <c r="K112" s="69" t="s">
        <v>363</v>
      </c>
      <c r="L112" s="84" t="s">
        <v>227</v>
      </c>
      <c r="M112" s="135">
        <v>45800</v>
      </c>
      <c r="N112" s="75" t="s">
        <v>368</v>
      </c>
      <c r="P112" s="89"/>
      <c r="Q112" s="89"/>
    </row>
    <row r="113" spans="1:17" x14ac:dyDescent="0.3">
      <c r="A113" s="16" t="s">
        <v>228</v>
      </c>
      <c r="B113" s="16" t="s">
        <v>1400</v>
      </c>
      <c r="C113" s="28" t="s">
        <v>201</v>
      </c>
      <c r="D113" s="28" t="str">
        <f>IFERROR(VLOOKUP($C113,CUENTAS[],2,0),"")</f>
        <v>ACTIVOS FIJOS</v>
      </c>
      <c r="E113" s="28" t="str">
        <f>IFERROR(VLOOKUP($C113,CUENTAS[],3,0),"")</f>
        <v>MDE2025-007I</v>
      </c>
      <c r="F113" s="86">
        <v>7500</v>
      </c>
      <c r="G113" s="86">
        <v>0</v>
      </c>
      <c r="H113" s="74">
        <v>7500</v>
      </c>
      <c r="I113" s="200" t="str">
        <f t="shared" si="1"/>
        <v>CORRECTO</v>
      </c>
      <c r="J113" s="88" t="s">
        <v>3244</v>
      </c>
      <c r="K113" s="69" t="s">
        <v>363</v>
      </c>
      <c r="L113" s="84" t="s">
        <v>227</v>
      </c>
      <c r="M113" s="135">
        <v>45800</v>
      </c>
      <c r="N113" s="75" t="s">
        <v>368</v>
      </c>
      <c r="P113" s="89"/>
      <c r="Q113" s="89"/>
    </row>
    <row r="114" spans="1:17" x14ac:dyDescent="0.3">
      <c r="A114" s="16" t="s">
        <v>230</v>
      </c>
      <c r="B114" s="16" t="s">
        <v>1401</v>
      </c>
      <c r="C114" s="28" t="s">
        <v>201</v>
      </c>
      <c r="D114" s="28" t="str">
        <f>IFERROR(VLOOKUP($C114,CUENTAS[],2,0),"")</f>
        <v>ACTIVOS FIJOS</v>
      </c>
      <c r="E114" s="28" t="str">
        <f>IFERROR(VLOOKUP($C114,CUENTAS[],3,0),"")</f>
        <v>MDE2025-007I</v>
      </c>
      <c r="F114" s="86">
        <v>5344.82</v>
      </c>
      <c r="G114" s="86">
        <v>855.18</v>
      </c>
      <c r="H114" s="74">
        <v>6200</v>
      </c>
      <c r="I114" s="200" t="str">
        <f t="shared" si="1"/>
        <v>CORRECTO</v>
      </c>
      <c r="J114" s="88" t="s">
        <v>3244</v>
      </c>
      <c r="K114" s="69" t="s">
        <v>407</v>
      </c>
      <c r="L114" s="84" t="s">
        <v>227</v>
      </c>
      <c r="M114" s="135">
        <v>45804</v>
      </c>
      <c r="N114" s="75" t="s">
        <v>1474</v>
      </c>
      <c r="P114" s="89"/>
      <c r="Q114" s="89"/>
    </row>
    <row r="115" spans="1:17" x14ac:dyDescent="0.3">
      <c r="A115" s="16" t="s">
        <v>1402</v>
      </c>
      <c r="B115" s="16" t="s">
        <v>1403</v>
      </c>
      <c r="C115" s="28" t="s">
        <v>224</v>
      </c>
      <c r="D115" s="28" t="str">
        <f>IFERROR(VLOOKUP($C115,CUENTAS[],2,0),"")</f>
        <v>MATERIALES</v>
      </c>
      <c r="E115" s="28" t="str">
        <f>IFERROR(VLOOKUP($C115,CUENTAS[],3,0),"")</f>
        <v>MDE2025-004</v>
      </c>
      <c r="F115" s="86">
        <v>969.83</v>
      </c>
      <c r="G115" s="86">
        <v>155.16999999999999</v>
      </c>
      <c r="H115" s="74">
        <v>1125</v>
      </c>
      <c r="I115" s="200" t="str">
        <f t="shared" si="1"/>
        <v>CORRECTO</v>
      </c>
      <c r="J115" s="88" t="s">
        <v>3244</v>
      </c>
      <c r="K115" s="69" t="s">
        <v>407</v>
      </c>
      <c r="L115" s="84" t="s">
        <v>227</v>
      </c>
      <c r="M115" s="135">
        <v>45804</v>
      </c>
      <c r="N115" s="75" t="s">
        <v>1475</v>
      </c>
      <c r="P115" s="89"/>
      <c r="Q115" s="89"/>
    </row>
    <row r="116" spans="1:17" x14ac:dyDescent="0.3">
      <c r="A116" s="16" t="s">
        <v>284</v>
      </c>
      <c r="B116" s="16" t="s">
        <v>1404</v>
      </c>
      <c r="C116" s="28" t="s">
        <v>224</v>
      </c>
      <c r="D116" s="28" t="str">
        <f>IFERROR(VLOOKUP($C116,CUENTAS[],2,0),"")</f>
        <v>MATERIALES</v>
      </c>
      <c r="E116" s="28" t="str">
        <f>IFERROR(VLOOKUP($C116,CUENTAS[],3,0),"")</f>
        <v>MDE2025-004</v>
      </c>
      <c r="F116" s="86">
        <v>2260.63</v>
      </c>
      <c r="G116" s="86">
        <v>365.06</v>
      </c>
      <c r="H116" s="74">
        <v>2625.69</v>
      </c>
      <c r="I116" s="200" t="str">
        <f t="shared" si="1"/>
        <v>CORRECTO</v>
      </c>
      <c r="J116" s="88" t="s">
        <v>3244</v>
      </c>
      <c r="K116" s="69" t="s">
        <v>407</v>
      </c>
      <c r="L116" s="84" t="s">
        <v>227</v>
      </c>
      <c r="M116" s="139">
        <v>45805</v>
      </c>
      <c r="N116" s="75" t="s">
        <v>1476</v>
      </c>
      <c r="P116" s="89"/>
      <c r="Q116" s="89"/>
    </row>
    <row r="117" spans="1:17" x14ac:dyDescent="0.3">
      <c r="A117" s="16" t="s">
        <v>284</v>
      </c>
      <c r="B117" s="16" t="s">
        <v>1405</v>
      </c>
      <c r="C117" s="28" t="s">
        <v>224</v>
      </c>
      <c r="D117" s="28" t="str">
        <f>IFERROR(VLOOKUP($C117,CUENTAS[],2,0),"")</f>
        <v>MATERIALES</v>
      </c>
      <c r="E117" s="28" t="str">
        <f>IFERROR(VLOOKUP($C117,CUENTAS[],3,0),"")</f>
        <v>MDE2025-004</v>
      </c>
      <c r="F117" s="86">
        <v>145.59</v>
      </c>
      <c r="G117" s="86">
        <v>23.29</v>
      </c>
      <c r="H117" s="74">
        <v>168.88</v>
      </c>
      <c r="I117" s="200" t="str">
        <f t="shared" si="1"/>
        <v>CORRECTO</v>
      </c>
      <c r="J117" s="88" t="s">
        <v>3244</v>
      </c>
      <c r="K117" s="69" t="s">
        <v>407</v>
      </c>
      <c r="L117" s="84" t="s">
        <v>227</v>
      </c>
      <c r="M117" s="139">
        <v>45805</v>
      </c>
      <c r="N117" s="75" t="s">
        <v>1477</v>
      </c>
      <c r="P117" s="89"/>
      <c r="Q117" s="89"/>
    </row>
    <row r="118" spans="1:17" x14ac:dyDescent="0.3">
      <c r="A118" s="16" t="s">
        <v>284</v>
      </c>
      <c r="B118" s="16" t="s">
        <v>1406</v>
      </c>
      <c r="C118" s="28" t="s">
        <v>224</v>
      </c>
      <c r="D118" s="28" t="str">
        <f>IFERROR(VLOOKUP($C118,CUENTAS[],2,0),"")</f>
        <v>MATERIALES</v>
      </c>
      <c r="E118" s="28" t="str">
        <f>IFERROR(VLOOKUP($C118,CUENTAS[],3,0),"")</f>
        <v>MDE2025-004</v>
      </c>
      <c r="F118" s="86">
        <v>274.95999999999998</v>
      </c>
      <c r="G118" s="86">
        <v>0</v>
      </c>
      <c r="H118" s="74">
        <v>274.95999999999998</v>
      </c>
      <c r="I118" s="200" t="str">
        <f t="shared" si="1"/>
        <v>CORRECTO</v>
      </c>
      <c r="J118" s="88" t="s">
        <v>3244</v>
      </c>
      <c r="K118" s="69" t="s">
        <v>407</v>
      </c>
      <c r="L118" s="84" t="s">
        <v>227</v>
      </c>
      <c r="M118" s="137">
        <v>45805</v>
      </c>
      <c r="N118" s="75" t="s">
        <v>368</v>
      </c>
      <c r="P118" s="89"/>
      <c r="Q118" s="89"/>
    </row>
    <row r="119" spans="1:17" x14ac:dyDescent="0.3">
      <c r="A119" s="16" t="s">
        <v>284</v>
      </c>
      <c r="B119" s="16" t="s">
        <v>1407</v>
      </c>
      <c r="C119" s="28" t="s">
        <v>224</v>
      </c>
      <c r="D119" s="28" t="str">
        <f>IFERROR(VLOOKUP($C119,CUENTAS[],2,0),"")</f>
        <v>MATERIALES</v>
      </c>
      <c r="E119" s="28" t="str">
        <f>IFERROR(VLOOKUP($C119,CUENTAS[],3,0),"")</f>
        <v>MDE2025-004</v>
      </c>
      <c r="F119" s="86">
        <v>308.62</v>
      </c>
      <c r="G119" s="86">
        <v>49.38</v>
      </c>
      <c r="H119" s="74">
        <v>358</v>
      </c>
      <c r="I119" s="200" t="str">
        <f t="shared" si="1"/>
        <v>CORRECTO</v>
      </c>
      <c r="J119" s="88" t="s">
        <v>3244</v>
      </c>
      <c r="K119" s="69" t="s">
        <v>407</v>
      </c>
      <c r="L119" s="84" t="s">
        <v>227</v>
      </c>
      <c r="M119" s="140">
        <v>45805</v>
      </c>
      <c r="N119" s="75" t="s">
        <v>368</v>
      </c>
      <c r="P119" s="89"/>
      <c r="Q119" s="89"/>
    </row>
    <row r="120" spans="1:17" x14ac:dyDescent="0.3">
      <c r="A120" s="16" t="s">
        <v>275</v>
      </c>
      <c r="B120" s="16" t="s">
        <v>1408</v>
      </c>
      <c r="C120" s="28" t="s">
        <v>121</v>
      </c>
      <c r="D120" s="28" t="str">
        <f>IFERROR(VLOOKUP($C120,CUENTAS[],2,0),"")</f>
        <v>GASTOS FIJOS</v>
      </c>
      <c r="E120" s="28" t="str">
        <f>IFERROR(VLOOKUP($C120,CUENTAS[],3,0),"")</f>
        <v>MDE2025-002K</v>
      </c>
      <c r="F120" s="86">
        <v>15525</v>
      </c>
      <c r="G120" s="86">
        <v>2484</v>
      </c>
      <c r="H120" s="74">
        <v>18009</v>
      </c>
      <c r="I120" s="200" t="str">
        <f t="shared" si="1"/>
        <v>CORRECTO</v>
      </c>
      <c r="J120" s="88" t="s">
        <v>3244</v>
      </c>
      <c r="K120" s="69" t="s">
        <v>1423</v>
      </c>
      <c r="L120" s="84" t="s">
        <v>227</v>
      </c>
      <c r="M120" s="137">
        <v>45805</v>
      </c>
      <c r="N120" s="75" t="s">
        <v>1478</v>
      </c>
      <c r="P120" s="89"/>
      <c r="Q120" s="89"/>
    </row>
    <row r="121" spans="1:17" x14ac:dyDescent="0.3">
      <c r="A121" s="16" t="s">
        <v>283</v>
      </c>
      <c r="B121" s="16">
        <v>2522747</v>
      </c>
      <c r="C121" s="28" t="s">
        <v>120</v>
      </c>
      <c r="D121" s="28" t="str">
        <f>IFERROR(VLOOKUP($C121,CUENTAS[],2,0),"")</f>
        <v>TOKA</v>
      </c>
      <c r="E121" s="28" t="str">
        <f>IFERROR(VLOOKUP($C121,CUENTAS[],3,0),"")</f>
        <v>TOK2025-001C</v>
      </c>
      <c r="F121" s="86">
        <v>348</v>
      </c>
      <c r="G121" s="86">
        <v>0</v>
      </c>
      <c r="H121" s="74">
        <v>348</v>
      </c>
      <c r="I121" s="200" t="str">
        <f t="shared" si="1"/>
        <v>CORRECTO</v>
      </c>
      <c r="J121" s="88" t="s">
        <v>3244</v>
      </c>
      <c r="K121" s="69" t="s">
        <v>363</v>
      </c>
      <c r="L121" s="84" t="s">
        <v>227</v>
      </c>
      <c r="M121" s="139">
        <v>45807</v>
      </c>
      <c r="N121" s="75" t="s">
        <v>570</v>
      </c>
      <c r="P121" s="89"/>
      <c r="Q121" s="89"/>
    </row>
    <row r="122" spans="1:17" x14ac:dyDescent="0.3">
      <c r="A122" s="16" t="s">
        <v>232</v>
      </c>
      <c r="B122" s="16" t="s">
        <v>1409</v>
      </c>
      <c r="C122" s="28" t="s">
        <v>224</v>
      </c>
      <c r="D122" s="28" t="str">
        <f>IFERROR(VLOOKUP($C122,CUENTAS[],2,0),"")</f>
        <v>MATERIALES</v>
      </c>
      <c r="E122" s="28" t="str">
        <f>IFERROR(VLOOKUP($C122,CUENTAS[],3,0),"")</f>
        <v>MDE2025-004</v>
      </c>
      <c r="F122" s="86">
        <v>18900.86</v>
      </c>
      <c r="G122" s="86">
        <v>3024.14</v>
      </c>
      <c r="H122" s="74">
        <v>21925</v>
      </c>
      <c r="I122" s="200" t="str">
        <f t="shared" si="1"/>
        <v>CORRECTO</v>
      </c>
      <c r="J122" s="88" t="s">
        <v>3244</v>
      </c>
      <c r="K122" s="69" t="s">
        <v>407</v>
      </c>
      <c r="L122" s="84" t="s">
        <v>227</v>
      </c>
      <c r="M122" s="139">
        <v>45805</v>
      </c>
      <c r="N122" s="75" t="s">
        <v>1479</v>
      </c>
      <c r="P122" s="89"/>
      <c r="Q122" s="89"/>
    </row>
    <row r="123" spans="1:17" x14ac:dyDescent="0.3">
      <c r="A123" s="16" t="s">
        <v>666</v>
      </c>
      <c r="B123" s="16" t="s">
        <v>1410</v>
      </c>
      <c r="C123" s="28" t="s">
        <v>224</v>
      </c>
      <c r="D123" s="28" t="str">
        <f>IFERROR(VLOOKUP($C123,CUENTAS[],2,0),"")</f>
        <v>MATERIALES</v>
      </c>
      <c r="E123" s="28" t="str">
        <f>IFERROR(VLOOKUP($C123,CUENTAS[],3,0),"")</f>
        <v>MDE2025-004</v>
      </c>
      <c r="F123" s="86">
        <v>8685.34</v>
      </c>
      <c r="G123" s="86">
        <v>1389.66</v>
      </c>
      <c r="H123" s="74">
        <v>10075</v>
      </c>
      <c r="I123" s="200" t="str">
        <f t="shared" si="1"/>
        <v>CORRECTO</v>
      </c>
      <c r="J123" s="88" t="s">
        <v>3244</v>
      </c>
      <c r="K123" s="69" t="s">
        <v>407</v>
      </c>
      <c r="L123" s="84" t="s">
        <v>227</v>
      </c>
      <c r="M123" s="139">
        <v>45805</v>
      </c>
      <c r="N123" s="75" t="s">
        <v>1489</v>
      </c>
      <c r="P123" s="89"/>
      <c r="Q123" s="89"/>
    </row>
    <row r="124" spans="1:17" x14ac:dyDescent="0.3">
      <c r="A124" s="16" t="s">
        <v>341</v>
      </c>
      <c r="B124" s="16" t="s">
        <v>1411</v>
      </c>
      <c r="C124" s="28" t="s">
        <v>222</v>
      </c>
      <c r="D124" s="28" t="str">
        <f>IFERROR(VLOOKUP($C124,CUENTAS[],2,0),"")</f>
        <v>MANTENIMIENTO</v>
      </c>
      <c r="E124" s="28" t="str">
        <f>IFERROR(VLOOKUP($C124,CUENTAS[],3,0),"")</f>
        <v>MDE2025-009A</v>
      </c>
      <c r="F124" s="86">
        <v>95.65</v>
      </c>
      <c r="G124" s="86">
        <v>0</v>
      </c>
      <c r="H124" s="74">
        <v>95.65</v>
      </c>
      <c r="I124" s="200" t="str">
        <f t="shared" si="1"/>
        <v>CORRECTO</v>
      </c>
      <c r="J124" s="88" t="s">
        <v>3244</v>
      </c>
      <c r="K124" s="69" t="s">
        <v>1423</v>
      </c>
      <c r="L124" s="84" t="s">
        <v>227</v>
      </c>
      <c r="M124" s="139">
        <v>45806</v>
      </c>
      <c r="N124" s="75" t="s">
        <v>368</v>
      </c>
      <c r="P124" s="89"/>
      <c r="Q124" s="89"/>
    </row>
    <row r="125" spans="1:17" x14ac:dyDescent="0.3">
      <c r="A125" s="16" t="s">
        <v>341</v>
      </c>
      <c r="B125" s="16" t="s">
        <v>1412</v>
      </c>
      <c r="C125" s="28" t="s">
        <v>109</v>
      </c>
      <c r="D125" s="28" t="str">
        <f>IFERROR(VLOOKUP($C125,CUENTAS[],2,0),"")</f>
        <v>LOGÍSTICA</v>
      </c>
      <c r="E125" s="28" t="str">
        <f>IFERROR(VLOOKUP($C125,CUENTAS[],3,0),"")</f>
        <v>MDE2025-006A</v>
      </c>
      <c r="F125" s="86">
        <v>3170</v>
      </c>
      <c r="G125" s="86">
        <v>0</v>
      </c>
      <c r="H125" s="74">
        <v>3170</v>
      </c>
      <c r="I125" s="200" t="str">
        <f t="shared" si="1"/>
        <v>CORRECTO</v>
      </c>
      <c r="J125" s="88" t="s">
        <v>3244</v>
      </c>
      <c r="K125" s="69" t="s">
        <v>1423</v>
      </c>
      <c r="L125" s="84" t="s">
        <v>227</v>
      </c>
      <c r="M125" s="139">
        <v>45806</v>
      </c>
      <c r="N125" s="75" t="s">
        <v>368</v>
      </c>
      <c r="P125" s="89"/>
      <c r="Q125" s="89"/>
    </row>
    <row r="126" spans="1:17" x14ac:dyDescent="0.3">
      <c r="A126" s="16" t="s">
        <v>1413</v>
      </c>
      <c r="B126" s="16" t="s">
        <v>1414</v>
      </c>
      <c r="C126" s="28" t="s">
        <v>201</v>
      </c>
      <c r="D126" s="28" t="str">
        <f>IFERROR(VLOOKUP($C126,CUENTAS[],2,0),"")</f>
        <v>ACTIVOS FIJOS</v>
      </c>
      <c r="E126" s="28" t="str">
        <f>IFERROR(VLOOKUP($C126,CUENTAS[],3,0),"")</f>
        <v>MDE2025-007I</v>
      </c>
      <c r="F126" s="86">
        <v>14364.03</v>
      </c>
      <c r="G126" s="86">
        <v>5549.16</v>
      </c>
      <c r="H126" s="74">
        <v>19913.189999999999</v>
      </c>
      <c r="I126" s="200" t="str">
        <f t="shared" si="1"/>
        <v>CORRECTO</v>
      </c>
      <c r="J126" s="88" t="s">
        <v>3244</v>
      </c>
      <c r="K126" s="69" t="s">
        <v>364</v>
      </c>
      <c r="L126" s="84" t="s">
        <v>227</v>
      </c>
      <c r="M126" s="139">
        <v>45806</v>
      </c>
      <c r="N126" s="75" t="s">
        <v>1480</v>
      </c>
      <c r="P126" s="89"/>
      <c r="Q126" s="89"/>
    </row>
    <row r="127" spans="1:17" x14ac:dyDescent="0.3">
      <c r="A127" s="16" t="s">
        <v>1559</v>
      </c>
      <c r="B127" s="16" t="s">
        <v>1560</v>
      </c>
      <c r="C127" s="28" t="s">
        <v>222</v>
      </c>
      <c r="D127" s="28" t="str">
        <f>IFERROR(VLOOKUP($C127,CUENTAS[],2,0),"")</f>
        <v>MANTENIMIENTO</v>
      </c>
      <c r="E127" s="28" t="str">
        <f>IFERROR(VLOOKUP($C127,CUENTAS[],3,0),"")</f>
        <v>MDE2025-009A</v>
      </c>
      <c r="F127" s="86">
        <v>75.599999999999994</v>
      </c>
      <c r="G127" s="86">
        <v>12.09</v>
      </c>
      <c r="H127" s="74">
        <v>87.69</v>
      </c>
      <c r="I127" s="200" t="str">
        <f t="shared" si="1"/>
        <v>CORRECTO</v>
      </c>
      <c r="J127" s="88" t="s">
        <v>963</v>
      </c>
      <c r="K127" s="69" t="s">
        <v>407</v>
      </c>
      <c r="L127" s="84" t="s">
        <v>227</v>
      </c>
      <c r="M127" s="139">
        <v>45796</v>
      </c>
      <c r="N127" s="75"/>
      <c r="P127" s="89"/>
      <c r="Q127" s="89"/>
    </row>
    <row r="128" spans="1:17" x14ac:dyDescent="0.3">
      <c r="A128" s="16" t="s">
        <v>463</v>
      </c>
      <c r="B128" s="16" t="s">
        <v>1561</v>
      </c>
      <c r="C128" s="28" t="s">
        <v>222</v>
      </c>
      <c r="D128" s="28" t="str">
        <f>IFERROR(VLOOKUP($C128,CUENTAS[],2,0),"")</f>
        <v>MANTENIMIENTO</v>
      </c>
      <c r="E128" s="28" t="str">
        <f>IFERROR(VLOOKUP($C128,CUENTAS[],3,0),"")</f>
        <v>MDE2025-009A</v>
      </c>
      <c r="F128" s="86">
        <v>126.73</v>
      </c>
      <c r="G128" s="86">
        <v>20.27</v>
      </c>
      <c r="H128" s="74">
        <v>147</v>
      </c>
      <c r="I128" s="200" t="str">
        <f t="shared" si="1"/>
        <v>CORRECTO</v>
      </c>
      <c r="J128" s="88" t="s">
        <v>963</v>
      </c>
      <c r="K128" s="69" t="s">
        <v>407</v>
      </c>
      <c r="L128" s="84" t="s">
        <v>227</v>
      </c>
      <c r="M128" s="139">
        <v>45796</v>
      </c>
      <c r="N128" s="75"/>
      <c r="P128" s="89"/>
      <c r="Q128" s="89"/>
    </row>
    <row r="129" spans="1:17" x14ac:dyDescent="0.3">
      <c r="A129" s="16" t="s">
        <v>463</v>
      </c>
      <c r="B129" s="16" t="s">
        <v>1562</v>
      </c>
      <c r="C129" s="28" t="s">
        <v>222</v>
      </c>
      <c r="D129" s="28" t="str">
        <f>IFERROR(VLOOKUP($C129,CUENTAS[],2,0),"")</f>
        <v>MANTENIMIENTO</v>
      </c>
      <c r="E129" s="28" t="str">
        <f>IFERROR(VLOOKUP($C129,CUENTAS[],3,0),"")</f>
        <v>MDE2025-009A</v>
      </c>
      <c r="F129" s="86">
        <v>190</v>
      </c>
      <c r="G129" s="86">
        <v>30.4</v>
      </c>
      <c r="H129" s="74">
        <v>220.4</v>
      </c>
      <c r="I129" s="200" t="str">
        <f t="shared" si="1"/>
        <v>CORRECTO</v>
      </c>
      <c r="J129" s="88" t="s">
        <v>963</v>
      </c>
      <c r="K129" s="69" t="s">
        <v>407</v>
      </c>
      <c r="L129" s="84" t="s">
        <v>227</v>
      </c>
      <c r="M129" s="139">
        <v>45797</v>
      </c>
      <c r="N129" s="75"/>
      <c r="P129" s="89"/>
      <c r="Q129" s="89"/>
    </row>
    <row r="130" spans="1:17" x14ac:dyDescent="0.3">
      <c r="A130" s="16" t="s">
        <v>463</v>
      </c>
      <c r="B130" s="16" t="s">
        <v>1563</v>
      </c>
      <c r="C130" s="28" t="s">
        <v>222</v>
      </c>
      <c r="D130" s="28" t="str">
        <f>IFERROR(VLOOKUP($C130,CUENTAS[],2,0),"")</f>
        <v>MANTENIMIENTO</v>
      </c>
      <c r="E130" s="28" t="str">
        <f>IFERROR(VLOOKUP($C130,CUENTAS[],3,0),"")</f>
        <v>MDE2025-009A</v>
      </c>
      <c r="F130" s="86">
        <v>150</v>
      </c>
      <c r="G130" s="86"/>
      <c r="H130" s="74">
        <v>150</v>
      </c>
      <c r="I130" s="200" t="str">
        <f t="shared" si="1"/>
        <v>CORRECTO</v>
      </c>
      <c r="J130" s="88" t="s">
        <v>963</v>
      </c>
      <c r="K130" s="69" t="s">
        <v>407</v>
      </c>
      <c r="L130" s="84" t="s">
        <v>227</v>
      </c>
      <c r="M130" s="139">
        <v>45797</v>
      </c>
      <c r="N130" s="75"/>
      <c r="P130" s="89"/>
      <c r="Q130" s="89"/>
    </row>
    <row r="131" spans="1:17" x14ac:dyDescent="0.3">
      <c r="A131" s="16" t="s">
        <v>650</v>
      </c>
      <c r="B131" s="16" t="s">
        <v>1564</v>
      </c>
      <c r="C131" s="28" t="s">
        <v>167</v>
      </c>
      <c r="D131" s="28" t="str">
        <f>IFERROR(VLOOKUP($C131,CUENTAS[],2,0),"")</f>
        <v>LOGÍSTICA</v>
      </c>
      <c r="E131" s="28" t="str">
        <f>IFERROR(VLOOKUP($C131,CUENTAS[],3,0),"")</f>
        <v>MDE2025-006D</v>
      </c>
      <c r="F131" s="86">
        <v>630.16999999999996</v>
      </c>
      <c r="G131" s="86">
        <v>100.83</v>
      </c>
      <c r="H131" s="74">
        <v>731</v>
      </c>
      <c r="I131" s="200" t="str">
        <f t="shared" ref="I131:I194" si="2">IFERROR(IF(F131+G131&lt;&gt;H131,"REVISAR","CORRECTO"),"")</f>
        <v>CORRECTO</v>
      </c>
      <c r="J131" s="88" t="s">
        <v>1272</v>
      </c>
      <c r="K131" s="69" t="s">
        <v>1567</v>
      </c>
      <c r="L131" s="84" t="s">
        <v>227</v>
      </c>
      <c r="M131" s="139">
        <v>45790</v>
      </c>
      <c r="N131" s="75" t="s">
        <v>1568</v>
      </c>
      <c r="P131" s="89"/>
      <c r="Q131" s="89"/>
    </row>
    <row r="132" spans="1:17" x14ac:dyDescent="0.3">
      <c r="A132" s="16" t="s">
        <v>650</v>
      </c>
      <c r="B132" s="16" t="s">
        <v>1565</v>
      </c>
      <c r="C132" s="28" t="s">
        <v>167</v>
      </c>
      <c r="D132" s="28" t="str">
        <f>IFERROR(VLOOKUP($C132,CUENTAS[],2,0),"")</f>
        <v>LOGÍSTICA</v>
      </c>
      <c r="E132" s="28" t="str">
        <f>IFERROR(VLOOKUP($C132,CUENTAS[],3,0),"")</f>
        <v>MDE2025-006D</v>
      </c>
      <c r="F132" s="86">
        <v>673.28</v>
      </c>
      <c r="G132" s="86">
        <v>107.72</v>
      </c>
      <c r="H132" s="74">
        <v>781</v>
      </c>
      <c r="I132" s="200" t="str">
        <f t="shared" si="2"/>
        <v>CORRECTO</v>
      </c>
      <c r="J132" s="88" t="s">
        <v>1272</v>
      </c>
      <c r="K132" s="69" t="s">
        <v>360</v>
      </c>
      <c r="L132" s="84" t="s">
        <v>227</v>
      </c>
      <c r="M132" s="139">
        <v>45800</v>
      </c>
      <c r="N132" s="75" t="s">
        <v>1569</v>
      </c>
      <c r="P132" s="89"/>
      <c r="Q132" s="89"/>
    </row>
    <row r="133" spans="1:17" x14ac:dyDescent="0.3">
      <c r="A133" s="16" t="s">
        <v>650</v>
      </c>
      <c r="B133" s="16" t="s">
        <v>1566</v>
      </c>
      <c r="C133" s="28" t="s">
        <v>167</v>
      </c>
      <c r="D133" s="28" t="str">
        <f>IFERROR(VLOOKUP($C133,CUENTAS[],2,0),"")</f>
        <v>LOGÍSTICA</v>
      </c>
      <c r="E133" s="28" t="str">
        <f>IFERROR(VLOOKUP($C133,CUENTAS[],3,0),"")</f>
        <v>MDE2025-006D</v>
      </c>
      <c r="F133" s="86">
        <v>4122.3599999999997</v>
      </c>
      <c r="G133" s="86">
        <v>659.58</v>
      </c>
      <c r="H133" s="74">
        <v>4781.9399999999996</v>
      </c>
      <c r="I133" s="200" t="str">
        <f t="shared" si="2"/>
        <v>CORRECTO</v>
      </c>
      <c r="J133" s="88" t="s">
        <v>1272</v>
      </c>
      <c r="K133" s="69" t="s">
        <v>360</v>
      </c>
      <c r="L133" s="84" t="s">
        <v>227</v>
      </c>
      <c r="M133" s="139">
        <v>45810</v>
      </c>
      <c r="N133" s="75" t="s">
        <v>1570</v>
      </c>
      <c r="P133" s="89"/>
      <c r="Q133" s="89"/>
    </row>
    <row r="134" spans="1:17" x14ac:dyDescent="0.3">
      <c r="A134" s="5" t="s">
        <v>1004</v>
      </c>
      <c r="B134" s="100" t="s">
        <v>1009</v>
      </c>
      <c r="C134" s="28" t="s">
        <v>141</v>
      </c>
      <c r="D134" s="28" t="str">
        <f>IFERROR(VLOOKUP($C134,CUENTAS[],2,0),"")</f>
        <v>GASTOS VARIOS</v>
      </c>
      <c r="E134" s="28" t="str">
        <f>IFERROR(VLOOKUP($C134,CUENTAS[],3,0),"")</f>
        <v>MDE2025-003L</v>
      </c>
      <c r="F134" s="128">
        <v>1663.65</v>
      </c>
      <c r="G134" s="145">
        <v>0</v>
      </c>
      <c r="H134" s="128">
        <v>1663.65</v>
      </c>
      <c r="I134" s="200" t="str">
        <f t="shared" si="2"/>
        <v>CORRECTO</v>
      </c>
      <c r="J134" s="88" t="s">
        <v>133</v>
      </c>
      <c r="K134" s="141"/>
      <c r="L134" s="142" t="s">
        <v>227</v>
      </c>
      <c r="M134" s="139">
        <v>45807</v>
      </c>
      <c r="N134" s="143"/>
      <c r="P134" s="89"/>
      <c r="Q134" s="89"/>
    </row>
    <row r="135" spans="1:17" x14ac:dyDescent="0.3">
      <c r="A135" s="5" t="s">
        <v>1004</v>
      </c>
      <c r="B135" s="100" t="s">
        <v>1010</v>
      </c>
      <c r="C135" s="28" t="s">
        <v>141</v>
      </c>
      <c r="D135" s="28" t="str">
        <f>IFERROR(VLOOKUP($C135,CUENTAS[],2,0),"")</f>
        <v>GASTOS VARIOS</v>
      </c>
      <c r="E135" s="28" t="str">
        <f>IFERROR(VLOOKUP($C135,CUENTAS[],3,0),"")</f>
        <v>MDE2025-003L</v>
      </c>
      <c r="F135" s="128">
        <v>266.18</v>
      </c>
      <c r="G135" s="145">
        <v>0</v>
      </c>
      <c r="H135" s="128">
        <v>266.18</v>
      </c>
      <c r="I135" s="200" t="str">
        <f t="shared" si="2"/>
        <v>CORRECTO</v>
      </c>
      <c r="J135" s="88" t="s">
        <v>133</v>
      </c>
      <c r="K135" s="141"/>
      <c r="L135" s="142" t="s">
        <v>227</v>
      </c>
      <c r="M135" s="139">
        <v>45807</v>
      </c>
      <c r="N135" s="143"/>
      <c r="P135" s="89"/>
      <c r="Q135" s="89"/>
    </row>
    <row r="136" spans="1:17" x14ac:dyDescent="0.3">
      <c r="A136" s="5" t="s">
        <v>1004</v>
      </c>
      <c r="B136" s="100" t="s">
        <v>1011</v>
      </c>
      <c r="C136" s="28" t="s">
        <v>141</v>
      </c>
      <c r="D136" s="28" t="str">
        <f>IFERROR(VLOOKUP($C136,CUENTAS[],2,0),"")</f>
        <v>GASTOS VARIOS</v>
      </c>
      <c r="E136" s="28" t="str">
        <f>IFERROR(VLOOKUP($C136,CUENTAS[],3,0),"")</f>
        <v>MDE2025-003L</v>
      </c>
      <c r="F136" s="128">
        <v>9242.51</v>
      </c>
      <c r="G136" s="145">
        <v>0</v>
      </c>
      <c r="H136" s="128">
        <v>9242.51</v>
      </c>
      <c r="I136" s="200" t="str">
        <f t="shared" si="2"/>
        <v>CORRECTO</v>
      </c>
      <c r="J136" s="88" t="s">
        <v>133</v>
      </c>
      <c r="K136" s="141"/>
      <c r="L136" s="142" t="s">
        <v>227</v>
      </c>
      <c r="M136" s="139">
        <v>45807</v>
      </c>
      <c r="N136" s="143"/>
      <c r="P136" s="89"/>
      <c r="Q136" s="89"/>
    </row>
    <row r="137" spans="1:17" x14ac:dyDescent="0.3">
      <c r="A137" s="5" t="s">
        <v>228</v>
      </c>
      <c r="B137" s="100" t="s">
        <v>1275</v>
      </c>
      <c r="C137" s="28" t="s">
        <v>168</v>
      </c>
      <c r="D137" s="28" t="str">
        <f>IFERROR(VLOOKUP($C137,CUENTAS[],2,0),"")</f>
        <v>ACTIVOS FIJOS</v>
      </c>
      <c r="E137" s="28" t="str">
        <f>IFERROR(VLOOKUP($C137,CUENTAS[],3,0),"")</f>
        <v>MDE2025-007B</v>
      </c>
      <c r="F137" s="128">
        <v>6692</v>
      </c>
      <c r="G137" s="145">
        <v>0</v>
      </c>
      <c r="H137" s="128">
        <v>6692</v>
      </c>
      <c r="I137" s="200" t="str">
        <f t="shared" si="2"/>
        <v>CORRECTO</v>
      </c>
      <c r="J137" s="88" t="s">
        <v>133</v>
      </c>
      <c r="K137" s="141" t="s">
        <v>405</v>
      </c>
      <c r="L137" s="142" t="s">
        <v>227</v>
      </c>
      <c r="M137" s="139">
        <v>45807</v>
      </c>
      <c r="N137" s="143"/>
      <c r="P137" s="89"/>
      <c r="Q137" s="89"/>
    </row>
    <row r="138" spans="1:17" x14ac:dyDescent="0.3">
      <c r="A138" s="5" t="s">
        <v>228</v>
      </c>
      <c r="B138" s="100" t="s">
        <v>1275</v>
      </c>
      <c r="C138" s="28" t="s">
        <v>168</v>
      </c>
      <c r="D138" s="28" t="str">
        <f>IFERROR(VLOOKUP($C138,CUENTAS[],2,0),"")</f>
        <v>ACTIVOS FIJOS</v>
      </c>
      <c r="E138" s="28" t="str">
        <f>IFERROR(VLOOKUP($C138,CUENTAS[],3,0),"")</f>
        <v>MDE2025-007B</v>
      </c>
      <c r="F138" s="128">
        <v>9092</v>
      </c>
      <c r="G138" s="145">
        <v>0</v>
      </c>
      <c r="H138" s="128">
        <v>9092</v>
      </c>
      <c r="I138" s="200" t="str">
        <f t="shared" si="2"/>
        <v>CORRECTO</v>
      </c>
      <c r="J138" s="88" t="s">
        <v>133</v>
      </c>
      <c r="K138" s="141" t="s">
        <v>405</v>
      </c>
      <c r="L138" s="142" t="s">
        <v>227</v>
      </c>
      <c r="M138" s="139">
        <v>45807</v>
      </c>
      <c r="N138" s="143"/>
      <c r="P138" s="89"/>
      <c r="Q138" s="89"/>
    </row>
    <row r="139" spans="1:17" x14ac:dyDescent="0.3">
      <c r="A139" s="5" t="s">
        <v>228</v>
      </c>
      <c r="B139" s="100" t="s">
        <v>1275</v>
      </c>
      <c r="C139" s="28" t="s">
        <v>168</v>
      </c>
      <c r="D139" s="28" t="str">
        <f>IFERROR(VLOOKUP($C139,CUENTAS[],2,0),"")</f>
        <v>ACTIVOS FIJOS</v>
      </c>
      <c r="E139" s="28" t="str">
        <f>IFERROR(VLOOKUP($C139,CUENTAS[],3,0),"")</f>
        <v>MDE2025-007B</v>
      </c>
      <c r="F139" s="128">
        <v>9092</v>
      </c>
      <c r="G139" s="145">
        <v>0</v>
      </c>
      <c r="H139" s="128">
        <v>9092</v>
      </c>
      <c r="I139" s="200" t="str">
        <f t="shared" si="2"/>
        <v>CORRECTO</v>
      </c>
      <c r="J139" s="88" t="s">
        <v>133</v>
      </c>
      <c r="K139" s="141" t="s">
        <v>405</v>
      </c>
      <c r="L139" s="142" t="s">
        <v>227</v>
      </c>
      <c r="M139" s="139">
        <v>45807</v>
      </c>
      <c r="N139" s="143"/>
      <c r="P139" s="89"/>
      <c r="Q139" s="89"/>
    </row>
    <row r="140" spans="1:17" x14ac:dyDescent="0.3">
      <c r="A140" s="5" t="s">
        <v>228</v>
      </c>
      <c r="B140" s="100" t="s">
        <v>1275</v>
      </c>
      <c r="C140" s="28" t="s">
        <v>168</v>
      </c>
      <c r="D140" s="28" t="str">
        <f>IFERROR(VLOOKUP($C140,CUENTAS[],2,0),"")</f>
        <v>ACTIVOS FIJOS</v>
      </c>
      <c r="E140" s="28" t="str">
        <f>IFERROR(VLOOKUP($C140,CUENTAS[],3,0),"")</f>
        <v>MDE2025-007B</v>
      </c>
      <c r="F140" s="128">
        <v>9092</v>
      </c>
      <c r="G140" s="145">
        <v>0</v>
      </c>
      <c r="H140" s="128">
        <v>9092</v>
      </c>
      <c r="I140" s="200" t="str">
        <f t="shared" si="2"/>
        <v>CORRECTO</v>
      </c>
      <c r="J140" s="88" t="s">
        <v>133</v>
      </c>
      <c r="K140" s="141" t="s">
        <v>405</v>
      </c>
      <c r="L140" s="142" t="s">
        <v>227</v>
      </c>
      <c r="M140" s="139">
        <v>45807</v>
      </c>
      <c r="N140" s="143"/>
      <c r="P140" s="89"/>
      <c r="Q140" s="89"/>
    </row>
    <row r="141" spans="1:17" x14ac:dyDescent="0.3">
      <c r="A141" s="5" t="s">
        <v>228</v>
      </c>
      <c r="B141" s="100" t="s">
        <v>1001</v>
      </c>
      <c r="C141" s="28" t="s">
        <v>224</v>
      </c>
      <c r="D141" s="28" t="str">
        <f>IFERROR(VLOOKUP($C141,CUENTAS[],2,0),"")</f>
        <v>MATERIALES</v>
      </c>
      <c r="E141" s="28" t="str">
        <f>IFERROR(VLOOKUP($C141,CUENTAS[],3,0),"")</f>
        <v>MDE2025-004</v>
      </c>
      <c r="F141" s="128">
        <v>940</v>
      </c>
      <c r="G141" s="145">
        <v>0</v>
      </c>
      <c r="H141" s="128">
        <v>940</v>
      </c>
      <c r="I141" s="200" t="str">
        <f t="shared" si="2"/>
        <v>CORRECTO</v>
      </c>
      <c r="J141" s="88" t="s">
        <v>133</v>
      </c>
      <c r="K141" s="141" t="s">
        <v>407</v>
      </c>
      <c r="L141" s="142" t="s">
        <v>227</v>
      </c>
      <c r="M141" s="139">
        <v>45807</v>
      </c>
      <c r="N141" s="143" t="s">
        <v>368</v>
      </c>
      <c r="P141" s="89"/>
      <c r="Q141" s="89"/>
    </row>
    <row r="142" spans="1:17" x14ac:dyDescent="0.3">
      <c r="A142" s="5" t="s">
        <v>228</v>
      </c>
      <c r="B142" s="100" t="s">
        <v>1574</v>
      </c>
      <c r="C142" s="28" t="s">
        <v>168</v>
      </c>
      <c r="D142" s="28" t="str">
        <f>IFERROR(VLOOKUP($C142,CUENTAS[],2,0),"")</f>
        <v>ACTIVOS FIJOS</v>
      </c>
      <c r="E142" s="28" t="str">
        <f>IFERROR(VLOOKUP($C142,CUENTAS[],3,0),"")</f>
        <v>MDE2025-007B</v>
      </c>
      <c r="F142" s="128">
        <v>8999.67</v>
      </c>
      <c r="G142" s="145">
        <v>0</v>
      </c>
      <c r="H142" s="128">
        <v>8999.67</v>
      </c>
      <c r="I142" s="200" t="str">
        <f t="shared" si="2"/>
        <v>CORRECTO</v>
      </c>
      <c r="J142" s="88" t="s">
        <v>133</v>
      </c>
      <c r="K142" s="141"/>
      <c r="L142" s="142" t="s">
        <v>227</v>
      </c>
      <c r="M142" s="139">
        <v>45807</v>
      </c>
      <c r="N142" s="143"/>
      <c r="P142" s="89"/>
      <c r="Q142" s="89"/>
    </row>
    <row r="143" spans="1:17" x14ac:dyDescent="0.3">
      <c r="A143" s="5" t="s">
        <v>228</v>
      </c>
      <c r="B143" s="100" t="s">
        <v>1574</v>
      </c>
      <c r="C143" s="28" t="s">
        <v>168</v>
      </c>
      <c r="D143" s="28" t="str">
        <f>IFERROR(VLOOKUP($C143,CUENTAS[],2,0),"")</f>
        <v>ACTIVOS FIJOS</v>
      </c>
      <c r="E143" s="28" t="str">
        <f>IFERROR(VLOOKUP($C143,CUENTAS[],3,0),"")</f>
        <v>MDE2025-007B</v>
      </c>
      <c r="F143" s="128">
        <v>10998</v>
      </c>
      <c r="G143" s="145">
        <v>0</v>
      </c>
      <c r="H143" s="128">
        <v>10998</v>
      </c>
      <c r="I143" s="200" t="str">
        <f t="shared" si="2"/>
        <v>CORRECTO</v>
      </c>
      <c r="J143" s="88" t="s">
        <v>133</v>
      </c>
      <c r="K143" s="141"/>
      <c r="L143" s="142" t="s">
        <v>227</v>
      </c>
      <c r="M143" s="139">
        <v>45807</v>
      </c>
      <c r="N143" s="143"/>
      <c r="P143" s="89"/>
      <c r="Q143" s="89"/>
    </row>
    <row r="144" spans="1:17" x14ac:dyDescent="0.3">
      <c r="A144" s="5" t="s">
        <v>228</v>
      </c>
      <c r="B144" s="100" t="s">
        <v>1575</v>
      </c>
      <c r="C144" s="28" t="s">
        <v>134</v>
      </c>
      <c r="D144" s="28" t="str">
        <f>IFERROR(VLOOKUP($C144,CUENTAS[],2,0),"")</f>
        <v>GASTOS FIJOS</v>
      </c>
      <c r="E144" s="28" t="str">
        <f>IFERROR(VLOOKUP($C144,CUENTAS[],3,0),"")</f>
        <v>MDE2025-002J</v>
      </c>
      <c r="F144" s="128">
        <v>2299</v>
      </c>
      <c r="G144" s="145">
        <v>0</v>
      </c>
      <c r="H144" s="128">
        <v>2299</v>
      </c>
      <c r="I144" s="200" t="str">
        <f t="shared" si="2"/>
        <v>CORRECTO</v>
      </c>
      <c r="J144" s="88" t="s">
        <v>133</v>
      </c>
      <c r="K144" s="141" t="s">
        <v>406</v>
      </c>
      <c r="L144" s="142" t="s">
        <v>227</v>
      </c>
      <c r="M144" s="139">
        <v>45807</v>
      </c>
      <c r="N144" s="143"/>
      <c r="P144" s="89"/>
      <c r="Q144" s="89"/>
    </row>
    <row r="145" spans="1:17" x14ac:dyDescent="0.3">
      <c r="A145" s="5" t="s">
        <v>228</v>
      </c>
      <c r="B145" s="100" t="s">
        <v>401</v>
      </c>
      <c r="C145" s="28" t="s">
        <v>151</v>
      </c>
      <c r="D145" s="28" t="str">
        <f>IFERROR(VLOOKUP($C145,CUENTAS[],2,0),"")</f>
        <v>GASTOS FIJOS</v>
      </c>
      <c r="E145" s="28" t="str">
        <f>IFERROR(VLOOKUP($C145,CUENTAS[],3,0),"")</f>
        <v>MDE2025-002F</v>
      </c>
      <c r="F145" s="128">
        <v>3148</v>
      </c>
      <c r="G145" s="145">
        <v>0</v>
      </c>
      <c r="H145" s="128">
        <v>3148</v>
      </c>
      <c r="I145" s="200" t="str">
        <f t="shared" si="2"/>
        <v>CORRECTO</v>
      </c>
      <c r="J145" s="88" t="s">
        <v>133</v>
      </c>
      <c r="K145" s="141" t="s">
        <v>1278</v>
      </c>
      <c r="L145" s="142" t="s">
        <v>227</v>
      </c>
      <c r="M145" s="139">
        <v>45807</v>
      </c>
      <c r="N145" s="143"/>
      <c r="P145" s="89"/>
      <c r="Q145" s="89"/>
    </row>
    <row r="146" spans="1:17" ht="13.8" customHeight="1" x14ac:dyDescent="0.3">
      <c r="A146" s="5" t="s">
        <v>228</v>
      </c>
      <c r="B146" s="100" t="s">
        <v>998</v>
      </c>
      <c r="C146" s="28" t="s">
        <v>134</v>
      </c>
      <c r="D146" s="28" t="str">
        <f>IFERROR(VLOOKUP($C146,CUENTAS[],2,0),"")</f>
        <v>GASTOS FIJOS</v>
      </c>
      <c r="E146" s="28" t="str">
        <f>IFERROR(VLOOKUP($C146,CUENTAS[],3,0),"")</f>
        <v>MDE2025-002J</v>
      </c>
      <c r="F146" s="128">
        <v>585.44000000000005</v>
      </c>
      <c r="G146" s="145">
        <v>0</v>
      </c>
      <c r="H146" s="128">
        <v>585.44000000000005</v>
      </c>
      <c r="I146" s="200" t="str">
        <f t="shared" si="2"/>
        <v>CORRECTO</v>
      </c>
      <c r="J146" s="88" t="s">
        <v>133</v>
      </c>
      <c r="K146" s="179" t="s">
        <v>1582</v>
      </c>
      <c r="L146" s="142" t="s">
        <v>227</v>
      </c>
      <c r="M146" s="139">
        <v>45807</v>
      </c>
      <c r="N146" s="143" t="s">
        <v>410</v>
      </c>
      <c r="P146" s="89"/>
      <c r="Q146" s="89"/>
    </row>
    <row r="147" spans="1:17" x14ac:dyDescent="0.3">
      <c r="A147" s="5" t="s">
        <v>228</v>
      </c>
      <c r="B147" s="100" t="s">
        <v>401</v>
      </c>
      <c r="C147" s="28" t="s">
        <v>151</v>
      </c>
      <c r="D147" s="28" t="str">
        <f>IFERROR(VLOOKUP($C147,CUENTAS[],2,0),"")</f>
        <v>GASTOS FIJOS</v>
      </c>
      <c r="E147" s="28" t="str">
        <f>IFERROR(VLOOKUP($C147,CUENTAS[],3,0),"")</f>
        <v>MDE2025-002F</v>
      </c>
      <c r="F147" s="128">
        <v>1045</v>
      </c>
      <c r="G147" s="145">
        <v>0</v>
      </c>
      <c r="H147" s="128">
        <v>1045</v>
      </c>
      <c r="I147" s="200" t="str">
        <f t="shared" si="2"/>
        <v>CORRECTO</v>
      </c>
      <c r="J147" s="88" t="s">
        <v>133</v>
      </c>
      <c r="K147" s="141" t="s">
        <v>1278</v>
      </c>
      <c r="L147" s="142" t="s">
        <v>227</v>
      </c>
      <c r="M147" s="139">
        <v>45807</v>
      </c>
      <c r="N147" s="143"/>
      <c r="P147" s="89"/>
      <c r="Q147" s="89"/>
    </row>
    <row r="148" spans="1:17" x14ac:dyDescent="0.3">
      <c r="A148" s="5" t="s">
        <v>228</v>
      </c>
      <c r="B148" s="100" t="s">
        <v>1000</v>
      </c>
      <c r="C148" s="28" t="s">
        <v>224</v>
      </c>
      <c r="D148" s="28" t="str">
        <f>IFERROR(VLOOKUP($C148,CUENTAS[],2,0),"")</f>
        <v>MATERIALES</v>
      </c>
      <c r="E148" s="28" t="str">
        <f>IFERROR(VLOOKUP($C148,CUENTAS[],3,0),"")</f>
        <v>MDE2025-004</v>
      </c>
      <c r="F148" s="128">
        <v>573</v>
      </c>
      <c r="G148" s="145">
        <v>0</v>
      </c>
      <c r="H148" s="128">
        <v>573</v>
      </c>
      <c r="I148" s="200" t="str">
        <f t="shared" si="2"/>
        <v>CORRECTO</v>
      </c>
      <c r="J148" s="88" t="s">
        <v>133</v>
      </c>
      <c r="K148" s="141" t="s">
        <v>407</v>
      </c>
      <c r="L148" s="142" t="s">
        <v>227</v>
      </c>
      <c r="M148" s="139">
        <v>45807</v>
      </c>
      <c r="N148" s="143" t="s">
        <v>368</v>
      </c>
      <c r="P148" s="89"/>
      <c r="Q148" s="89"/>
    </row>
    <row r="149" spans="1:17" x14ac:dyDescent="0.3">
      <c r="A149" s="5" t="s">
        <v>228</v>
      </c>
      <c r="B149" s="100" t="s">
        <v>1576</v>
      </c>
      <c r="C149" s="28" t="s">
        <v>110</v>
      </c>
      <c r="D149" s="28" t="str">
        <f>IFERROR(VLOOKUP($C149,CUENTAS[],2,0),"")</f>
        <v>GASTOS FIJOS</v>
      </c>
      <c r="E149" s="28" t="str">
        <f>IFERROR(VLOOKUP($C149,CUENTAS[],3,0),"")</f>
        <v>MDE2025-002D</v>
      </c>
      <c r="F149" s="128">
        <v>13444.2</v>
      </c>
      <c r="G149" s="145">
        <v>0</v>
      </c>
      <c r="H149" s="128">
        <v>13444.2</v>
      </c>
      <c r="I149" s="200" t="str">
        <f t="shared" si="2"/>
        <v>CORRECTO</v>
      </c>
      <c r="J149" s="88" t="s">
        <v>133</v>
      </c>
      <c r="K149" s="141" t="s">
        <v>1467</v>
      </c>
      <c r="L149" s="142" t="s">
        <v>227</v>
      </c>
      <c r="M149" s="139">
        <v>45811</v>
      </c>
      <c r="N149" s="143"/>
      <c r="P149" s="89"/>
      <c r="Q149" s="89"/>
    </row>
    <row r="150" spans="1:17" x14ac:dyDescent="0.3">
      <c r="A150" s="5" t="s">
        <v>228</v>
      </c>
      <c r="B150" s="100" t="s">
        <v>1007</v>
      </c>
      <c r="C150" s="28" t="s">
        <v>168</v>
      </c>
      <c r="D150" s="28" t="str">
        <f>IFERROR(VLOOKUP($C150,CUENTAS[],2,0),"")</f>
        <v>ACTIVOS FIJOS</v>
      </c>
      <c r="E150" s="28" t="str">
        <f>IFERROR(VLOOKUP($C150,CUENTAS[],3,0),"")</f>
        <v>MDE2025-007B</v>
      </c>
      <c r="F150" s="128">
        <v>7649.67</v>
      </c>
      <c r="G150" s="145">
        <v>0</v>
      </c>
      <c r="H150" s="128">
        <v>7649.67</v>
      </c>
      <c r="I150" s="200" t="str">
        <f t="shared" si="2"/>
        <v>CORRECTO</v>
      </c>
      <c r="J150" s="88" t="s">
        <v>133</v>
      </c>
      <c r="K150" s="141" t="s">
        <v>360</v>
      </c>
      <c r="L150" s="142" t="s">
        <v>227</v>
      </c>
      <c r="M150" s="139">
        <v>45811</v>
      </c>
      <c r="N150" s="143"/>
      <c r="P150" s="89"/>
      <c r="Q150" s="89"/>
    </row>
    <row r="151" spans="1:17" x14ac:dyDescent="0.3">
      <c r="A151" s="5" t="s">
        <v>228</v>
      </c>
      <c r="B151" s="100" t="s">
        <v>1577</v>
      </c>
      <c r="C151" s="28" t="s">
        <v>134</v>
      </c>
      <c r="D151" s="28" t="str">
        <f>IFERROR(VLOOKUP($C151,CUENTAS[],2,0),"")</f>
        <v>GASTOS FIJOS</v>
      </c>
      <c r="E151" s="28" t="str">
        <f>IFERROR(VLOOKUP($C151,CUENTAS[],3,0),"")</f>
        <v>MDE2025-002J</v>
      </c>
      <c r="F151" s="128">
        <v>2299</v>
      </c>
      <c r="G151" s="145">
        <v>0</v>
      </c>
      <c r="H151" s="128">
        <v>2299</v>
      </c>
      <c r="I151" s="200" t="str">
        <f t="shared" si="2"/>
        <v>CORRECTO</v>
      </c>
      <c r="J151" s="88" t="s">
        <v>133</v>
      </c>
      <c r="K151" s="141"/>
      <c r="L151" s="142" t="s">
        <v>227</v>
      </c>
      <c r="M151" s="139">
        <v>45811</v>
      </c>
      <c r="N151" s="143"/>
      <c r="P151" s="89"/>
      <c r="Q151" s="89"/>
    </row>
    <row r="152" spans="1:17" x14ac:dyDescent="0.3">
      <c r="A152" s="5" t="s">
        <v>228</v>
      </c>
      <c r="B152" s="100" t="s">
        <v>1578</v>
      </c>
      <c r="C152" s="28" t="s">
        <v>134</v>
      </c>
      <c r="D152" s="28" t="str">
        <f>IFERROR(VLOOKUP($C152,CUENTAS[],2,0),"")</f>
        <v>GASTOS FIJOS</v>
      </c>
      <c r="E152" s="28" t="str">
        <f>IFERROR(VLOOKUP($C152,CUENTAS[],3,0),"")</f>
        <v>MDE2025-002J</v>
      </c>
      <c r="F152" s="128">
        <v>462.68</v>
      </c>
      <c r="G152" s="145">
        <v>0</v>
      </c>
      <c r="H152" s="128">
        <v>462.68</v>
      </c>
      <c r="I152" s="200" t="str">
        <f t="shared" si="2"/>
        <v>CORRECTO</v>
      </c>
      <c r="J152" s="88" t="s">
        <v>133</v>
      </c>
      <c r="K152" s="141" t="s">
        <v>1583</v>
      </c>
      <c r="L152" s="142" t="s">
        <v>227</v>
      </c>
      <c r="M152" s="139">
        <v>45811</v>
      </c>
      <c r="N152" s="143"/>
      <c r="P152" s="89"/>
      <c r="Q152" s="89"/>
    </row>
    <row r="153" spans="1:17" x14ac:dyDescent="0.3">
      <c r="A153" s="5" t="s">
        <v>228</v>
      </c>
      <c r="B153" s="100" t="s">
        <v>1579</v>
      </c>
      <c r="C153" s="28" t="s">
        <v>141</v>
      </c>
      <c r="D153" s="28" t="str">
        <f>IFERROR(VLOOKUP($C153,CUENTAS[],2,0),"")</f>
        <v>GASTOS VARIOS</v>
      </c>
      <c r="E153" s="28" t="str">
        <f>IFERROR(VLOOKUP($C153,CUENTAS[],3,0),"")</f>
        <v>MDE2025-003L</v>
      </c>
      <c r="F153" s="128">
        <v>4208</v>
      </c>
      <c r="G153" s="145">
        <v>0</v>
      </c>
      <c r="H153" s="128">
        <v>4208</v>
      </c>
      <c r="I153" s="200" t="str">
        <f t="shared" si="2"/>
        <v>CORRECTO</v>
      </c>
      <c r="J153" s="88" t="s">
        <v>133</v>
      </c>
      <c r="K153" s="141"/>
      <c r="L153" s="142" t="s">
        <v>227</v>
      </c>
      <c r="M153" s="139">
        <v>45811</v>
      </c>
      <c r="N153" s="143"/>
      <c r="P153" s="89"/>
      <c r="Q153" s="89"/>
    </row>
    <row r="154" spans="1:17" x14ac:dyDescent="0.3">
      <c r="A154" s="5" t="s">
        <v>1004</v>
      </c>
      <c r="B154" s="100" t="s">
        <v>1580</v>
      </c>
      <c r="C154" s="28" t="s">
        <v>141</v>
      </c>
      <c r="D154" s="28" t="str">
        <f>IFERROR(VLOOKUP($C154,CUENTAS[],2,0),"")</f>
        <v>GASTOS VARIOS</v>
      </c>
      <c r="E154" s="28" t="str">
        <f>IFERROR(VLOOKUP($C154,CUENTAS[],3,0),"")</f>
        <v>MDE2025-003L</v>
      </c>
      <c r="F154" s="128">
        <v>-3687.06</v>
      </c>
      <c r="G154" s="145">
        <v>0</v>
      </c>
      <c r="H154" s="128">
        <v>-3687.06</v>
      </c>
      <c r="I154" s="200" t="str">
        <f t="shared" si="2"/>
        <v>CORRECTO</v>
      </c>
      <c r="J154" s="88" t="s">
        <v>133</v>
      </c>
      <c r="K154" s="141"/>
      <c r="L154" s="142" t="s">
        <v>1584</v>
      </c>
      <c r="M154" s="139">
        <v>45807</v>
      </c>
      <c r="N154" s="143"/>
      <c r="P154" s="89"/>
      <c r="Q154" s="89"/>
    </row>
    <row r="155" spans="1:17" x14ac:dyDescent="0.3">
      <c r="A155" s="5" t="s">
        <v>228</v>
      </c>
      <c r="B155" s="100" t="s">
        <v>1000</v>
      </c>
      <c r="C155" s="28" t="s">
        <v>141</v>
      </c>
      <c r="D155" s="28" t="str">
        <f>IFERROR(VLOOKUP($C155,CUENTAS[],2,0),"")</f>
        <v>GASTOS VARIOS</v>
      </c>
      <c r="E155" s="28" t="str">
        <f>IFERROR(VLOOKUP($C155,CUENTAS[],3,0),"")</f>
        <v>MDE2025-003L</v>
      </c>
      <c r="F155" s="128">
        <v>241</v>
      </c>
      <c r="G155" s="145">
        <v>0</v>
      </c>
      <c r="H155" s="128">
        <v>241</v>
      </c>
      <c r="I155" s="200" t="str">
        <f t="shared" si="2"/>
        <v>CORRECTO</v>
      </c>
      <c r="J155" s="88" t="s">
        <v>133</v>
      </c>
      <c r="K155" s="141"/>
      <c r="L155" s="142" t="s">
        <v>227</v>
      </c>
      <c r="M155" s="139">
        <v>45811</v>
      </c>
      <c r="N155" s="143"/>
      <c r="P155" s="89"/>
      <c r="Q155" s="89"/>
    </row>
    <row r="156" spans="1:17" x14ac:dyDescent="0.3">
      <c r="A156" s="5" t="s">
        <v>228</v>
      </c>
      <c r="B156" s="100" t="s">
        <v>1276</v>
      </c>
      <c r="C156" s="28" t="s">
        <v>141</v>
      </c>
      <c r="D156" s="28" t="str">
        <f>IFERROR(VLOOKUP($C156,CUENTAS[],2,0),"")</f>
        <v>GASTOS VARIOS</v>
      </c>
      <c r="E156" s="28" t="str">
        <f>IFERROR(VLOOKUP($C156,CUENTAS[],3,0),"")</f>
        <v>MDE2025-003L</v>
      </c>
      <c r="F156" s="128">
        <v>892.33</v>
      </c>
      <c r="G156" s="145">
        <v>0</v>
      </c>
      <c r="H156" s="128">
        <v>892.33</v>
      </c>
      <c r="I156" s="200" t="str">
        <f t="shared" si="2"/>
        <v>CORRECTO</v>
      </c>
      <c r="J156" s="88" t="s">
        <v>133</v>
      </c>
      <c r="K156" s="141"/>
      <c r="L156" s="142" t="s">
        <v>227</v>
      </c>
      <c r="M156" s="139">
        <v>45811</v>
      </c>
      <c r="N156" s="143"/>
      <c r="P156" s="89"/>
      <c r="Q156" s="89"/>
    </row>
    <row r="157" spans="1:17" x14ac:dyDescent="0.3">
      <c r="A157" s="5" t="s">
        <v>1004</v>
      </c>
      <c r="B157" s="100" t="s">
        <v>1580</v>
      </c>
      <c r="C157" s="28" t="s">
        <v>141</v>
      </c>
      <c r="D157" s="28" t="str">
        <f>IFERROR(VLOOKUP($C157,CUENTAS[],2,0),"")</f>
        <v>GASTOS VARIOS</v>
      </c>
      <c r="E157" s="28" t="str">
        <f>IFERROR(VLOOKUP($C157,CUENTAS[],3,0),"")</f>
        <v>MDE2025-003L</v>
      </c>
      <c r="F157" s="128">
        <v>-892.33</v>
      </c>
      <c r="G157" s="145">
        <v>0</v>
      </c>
      <c r="H157" s="128">
        <v>-892.33</v>
      </c>
      <c r="I157" s="200" t="str">
        <f t="shared" si="2"/>
        <v>CORRECTO</v>
      </c>
      <c r="J157" s="88" t="s">
        <v>133</v>
      </c>
      <c r="K157" s="141"/>
      <c r="L157" s="142" t="s">
        <v>1584</v>
      </c>
      <c r="M157" s="139">
        <v>45807</v>
      </c>
      <c r="N157" s="143"/>
      <c r="P157" s="89"/>
      <c r="Q157" s="89"/>
    </row>
    <row r="158" spans="1:17" x14ac:dyDescent="0.3">
      <c r="A158" s="5" t="s">
        <v>228</v>
      </c>
      <c r="B158" s="100" t="s">
        <v>1276</v>
      </c>
      <c r="C158" s="28" t="s">
        <v>141</v>
      </c>
      <c r="D158" s="28" t="str">
        <f>IFERROR(VLOOKUP($C158,CUENTAS[],2,0),"")</f>
        <v>GASTOS VARIOS</v>
      </c>
      <c r="E158" s="28" t="str">
        <f>IFERROR(VLOOKUP($C158,CUENTAS[],3,0),"")</f>
        <v>MDE2025-003L</v>
      </c>
      <c r="F158" s="128">
        <v>2676.99</v>
      </c>
      <c r="G158" s="145">
        <v>0</v>
      </c>
      <c r="H158" s="128">
        <v>2676.99</v>
      </c>
      <c r="I158" s="200" t="str">
        <f t="shared" si="2"/>
        <v>CORRECTO</v>
      </c>
      <c r="J158" s="88" t="s">
        <v>133</v>
      </c>
      <c r="K158" s="141"/>
      <c r="L158" s="142" t="s">
        <v>227</v>
      </c>
      <c r="M158" s="139">
        <v>45811</v>
      </c>
      <c r="N158" s="143"/>
      <c r="P158" s="89"/>
      <c r="Q158" s="89"/>
    </row>
    <row r="159" spans="1:17" x14ac:dyDescent="0.3">
      <c r="A159" s="5" t="s">
        <v>1004</v>
      </c>
      <c r="B159" s="100" t="s">
        <v>1580</v>
      </c>
      <c r="C159" s="28" t="s">
        <v>141</v>
      </c>
      <c r="D159" s="28" t="str">
        <f>IFERROR(VLOOKUP($C159,CUENTAS[],2,0),"")</f>
        <v>GASTOS VARIOS</v>
      </c>
      <c r="E159" s="28" t="str">
        <f>IFERROR(VLOOKUP($C159,CUENTAS[],3,0),"")</f>
        <v>MDE2025-003L</v>
      </c>
      <c r="F159" s="128">
        <v>-2676.99</v>
      </c>
      <c r="G159" s="145">
        <v>0</v>
      </c>
      <c r="H159" s="128">
        <v>-2676.99</v>
      </c>
      <c r="I159" s="200" t="str">
        <f t="shared" si="2"/>
        <v>CORRECTO</v>
      </c>
      <c r="J159" s="88" t="s">
        <v>133</v>
      </c>
      <c r="K159" s="141"/>
      <c r="L159" s="142" t="s">
        <v>1584</v>
      </c>
      <c r="M159" s="139">
        <v>45807</v>
      </c>
      <c r="N159" s="143"/>
      <c r="P159" s="89"/>
      <c r="Q159" s="89"/>
    </row>
    <row r="160" spans="1:17" x14ac:dyDescent="0.3">
      <c r="A160" s="5" t="s">
        <v>1004</v>
      </c>
      <c r="B160" s="100" t="s">
        <v>1581</v>
      </c>
      <c r="C160" s="28" t="s">
        <v>141</v>
      </c>
      <c r="D160" s="28" t="str">
        <f>IFERROR(VLOOKUP($C160,CUENTAS[],2,0),"")</f>
        <v>GASTOS VARIOS</v>
      </c>
      <c r="E160" s="28" t="str">
        <f>IFERROR(VLOOKUP($C160,CUENTAS[],3,0),"")</f>
        <v>MDE2025-003L</v>
      </c>
      <c r="F160" s="128">
        <v>10000</v>
      </c>
      <c r="G160" s="145">
        <v>0</v>
      </c>
      <c r="H160" s="128">
        <v>10000</v>
      </c>
      <c r="I160" s="200" t="str">
        <f t="shared" si="2"/>
        <v>CORRECTO</v>
      </c>
      <c r="J160" s="88" t="s">
        <v>133</v>
      </c>
      <c r="K160" s="141" t="s">
        <v>1277</v>
      </c>
      <c r="L160" s="142" t="s">
        <v>227</v>
      </c>
      <c r="M160" s="139">
        <v>45807</v>
      </c>
      <c r="N160" s="143"/>
      <c r="P160" s="89"/>
      <c r="Q160" s="89"/>
    </row>
    <row r="161" spans="1:17" x14ac:dyDescent="0.3">
      <c r="A161" s="6" t="s">
        <v>230</v>
      </c>
      <c r="B161" s="109" t="s">
        <v>1490</v>
      </c>
      <c r="C161" s="28" t="s">
        <v>224</v>
      </c>
      <c r="D161" s="28" t="str">
        <f>IFERROR(VLOOKUP($C161,CUENTAS[],2,0),"")</f>
        <v>MATERIALES</v>
      </c>
      <c r="E161" s="28" t="str">
        <f>IFERROR(VLOOKUP($C161,CUENTAS[],3,0),"")</f>
        <v>MDE2025-004</v>
      </c>
      <c r="F161" s="86">
        <v>60.34</v>
      </c>
      <c r="G161" s="129">
        <v>9.66</v>
      </c>
      <c r="H161" s="126">
        <v>70</v>
      </c>
      <c r="I161" s="200" t="str">
        <f t="shared" si="2"/>
        <v>CORRECTO</v>
      </c>
      <c r="J161" s="88" t="s">
        <v>3246</v>
      </c>
      <c r="K161" s="101" t="s">
        <v>407</v>
      </c>
      <c r="L161" s="95" t="s">
        <v>227</v>
      </c>
      <c r="M161" s="184">
        <v>45792</v>
      </c>
      <c r="N161" s="8" t="s">
        <v>1495</v>
      </c>
      <c r="P161" s="89"/>
      <c r="Q161" s="89"/>
    </row>
    <row r="162" spans="1:17" x14ac:dyDescent="0.3">
      <c r="A162" s="6" t="s">
        <v>453</v>
      </c>
      <c r="B162" s="111" t="s">
        <v>1491</v>
      </c>
      <c r="C162" s="28" t="s">
        <v>121</v>
      </c>
      <c r="D162" s="28" t="str">
        <f>IFERROR(VLOOKUP($C162,CUENTAS[],2,0),"")</f>
        <v>GASTOS FIJOS</v>
      </c>
      <c r="E162" s="28" t="str">
        <f>IFERROR(VLOOKUP($C162,CUENTAS[],3,0),"")</f>
        <v>MDE2025-002K</v>
      </c>
      <c r="F162" s="86">
        <v>149</v>
      </c>
      <c r="G162" s="129">
        <v>0</v>
      </c>
      <c r="H162" s="127">
        <v>149</v>
      </c>
      <c r="I162" s="200" t="str">
        <f t="shared" si="2"/>
        <v>CORRECTO</v>
      </c>
      <c r="J162" s="88" t="s">
        <v>3246</v>
      </c>
      <c r="K162" s="112" t="s">
        <v>623</v>
      </c>
      <c r="L162" s="95" t="s">
        <v>227</v>
      </c>
      <c r="M162" s="185">
        <v>45793</v>
      </c>
      <c r="N162" s="9" t="s">
        <v>1496</v>
      </c>
      <c r="P162" s="89"/>
      <c r="Q162" s="89"/>
    </row>
    <row r="163" spans="1:17" x14ac:dyDescent="0.3">
      <c r="A163" s="6" t="s">
        <v>453</v>
      </c>
      <c r="B163" s="111" t="s">
        <v>1492</v>
      </c>
      <c r="C163" s="28" t="s">
        <v>145</v>
      </c>
      <c r="D163" s="28" t="str">
        <f>IFERROR(VLOOKUP($C163,CUENTAS[],2,0),"")</f>
        <v>GASTOS VARIOS</v>
      </c>
      <c r="E163" s="28" t="str">
        <f>IFERROR(VLOOKUP($C163,CUENTAS[],3,0),"")</f>
        <v>MDE2025-003H</v>
      </c>
      <c r="F163" s="86">
        <v>112.93</v>
      </c>
      <c r="G163" s="129">
        <v>18.059999999999999</v>
      </c>
      <c r="H163" s="127">
        <v>130.99</v>
      </c>
      <c r="I163" s="200" t="str">
        <f t="shared" si="2"/>
        <v>CORRECTO</v>
      </c>
      <c r="J163" s="88" t="s">
        <v>3246</v>
      </c>
      <c r="K163" s="112" t="s">
        <v>363</v>
      </c>
      <c r="L163" s="95" t="s">
        <v>227</v>
      </c>
      <c r="M163" s="185">
        <v>45797</v>
      </c>
      <c r="N163" s="9" t="s">
        <v>1497</v>
      </c>
      <c r="P163" s="89"/>
      <c r="Q163" s="89"/>
    </row>
    <row r="164" spans="1:17" x14ac:dyDescent="0.3">
      <c r="A164" s="6" t="s">
        <v>453</v>
      </c>
      <c r="B164" s="111" t="s">
        <v>618</v>
      </c>
      <c r="C164" s="28" t="s">
        <v>160</v>
      </c>
      <c r="D164" s="28" t="str">
        <f>IFERROR(VLOOKUP($C164,CUENTAS[],2,0),"")</f>
        <v>GASTOS VARIOS</v>
      </c>
      <c r="E164" s="28" t="str">
        <f>IFERROR(VLOOKUP($C164,CUENTAS[],3,0),"")</f>
        <v>MDE2025-003C</v>
      </c>
      <c r="F164" s="86">
        <v>100</v>
      </c>
      <c r="G164" s="129">
        <v>0</v>
      </c>
      <c r="H164" s="127">
        <v>100</v>
      </c>
      <c r="I164" s="200" t="str">
        <f t="shared" si="2"/>
        <v>CORRECTO</v>
      </c>
      <c r="J164" s="88" t="s">
        <v>3246</v>
      </c>
      <c r="K164" s="112" t="s">
        <v>363</v>
      </c>
      <c r="L164" s="95" t="s">
        <v>227</v>
      </c>
      <c r="M164" s="185">
        <v>45803</v>
      </c>
      <c r="N164" s="9" t="s">
        <v>1498</v>
      </c>
      <c r="P164" s="89"/>
      <c r="Q164" s="89"/>
    </row>
    <row r="165" spans="1:17" x14ac:dyDescent="0.3">
      <c r="A165" s="6" t="s">
        <v>1229</v>
      </c>
      <c r="B165" s="111" t="s">
        <v>1493</v>
      </c>
      <c r="C165" s="28" t="s">
        <v>151</v>
      </c>
      <c r="D165" s="28" t="str">
        <f>IFERROR(VLOOKUP($C165,CUENTAS[],2,0),"")</f>
        <v>GASTOS FIJOS</v>
      </c>
      <c r="E165" s="28" t="str">
        <f>IFERROR(VLOOKUP($C165,CUENTAS[],3,0),"")</f>
        <v>MDE2025-002F</v>
      </c>
      <c r="F165" s="86">
        <v>688.8</v>
      </c>
      <c r="G165" s="129">
        <v>110.2</v>
      </c>
      <c r="H165" s="127">
        <v>799</v>
      </c>
      <c r="I165" s="200" t="str">
        <f t="shared" si="2"/>
        <v>CORRECTO</v>
      </c>
      <c r="J165" s="88" t="s">
        <v>3246</v>
      </c>
      <c r="K165" s="112" t="s">
        <v>363</v>
      </c>
      <c r="L165" s="95" t="s">
        <v>227</v>
      </c>
      <c r="M165" s="185">
        <v>45803</v>
      </c>
      <c r="N165" s="9" t="s">
        <v>1499</v>
      </c>
      <c r="P165" s="89"/>
      <c r="Q165" s="89"/>
    </row>
    <row r="166" spans="1:17" x14ac:dyDescent="0.3">
      <c r="A166" s="6" t="s">
        <v>1229</v>
      </c>
      <c r="B166" s="111" t="s">
        <v>1494</v>
      </c>
      <c r="C166" s="28" t="s">
        <v>151</v>
      </c>
      <c r="D166" s="28" t="str">
        <f>IFERROR(VLOOKUP($C166,CUENTAS[],2,0),"")</f>
        <v>GASTOS FIJOS</v>
      </c>
      <c r="E166" s="28" t="str">
        <f>IFERROR(VLOOKUP($C166,CUENTAS[],3,0),"")</f>
        <v>MDE2025-002F</v>
      </c>
      <c r="F166" s="86">
        <v>688.8</v>
      </c>
      <c r="G166" s="129">
        <v>110.2</v>
      </c>
      <c r="H166" s="127">
        <v>799</v>
      </c>
      <c r="I166" s="200" t="str">
        <f t="shared" si="2"/>
        <v>CORRECTO</v>
      </c>
      <c r="J166" s="88" t="s">
        <v>3246</v>
      </c>
      <c r="K166" s="112" t="s">
        <v>363</v>
      </c>
      <c r="L166" s="95" t="s">
        <v>227</v>
      </c>
      <c r="M166" s="185">
        <v>45803</v>
      </c>
      <c r="N166" s="9" t="s">
        <v>1499</v>
      </c>
      <c r="P166" s="89"/>
      <c r="Q166" s="89"/>
    </row>
    <row r="167" spans="1:17" x14ac:dyDescent="0.3">
      <c r="A167" s="6" t="s">
        <v>1028</v>
      </c>
      <c r="B167" s="111" t="s">
        <v>1585</v>
      </c>
      <c r="C167" s="28" t="s">
        <v>117</v>
      </c>
      <c r="D167" s="28" t="str">
        <f>IFERROR(VLOOKUP($C167,CUENTAS[],2,0),"")</f>
        <v>GASTOS VARIOS</v>
      </c>
      <c r="E167" s="28" t="str">
        <f>IFERROR(VLOOKUP($C167,CUENTAS[],3,0),"")</f>
        <v>MDE2025-003D</v>
      </c>
      <c r="F167" s="86">
        <v>259.62</v>
      </c>
      <c r="G167" s="129">
        <v>40.380000000000003</v>
      </c>
      <c r="H167" s="127">
        <v>300</v>
      </c>
      <c r="I167" s="200" t="str">
        <f t="shared" si="2"/>
        <v>CORRECTO</v>
      </c>
      <c r="J167" s="88" t="s">
        <v>1284</v>
      </c>
      <c r="K167" s="112" t="s">
        <v>1592</v>
      </c>
      <c r="L167" s="95" t="s">
        <v>227</v>
      </c>
      <c r="M167" s="185">
        <v>45790</v>
      </c>
      <c r="N167" s="9" t="s">
        <v>1593</v>
      </c>
      <c r="P167" s="89"/>
      <c r="Q167" s="89"/>
    </row>
    <row r="168" spans="1:17" x14ac:dyDescent="0.3">
      <c r="A168" s="6" t="s">
        <v>1586</v>
      </c>
      <c r="B168" s="111" t="s">
        <v>1587</v>
      </c>
      <c r="C168" s="28" t="s">
        <v>117</v>
      </c>
      <c r="D168" s="28" t="str">
        <f>IFERROR(VLOOKUP($C168,CUENTAS[],2,0),"")</f>
        <v>GASTOS VARIOS</v>
      </c>
      <c r="E168" s="28" t="str">
        <f>IFERROR(VLOOKUP($C168,CUENTAS[],3,0),"")</f>
        <v>MDE2025-003D</v>
      </c>
      <c r="F168" s="86">
        <v>259.64</v>
      </c>
      <c r="G168" s="129">
        <v>40.36</v>
      </c>
      <c r="H168" s="127">
        <v>300</v>
      </c>
      <c r="I168" s="200" t="str">
        <f t="shared" si="2"/>
        <v>CORRECTO</v>
      </c>
      <c r="J168" s="88" t="s">
        <v>1284</v>
      </c>
      <c r="K168" s="112" t="s">
        <v>1594</v>
      </c>
      <c r="L168" s="95" t="s">
        <v>227</v>
      </c>
      <c r="M168" s="185">
        <v>45796</v>
      </c>
      <c r="N168" s="9" t="s">
        <v>1595</v>
      </c>
      <c r="P168" s="89"/>
      <c r="Q168" s="89"/>
    </row>
    <row r="169" spans="1:17" x14ac:dyDescent="0.3">
      <c r="A169" s="6" t="s">
        <v>1030</v>
      </c>
      <c r="B169" s="111" t="s">
        <v>1588</v>
      </c>
      <c r="C169" s="28" t="s">
        <v>117</v>
      </c>
      <c r="D169" s="28" t="str">
        <f>IFERROR(VLOOKUP($C169,CUENTAS[],2,0),"")</f>
        <v>GASTOS VARIOS</v>
      </c>
      <c r="E169" s="28" t="str">
        <f>IFERROR(VLOOKUP($C169,CUENTAS[],3,0),"")</f>
        <v>MDE2025-003D</v>
      </c>
      <c r="F169" s="86">
        <v>259.64</v>
      </c>
      <c r="G169" s="129">
        <v>40.36</v>
      </c>
      <c r="H169" s="127">
        <v>300</v>
      </c>
      <c r="I169" s="200" t="str">
        <f t="shared" si="2"/>
        <v>CORRECTO</v>
      </c>
      <c r="J169" s="88" t="s">
        <v>1284</v>
      </c>
      <c r="K169" s="112" t="s">
        <v>472</v>
      </c>
      <c r="L169" s="95" t="s">
        <v>227</v>
      </c>
      <c r="M169" s="185">
        <v>45797</v>
      </c>
      <c r="N169" s="9" t="s">
        <v>1596</v>
      </c>
      <c r="P169" s="89"/>
      <c r="Q169" s="89"/>
    </row>
    <row r="170" spans="1:17" x14ac:dyDescent="0.3">
      <c r="A170" s="6" t="s">
        <v>1589</v>
      </c>
      <c r="B170" s="111" t="s">
        <v>1590</v>
      </c>
      <c r="C170" s="28" t="s">
        <v>117</v>
      </c>
      <c r="D170" s="28" t="str">
        <f>IFERROR(VLOOKUP($C170,CUENTAS[],2,0),"")</f>
        <v>GASTOS VARIOS</v>
      </c>
      <c r="E170" s="28" t="str">
        <f>IFERROR(VLOOKUP($C170,CUENTAS[],3,0),"")</f>
        <v>MDE2025-003D</v>
      </c>
      <c r="F170" s="86">
        <v>259.64999999999998</v>
      </c>
      <c r="G170" s="129">
        <v>40.35</v>
      </c>
      <c r="H170" s="127">
        <v>300</v>
      </c>
      <c r="I170" s="200" t="str">
        <f t="shared" si="2"/>
        <v>CORRECTO</v>
      </c>
      <c r="J170" s="88" t="s">
        <v>1284</v>
      </c>
      <c r="K170" s="112" t="s">
        <v>472</v>
      </c>
      <c r="L170" s="95" t="s">
        <v>227</v>
      </c>
      <c r="M170" s="185">
        <v>45792</v>
      </c>
      <c r="N170" s="9" t="s">
        <v>1597</v>
      </c>
      <c r="P170" s="89"/>
      <c r="Q170" s="89"/>
    </row>
    <row r="171" spans="1:17" x14ac:dyDescent="0.3">
      <c r="A171" s="2" t="s">
        <v>421</v>
      </c>
      <c r="B171" s="111" t="s">
        <v>1591</v>
      </c>
      <c r="C171" s="28" t="s">
        <v>117</v>
      </c>
      <c r="D171" s="28" t="str">
        <f>IFERROR(VLOOKUP($C171,CUENTAS[],2,0),"")</f>
        <v>GASTOS VARIOS</v>
      </c>
      <c r="E171" s="28" t="str">
        <f>IFERROR(VLOOKUP($C171,CUENTAS[],3,0),"")</f>
        <v>MDE2025-003D</v>
      </c>
      <c r="F171" s="86">
        <v>1500</v>
      </c>
      <c r="G171" s="129">
        <v>0</v>
      </c>
      <c r="H171" s="127">
        <v>1500</v>
      </c>
      <c r="I171" s="200" t="str">
        <f t="shared" si="2"/>
        <v>CORRECTO</v>
      </c>
      <c r="J171" s="88" t="s">
        <v>1284</v>
      </c>
      <c r="K171" s="112" t="s">
        <v>360</v>
      </c>
      <c r="L171" s="95" t="s">
        <v>227</v>
      </c>
      <c r="M171" s="185">
        <v>45805</v>
      </c>
      <c r="N171" s="114" t="s">
        <v>1037</v>
      </c>
      <c r="P171" s="89"/>
      <c r="Q171" s="89"/>
    </row>
    <row r="172" spans="1:17" ht="14.25" customHeight="1" x14ac:dyDescent="0.3">
      <c r="A172" s="115" t="s">
        <v>1515</v>
      </c>
      <c r="B172" s="115" t="s">
        <v>1516</v>
      </c>
      <c r="C172" s="28" t="s">
        <v>222</v>
      </c>
      <c r="D172" s="28" t="str">
        <f>IFERROR(VLOOKUP($C172,CUENTAS[],2,0),"")</f>
        <v>MANTENIMIENTO</v>
      </c>
      <c r="E172" s="28" t="str">
        <f>IFERROR(VLOOKUP($C172,CUENTAS[],3,0),"")</f>
        <v>MDE2025-009A</v>
      </c>
      <c r="F172" s="86">
        <v>142.24</v>
      </c>
      <c r="G172" s="86">
        <v>22.76</v>
      </c>
      <c r="H172" s="130">
        <v>165</v>
      </c>
      <c r="I172" s="200" t="str">
        <f t="shared" si="2"/>
        <v>CORRECTO</v>
      </c>
      <c r="J172" s="88" t="s">
        <v>1522</v>
      </c>
      <c r="K172" s="116" t="s">
        <v>357</v>
      </c>
      <c r="L172" s="95" t="s">
        <v>227</v>
      </c>
      <c r="M172" s="159">
        <v>45800</v>
      </c>
      <c r="N172" s="118" t="s">
        <v>1543</v>
      </c>
      <c r="P172" s="89"/>
      <c r="Q172" s="89"/>
    </row>
    <row r="173" spans="1:17" ht="14.25" customHeight="1" x14ac:dyDescent="0.3">
      <c r="A173" s="115" t="s">
        <v>1517</v>
      </c>
      <c r="B173" s="115" t="s">
        <v>1518</v>
      </c>
      <c r="C173" s="28" t="s">
        <v>223</v>
      </c>
      <c r="D173" s="28" t="str">
        <f>IFERROR(VLOOKUP($C173,CUENTAS[],2,0),"")</f>
        <v>MANTENIMIENTO</v>
      </c>
      <c r="E173" s="28" t="str">
        <f>IFERROR(VLOOKUP($C173,CUENTAS[],3,0),"")</f>
        <v>MDE2025-009B</v>
      </c>
      <c r="F173" s="86">
        <v>1200</v>
      </c>
      <c r="G173" s="86">
        <v>0</v>
      </c>
      <c r="H173" s="131">
        <v>1200</v>
      </c>
      <c r="I173" s="200" t="str">
        <f t="shared" si="2"/>
        <v>CORRECTO</v>
      </c>
      <c r="J173" s="88" t="s">
        <v>2614</v>
      </c>
      <c r="K173" s="116" t="s">
        <v>363</v>
      </c>
      <c r="L173" s="95" t="s">
        <v>227</v>
      </c>
      <c r="M173" s="159">
        <v>45803</v>
      </c>
      <c r="N173" s="22" t="s">
        <v>371</v>
      </c>
      <c r="P173" s="89"/>
      <c r="Q173" s="89"/>
    </row>
    <row r="174" spans="1:17" ht="14.25" customHeight="1" x14ac:dyDescent="0.3">
      <c r="A174" s="115" t="s">
        <v>724</v>
      </c>
      <c r="B174" s="115" t="s">
        <v>1519</v>
      </c>
      <c r="C174" s="28" t="s">
        <v>224</v>
      </c>
      <c r="D174" s="28" t="str">
        <f>IFERROR(VLOOKUP($C174,CUENTAS[],2,0),"")</f>
        <v>MATERIALES</v>
      </c>
      <c r="E174" s="28" t="str">
        <f>IFERROR(VLOOKUP($C174,CUENTAS[],3,0),"")</f>
        <v>MDE2025-004</v>
      </c>
      <c r="F174" s="86">
        <v>1862.07</v>
      </c>
      <c r="G174" s="86">
        <v>297.93</v>
      </c>
      <c r="H174" s="131">
        <v>2160</v>
      </c>
      <c r="I174" s="200" t="str">
        <f t="shared" si="2"/>
        <v>CORRECTO</v>
      </c>
      <c r="J174" s="88" t="s">
        <v>1522</v>
      </c>
      <c r="K174" s="116" t="s">
        <v>407</v>
      </c>
      <c r="L174" s="95" t="s">
        <v>227</v>
      </c>
      <c r="M174" s="159">
        <v>45803</v>
      </c>
      <c r="N174" s="22" t="s">
        <v>1544</v>
      </c>
      <c r="P174" s="89"/>
      <c r="Q174" s="89"/>
    </row>
    <row r="175" spans="1:17" ht="14.25" customHeight="1" x14ac:dyDescent="0.3">
      <c r="A175" s="115" t="s">
        <v>1520</v>
      </c>
      <c r="B175" s="115" t="s">
        <v>1521</v>
      </c>
      <c r="C175" s="28" t="s">
        <v>109</v>
      </c>
      <c r="D175" s="28" t="str">
        <f>IFERROR(VLOOKUP($C175,CUENTAS[],2,0),"")</f>
        <v>LOGÍSTICA</v>
      </c>
      <c r="E175" s="28" t="str">
        <f>IFERROR(VLOOKUP($C175,CUENTAS[],3,0),"")</f>
        <v>MDE2025-006A</v>
      </c>
      <c r="F175" s="86">
        <v>8.6199999999999992</v>
      </c>
      <c r="G175" s="86">
        <v>1.38</v>
      </c>
      <c r="H175" s="131">
        <v>10</v>
      </c>
      <c r="I175" s="200" t="str">
        <f t="shared" si="2"/>
        <v>CORRECTO</v>
      </c>
      <c r="J175" s="88" t="s">
        <v>1522</v>
      </c>
      <c r="K175" s="116" t="s">
        <v>362</v>
      </c>
      <c r="L175" s="95" t="s">
        <v>227</v>
      </c>
      <c r="M175" s="159">
        <v>45803</v>
      </c>
      <c r="N175" s="22" t="s">
        <v>1545</v>
      </c>
      <c r="P175" s="89"/>
      <c r="Q175" s="89"/>
    </row>
    <row r="176" spans="1:17" ht="14.25" customHeight="1" x14ac:dyDescent="0.3">
      <c r="A176" s="115" t="s">
        <v>1520</v>
      </c>
      <c r="B176" s="115" t="s">
        <v>1521</v>
      </c>
      <c r="C176" s="28" t="s">
        <v>109</v>
      </c>
      <c r="D176" s="28" t="str">
        <f>IFERROR(VLOOKUP($C176,CUENTAS[],2,0),"")</f>
        <v>LOGÍSTICA</v>
      </c>
      <c r="E176" s="28" t="str">
        <f>IFERROR(VLOOKUP($C176,CUENTAS[],3,0),"")</f>
        <v>MDE2025-006A</v>
      </c>
      <c r="F176" s="86">
        <v>35453.17</v>
      </c>
      <c r="G176" s="86">
        <v>5672.51</v>
      </c>
      <c r="H176" s="131">
        <v>41125.68</v>
      </c>
      <c r="I176" s="200" t="str">
        <f t="shared" si="2"/>
        <v>CORRECTO</v>
      </c>
      <c r="J176" s="88" t="s">
        <v>1522</v>
      </c>
      <c r="K176" s="116" t="s">
        <v>362</v>
      </c>
      <c r="L176" s="95" t="s">
        <v>227</v>
      </c>
      <c r="M176" s="159">
        <v>45803</v>
      </c>
      <c r="N176" s="22" t="s">
        <v>1546</v>
      </c>
      <c r="P176" s="89"/>
      <c r="Q176" s="89"/>
    </row>
    <row r="177" spans="1:17" ht="14.25" customHeight="1" x14ac:dyDescent="0.3">
      <c r="A177" s="115" t="s">
        <v>1522</v>
      </c>
      <c r="B177" s="115" t="s">
        <v>1523</v>
      </c>
      <c r="C177" s="28" t="s">
        <v>114</v>
      </c>
      <c r="D177" s="28" t="str">
        <f>IFERROR(VLOOKUP($C177,CUENTAS[],2,0),"")</f>
        <v>GASTOS FIJOS</v>
      </c>
      <c r="E177" s="28" t="str">
        <f>IFERROR(VLOOKUP($C177,CUENTAS[],3,0),"")</f>
        <v>MDE2025-002G</v>
      </c>
      <c r="F177" s="86">
        <v>520</v>
      </c>
      <c r="G177" s="86">
        <v>83.2</v>
      </c>
      <c r="H177" s="131">
        <v>603.20000000000005</v>
      </c>
      <c r="I177" s="200" t="str">
        <f t="shared" si="2"/>
        <v>CORRECTO</v>
      </c>
      <c r="J177" s="88" t="s">
        <v>1522</v>
      </c>
      <c r="K177" s="116" t="s">
        <v>363</v>
      </c>
      <c r="L177" s="95" t="s">
        <v>227</v>
      </c>
      <c r="M177" s="159">
        <v>45793</v>
      </c>
      <c r="N177" s="22" t="s">
        <v>371</v>
      </c>
      <c r="P177" s="89"/>
      <c r="Q177" s="89"/>
    </row>
    <row r="178" spans="1:17" ht="14.25" customHeight="1" x14ac:dyDescent="0.3">
      <c r="A178" s="115" t="s">
        <v>1524</v>
      </c>
      <c r="B178" s="115" t="s">
        <v>1525</v>
      </c>
      <c r="C178" s="28" t="s">
        <v>224</v>
      </c>
      <c r="D178" s="28" t="str">
        <f>IFERROR(VLOOKUP($C178,CUENTAS[],2,0),"")</f>
        <v>MATERIALES</v>
      </c>
      <c r="E178" s="28" t="str">
        <f>IFERROR(VLOOKUP($C178,CUENTAS[],3,0),"")</f>
        <v>MDE2025-004</v>
      </c>
      <c r="F178" s="86">
        <v>2513.79</v>
      </c>
      <c r="G178" s="86">
        <v>402.21</v>
      </c>
      <c r="H178" s="131">
        <v>2916</v>
      </c>
      <c r="I178" s="200" t="str">
        <f t="shared" si="2"/>
        <v>CORRECTO</v>
      </c>
      <c r="J178" s="88" t="s">
        <v>1522</v>
      </c>
      <c r="K178" s="116" t="s">
        <v>407</v>
      </c>
      <c r="L178" s="95" t="s">
        <v>227</v>
      </c>
      <c r="M178" s="159">
        <v>45804</v>
      </c>
      <c r="N178" s="22" t="s">
        <v>1547</v>
      </c>
      <c r="P178" s="89"/>
      <c r="Q178" s="89"/>
    </row>
    <row r="179" spans="1:17" ht="14.25" customHeight="1" x14ac:dyDescent="0.3">
      <c r="A179" s="115" t="s">
        <v>1526</v>
      </c>
      <c r="B179" s="115" t="s">
        <v>1527</v>
      </c>
      <c r="C179" s="28" t="s">
        <v>224</v>
      </c>
      <c r="D179" s="28" t="str">
        <f>IFERROR(VLOOKUP($C179,CUENTAS[],2,0),"")</f>
        <v>MATERIALES</v>
      </c>
      <c r="E179" s="28" t="str">
        <f>IFERROR(VLOOKUP($C179,CUENTAS[],3,0),"")</f>
        <v>MDE2025-004</v>
      </c>
      <c r="F179" s="86">
        <v>1275</v>
      </c>
      <c r="G179" s="86">
        <v>0</v>
      </c>
      <c r="H179" s="131">
        <v>1275</v>
      </c>
      <c r="I179" s="200" t="str">
        <f t="shared" si="2"/>
        <v>CORRECTO</v>
      </c>
      <c r="J179" s="88" t="s">
        <v>1522</v>
      </c>
      <c r="K179" s="116" t="s">
        <v>407</v>
      </c>
      <c r="L179" s="95" t="s">
        <v>227</v>
      </c>
      <c r="M179" s="159">
        <v>45804</v>
      </c>
      <c r="N179" s="22" t="s">
        <v>1204</v>
      </c>
      <c r="P179" s="89"/>
      <c r="Q179" s="89"/>
    </row>
    <row r="180" spans="1:17" ht="14.25" customHeight="1" x14ac:dyDescent="0.3">
      <c r="A180" s="115" t="s">
        <v>1528</v>
      </c>
      <c r="B180" s="115" t="s">
        <v>1529</v>
      </c>
      <c r="C180" s="28" t="s">
        <v>222</v>
      </c>
      <c r="D180" s="28" t="str">
        <f>IFERROR(VLOOKUP($C180,CUENTAS[],2,0),"")</f>
        <v>MANTENIMIENTO</v>
      </c>
      <c r="E180" s="28" t="str">
        <f>IFERROR(VLOOKUP($C180,CUENTAS[],3,0),"")</f>
        <v>MDE2025-009A</v>
      </c>
      <c r="F180" s="86">
        <v>1293.6500000000001</v>
      </c>
      <c r="G180" s="86">
        <v>206.99</v>
      </c>
      <c r="H180" s="131">
        <v>1500.64</v>
      </c>
      <c r="I180" s="200" t="str">
        <f t="shared" si="2"/>
        <v>CORRECTO</v>
      </c>
      <c r="J180" s="88" t="s">
        <v>1522</v>
      </c>
      <c r="K180" s="116" t="s">
        <v>407</v>
      </c>
      <c r="L180" s="95" t="s">
        <v>227</v>
      </c>
      <c r="M180" s="159">
        <v>45806</v>
      </c>
      <c r="N180" s="22" t="s">
        <v>1548</v>
      </c>
      <c r="P180" s="89"/>
      <c r="Q180" s="89"/>
    </row>
    <row r="181" spans="1:17" ht="14.25" customHeight="1" x14ac:dyDescent="0.3">
      <c r="A181" s="115" t="s">
        <v>1530</v>
      </c>
      <c r="B181" s="115" t="s">
        <v>1531</v>
      </c>
      <c r="C181" s="28" t="s">
        <v>159</v>
      </c>
      <c r="D181" s="28" t="str">
        <f>IFERROR(VLOOKUP($C181,CUENTAS[],2,0),"")</f>
        <v>GASTOS VARIOS</v>
      </c>
      <c r="E181" s="28" t="str">
        <f>IFERROR(VLOOKUP($C181,CUENTAS[],3,0),"")</f>
        <v>MDE2025-003A</v>
      </c>
      <c r="F181" s="86">
        <v>114.14</v>
      </c>
      <c r="G181" s="86">
        <v>18.260000000000002</v>
      </c>
      <c r="H181" s="131">
        <v>132.4</v>
      </c>
      <c r="I181" s="200" t="str">
        <f t="shared" si="2"/>
        <v>CORRECTO</v>
      </c>
      <c r="J181" s="88" t="s">
        <v>1522</v>
      </c>
      <c r="K181" s="116" t="s">
        <v>363</v>
      </c>
      <c r="L181" s="95" t="s">
        <v>227</v>
      </c>
      <c r="M181" s="159">
        <v>45806</v>
      </c>
      <c r="N181" s="22" t="s">
        <v>1549</v>
      </c>
      <c r="P181" s="89"/>
      <c r="Q181" s="89"/>
    </row>
    <row r="182" spans="1:17" ht="14.25" customHeight="1" x14ac:dyDescent="0.3">
      <c r="A182" s="115" t="s">
        <v>1532</v>
      </c>
      <c r="B182" s="115" t="s">
        <v>1446</v>
      </c>
      <c r="C182" s="28" t="s">
        <v>224</v>
      </c>
      <c r="D182" s="28" t="str">
        <f>IFERROR(VLOOKUP($C182,CUENTAS[],2,0),"")</f>
        <v>MATERIALES</v>
      </c>
      <c r="E182" s="28" t="str">
        <f>IFERROR(VLOOKUP($C182,CUENTAS[],3,0),"")</f>
        <v>MDE2025-004</v>
      </c>
      <c r="F182" s="86">
        <v>312.04000000000002</v>
      </c>
      <c r="G182" s="86">
        <v>49.93</v>
      </c>
      <c r="H182" s="131">
        <v>361.97</v>
      </c>
      <c r="I182" s="200" t="str">
        <f t="shared" si="2"/>
        <v>CORRECTO</v>
      </c>
      <c r="J182" s="88" t="s">
        <v>1522</v>
      </c>
      <c r="K182" s="116" t="s">
        <v>407</v>
      </c>
      <c r="L182" s="95" t="s">
        <v>227</v>
      </c>
      <c r="M182" s="159">
        <v>45805</v>
      </c>
      <c r="N182" s="22" t="s">
        <v>1550</v>
      </c>
      <c r="P182" s="89"/>
      <c r="Q182" s="89"/>
    </row>
    <row r="183" spans="1:17" ht="14.25" customHeight="1" x14ac:dyDescent="0.3">
      <c r="A183" s="115" t="s">
        <v>1532</v>
      </c>
      <c r="B183" s="115" t="s">
        <v>1533</v>
      </c>
      <c r="C183" s="28" t="s">
        <v>224</v>
      </c>
      <c r="D183" s="28" t="str">
        <f>IFERROR(VLOOKUP($C183,CUENTAS[],2,0),"")</f>
        <v>MATERIALES</v>
      </c>
      <c r="E183" s="28" t="str">
        <f>IFERROR(VLOOKUP($C183,CUENTAS[],3,0),"")</f>
        <v>MDE2025-004</v>
      </c>
      <c r="F183" s="86">
        <v>266.91000000000003</v>
      </c>
      <c r="G183" s="86">
        <v>42.71</v>
      </c>
      <c r="H183" s="131">
        <v>309.62</v>
      </c>
      <c r="I183" s="200" t="str">
        <f t="shared" si="2"/>
        <v>CORRECTO</v>
      </c>
      <c r="J183" s="88" t="s">
        <v>1522</v>
      </c>
      <c r="K183" s="116" t="s">
        <v>407</v>
      </c>
      <c r="L183" s="95" t="s">
        <v>227</v>
      </c>
      <c r="M183" s="159">
        <v>45805</v>
      </c>
      <c r="N183" s="22" t="s">
        <v>1551</v>
      </c>
      <c r="P183" s="89"/>
      <c r="Q183" s="89"/>
    </row>
    <row r="184" spans="1:17" ht="14.25" customHeight="1" x14ac:dyDescent="0.3">
      <c r="A184" s="115" t="s">
        <v>1532</v>
      </c>
      <c r="B184" s="115" t="s">
        <v>1534</v>
      </c>
      <c r="C184" s="28" t="s">
        <v>224</v>
      </c>
      <c r="D184" s="28" t="str">
        <f>IFERROR(VLOOKUP($C184,CUENTAS[],2,0),"")</f>
        <v>MATERIALES</v>
      </c>
      <c r="E184" s="28" t="str">
        <f>IFERROR(VLOOKUP($C184,CUENTAS[],3,0),"")</f>
        <v>MDE2025-004</v>
      </c>
      <c r="F184" s="86">
        <v>1185.42</v>
      </c>
      <c r="G184" s="86">
        <v>189.67</v>
      </c>
      <c r="H184" s="131">
        <v>1375.09</v>
      </c>
      <c r="I184" s="200" t="str">
        <f t="shared" si="2"/>
        <v>CORRECTO</v>
      </c>
      <c r="J184" s="88" t="s">
        <v>1522</v>
      </c>
      <c r="K184" s="116" t="s">
        <v>407</v>
      </c>
      <c r="L184" s="95" t="s">
        <v>227</v>
      </c>
      <c r="M184" s="159">
        <v>45805</v>
      </c>
      <c r="N184" s="22" t="s">
        <v>1552</v>
      </c>
      <c r="P184" s="89"/>
      <c r="Q184" s="89"/>
    </row>
    <row r="185" spans="1:17" ht="14.25" customHeight="1" x14ac:dyDescent="0.3">
      <c r="A185" s="115" t="s">
        <v>619</v>
      </c>
      <c r="B185" s="115" t="s">
        <v>1535</v>
      </c>
      <c r="C185" s="28" t="s">
        <v>222</v>
      </c>
      <c r="D185" s="28" t="str">
        <f>IFERROR(VLOOKUP($C185,CUENTAS[],2,0),"")</f>
        <v>MANTENIMIENTO</v>
      </c>
      <c r="E185" s="28" t="str">
        <f>IFERROR(VLOOKUP($C185,CUENTAS[],3,0),"")</f>
        <v>MDE2025-009A</v>
      </c>
      <c r="F185" s="86">
        <v>189.66</v>
      </c>
      <c r="G185" s="86">
        <v>30.34</v>
      </c>
      <c r="H185" s="131">
        <v>220</v>
      </c>
      <c r="I185" s="200" t="str">
        <f t="shared" si="2"/>
        <v>CORRECTO</v>
      </c>
      <c r="J185" s="88" t="s">
        <v>1522</v>
      </c>
      <c r="K185" s="116" t="s">
        <v>472</v>
      </c>
      <c r="L185" s="95" t="s">
        <v>227</v>
      </c>
      <c r="M185" s="159">
        <v>45807</v>
      </c>
      <c r="N185" s="22" t="s">
        <v>1553</v>
      </c>
      <c r="P185" s="89"/>
      <c r="Q185" s="89"/>
    </row>
    <row r="186" spans="1:17" ht="14.25" customHeight="1" x14ac:dyDescent="0.3">
      <c r="A186" s="115" t="s">
        <v>453</v>
      </c>
      <c r="B186" s="115" t="s">
        <v>1536</v>
      </c>
      <c r="C186" s="28" t="s">
        <v>125</v>
      </c>
      <c r="D186" s="28" t="str">
        <f>IFERROR(VLOOKUP($C186,CUENTAS[],2,0),"")</f>
        <v>GASTOS FIJOS</v>
      </c>
      <c r="E186" s="28" t="str">
        <f>IFERROR(VLOOKUP($C186,CUENTAS[],3,0),"")</f>
        <v>MDE2025-002B</v>
      </c>
      <c r="F186" s="86">
        <v>92</v>
      </c>
      <c r="G186" s="86">
        <v>0</v>
      </c>
      <c r="H186" s="131">
        <v>92</v>
      </c>
      <c r="I186" s="200" t="str">
        <f t="shared" si="2"/>
        <v>CORRECTO</v>
      </c>
      <c r="J186" s="88" t="s">
        <v>137</v>
      </c>
      <c r="K186" s="116" t="s">
        <v>472</v>
      </c>
      <c r="L186" s="95" t="s">
        <v>227</v>
      </c>
      <c r="M186" s="159">
        <v>45779</v>
      </c>
      <c r="N186" s="22" t="s">
        <v>1554</v>
      </c>
      <c r="P186" s="89"/>
      <c r="Q186" s="89"/>
    </row>
    <row r="187" spans="1:17" ht="14.25" customHeight="1" x14ac:dyDescent="0.3">
      <c r="A187" s="115" t="s">
        <v>1253</v>
      </c>
      <c r="B187" s="115" t="s">
        <v>1537</v>
      </c>
      <c r="C187" s="28" t="s">
        <v>125</v>
      </c>
      <c r="D187" s="28" t="str">
        <f>IFERROR(VLOOKUP($C187,CUENTAS[],2,0),"")</f>
        <v>GASTOS FIJOS</v>
      </c>
      <c r="E187" s="28" t="str">
        <f>IFERROR(VLOOKUP($C187,CUENTAS[],3,0),"")</f>
        <v>MDE2025-002B</v>
      </c>
      <c r="F187" s="86">
        <v>550</v>
      </c>
      <c r="G187" s="86">
        <v>0</v>
      </c>
      <c r="H187" s="130">
        <v>550</v>
      </c>
      <c r="I187" s="200" t="str">
        <f t="shared" si="2"/>
        <v>CORRECTO</v>
      </c>
      <c r="J187" s="88" t="s">
        <v>137</v>
      </c>
      <c r="K187" s="116" t="s">
        <v>363</v>
      </c>
      <c r="L187" s="95" t="s">
        <v>227</v>
      </c>
      <c r="M187" s="159">
        <v>45786</v>
      </c>
      <c r="N187" s="118" t="s">
        <v>1555</v>
      </c>
      <c r="P187" s="89"/>
      <c r="Q187" s="89"/>
    </row>
    <row r="188" spans="1:17" ht="14.25" customHeight="1" x14ac:dyDescent="0.3">
      <c r="A188" s="115" t="s">
        <v>230</v>
      </c>
      <c r="B188" s="119" t="s">
        <v>1538</v>
      </c>
      <c r="C188" s="28" t="s">
        <v>222</v>
      </c>
      <c r="D188" s="28" t="str">
        <f>IFERROR(VLOOKUP($C188,CUENTAS[],2,0),"")</f>
        <v>MANTENIMIENTO</v>
      </c>
      <c r="E188" s="28" t="str">
        <f>IFERROR(VLOOKUP($C188,CUENTAS[],3,0),"")</f>
        <v>MDE2025-009A</v>
      </c>
      <c r="F188" s="86">
        <v>103.45</v>
      </c>
      <c r="G188" s="86">
        <v>16.55</v>
      </c>
      <c r="H188" s="130">
        <v>120</v>
      </c>
      <c r="I188" s="200" t="str">
        <f t="shared" si="2"/>
        <v>CORRECTO</v>
      </c>
      <c r="J188" s="88" t="s">
        <v>137</v>
      </c>
      <c r="K188" s="116" t="s">
        <v>623</v>
      </c>
      <c r="L188" s="95" t="s">
        <v>227</v>
      </c>
      <c r="M188" s="159">
        <v>45790</v>
      </c>
      <c r="N188" s="118" t="s">
        <v>1556</v>
      </c>
      <c r="P188" s="89"/>
      <c r="Q188" s="89"/>
    </row>
    <row r="189" spans="1:17" ht="14.25" customHeight="1" x14ac:dyDescent="0.3">
      <c r="A189" s="115" t="s">
        <v>230</v>
      </c>
      <c r="B189" s="119" t="s">
        <v>1539</v>
      </c>
      <c r="C189" s="28" t="s">
        <v>222</v>
      </c>
      <c r="D189" s="28" t="str">
        <f>IFERROR(VLOOKUP($C189,CUENTAS[],2,0),"")</f>
        <v>MANTENIMIENTO</v>
      </c>
      <c r="E189" s="28" t="str">
        <f>IFERROR(VLOOKUP($C189,CUENTAS[],3,0),"")</f>
        <v>MDE2025-009A</v>
      </c>
      <c r="F189" s="86">
        <v>51.72</v>
      </c>
      <c r="G189" s="86">
        <v>8.2799999999999994</v>
      </c>
      <c r="H189" s="130">
        <v>60</v>
      </c>
      <c r="I189" s="200" t="str">
        <f t="shared" si="2"/>
        <v>CORRECTO</v>
      </c>
      <c r="J189" s="88" t="s">
        <v>137</v>
      </c>
      <c r="K189" s="116" t="s">
        <v>623</v>
      </c>
      <c r="L189" s="95" t="s">
        <v>227</v>
      </c>
      <c r="M189" s="159">
        <v>45798</v>
      </c>
      <c r="N189" s="118" t="s">
        <v>1557</v>
      </c>
      <c r="P189" s="89"/>
      <c r="Q189" s="89"/>
    </row>
    <row r="190" spans="1:17" x14ac:dyDescent="0.3">
      <c r="A190" s="115" t="s">
        <v>1253</v>
      </c>
      <c r="B190" s="119" t="s">
        <v>1540</v>
      </c>
      <c r="C190" s="28" t="s">
        <v>125</v>
      </c>
      <c r="D190" s="28" t="str">
        <f>IFERROR(VLOOKUP($C190,CUENTAS[],2,0),"")</f>
        <v>GASTOS FIJOS</v>
      </c>
      <c r="E190" s="28" t="str">
        <f>IFERROR(VLOOKUP($C190,CUENTAS[],3,0),"")</f>
        <v>MDE2025-002B</v>
      </c>
      <c r="F190" s="86">
        <v>650</v>
      </c>
      <c r="G190" s="86">
        <v>0</v>
      </c>
      <c r="H190" s="130">
        <v>650</v>
      </c>
      <c r="I190" s="200" t="str">
        <f t="shared" si="2"/>
        <v>CORRECTO</v>
      </c>
      <c r="J190" s="88" t="s">
        <v>137</v>
      </c>
      <c r="K190" s="116" t="s">
        <v>363</v>
      </c>
      <c r="L190" s="95" t="s">
        <v>227</v>
      </c>
      <c r="M190" s="159">
        <v>45800</v>
      </c>
      <c r="N190" s="118" t="s">
        <v>1558</v>
      </c>
      <c r="P190" s="89"/>
      <c r="Q190" s="89"/>
    </row>
    <row r="191" spans="1:17" ht="13.8" x14ac:dyDescent="0.3">
      <c r="A191" s="115" t="s">
        <v>1541</v>
      </c>
      <c r="B191" s="119" t="s">
        <v>1542</v>
      </c>
      <c r="C191" s="28" t="s">
        <v>115</v>
      </c>
      <c r="D191" s="28" t="str">
        <f>IFERROR(VLOOKUP($C191,CUENTAS[],2,0),"")</f>
        <v>GASTOS FIJOS</v>
      </c>
      <c r="E191" s="28" t="str">
        <f>IFERROR(VLOOKUP($C191,CUENTAS[],3,0),"")</f>
        <v>MDE2025-002E</v>
      </c>
      <c r="F191" s="86">
        <v>388.79</v>
      </c>
      <c r="G191" s="86">
        <v>62.21</v>
      </c>
      <c r="H191" s="131">
        <v>451</v>
      </c>
      <c r="I191" s="200" t="str">
        <f t="shared" si="2"/>
        <v>CORRECTO</v>
      </c>
      <c r="J191" s="88" t="s">
        <v>137</v>
      </c>
      <c r="K191" s="116" t="s">
        <v>472</v>
      </c>
      <c r="L191" s="95" t="s">
        <v>227</v>
      </c>
      <c r="M191" s="159">
        <v>45803</v>
      </c>
      <c r="N191" s="23" t="s">
        <v>368</v>
      </c>
      <c r="O191" s="180" t="s">
        <v>1599</v>
      </c>
      <c r="P191" s="89"/>
    </row>
    <row r="192" spans="1:17" x14ac:dyDescent="0.3">
      <c r="A192" s="115" t="s">
        <v>480</v>
      </c>
      <c r="B192" s="119" t="s">
        <v>1571</v>
      </c>
      <c r="C192" s="28" t="s">
        <v>196</v>
      </c>
      <c r="D192" s="28" t="str">
        <f>IFERROR(VLOOKUP($C192,CUENTAS[],2,0),"")</f>
        <v>CAJA CHICA</v>
      </c>
      <c r="E192" s="28" t="str">
        <f>IFERROR(VLOOKUP($C192,CUENTAS[],3,0),"")</f>
        <v>MDE2025-005</v>
      </c>
      <c r="F192" s="86">
        <v>100000</v>
      </c>
      <c r="G192" s="86">
        <v>0</v>
      </c>
      <c r="H192" s="86">
        <v>100000</v>
      </c>
      <c r="I192" s="200" t="str">
        <f t="shared" si="2"/>
        <v>CORRECTO</v>
      </c>
      <c r="J192" s="88" t="s">
        <v>3244</v>
      </c>
      <c r="K192" s="116" t="s">
        <v>360</v>
      </c>
      <c r="L192" s="95" t="s">
        <v>227</v>
      </c>
      <c r="M192" s="159">
        <v>45793</v>
      </c>
      <c r="N192" s="23" t="s">
        <v>371</v>
      </c>
      <c r="P192" s="89"/>
      <c r="Q192" s="89"/>
    </row>
    <row r="193" spans="1:17" x14ac:dyDescent="0.3">
      <c r="A193" s="115" t="s">
        <v>480</v>
      </c>
      <c r="B193" s="119" t="s">
        <v>1572</v>
      </c>
      <c r="C193" s="28" t="s">
        <v>196</v>
      </c>
      <c r="D193" s="28" t="str">
        <f>IFERROR(VLOOKUP($C193,CUENTAS[],2,0),"")</f>
        <v>CAJA CHICA</v>
      </c>
      <c r="E193" s="28" t="str">
        <f>IFERROR(VLOOKUP($C193,CUENTAS[],3,0),"")</f>
        <v>MDE2025-005</v>
      </c>
      <c r="F193" s="86">
        <v>150000</v>
      </c>
      <c r="G193" s="86">
        <v>0</v>
      </c>
      <c r="H193" s="86">
        <v>150000</v>
      </c>
      <c r="I193" s="200" t="str">
        <f t="shared" si="2"/>
        <v>CORRECTO</v>
      </c>
      <c r="J193" s="88" t="s">
        <v>3244</v>
      </c>
      <c r="K193" s="116" t="s">
        <v>1423</v>
      </c>
      <c r="L193" s="95" t="s">
        <v>227</v>
      </c>
      <c r="M193" s="159">
        <v>45804</v>
      </c>
      <c r="N193" s="23" t="s">
        <v>371</v>
      </c>
      <c r="P193" s="89"/>
      <c r="Q193" s="89"/>
    </row>
    <row r="194" spans="1:17" x14ac:dyDescent="0.3">
      <c r="A194" s="115" t="s">
        <v>480</v>
      </c>
      <c r="B194" s="119" t="s">
        <v>1573</v>
      </c>
      <c r="C194" s="28" t="s">
        <v>196</v>
      </c>
      <c r="D194" s="28" t="str">
        <f>IFERROR(VLOOKUP($C194,CUENTAS[],2,0),"")</f>
        <v>CAJA CHICA</v>
      </c>
      <c r="E194" s="28" t="str">
        <f>IFERROR(VLOOKUP($C194,CUENTAS[],3,0),"")</f>
        <v>MDE2025-005</v>
      </c>
      <c r="F194" s="86">
        <v>93371.88</v>
      </c>
      <c r="G194" s="86">
        <v>0</v>
      </c>
      <c r="H194" s="86">
        <v>93371.88</v>
      </c>
      <c r="I194" s="200" t="str">
        <f t="shared" si="2"/>
        <v>CORRECTO</v>
      </c>
      <c r="J194" s="88" t="s">
        <v>3244</v>
      </c>
      <c r="K194" s="116" t="s">
        <v>363</v>
      </c>
      <c r="L194" s="95" t="s">
        <v>227</v>
      </c>
      <c r="M194" s="159">
        <v>45805</v>
      </c>
      <c r="N194" s="23" t="s">
        <v>368</v>
      </c>
      <c r="P194" s="89"/>
      <c r="Q194" s="89"/>
    </row>
    <row r="195" spans="1:17" x14ac:dyDescent="0.3">
      <c r="A195" s="115" t="s">
        <v>606</v>
      </c>
      <c r="B195" s="119" t="s">
        <v>1106</v>
      </c>
      <c r="C195" s="28" t="s">
        <v>158</v>
      </c>
      <c r="D195" s="28" t="str">
        <f>IFERROR(VLOOKUP($C195,CUENTAS[],2,0),"")</f>
        <v>GASTOS FIJOS</v>
      </c>
      <c r="E195" s="28" t="str">
        <f>IFERROR(VLOOKUP($C195,CUENTAS[],3,0),"")</f>
        <v>MDE2025-002R</v>
      </c>
      <c r="F195" s="86">
        <v>300000</v>
      </c>
      <c r="G195" s="86">
        <v>0</v>
      </c>
      <c r="H195" s="86">
        <v>300000</v>
      </c>
      <c r="I195" s="200" t="str">
        <f t="shared" ref="I195:I209" si="3">IFERROR(IF(F195+G195&lt;&gt;H195,"REVISAR","CORRECTO"),"")</f>
        <v>CORRECTO</v>
      </c>
      <c r="J195" s="88" t="s">
        <v>3244</v>
      </c>
      <c r="K195" s="116" t="s">
        <v>360</v>
      </c>
      <c r="L195" s="95" t="s">
        <v>227</v>
      </c>
      <c r="M195" s="159">
        <v>45805</v>
      </c>
      <c r="N195" s="23" t="s">
        <v>371</v>
      </c>
      <c r="P195" s="89"/>
      <c r="Q195" s="89"/>
    </row>
    <row r="196" spans="1:17" x14ac:dyDescent="0.3">
      <c r="A196" s="120" t="s">
        <v>1500</v>
      </c>
      <c r="B196" s="120" t="s">
        <v>494</v>
      </c>
      <c r="C196" s="28" t="s">
        <v>153</v>
      </c>
      <c r="D196" s="28" t="str">
        <f>IFERROR(VLOOKUP($C196,CUENTAS[],2,0),"")</f>
        <v>GASTOS FIJOS</v>
      </c>
      <c r="E196" s="28" t="str">
        <f>IFERROR(VLOOKUP($C196,CUENTAS[],3,0),"")</f>
        <v>MDE2025-002L</v>
      </c>
      <c r="F196" s="86">
        <v>1090.4100000000001</v>
      </c>
      <c r="G196" s="129">
        <v>0</v>
      </c>
      <c r="H196" s="132">
        <v>1090.4100000000001</v>
      </c>
      <c r="I196" s="200" t="str">
        <f t="shared" si="3"/>
        <v>CORRECTO</v>
      </c>
      <c r="J196" s="88" t="s">
        <v>3244</v>
      </c>
      <c r="K196" s="121" t="s">
        <v>364</v>
      </c>
      <c r="L196" s="95" t="s">
        <v>227</v>
      </c>
      <c r="M196" s="186">
        <v>45797</v>
      </c>
      <c r="N196" s="123" t="s">
        <v>371</v>
      </c>
    </row>
    <row r="197" spans="1:17" x14ac:dyDescent="0.3">
      <c r="A197" s="120" t="s">
        <v>1501</v>
      </c>
      <c r="B197" s="120" t="s">
        <v>1502</v>
      </c>
      <c r="C197" s="28" t="s">
        <v>153</v>
      </c>
      <c r="D197" s="28" t="str">
        <f>IFERROR(VLOOKUP($C197,CUENTAS[],2,0),"")</f>
        <v>GASTOS FIJOS</v>
      </c>
      <c r="E197" s="28" t="str">
        <f>IFERROR(VLOOKUP($C197,CUENTAS[],3,0),"")</f>
        <v>MDE2025-002L</v>
      </c>
      <c r="F197" s="86">
        <v>557.6</v>
      </c>
      <c r="G197" s="129">
        <v>0</v>
      </c>
      <c r="H197" s="132">
        <v>557.6</v>
      </c>
      <c r="I197" s="200" t="str">
        <f t="shared" si="3"/>
        <v>CORRECTO</v>
      </c>
      <c r="J197" s="88" t="s">
        <v>3244</v>
      </c>
      <c r="K197" s="121" t="s">
        <v>364</v>
      </c>
      <c r="L197" s="95" t="s">
        <v>227</v>
      </c>
      <c r="M197" s="186">
        <v>45804</v>
      </c>
      <c r="N197" s="123" t="s">
        <v>1514</v>
      </c>
    </row>
    <row r="198" spans="1:17" x14ac:dyDescent="0.3">
      <c r="A198" s="120" t="s">
        <v>1503</v>
      </c>
      <c r="B198" s="120" t="s">
        <v>1502</v>
      </c>
      <c r="C198" s="28" t="s">
        <v>153</v>
      </c>
      <c r="D198" s="28" t="str">
        <f>IFERROR(VLOOKUP($C198,CUENTAS[],2,0),"")</f>
        <v>GASTOS FIJOS</v>
      </c>
      <c r="E198" s="28" t="str">
        <f>IFERROR(VLOOKUP($C198,CUENTAS[],3,0),"")</f>
        <v>MDE2025-002L</v>
      </c>
      <c r="F198" s="86">
        <v>1793.61</v>
      </c>
      <c r="G198" s="129">
        <v>0</v>
      </c>
      <c r="H198" s="132">
        <v>1793.61</v>
      </c>
      <c r="I198" s="200" t="str">
        <f t="shared" si="3"/>
        <v>CORRECTO</v>
      </c>
      <c r="J198" s="88" t="s">
        <v>3244</v>
      </c>
      <c r="K198" s="121" t="s">
        <v>364</v>
      </c>
      <c r="L198" s="95" t="s">
        <v>227</v>
      </c>
      <c r="M198" s="186">
        <v>45804</v>
      </c>
      <c r="N198" s="123" t="s">
        <v>1514</v>
      </c>
    </row>
    <row r="199" spans="1:17" x14ac:dyDescent="0.3">
      <c r="A199" s="120" t="s">
        <v>1504</v>
      </c>
      <c r="B199" s="120" t="s">
        <v>1505</v>
      </c>
      <c r="C199" s="28" t="s">
        <v>153</v>
      </c>
      <c r="D199" s="28" t="str">
        <f>IFERROR(VLOOKUP($C199,CUENTAS[],2,0),"")</f>
        <v>GASTOS FIJOS</v>
      </c>
      <c r="E199" s="28" t="str">
        <f>IFERROR(VLOOKUP($C199,CUENTAS[],3,0),"")</f>
        <v>MDE2025-002L</v>
      </c>
      <c r="F199" s="86">
        <v>3729</v>
      </c>
      <c r="G199" s="129">
        <v>0</v>
      </c>
      <c r="H199" s="132">
        <v>3729</v>
      </c>
      <c r="I199" s="200" t="str">
        <f t="shared" si="3"/>
        <v>CORRECTO</v>
      </c>
      <c r="J199" s="88" t="s">
        <v>3244</v>
      </c>
      <c r="K199" s="121" t="s">
        <v>364</v>
      </c>
      <c r="L199" s="95" t="s">
        <v>227</v>
      </c>
      <c r="M199" s="186">
        <v>45797</v>
      </c>
      <c r="N199" s="123" t="s">
        <v>371</v>
      </c>
    </row>
    <row r="200" spans="1:17" x14ac:dyDescent="0.3">
      <c r="A200" s="120" t="s">
        <v>929</v>
      </c>
      <c r="B200" s="120" t="s">
        <v>1506</v>
      </c>
      <c r="C200" s="28" t="s">
        <v>153</v>
      </c>
      <c r="D200" s="28" t="str">
        <f>IFERROR(VLOOKUP($C200,CUENTAS[],2,0),"")</f>
        <v>GASTOS FIJOS</v>
      </c>
      <c r="E200" s="28" t="str">
        <f>IFERROR(VLOOKUP($C200,CUENTAS[],3,0),"")</f>
        <v>MDE2025-002L</v>
      </c>
      <c r="F200" s="86">
        <v>18959.63</v>
      </c>
      <c r="G200" s="129">
        <v>0</v>
      </c>
      <c r="H200" s="132">
        <v>18959.63</v>
      </c>
      <c r="I200" s="200" t="str">
        <f t="shared" si="3"/>
        <v>CORRECTO</v>
      </c>
      <c r="J200" s="88" t="s">
        <v>3244</v>
      </c>
      <c r="K200" s="121" t="s">
        <v>364</v>
      </c>
      <c r="L200" s="95" t="s">
        <v>227</v>
      </c>
      <c r="M200" s="186">
        <v>45782</v>
      </c>
      <c r="N200" s="123" t="s">
        <v>371</v>
      </c>
    </row>
    <row r="201" spans="1:17" x14ac:dyDescent="0.3">
      <c r="A201" s="120" t="s">
        <v>929</v>
      </c>
      <c r="B201" s="120" t="s">
        <v>1507</v>
      </c>
      <c r="C201" s="28" t="s">
        <v>153</v>
      </c>
      <c r="D201" s="28" t="str">
        <f>IFERROR(VLOOKUP($C201,CUENTAS[],2,0),"")</f>
        <v>GASTOS FIJOS</v>
      </c>
      <c r="E201" s="28" t="str">
        <f>IFERROR(VLOOKUP($C201,CUENTAS[],3,0),"")</f>
        <v>MDE2025-002L</v>
      </c>
      <c r="F201" s="86">
        <v>14447.65</v>
      </c>
      <c r="G201" s="129">
        <v>0</v>
      </c>
      <c r="H201" s="132">
        <v>14447.65</v>
      </c>
      <c r="I201" s="200" t="str">
        <f t="shared" si="3"/>
        <v>CORRECTO</v>
      </c>
      <c r="J201" s="88" t="s">
        <v>3244</v>
      </c>
      <c r="K201" s="121" t="s">
        <v>364</v>
      </c>
      <c r="L201" s="95" t="s">
        <v>227</v>
      </c>
      <c r="M201" s="186">
        <v>45789</v>
      </c>
      <c r="N201" s="123" t="s">
        <v>371</v>
      </c>
    </row>
    <row r="202" spans="1:17" x14ac:dyDescent="0.3">
      <c r="A202" s="120" t="s">
        <v>929</v>
      </c>
      <c r="B202" s="120" t="s">
        <v>1508</v>
      </c>
      <c r="C202" s="28" t="s">
        <v>153</v>
      </c>
      <c r="D202" s="28" t="str">
        <f>IFERROR(VLOOKUP($C202,CUENTAS[],2,0),"")</f>
        <v>GASTOS FIJOS</v>
      </c>
      <c r="E202" s="28" t="str">
        <f>IFERROR(VLOOKUP($C202,CUENTAS[],3,0),"")</f>
        <v>MDE2025-002L</v>
      </c>
      <c r="F202" s="86">
        <v>20907.240000000002</v>
      </c>
      <c r="G202" s="129">
        <v>0</v>
      </c>
      <c r="H202" s="132">
        <v>20907.240000000002</v>
      </c>
      <c r="I202" s="200" t="str">
        <f t="shared" si="3"/>
        <v>CORRECTO</v>
      </c>
      <c r="J202" s="88" t="s">
        <v>3244</v>
      </c>
      <c r="K202" s="121" t="s">
        <v>364</v>
      </c>
      <c r="L202" s="95" t="s">
        <v>227</v>
      </c>
      <c r="M202" s="186">
        <v>45796</v>
      </c>
      <c r="N202" s="123" t="s">
        <v>371</v>
      </c>
    </row>
    <row r="203" spans="1:17" x14ac:dyDescent="0.3">
      <c r="A203" s="120" t="s">
        <v>929</v>
      </c>
      <c r="B203" s="120" t="s">
        <v>1509</v>
      </c>
      <c r="C203" s="28" t="s">
        <v>153</v>
      </c>
      <c r="D203" s="28" t="str">
        <f>IFERROR(VLOOKUP($C203,CUENTAS[],2,0),"")</f>
        <v>GASTOS FIJOS</v>
      </c>
      <c r="E203" s="28" t="str">
        <f>IFERROR(VLOOKUP($C203,CUENTAS[],3,0),"")</f>
        <v>MDE2025-002L</v>
      </c>
      <c r="F203" s="86">
        <v>27863.02</v>
      </c>
      <c r="G203" s="129">
        <v>0</v>
      </c>
      <c r="H203" s="132">
        <v>27863.02</v>
      </c>
      <c r="I203" s="200" t="str">
        <f t="shared" si="3"/>
        <v>CORRECTO</v>
      </c>
      <c r="J203" s="88" t="s">
        <v>3244</v>
      </c>
      <c r="K203" s="121" t="s">
        <v>364</v>
      </c>
      <c r="L203" s="95" t="s">
        <v>227</v>
      </c>
      <c r="M203" s="186">
        <v>45803</v>
      </c>
      <c r="N203" s="123" t="s">
        <v>371</v>
      </c>
    </row>
    <row r="204" spans="1:17" x14ac:dyDescent="0.3">
      <c r="A204" s="120" t="s">
        <v>929</v>
      </c>
      <c r="B204" s="120" t="s">
        <v>1510</v>
      </c>
      <c r="C204" s="28" t="s">
        <v>178</v>
      </c>
      <c r="D204" s="28" t="str">
        <f>IFERROR(VLOOKUP($C204,CUENTAS[],2,0),"")</f>
        <v>GASTOS FIJOS</v>
      </c>
      <c r="E204" s="28" t="str">
        <f>IFERROR(VLOOKUP($C204,CUENTAS[],3,0),"")</f>
        <v>MDE2025-002O</v>
      </c>
      <c r="F204" s="86">
        <v>69992.570000000007</v>
      </c>
      <c r="G204" s="129">
        <v>0</v>
      </c>
      <c r="H204" s="132">
        <v>69992.570000000007</v>
      </c>
      <c r="I204" s="200" t="str">
        <f t="shared" si="3"/>
        <v>CORRECTO</v>
      </c>
      <c r="J204" s="88" t="s">
        <v>3244</v>
      </c>
      <c r="K204" s="121" t="s">
        <v>364</v>
      </c>
      <c r="L204" s="95" t="s">
        <v>227</v>
      </c>
      <c r="M204" s="186">
        <v>45792</v>
      </c>
      <c r="N204" s="123" t="s">
        <v>371</v>
      </c>
    </row>
    <row r="205" spans="1:17" x14ac:dyDescent="0.3">
      <c r="A205" s="120" t="s">
        <v>929</v>
      </c>
      <c r="B205" s="120" t="s">
        <v>1511</v>
      </c>
      <c r="C205" s="28" t="s">
        <v>178</v>
      </c>
      <c r="D205" s="28" t="str">
        <f>IFERROR(VLOOKUP($C205,CUENTAS[],2,0),"")</f>
        <v>GASTOS FIJOS</v>
      </c>
      <c r="E205" s="28" t="str">
        <f>IFERROR(VLOOKUP($C205,CUENTAS[],3,0),"")</f>
        <v>MDE2025-002O</v>
      </c>
      <c r="F205" s="86">
        <v>164519.43</v>
      </c>
      <c r="G205" s="129">
        <v>0</v>
      </c>
      <c r="H205" s="132">
        <v>164519.43</v>
      </c>
      <c r="I205" s="200" t="str">
        <f t="shared" si="3"/>
        <v>CORRECTO</v>
      </c>
      <c r="J205" s="88" t="s">
        <v>3244</v>
      </c>
      <c r="K205" s="121" t="s">
        <v>364</v>
      </c>
      <c r="L205" s="95" t="s">
        <v>227</v>
      </c>
      <c r="M205" s="186">
        <v>45792</v>
      </c>
      <c r="N205" s="123" t="s">
        <v>371</v>
      </c>
    </row>
    <row r="206" spans="1:17" x14ac:dyDescent="0.3">
      <c r="A206" s="120" t="s">
        <v>929</v>
      </c>
      <c r="B206" s="120" t="s">
        <v>935</v>
      </c>
      <c r="C206" s="28" t="s">
        <v>157</v>
      </c>
      <c r="D206" s="28" t="str">
        <f>IFERROR(VLOOKUP($C206,CUENTAS[],2,0),"")</f>
        <v>GASTOS FIJOS</v>
      </c>
      <c r="E206" s="28" t="str">
        <f>IFERROR(VLOOKUP($C206,CUENTAS[],3,0),"")</f>
        <v>MDE2025-002Q</v>
      </c>
      <c r="F206" s="86">
        <v>-500</v>
      </c>
      <c r="G206" s="129">
        <v>0</v>
      </c>
      <c r="H206" s="132">
        <v>-500</v>
      </c>
      <c r="I206" s="200" t="str">
        <f t="shared" si="3"/>
        <v>CORRECTO</v>
      </c>
      <c r="J206" s="88" t="s">
        <v>3244</v>
      </c>
      <c r="K206" s="121" t="s">
        <v>364</v>
      </c>
      <c r="L206" s="95" t="s">
        <v>227</v>
      </c>
      <c r="M206" s="186">
        <v>45792</v>
      </c>
      <c r="N206" s="123" t="s">
        <v>371</v>
      </c>
    </row>
    <row r="207" spans="1:17" x14ac:dyDescent="0.3">
      <c r="A207" s="120" t="s">
        <v>929</v>
      </c>
      <c r="B207" s="120" t="s">
        <v>1512</v>
      </c>
      <c r="C207" s="28" t="s">
        <v>178</v>
      </c>
      <c r="D207" s="28" t="str">
        <f>IFERROR(VLOOKUP($C207,CUENTAS[],2,0),"")</f>
        <v>GASTOS FIJOS</v>
      </c>
      <c r="E207" s="28" t="str">
        <f>IFERROR(VLOOKUP($C207,CUENTAS[],3,0),"")</f>
        <v>MDE2025-002O</v>
      </c>
      <c r="F207" s="86">
        <v>69992.570000000007</v>
      </c>
      <c r="G207" s="129">
        <v>0</v>
      </c>
      <c r="H207" s="132">
        <v>69992.570000000007</v>
      </c>
      <c r="I207" s="200" t="str">
        <f t="shared" si="3"/>
        <v>CORRECTO</v>
      </c>
      <c r="J207" s="88" t="s">
        <v>3244</v>
      </c>
      <c r="K207" s="121" t="s">
        <v>364</v>
      </c>
      <c r="L207" s="95" t="s">
        <v>227</v>
      </c>
      <c r="M207" s="186">
        <v>45808</v>
      </c>
      <c r="N207" s="123" t="s">
        <v>371</v>
      </c>
    </row>
    <row r="208" spans="1:17" x14ac:dyDescent="0.3">
      <c r="A208" s="120" t="s">
        <v>929</v>
      </c>
      <c r="B208" s="120" t="s">
        <v>1513</v>
      </c>
      <c r="C208" s="28" t="s">
        <v>178</v>
      </c>
      <c r="D208" s="28" t="str">
        <f>IFERROR(VLOOKUP($C208,CUENTAS[],2,0),"")</f>
        <v>GASTOS FIJOS</v>
      </c>
      <c r="E208" s="28" t="str">
        <f>IFERROR(VLOOKUP($C208,CUENTAS[],3,0),"")</f>
        <v>MDE2025-002O</v>
      </c>
      <c r="F208" s="86">
        <v>166519.43</v>
      </c>
      <c r="G208" s="129">
        <v>0</v>
      </c>
      <c r="H208" s="132">
        <v>166519.43</v>
      </c>
      <c r="I208" s="200" t="str">
        <f t="shared" si="3"/>
        <v>CORRECTO</v>
      </c>
      <c r="J208" s="88" t="s">
        <v>3244</v>
      </c>
      <c r="K208" s="121" t="s">
        <v>364</v>
      </c>
      <c r="L208" s="95" t="s">
        <v>227</v>
      </c>
      <c r="M208" s="186">
        <v>45808</v>
      </c>
      <c r="N208" s="123" t="s">
        <v>371</v>
      </c>
    </row>
    <row r="209" spans="1:16" x14ac:dyDescent="0.3">
      <c r="A209" s="120" t="s">
        <v>929</v>
      </c>
      <c r="B209" s="120" t="s">
        <v>935</v>
      </c>
      <c r="C209" s="28" t="s">
        <v>157</v>
      </c>
      <c r="D209" s="28" t="str">
        <f>IFERROR(VLOOKUP($C209,CUENTAS[],2,0),"")</f>
        <v>GASTOS FIJOS</v>
      </c>
      <c r="E209" s="28" t="str">
        <f>IFERROR(VLOOKUP($C209,CUENTAS[],3,0),"")</f>
        <v>MDE2025-002Q</v>
      </c>
      <c r="F209" s="86">
        <v>-500</v>
      </c>
      <c r="G209" s="129">
        <v>0</v>
      </c>
      <c r="H209" s="132">
        <v>-500</v>
      </c>
      <c r="I209" s="200" t="str">
        <f t="shared" si="3"/>
        <v>CORRECTO</v>
      </c>
      <c r="J209" s="88" t="s">
        <v>3244</v>
      </c>
      <c r="K209" s="121" t="s">
        <v>364</v>
      </c>
      <c r="L209" s="95" t="s">
        <v>227</v>
      </c>
      <c r="M209" s="186">
        <v>45808</v>
      </c>
      <c r="N209" s="123" t="s">
        <v>371</v>
      </c>
    </row>
    <row r="210" spans="1:16" x14ac:dyDescent="0.3">
      <c r="A210" s="120"/>
      <c r="B210" s="120"/>
      <c r="C210" s="28"/>
      <c r="D210" s="28" t="str">
        <f>IFERROR(VLOOKUP($C210,CUENTAS[],2,0),"")</f>
        <v/>
      </c>
      <c r="E210" s="28" t="str">
        <f>IFERROR(VLOOKUP($C210,CUENTAS[],3,0),"")</f>
        <v/>
      </c>
      <c r="F210" s="86"/>
      <c r="G210" s="129"/>
      <c r="H210" s="132"/>
      <c r="I210" s="132"/>
      <c r="J210" s="88"/>
      <c r="K210" s="121"/>
      <c r="L210" s="95"/>
      <c r="M210" s="186"/>
      <c r="N210" s="123"/>
    </row>
    <row r="211" spans="1:16" x14ac:dyDescent="0.3">
      <c r="A211" s="120"/>
      <c r="B211" s="120"/>
      <c r="C211" s="28"/>
      <c r="D211" s="28" t="str">
        <f>IFERROR(VLOOKUP($C211,CUENTAS[],2,0),"")</f>
        <v/>
      </c>
      <c r="E211" s="28" t="str">
        <f>IFERROR(VLOOKUP($C211,CUENTAS[],3,0),"")</f>
        <v/>
      </c>
      <c r="F211" s="86"/>
      <c r="G211" s="129"/>
      <c r="H211" s="132"/>
      <c r="I211" s="132"/>
      <c r="J211" s="88"/>
      <c r="K211" s="121"/>
      <c r="L211" s="95"/>
      <c r="M211" s="186"/>
      <c r="N211" s="123"/>
    </row>
    <row r="212" spans="1:16" x14ac:dyDescent="0.3">
      <c r="A212" s="24"/>
      <c r="B212" s="24"/>
      <c r="C212" s="28"/>
      <c r="D212" s="28" t="str">
        <f>IFERROR(VLOOKUP($C212,CUENTAS[],2,0),"")</f>
        <v/>
      </c>
      <c r="E212" s="28" t="str">
        <f>IFERROR(VLOOKUP($C212,CUENTAS[],3,0),"")</f>
        <v/>
      </c>
      <c r="F212" s="86"/>
      <c r="G212" s="129"/>
      <c r="H212" s="133"/>
      <c r="I212" s="133"/>
      <c r="J212" s="88"/>
      <c r="K212" s="121"/>
      <c r="L212" s="95"/>
      <c r="M212" s="25"/>
      <c r="N212" s="26"/>
    </row>
    <row r="213" spans="1:16" x14ac:dyDescent="0.3">
      <c r="A213" s="24"/>
      <c r="B213" s="24"/>
      <c r="C213" s="28"/>
      <c r="D213" s="28" t="str">
        <f>IFERROR(VLOOKUP($C213,CUENTAS[],2,0),"")</f>
        <v/>
      </c>
      <c r="E213" s="28" t="str">
        <f>IFERROR(VLOOKUP($C213,CUENTAS[],3,0),"")</f>
        <v/>
      </c>
      <c r="F213" s="86"/>
      <c r="G213" s="129"/>
      <c r="H213" s="133"/>
      <c r="I213" s="133"/>
      <c r="J213" s="88"/>
      <c r="K213" s="121"/>
      <c r="L213" s="95"/>
      <c r="M213" s="25"/>
      <c r="N213" s="27"/>
    </row>
    <row r="214" spans="1:16" x14ac:dyDescent="0.3">
      <c r="A214" s="77"/>
      <c r="B214" s="106"/>
      <c r="F214" s="124"/>
      <c r="G214" s="125"/>
      <c r="J214" s="125"/>
      <c r="L214" s="107"/>
      <c r="M214" s="183"/>
      <c r="N214" s="108"/>
    </row>
    <row r="215" spans="1:16" x14ac:dyDescent="0.3">
      <c r="A215" s="77"/>
      <c r="B215" s="106"/>
      <c r="F215" s="124"/>
      <c r="G215" s="125"/>
      <c r="J215" s="125"/>
      <c r="L215" s="107"/>
      <c r="M215" s="183"/>
      <c r="N215" s="108"/>
    </row>
    <row r="216" spans="1:16" ht="13.8" x14ac:dyDescent="0.3">
      <c r="A216" s="77"/>
      <c r="B216" s="106"/>
      <c r="F216" s="124"/>
      <c r="L216" s="107"/>
      <c r="M216" s="183"/>
      <c r="N216" s="4" t="s">
        <v>106</v>
      </c>
      <c r="O216" s="7">
        <f>+SUM(F:F)</f>
        <v>2594922.9799999991</v>
      </c>
    </row>
    <row r="217" spans="1:16" ht="13.8" x14ac:dyDescent="0.3">
      <c r="A217" s="77"/>
      <c r="B217" s="106"/>
      <c r="F217" s="124"/>
      <c r="L217" s="107"/>
      <c r="M217" s="183"/>
      <c r="N217" s="4" t="s">
        <v>107</v>
      </c>
      <c r="O217" s="7">
        <f>+SUM(G:G)</f>
        <v>147337.50999999998</v>
      </c>
    </row>
    <row r="218" spans="1:16" ht="15.6" x14ac:dyDescent="0.3">
      <c r="A218" s="77"/>
      <c r="B218" s="106"/>
      <c r="F218" s="124"/>
      <c r="L218" s="107"/>
      <c r="M218" s="183"/>
      <c r="N218" s="29" t="s">
        <v>149</v>
      </c>
      <c r="O218" s="7">
        <f>+SUM(H:H)</f>
        <v>2742260.4899999988</v>
      </c>
      <c r="P218" s="31">
        <f>O218-O217-O216</f>
        <v>0</v>
      </c>
    </row>
    <row r="219" spans="1:16" x14ac:dyDescent="0.3">
      <c r="A219" s="77"/>
      <c r="B219" s="106"/>
      <c r="F219" s="124"/>
      <c r="J219" s="67" t="str">
        <f>IF(P218&lt;&gt;0,"REVISAR CAPTURA","")</f>
        <v/>
      </c>
      <c r="L219" s="107"/>
      <c r="M219" s="183"/>
      <c r="N219" s="77"/>
      <c r="O219" s="67" t="str">
        <f>IF(P218&lt;&gt;0,"REVISAR CAPTURA","")</f>
        <v/>
      </c>
    </row>
    <row r="220" spans="1:16" x14ac:dyDescent="0.3">
      <c r="A220" s="77"/>
      <c r="B220" s="106"/>
      <c r="F220" s="124"/>
      <c r="G220" s="125"/>
      <c r="J220" s="125"/>
      <c r="L220" s="107"/>
      <c r="M220" s="183"/>
      <c r="N220" s="108"/>
    </row>
    <row r="221" spans="1:16" x14ac:dyDescent="0.3">
      <c r="A221" s="77"/>
      <c r="B221" s="106"/>
      <c r="F221" s="124"/>
      <c r="G221" s="125"/>
      <c r="J221" s="125"/>
      <c r="L221" s="107"/>
      <c r="M221" s="183"/>
      <c r="N221" s="108"/>
    </row>
    <row r="222" spans="1:16" x14ac:dyDescent="0.3">
      <c r="A222" s="77"/>
      <c r="B222" s="106"/>
      <c r="F222" s="124"/>
      <c r="G222" s="125"/>
      <c r="J222" s="125"/>
      <c r="L222" s="107"/>
      <c r="M222" s="183"/>
      <c r="N222" s="108"/>
    </row>
    <row r="223" spans="1:16" x14ac:dyDescent="0.3">
      <c r="A223" s="77"/>
      <c r="B223" s="106"/>
      <c r="F223" s="124"/>
      <c r="G223" s="125"/>
      <c r="J223" s="125"/>
      <c r="L223" s="107"/>
      <c r="M223" s="183"/>
      <c r="N223" s="108"/>
    </row>
    <row r="224" spans="1:16" x14ac:dyDescent="0.3">
      <c r="A224" s="77"/>
      <c r="B224" s="106"/>
      <c r="F224" s="124"/>
      <c r="G224" s="125"/>
      <c r="J224" s="125"/>
      <c r="L224" s="107"/>
      <c r="M224" s="183"/>
      <c r="N224" s="108"/>
    </row>
    <row r="225" spans="1:14" x14ac:dyDescent="0.3">
      <c r="A225" s="77"/>
      <c r="B225" s="106"/>
      <c r="F225" s="124"/>
      <c r="G225" s="125"/>
      <c r="J225" s="125"/>
      <c r="L225" s="107"/>
      <c r="M225" s="183"/>
      <c r="N225" s="108"/>
    </row>
    <row r="226" spans="1:14" x14ac:dyDescent="0.3">
      <c r="A226" s="77"/>
      <c r="B226" s="106"/>
      <c r="F226" s="124"/>
      <c r="G226" s="125"/>
      <c r="J226" s="125"/>
      <c r="L226" s="107"/>
      <c r="M226" s="183"/>
      <c r="N226" s="108"/>
    </row>
    <row r="227" spans="1:14" x14ac:dyDescent="0.3">
      <c r="A227" s="77"/>
      <c r="B227" s="106"/>
      <c r="F227" s="124"/>
      <c r="G227" s="125"/>
      <c r="J227" s="125"/>
      <c r="L227" s="107"/>
      <c r="M227" s="183"/>
      <c r="N227" s="108"/>
    </row>
    <row r="228" spans="1:14" x14ac:dyDescent="0.3">
      <c r="A228" s="77"/>
      <c r="B228" s="106"/>
      <c r="F228" s="124"/>
      <c r="G228" s="125"/>
      <c r="J228" s="125"/>
      <c r="L228" s="107"/>
      <c r="M228" s="183"/>
      <c r="N228" s="108"/>
    </row>
    <row r="229" spans="1:14" x14ac:dyDescent="0.3">
      <c r="A229" s="77"/>
      <c r="B229" s="106"/>
      <c r="F229" s="124"/>
      <c r="G229" s="125"/>
      <c r="J229" s="125"/>
      <c r="L229" s="107"/>
      <c r="M229" s="183"/>
      <c r="N229" s="108"/>
    </row>
    <row r="230" spans="1:14" x14ac:dyDescent="0.3">
      <c r="A230" s="77"/>
      <c r="B230" s="106"/>
      <c r="F230" s="124"/>
      <c r="G230" s="125"/>
      <c r="J230" s="125"/>
      <c r="L230" s="107"/>
      <c r="M230" s="183"/>
      <c r="N230" s="108"/>
    </row>
    <row r="231" spans="1:14" x14ac:dyDescent="0.3">
      <c r="A231" s="77"/>
      <c r="B231" s="106"/>
      <c r="F231" s="124"/>
      <c r="G231" s="125"/>
      <c r="J231" s="125"/>
      <c r="L231" s="107"/>
      <c r="M231" s="183"/>
      <c r="N231" s="108"/>
    </row>
    <row r="232" spans="1:14" x14ac:dyDescent="0.3">
      <c r="A232" s="77"/>
      <c r="B232" s="106"/>
      <c r="F232" s="124"/>
      <c r="G232" s="125"/>
      <c r="J232" s="125"/>
      <c r="L232" s="107"/>
      <c r="M232" s="183"/>
      <c r="N232" s="108"/>
    </row>
    <row r="233" spans="1:14" x14ac:dyDescent="0.3">
      <c r="A233" s="77"/>
      <c r="B233" s="106"/>
      <c r="F233" s="124"/>
      <c r="G233" s="125"/>
      <c r="J233" s="125"/>
      <c r="L233" s="107"/>
      <c r="M233" s="183"/>
      <c r="N233" s="108"/>
    </row>
    <row r="234" spans="1:14" x14ac:dyDescent="0.3">
      <c r="A234" s="77"/>
      <c r="B234" s="106"/>
      <c r="F234" s="124"/>
      <c r="G234" s="125"/>
      <c r="J234" s="125"/>
      <c r="L234" s="107"/>
      <c r="M234" s="183"/>
      <c r="N234" s="108"/>
    </row>
    <row r="235" spans="1:14" x14ac:dyDescent="0.3">
      <c r="A235" s="77"/>
      <c r="B235" s="106"/>
      <c r="F235" s="124"/>
      <c r="G235" s="125"/>
      <c r="J235" s="125"/>
      <c r="L235" s="107"/>
      <c r="M235" s="183"/>
      <c r="N235" s="108"/>
    </row>
    <row r="236" spans="1:14" x14ac:dyDescent="0.3">
      <c r="A236" s="77"/>
      <c r="B236" s="106"/>
      <c r="F236" s="124"/>
      <c r="G236" s="125"/>
      <c r="J236" s="125"/>
      <c r="L236" s="107"/>
      <c r="M236" s="183"/>
      <c r="N236" s="108"/>
    </row>
    <row r="237" spans="1:14" x14ac:dyDescent="0.3">
      <c r="A237" s="77"/>
      <c r="B237" s="106"/>
      <c r="F237" s="124"/>
      <c r="G237" s="125"/>
      <c r="J237" s="125"/>
      <c r="L237" s="107"/>
      <c r="M237" s="183"/>
      <c r="N237" s="108"/>
    </row>
    <row r="238" spans="1:14" x14ac:dyDescent="0.3">
      <c r="A238" s="77"/>
      <c r="B238" s="106"/>
      <c r="F238" s="124"/>
      <c r="G238" s="125"/>
      <c r="J238" s="125"/>
      <c r="L238" s="107"/>
      <c r="M238" s="183"/>
      <c r="N238" s="108"/>
    </row>
    <row r="239" spans="1:14" x14ac:dyDescent="0.3">
      <c r="A239" s="77"/>
      <c r="B239" s="106"/>
      <c r="F239" s="124"/>
      <c r="G239" s="125"/>
      <c r="J239" s="125"/>
      <c r="L239" s="107"/>
      <c r="M239" s="183"/>
      <c r="N239" s="108"/>
    </row>
    <row r="240" spans="1:14" x14ac:dyDescent="0.3">
      <c r="A240" s="77"/>
      <c r="B240" s="106"/>
      <c r="F240" s="124"/>
      <c r="G240" s="125"/>
      <c r="J240" s="125"/>
      <c r="L240" s="107"/>
      <c r="M240" s="183"/>
      <c r="N240" s="108"/>
    </row>
    <row r="241" spans="1:14" x14ac:dyDescent="0.3">
      <c r="A241" s="77"/>
      <c r="B241" s="106"/>
      <c r="F241" s="124"/>
      <c r="G241" s="125"/>
      <c r="J241" s="125"/>
      <c r="L241" s="107"/>
      <c r="M241" s="183"/>
      <c r="N241" s="108"/>
    </row>
    <row r="242" spans="1:14" x14ac:dyDescent="0.3">
      <c r="A242" s="77"/>
      <c r="B242" s="106"/>
      <c r="F242" s="124"/>
      <c r="G242" s="125"/>
      <c r="J242" s="125"/>
      <c r="L242" s="107"/>
      <c r="M242" s="183"/>
      <c r="N242" s="108"/>
    </row>
    <row r="243" spans="1:14" x14ac:dyDescent="0.3">
      <c r="A243" s="77"/>
      <c r="B243" s="106"/>
      <c r="F243" s="124"/>
      <c r="G243" s="125"/>
      <c r="J243" s="125"/>
      <c r="L243" s="107"/>
      <c r="M243" s="183"/>
      <c r="N243" s="108"/>
    </row>
    <row r="244" spans="1:14" x14ac:dyDescent="0.3">
      <c r="A244" s="77"/>
      <c r="B244" s="106"/>
      <c r="F244" s="124"/>
      <c r="G244" s="125"/>
      <c r="J244" s="125"/>
      <c r="L244" s="107"/>
      <c r="M244" s="183"/>
      <c r="N244" s="108"/>
    </row>
    <row r="245" spans="1:14" x14ac:dyDescent="0.3">
      <c r="A245" s="77"/>
      <c r="B245" s="106"/>
      <c r="F245" s="124"/>
      <c r="G245" s="125"/>
      <c r="J245" s="125"/>
      <c r="L245" s="107"/>
      <c r="M245" s="183"/>
      <c r="N245" s="108"/>
    </row>
    <row r="246" spans="1:14" x14ac:dyDescent="0.3">
      <c r="A246" s="77"/>
      <c r="B246" s="106"/>
      <c r="F246" s="124"/>
      <c r="G246" s="125"/>
      <c r="J246" s="125"/>
      <c r="L246" s="107"/>
      <c r="M246" s="183"/>
      <c r="N246" s="108"/>
    </row>
    <row r="247" spans="1:14" x14ac:dyDescent="0.3">
      <c r="A247" s="77"/>
      <c r="B247" s="106"/>
      <c r="F247" s="124"/>
      <c r="G247" s="125"/>
      <c r="J247" s="125"/>
      <c r="L247" s="107"/>
      <c r="M247" s="183"/>
      <c r="N247" s="108"/>
    </row>
    <row r="248" spans="1:14" x14ac:dyDescent="0.3">
      <c r="A248" s="77"/>
      <c r="B248" s="106"/>
      <c r="F248" s="124"/>
      <c r="G248" s="125"/>
      <c r="J248" s="125"/>
      <c r="L248" s="107"/>
      <c r="M248" s="183"/>
      <c r="N248" s="108"/>
    </row>
    <row r="249" spans="1:14" x14ac:dyDescent="0.3">
      <c r="A249" s="77"/>
      <c r="B249" s="106"/>
      <c r="F249" s="124"/>
      <c r="G249" s="125"/>
      <c r="J249" s="125"/>
      <c r="L249" s="107"/>
      <c r="M249" s="183"/>
      <c r="N249" s="108"/>
    </row>
    <row r="250" spans="1:14" x14ac:dyDescent="0.3">
      <c r="A250" s="77"/>
      <c r="B250" s="106"/>
      <c r="F250" s="124"/>
      <c r="G250" s="125"/>
      <c r="J250" s="125"/>
      <c r="L250" s="107"/>
      <c r="M250" s="183"/>
      <c r="N250" s="108"/>
    </row>
    <row r="251" spans="1:14" x14ac:dyDescent="0.3">
      <c r="A251" s="77"/>
      <c r="B251" s="106"/>
      <c r="F251" s="124"/>
      <c r="G251" s="125"/>
      <c r="J251" s="125"/>
      <c r="L251" s="107"/>
      <c r="M251" s="183"/>
      <c r="N251" s="108"/>
    </row>
    <row r="252" spans="1:14" x14ac:dyDescent="0.3">
      <c r="A252" s="77"/>
      <c r="B252" s="106"/>
      <c r="F252" s="124"/>
      <c r="G252" s="125"/>
      <c r="J252" s="125"/>
      <c r="L252" s="107"/>
      <c r="M252" s="183"/>
      <c r="N252" s="108"/>
    </row>
    <row r="253" spans="1:14" x14ac:dyDescent="0.3">
      <c r="A253" s="77"/>
      <c r="B253" s="106"/>
      <c r="F253" s="124"/>
      <c r="G253" s="125"/>
      <c r="J253" s="125"/>
      <c r="L253" s="107"/>
      <c r="M253" s="183"/>
      <c r="N253" s="108"/>
    </row>
    <row r="254" spans="1:14" x14ac:dyDescent="0.3">
      <c r="A254" s="77"/>
      <c r="B254" s="106"/>
      <c r="F254" s="124"/>
      <c r="G254" s="125"/>
      <c r="J254" s="125"/>
      <c r="L254" s="107"/>
      <c r="M254" s="183"/>
      <c r="N254" s="108"/>
    </row>
    <row r="255" spans="1:14" x14ac:dyDescent="0.3">
      <c r="A255" s="77"/>
      <c r="B255" s="106"/>
      <c r="F255" s="124"/>
      <c r="G255" s="125"/>
      <c r="J255" s="125"/>
      <c r="L255" s="107"/>
      <c r="M255" s="183"/>
      <c r="N255" s="108"/>
    </row>
    <row r="256" spans="1:14" x14ac:dyDescent="0.3">
      <c r="A256" s="77"/>
      <c r="B256" s="106"/>
      <c r="F256" s="124"/>
      <c r="G256" s="125"/>
      <c r="J256" s="125"/>
      <c r="L256" s="107"/>
      <c r="M256" s="183"/>
      <c r="N256" s="108"/>
    </row>
    <row r="257" spans="1:14" x14ac:dyDescent="0.3">
      <c r="A257" s="77"/>
      <c r="B257" s="106"/>
      <c r="F257" s="124"/>
      <c r="G257" s="125"/>
      <c r="J257" s="125"/>
      <c r="L257" s="107"/>
      <c r="M257" s="183"/>
      <c r="N257" s="108"/>
    </row>
    <row r="258" spans="1:14" x14ac:dyDescent="0.3">
      <c r="A258" s="77"/>
      <c r="B258" s="106"/>
      <c r="F258" s="124"/>
      <c r="G258" s="125"/>
      <c r="J258" s="125"/>
      <c r="L258" s="107"/>
      <c r="M258" s="183"/>
      <c r="N258" s="108"/>
    </row>
    <row r="259" spans="1:14" x14ac:dyDescent="0.3">
      <c r="A259" s="77"/>
      <c r="B259" s="106"/>
      <c r="F259" s="124"/>
      <c r="G259" s="125"/>
      <c r="J259" s="125"/>
      <c r="L259" s="107"/>
      <c r="M259" s="183"/>
      <c r="N259" s="108"/>
    </row>
    <row r="260" spans="1:14" x14ac:dyDescent="0.3">
      <c r="A260" s="77"/>
      <c r="B260" s="106"/>
      <c r="F260" s="124"/>
      <c r="G260" s="125"/>
      <c r="J260" s="125"/>
      <c r="L260" s="107"/>
      <c r="M260" s="183"/>
      <c r="N260" s="108"/>
    </row>
    <row r="261" spans="1:14" x14ac:dyDescent="0.3">
      <c r="A261" s="77"/>
      <c r="B261" s="106"/>
      <c r="F261" s="124"/>
      <c r="G261" s="125"/>
      <c r="J261" s="125"/>
      <c r="L261" s="107"/>
      <c r="M261" s="183"/>
      <c r="N261" s="108"/>
    </row>
    <row r="262" spans="1:14" x14ac:dyDescent="0.3">
      <c r="A262" s="77"/>
      <c r="B262" s="106"/>
      <c r="F262" s="124"/>
      <c r="G262" s="125"/>
      <c r="J262" s="125"/>
      <c r="L262" s="107"/>
      <c r="M262" s="183"/>
      <c r="N262" s="108"/>
    </row>
    <row r="263" spans="1:14" x14ac:dyDescent="0.3">
      <c r="A263" s="77"/>
      <c r="B263" s="106"/>
      <c r="F263" s="124"/>
      <c r="G263" s="125"/>
      <c r="J263" s="125"/>
      <c r="L263" s="107"/>
      <c r="M263" s="183"/>
      <c r="N263" s="108"/>
    </row>
    <row r="264" spans="1:14" x14ac:dyDescent="0.3">
      <c r="A264" s="77"/>
      <c r="B264" s="106"/>
      <c r="F264" s="124"/>
      <c r="G264" s="125"/>
      <c r="J264" s="125"/>
      <c r="L264" s="107"/>
      <c r="M264" s="183"/>
      <c r="N264" s="108"/>
    </row>
    <row r="265" spans="1:14" x14ac:dyDescent="0.3">
      <c r="A265" s="77"/>
      <c r="B265" s="106"/>
      <c r="F265" s="124"/>
      <c r="G265" s="125"/>
      <c r="J265" s="125"/>
      <c r="L265" s="107"/>
      <c r="M265" s="183"/>
      <c r="N265" s="108"/>
    </row>
    <row r="266" spans="1:14" x14ac:dyDescent="0.3">
      <c r="A266" s="77"/>
      <c r="B266" s="106"/>
      <c r="F266" s="124"/>
      <c r="G266" s="125"/>
      <c r="J266" s="125"/>
      <c r="L266" s="107"/>
      <c r="M266" s="183"/>
      <c r="N266" s="108"/>
    </row>
    <row r="267" spans="1:14" x14ac:dyDescent="0.3">
      <c r="A267" s="77"/>
      <c r="B267" s="106"/>
      <c r="F267" s="124"/>
      <c r="G267" s="125"/>
      <c r="J267" s="125"/>
      <c r="L267" s="107"/>
      <c r="M267" s="183"/>
      <c r="N267" s="108"/>
    </row>
    <row r="268" spans="1:14" x14ac:dyDescent="0.3">
      <c r="A268" s="77"/>
      <c r="B268" s="106"/>
      <c r="F268" s="124"/>
      <c r="G268" s="125"/>
      <c r="J268" s="125"/>
      <c r="L268" s="107"/>
      <c r="M268" s="183"/>
      <c r="N268" s="108"/>
    </row>
    <row r="269" spans="1:14" x14ac:dyDescent="0.3">
      <c r="A269" s="77"/>
      <c r="B269" s="106"/>
      <c r="F269" s="124"/>
      <c r="G269" s="125"/>
      <c r="J269" s="125"/>
      <c r="L269" s="107"/>
      <c r="M269" s="183"/>
      <c r="N269" s="108"/>
    </row>
    <row r="270" spans="1:14" x14ac:dyDescent="0.3">
      <c r="A270" s="77"/>
      <c r="B270" s="106"/>
      <c r="F270" s="124"/>
      <c r="G270" s="125"/>
      <c r="J270" s="125"/>
      <c r="L270" s="107"/>
      <c r="M270" s="183"/>
      <c r="N270" s="108"/>
    </row>
    <row r="271" spans="1:14" x14ac:dyDescent="0.3">
      <c r="A271" s="77"/>
      <c r="B271" s="106"/>
      <c r="F271" s="124"/>
      <c r="G271" s="125"/>
      <c r="J271" s="125"/>
      <c r="L271" s="107"/>
      <c r="M271" s="183"/>
      <c r="N271" s="108"/>
    </row>
    <row r="272" spans="1:14" x14ac:dyDescent="0.3">
      <c r="A272" s="77"/>
      <c r="B272" s="106"/>
      <c r="F272" s="124"/>
      <c r="G272" s="125"/>
      <c r="J272" s="125"/>
      <c r="L272" s="107"/>
      <c r="M272" s="183"/>
      <c r="N272" s="108"/>
    </row>
    <row r="273" spans="1:14" x14ac:dyDescent="0.3">
      <c r="A273" s="77"/>
      <c r="B273" s="106"/>
      <c r="F273" s="124"/>
      <c r="G273" s="125"/>
      <c r="J273" s="125"/>
      <c r="L273" s="107"/>
      <c r="M273" s="183"/>
      <c r="N273" s="108"/>
    </row>
    <row r="274" spans="1:14" x14ac:dyDescent="0.3">
      <c r="A274" s="77"/>
      <c r="B274" s="106"/>
      <c r="F274" s="124"/>
      <c r="G274" s="125"/>
      <c r="J274" s="125"/>
      <c r="L274" s="107"/>
      <c r="M274" s="183"/>
      <c r="N274" s="108"/>
    </row>
    <row r="275" spans="1:14" x14ac:dyDescent="0.3">
      <c r="A275" s="77"/>
      <c r="B275" s="106"/>
      <c r="F275" s="124"/>
      <c r="G275" s="125"/>
      <c r="J275" s="125"/>
      <c r="L275" s="107"/>
      <c r="M275" s="183"/>
      <c r="N275" s="108"/>
    </row>
    <row r="276" spans="1:14" x14ac:dyDescent="0.3">
      <c r="A276" s="77"/>
      <c r="B276" s="106"/>
      <c r="F276" s="124"/>
      <c r="G276" s="125"/>
      <c r="J276" s="125"/>
      <c r="L276" s="107"/>
      <c r="M276" s="183"/>
      <c r="N276" s="108"/>
    </row>
    <row r="277" spans="1:14" x14ac:dyDescent="0.3">
      <c r="A277" s="77"/>
      <c r="B277" s="106"/>
      <c r="F277" s="124"/>
      <c r="G277" s="125"/>
      <c r="J277" s="125"/>
      <c r="L277" s="107"/>
      <c r="M277" s="183"/>
      <c r="N277" s="108"/>
    </row>
    <row r="278" spans="1:14" x14ac:dyDescent="0.3">
      <c r="A278" s="77"/>
      <c r="B278" s="106"/>
      <c r="F278" s="124"/>
      <c r="G278" s="125"/>
      <c r="J278" s="125"/>
      <c r="L278" s="107"/>
      <c r="M278" s="183"/>
      <c r="N278" s="108"/>
    </row>
    <row r="279" spans="1:14" x14ac:dyDescent="0.3">
      <c r="A279" s="77"/>
      <c r="B279" s="106"/>
      <c r="F279" s="124"/>
      <c r="G279" s="125"/>
      <c r="J279" s="125"/>
      <c r="L279" s="107"/>
      <c r="M279" s="183"/>
      <c r="N279" s="108"/>
    </row>
    <row r="280" spans="1:14" x14ac:dyDescent="0.3">
      <c r="A280" s="77"/>
      <c r="B280" s="106"/>
      <c r="F280" s="124"/>
      <c r="G280" s="125"/>
      <c r="J280" s="125"/>
      <c r="L280" s="107"/>
      <c r="M280" s="183"/>
      <c r="N280" s="108"/>
    </row>
    <row r="281" spans="1:14" x14ac:dyDescent="0.3">
      <c r="A281" s="77"/>
      <c r="B281" s="106"/>
      <c r="F281" s="124"/>
      <c r="G281" s="125"/>
      <c r="J281" s="125"/>
      <c r="L281" s="107"/>
      <c r="M281" s="183"/>
      <c r="N281" s="108"/>
    </row>
    <row r="282" spans="1:14" x14ac:dyDescent="0.3">
      <c r="A282" s="77"/>
      <c r="B282" s="106"/>
      <c r="F282" s="124"/>
      <c r="G282" s="125"/>
      <c r="J282" s="125"/>
      <c r="L282" s="107"/>
      <c r="M282" s="183"/>
      <c r="N282" s="108"/>
    </row>
    <row r="283" spans="1:14" x14ac:dyDescent="0.3">
      <c r="A283" s="77"/>
      <c r="B283" s="106"/>
      <c r="F283" s="124"/>
      <c r="G283" s="125"/>
      <c r="J283" s="125"/>
      <c r="L283" s="107"/>
      <c r="M283" s="183"/>
      <c r="N283" s="108"/>
    </row>
    <row r="284" spans="1:14" x14ac:dyDescent="0.3">
      <c r="A284" s="77"/>
      <c r="B284" s="106"/>
      <c r="F284" s="124"/>
      <c r="G284" s="125"/>
      <c r="J284" s="125"/>
      <c r="L284" s="107"/>
      <c r="M284" s="183"/>
      <c r="N284" s="108"/>
    </row>
    <row r="285" spans="1:14" x14ac:dyDescent="0.3">
      <c r="A285" s="77"/>
      <c r="B285" s="106"/>
      <c r="F285" s="124"/>
      <c r="G285" s="125"/>
      <c r="J285" s="125"/>
      <c r="L285" s="107"/>
      <c r="M285" s="183"/>
      <c r="N285" s="108"/>
    </row>
    <row r="286" spans="1:14" x14ac:dyDescent="0.3">
      <c r="A286" s="77"/>
      <c r="B286" s="106"/>
      <c r="F286" s="124"/>
      <c r="G286" s="125"/>
      <c r="J286" s="125"/>
      <c r="L286" s="107"/>
      <c r="M286" s="183"/>
      <c r="N286" s="108"/>
    </row>
    <row r="287" spans="1:14" x14ac:dyDescent="0.3">
      <c r="A287" s="77"/>
      <c r="B287" s="106"/>
      <c r="F287" s="124"/>
      <c r="G287" s="125"/>
      <c r="J287" s="125"/>
      <c r="L287" s="107"/>
      <c r="M287" s="183"/>
      <c r="N287" s="108"/>
    </row>
    <row r="288" spans="1:14" x14ac:dyDescent="0.3">
      <c r="A288" s="77"/>
      <c r="B288" s="106"/>
      <c r="F288" s="124"/>
      <c r="G288" s="125"/>
      <c r="J288" s="125"/>
      <c r="L288" s="107"/>
      <c r="M288" s="183"/>
      <c r="N288" s="108"/>
    </row>
    <row r="289" spans="1:14" x14ac:dyDescent="0.3">
      <c r="A289" s="77"/>
      <c r="B289" s="106"/>
      <c r="F289" s="124"/>
      <c r="G289" s="125"/>
      <c r="J289" s="125"/>
      <c r="L289" s="107"/>
      <c r="M289" s="183"/>
      <c r="N289" s="108"/>
    </row>
    <row r="290" spans="1:14" x14ac:dyDescent="0.3">
      <c r="A290" s="77"/>
      <c r="B290" s="106"/>
      <c r="F290" s="124"/>
      <c r="G290" s="125"/>
      <c r="J290" s="125"/>
      <c r="L290" s="107"/>
      <c r="M290" s="183"/>
      <c r="N290" s="108"/>
    </row>
    <row r="291" spans="1:14" x14ac:dyDescent="0.3">
      <c r="A291" s="77"/>
      <c r="B291" s="106"/>
      <c r="F291" s="124"/>
      <c r="G291" s="125"/>
      <c r="J291" s="125"/>
      <c r="L291" s="107"/>
      <c r="M291" s="183"/>
      <c r="N291" s="108"/>
    </row>
    <row r="292" spans="1:14" x14ac:dyDescent="0.3">
      <c r="A292" s="77"/>
      <c r="B292" s="106"/>
      <c r="F292" s="124"/>
      <c r="G292" s="125"/>
      <c r="J292" s="125"/>
      <c r="L292" s="107"/>
      <c r="M292" s="183"/>
      <c r="N292" s="108"/>
    </row>
    <row r="293" spans="1:14" x14ac:dyDescent="0.3">
      <c r="A293" s="77"/>
      <c r="B293" s="106"/>
      <c r="F293" s="124"/>
      <c r="G293" s="125"/>
      <c r="J293" s="125"/>
      <c r="L293" s="107"/>
      <c r="M293" s="183"/>
      <c r="N293" s="108"/>
    </row>
    <row r="294" spans="1:14" x14ac:dyDescent="0.3">
      <c r="A294" s="77"/>
      <c r="B294" s="106"/>
      <c r="F294" s="124"/>
      <c r="G294" s="125"/>
      <c r="J294" s="125"/>
      <c r="L294" s="107"/>
      <c r="M294" s="183"/>
      <c r="N294" s="108"/>
    </row>
    <row r="295" spans="1:14" x14ac:dyDescent="0.3">
      <c r="A295" s="77"/>
      <c r="B295" s="106"/>
      <c r="F295" s="124"/>
      <c r="G295" s="125"/>
      <c r="J295" s="125"/>
      <c r="L295" s="107"/>
      <c r="M295" s="183"/>
      <c r="N295" s="108"/>
    </row>
    <row r="296" spans="1:14" x14ac:dyDescent="0.3">
      <c r="A296" s="77"/>
      <c r="B296" s="106"/>
      <c r="F296" s="124"/>
      <c r="G296" s="125"/>
      <c r="J296" s="125"/>
      <c r="L296" s="107"/>
      <c r="M296" s="183"/>
      <c r="N296" s="108"/>
    </row>
    <row r="297" spans="1:14" x14ac:dyDescent="0.3">
      <c r="A297" s="77"/>
      <c r="B297" s="106"/>
      <c r="F297" s="124"/>
      <c r="G297" s="125"/>
      <c r="J297" s="125"/>
      <c r="L297" s="107"/>
      <c r="M297" s="183"/>
      <c r="N297" s="108"/>
    </row>
    <row r="298" spans="1:14" x14ac:dyDescent="0.3">
      <c r="A298" s="77"/>
      <c r="B298" s="106"/>
      <c r="F298" s="124"/>
      <c r="G298" s="125"/>
      <c r="J298" s="125"/>
      <c r="L298" s="107"/>
      <c r="M298" s="183"/>
      <c r="N298" s="108"/>
    </row>
    <row r="299" spans="1:14" x14ac:dyDescent="0.3">
      <c r="A299" s="77"/>
      <c r="B299" s="106"/>
      <c r="F299" s="124"/>
      <c r="G299" s="125"/>
      <c r="J299" s="125"/>
      <c r="L299" s="107"/>
      <c r="M299" s="183"/>
      <c r="N299" s="108"/>
    </row>
    <row r="300" spans="1:14" x14ac:dyDescent="0.3">
      <c r="A300" s="77"/>
      <c r="B300" s="106"/>
      <c r="F300" s="124"/>
      <c r="G300" s="125"/>
      <c r="J300" s="125"/>
      <c r="L300" s="107"/>
      <c r="M300" s="183"/>
      <c r="N300" s="108"/>
    </row>
    <row r="301" spans="1:14" x14ac:dyDescent="0.3">
      <c r="A301" s="77"/>
      <c r="B301" s="106"/>
      <c r="F301" s="124"/>
      <c r="G301" s="125"/>
      <c r="J301" s="125"/>
      <c r="L301" s="107"/>
      <c r="M301" s="183"/>
      <c r="N301" s="108"/>
    </row>
    <row r="302" spans="1:14" x14ac:dyDescent="0.3">
      <c r="A302" s="77"/>
      <c r="B302" s="106"/>
      <c r="F302" s="124"/>
      <c r="G302" s="125"/>
      <c r="J302" s="125"/>
      <c r="L302" s="107"/>
      <c r="M302" s="183"/>
      <c r="N302" s="108"/>
    </row>
    <row r="303" spans="1:14" x14ac:dyDescent="0.3">
      <c r="A303" s="77"/>
      <c r="B303" s="106"/>
      <c r="F303" s="124"/>
      <c r="G303" s="125"/>
      <c r="J303" s="125"/>
      <c r="L303" s="107"/>
      <c r="M303" s="183"/>
      <c r="N303" s="108"/>
    </row>
    <row r="304" spans="1:14" x14ac:dyDescent="0.3">
      <c r="A304" s="77"/>
      <c r="B304" s="106"/>
      <c r="F304" s="124"/>
      <c r="G304" s="125"/>
      <c r="J304" s="125"/>
      <c r="L304" s="107"/>
      <c r="M304" s="183"/>
      <c r="N304" s="108"/>
    </row>
    <row r="305" spans="1:14" x14ac:dyDescent="0.3">
      <c r="A305" s="77"/>
      <c r="B305" s="106"/>
      <c r="F305" s="124"/>
      <c r="G305" s="125"/>
      <c r="J305" s="125"/>
      <c r="L305" s="107"/>
      <c r="M305" s="183"/>
      <c r="N305" s="108"/>
    </row>
    <row r="306" spans="1:14" x14ac:dyDescent="0.3">
      <c r="A306" s="77"/>
      <c r="B306" s="106"/>
      <c r="F306" s="124"/>
      <c r="G306" s="125"/>
      <c r="J306" s="125"/>
      <c r="L306" s="107"/>
      <c r="M306" s="183"/>
      <c r="N306" s="108"/>
    </row>
    <row r="307" spans="1:14" x14ac:dyDescent="0.3">
      <c r="A307" s="77"/>
      <c r="B307" s="106"/>
      <c r="F307" s="124"/>
      <c r="G307" s="125"/>
      <c r="J307" s="125"/>
      <c r="L307" s="107"/>
      <c r="M307" s="183"/>
      <c r="N307" s="108"/>
    </row>
    <row r="308" spans="1:14" x14ac:dyDescent="0.3">
      <c r="A308" s="77"/>
      <c r="B308" s="106"/>
      <c r="F308" s="124"/>
      <c r="G308" s="125"/>
      <c r="J308" s="125"/>
      <c r="L308" s="107"/>
      <c r="M308" s="183"/>
      <c r="N308" s="108"/>
    </row>
    <row r="309" spans="1:14" x14ac:dyDescent="0.3">
      <c r="A309" s="77"/>
      <c r="B309" s="106"/>
      <c r="F309" s="124"/>
      <c r="G309" s="125"/>
      <c r="J309" s="125"/>
      <c r="L309" s="107"/>
      <c r="M309" s="183"/>
      <c r="N309" s="108"/>
    </row>
    <row r="310" spans="1:14" x14ac:dyDescent="0.3">
      <c r="A310" s="77"/>
      <c r="B310" s="106"/>
      <c r="F310" s="124"/>
      <c r="G310" s="125"/>
      <c r="J310" s="125"/>
      <c r="L310" s="107"/>
      <c r="M310" s="183"/>
      <c r="N310" s="108"/>
    </row>
    <row r="311" spans="1:14" x14ac:dyDescent="0.3">
      <c r="A311" s="77"/>
      <c r="B311" s="106"/>
      <c r="F311" s="124"/>
      <c r="G311" s="125"/>
      <c r="J311" s="125"/>
      <c r="L311" s="107"/>
      <c r="M311" s="183"/>
      <c r="N311" s="108"/>
    </row>
    <row r="312" spans="1:14" x14ac:dyDescent="0.3">
      <c r="A312" s="77"/>
      <c r="B312" s="106"/>
      <c r="F312" s="124"/>
      <c r="G312" s="125"/>
      <c r="J312" s="125"/>
      <c r="L312" s="107"/>
      <c r="M312" s="183"/>
      <c r="N312" s="108"/>
    </row>
    <row r="313" spans="1:14" x14ac:dyDescent="0.3">
      <c r="A313" s="77"/>
      <c r="B313" s="106"/>
      <c r="F313" s="124"/>
      <c r="G313" s="125"/>
      <c r="J313" s="125"/>
      <c r="L313" s="107"/>
      <c r="M313" s="183"/>
      <c r="N313" s="108"/>
    </row>
    <row r="314" spans="1:14" x14ac:dyDescent="0.3">
      <c r="A314" s="77"/>
      <c r="B314" s="106"/>
      <c r="F314" s="124"/>
      <c r="G314" s="125"/>
      <c r="J314" s="125"/>
      <c r="L314" s="107"/>
      <c r="M314" s="183"/>
      <c r="N314" s="108"/>
    </row>
    <row r="315" spans="1:14" x14ac:dyDescent="0.3">
      <c r="A315" s="77"/>
      <c r="B315" s="106"/>
      <c r="F315" s="124"/>
      <c r="G315" s="125"/>
      <c r="J315" s="125"/>
      <c r="L315" s="107"/>
      <c r="M315" s="183"/>
      <c r="N315" s="108"/>
    </row>
    <row r="316" spans="1:14" x14ac:dyDescent="0.3">
      <c r="A316" s="77"/>
      <c r="B316" s="106"/>
      <c r="F316" s="124"/>
      <c r="G316" s="125"/>
      <c r="J316" s="125"/>
      <c r="L316" s="107"/>
      <c r="M316" s="183"/>
      <c r="N316" s="108"/>
    </row>
    <row r="317" spans="1:14" x14ac:dyDescent="0.3">
      <c r="A317" s="77"/>
      <c r="B317" s="106"/>
      <c r="F317" s="124"/>
      <c r="G317" s="125"/>
      <c r="J317" s="125"/>
      <c r="L317" s="107"/>
      <c r="M317" s="183"/>
      <c r="N317" s="108"/>
    </row>
    <row r="318" spans="1:14" x14ac:dyDescent="0.3">
      <c r="A318" s="77"/>
      <c r="B318" s="106"/>
      <c r="F318" s="124"/>
      <c r="G318" s="125"/>
      <c r="J318" s="125"/>
      <c r="L318" s="107"/>
      <c r="M318" s="183"/>
      <c r="N318" s="108"/>
    </row>
    <row r="319" spans="1:14" x14ac:dyDescent="0.3">
      <c r="A319" s="77"/>
      <c r="B319" s="106"/>
      <c r="F319" s="124"/>
      <c r="G319" s="125"/>
      <c r="J319" s="125"/>
      <c r="L319" s="107"/>
      <c r="M319" s="183"/>
      <c r="N319" s="108"/>
    </row>
    <row r="320" spans="1:14" x14ac:dyDescent="0.3">
      <c r="A320" s="77"/>
      <c r="B320" s="106"/>
      <c r="F320" s="124"/>
      <c r="G320" s="125"/>
      <c r="J320" s="125"/>
      <c r="L320" s="107"/>
      <c r="M320" s="183"/>
      <c r="N320" s="108"/>
    </row>
    <row r="321" spans="1:14" x14ac:dyDescent="0.3">
      <c r="A321" s="77"/>
      <c r="B321" s="106"/>
      <c r="F321" s="124"/>
      <c r="G321" s="125"/>
      <c r="J321" s="125"/>
      <c r="L321" s="107"/>
      <c r="M321" s="183"/>
      <c r="N321" s="108"/>
    </row>
    <row r="322" spans="1:14" x14ac:dyDescent="0.3">
      <c r="A322" s="77"/>
      <c r="B322" s="106"/>
      <c r="F322" s="124"/>
      <c r="G322" s="125"/>
      <c r="J322" s="125"/>
      <c r="L322" s="107"/>
      <c r="M322" s="183"/>
      <c r="N322" s="108"/>
    </row>
    <row r="323" spans="1:14" x14ac:dyDescent="0.3">
      <c r="A323" s="77"/>
      <c r="B323" s="106"/>
      <c r="F323" s="124"/>
      <c r="G323" s="125"/>
      <c r="J323" s="125"/>
      <c r="L323" s="107"/>
      <c r="M323" s="183"/>
      <c r="N323" s="108"/>
    </row>
    <row r="324" spans="1:14" x14ac:dyDescent="0.3">
      <c r="A324" s="77"/>
      <c r="B324" s="106"/>
      <c r="F324" s="124"/>
      <c r="G324" s="125"/>
      <c r="J324" s="125"/>
      <c r="L324" s="107"/>
      <c r="M324" s="183"/>
      <c r="N324" s="108"/>
    </row>
    <row r="325" spans="1:14" x14ac:dyDescent="0.3">
      <c r="A325" s="77"/>
      <c r="B325" s="106"/>
      <c r="F325" s="124"/>
      <c r="G325" s="125"/>
      <c r="J325" s="125"/>
      <c r="L325" s="107"/>
      <c r="M325" s="183"/>
      <c r="N325" s="108"/>
    </row>
    <row r="326" spans="1:14" x14ac:dyDescent="0.3">
      <c r="A326" s="77"/>
      <c r="B326" s="106"/>
      <c r="F326" s="124"/>
      <c r="G326" s="125"/>
      <c r="J326" s="125"/>
      <c r="L326" s="107"/>
      <c r="M326" s="183"/>
      <c r="N326" s="108"/>
    </row>
    <row r="327" spans="1:14" x14ac:dyDescent="0.3">
      <c r="A327" s="77"/>
      <c r="B327" s="106"/>
      <c r="F327" s="124"/>
      <c r="G327" s="125"/>
      <c r="J327" s="125"/>
      <c r="L327" s="107"/>
      <c r="M327" s="183"/>
      <c r="N327" s="108"/>
    </row>
    <row r="328" spans="1:14" x14ac:dyDescent="0.3">
      <c r="A328" s="77"/>
      <c r="B328" s="106"/>
      <c r="F328" s="124"/>
      <c r="G328" s="125"/>
      <c r="J328" s="125"/>
      <c r="L328" s="107"/>
      <c r="M328" s="183"/>
      <c r="N328" s="108"/>
    </row>
    <row r="329" spans="1:14" x14ac:dyDescent="0.3">
      <c r="A329" s="77"/>
      <c r="B329" s="106"/>
      <c r="F329" s="124"/>
      <c r="G329" s="125"/>
      <c r="J329" s="125"/>
      <c r="L329" s="107"/>
      <c r="M329" s="183"/>
      <c r="N329" s="108"/>
    </row>
    <row r="330" spans="1:14" x14ac:dyDescent="0.3">
      <c r="A330" s="77"/>
      <c r="B330" s="106"/>
      <c r="F330" s="124"/>
      <c r="G330" s="125"/>
      <c r="J330" s="125"/>
      <c r="L330" s="107"/>
      <c r="M330" s="183"/>
      <c r="N330" s="108"/>
    </row>
    <row r="331" spans="1:14" x14ac:dyDescent="0.3">
      <c r="A331" s="77"/>
      <c r="B331" s="106"/>
      <c r="F331" s="124"/>
      <c r="G331" s="125"/>
      <c r="J331" s="125"/>
      <c r="L331" s="107"/>
      <c r="M331" s="183"/>
      <c r="N331" s="108"/>
    </row>
    <row r="332" spans="1:14" x14ac:dyDescent="0.3">
      <c r="A332" s="77"/>
      <c r="B332" s="106"/>
      <c r="F332" s="124"/>
      <c r="G332" s="125"/>
      <c r="J332" s="125"/>
      <c r="L332" s="107"/>
      <c r="M332" s="183"/>
      <c r="N332" s="108"/>
    </row>
    <row r="333" spans="1:14" x14ac:dyDescent="0.3">
      <c r="A333" s="77"/>
      <c r="B333" s="106"/>
      <c r="F333" s="124"/>
      <c r="G333" s="125"/>
      <c r="J333" s="125"/>
      <c r="L333" s="107"/>
      <c r="M333" s="183"/>
      <c r="N333" s="108"/>
    </row>
    <row r="334" spans="1:14" x14ac:dyDescent="0.3">
      <c r="A334" s="77"/>
      <c r="B334" s="106"/>
      <c r="F334" s="124"/>
      <c r="G334" s="125"/>
      <c r="J334" s="125"/>
      <c r="L334" s="107"/>
      <c r="M334" s="183"/>
      <c r="N334" s="108"/>
    </row>
    <row r="335" spans="1:14" x14ac:dyDescent="0.3">
      <c r="A335" s="77"/>
      <c r="B335" s="106"/>
      <c r="F335" s="124"/>
      <c r="G335" s="125"/>
      <c r="J335" s="125"/>
      <c r="L335" s="107"/>
      <c r="M335" s="183"/>
      <c r="N335" s="108"/>
    </row>
    <row r="336" spans="1:14" x14ac:dyDescent="0.3">
      <c r="A336" s="77"/>
      <c r="B336" s="106"/>
      <c r="F336" s="124"/>
      <c r="G336" s="125"/>
      <c r="J336" s="125"/>
      <c r="L336" s="107"/>
      <c r="M336" s="183"/>
      <c r="N336" s="108"/>
    </row>
    <row r="337" spans="1:14" x14ac:dyDescent="0.3">
      <c r="A337" s="77"/>
      <c r="B337" s="106"/>
      <c r="F337" s="124"/>
      <c r="G337" s="125"/>
      <c r="J337" s="125"/>
      <c r="L337" s="107"/>
      <c r="M337" s="183"/>
      <c r="N337" s="108"/>
    </row>
    <row r="338" spans="1:14" x14ac:dyDescent="0.3">
      <c r="A338" s="77"/>
      <c r="B338" s="106"/>
      <c r="F338" s="124"/>
      <c r="G338" s="125"/>
      <c r="J338" s="125"/>
      <c r="L338" s="107"/>
      <c r="M338" s="183"/>
      <c r="N338" s="108"/>
    </row>
    <row r="339" spans="1:14" x14ac:dyDescent="0.3">
      <c r="A339" s="77"/>
      <c r="B339" s="106"/>
      <c r="F339" s="124"/>
      <c r="G339" s="125"/>
      <c r="J339" s="125"/>
      <c r="L339" s="107"/>
      <c r="M339" s="183"/>
      <c r="N339" s="108"/>
    </row>
    <row r="340" spans="1:14" x14ac:dyDescent="0.3">
      <c r="A340" s="77"/>
      <c r="B340" s="106"/>
      <c r="F340" s="124"/>
      <c r="G340" s="125"/>
      <c r="J340" s="125"/>
      <c r="L340" s="107"/>
      <c r="M340" s="183"/>
      <c r="N340" s="108"/>
    </row>
    <row r="341" spans="1:14" x14ac:dyDescent="0.3">
      <c r="A341" s="77"/>
      <c r="B341" s="106"/>
      <c r="F341" s="124"/>
      <c r="G341" s="125"/>
      <c r="J341" s="125"/>
      <c r="L341" s="107"/>
      <c r="M341" s="183"/>
      <c r="N341" s="108"/>
    </row>
    <row r="342" spans="1:14" x14ac:dyDescent="0.3">
      <c r="A342" s="77"/>
      <c r="B342" s="106"/>
      <c r="F342" s="124"/>
      <c r="G342" s="125"/>
      <c r="J342" s="125"/>
      <c r="L342" s="107"/>
      <c r="M342" s="183"/>
      <c r="N342" s="108"/>
    </row>
    <row r="343" spans="1:14" x14ac:dyDescent="0.3">
      <c r="A343" s="77"/>
      <c r="B343" s="106"/>
      <c r="F343" s="124"/>
      <c r="G343" s="125"/>
      <c r="J343" s="125"/>
      <c r="L343" s="107"/>
      <c r="M343" s="183"/>
      <c r="N343" s="108"/>
    </row>
    <row r="344" spans="1:14" x14ac:dyDescent="0.3">
      <c r="A344" s="77"/>
      <c r="B344" s="106"/>
      <c r="F344" s="124"/>
      <c r="G344" s="125"/>
      <c r="J344" s="125"/>
      <c r="L344" s="107"/>
      <c r="M344" s="183"/>
      <c r="N344" s="108"/>
    </row>
    <row r="345" spans="1:14" x14ac:dyDescent="0.3">
      <c r="A345" s="77"/>
      <c r="B345" s="106"/>
      <c r="F345" s="124"/>
      <c r="G345" s="125"/>
      <c r="J345" s="125"/>
      <c r="L345" s="107"/>
      <c r="M345" s="183"/>
      <c r="N345" s="108"/>
    </row>
    <row r="346" spans="1:14" x14ac:dyDescent="0.3">
      <c r="A346" s="77"/>
      <c r="B346" s="106"/>
      <c r="F346" s="124"/>
      <c r="G346" s="125"/>
      <c r="J346" s="125"/>
      <c r="L346" s="107"/>
      <c r="M346" s="183"/>
      <c r="N346" s="108"/>
    </row>
    <row r="347" spans="1:14" x14ac:dyDescent="0.3">
      <c r="A347" s="77"/>
      <c r="B347" s="106"/>
      <c r="F347" s="124"/>
      <c r="G347" s="125"/>
      <c r="J347" s="125"/>
      <c r="L347" s="107"/>
      <c r="M347" s="183"/>
      <c r="N347" s="108"/>
    </row>
    <row r="348" spans="1:14" x14ac:dyDescent="0.3">
      <c r="A348" s="77"/>
      <c r="B348" s="106"/>
      <c r="F348" s="124"/>
      <c r="G348" s="125"/>
      <c r="J348" s="125"/>
      <c r="L348" s="107"/>
      <c r="M348" s="183"/>
      <c r="N348" s="108"/>
    </row>
    <row r="349" spans="1:14" x14ac:dyDescent="0.3">
      <c r="A349" s="77"/>
      <c r="B349" s="106"/>
      <c r="F349" s="124"/>
      <c r="G349" s="125"/>
      <c r="J349" s="125"/>
      <c r="L349" s="107"/>
      <c r="M349" s="183"/>
      <c r="N349" s="108"/>
    </row>
    <row r="350" spans="1:14" x14ac:dyDescent="0.3">
      <c r="A350" s="77"/>
      <c r="B350" s="106"/>
      <c r="F350" s="124"/>
      <c r="G350" s="125"/>
      <c r="J350" s="125"/>
      <c r="L350" s="107"/>
      <c r="M350" s="183"/>
      <c r="N350" s="108"/>
    </row>
    <row r="351" spans="1:14" x14ac:dyDescent="0.3">
      <c r="A351" s="77"/>
      <c r="B351" s="106"/>
      <c r="F351" s="124"/>
      <c r="G351" s="125"/>
      <c r="J351" s="125"/>
      <c r="L351" s="107"/>
      <c r="M351" s="183"/>
      <c r="N351" s="108"/>
    </row>
    <row r="352" spans="1:14" x14ac:dyDescent="0.3">
      <c r="A352" s="77"/>
      <c r="B352" s="106"/>
      <c r="F352" s="124"/>
      <c r="G352" s="125"/>
      <c r="J352" s="125"/>
      <c r="L352" s="107"/>
      <c r="M352" s="183"/>
      <c r="N352" s="108"/>
    </row>
    <row r="353" spans="1:14" x14ac:dyDescent="0.3">
      <c r="A353" s="77"/>
      <c r="B353" s="106"/>
      <c r="F353" s="124"/>
      <c r="G353" s="125"/>
      <c r="J353" s="125"/>
      <c r="L353" s="107"/>
      <c r="M353" s="183"/>
      <c r="N353" s="108"/>
    </row>
    <row r="354" spans="1:14" x14ac:dyDescent="0.3">
      <c r="A354" s="77"/>
      <c r="B354" s="106"/>
      <c r="F354" s="124"/>
      <c r="G354" s="125"/>
      <c r="J354" s="125"/>
      <c r="L354" s="107"/>
      <c r="M354" s="183"/>
      <c r="N354" s="108"/>
    </row>
    <row r="355" spans="1:14" x14ac:dyDescent="0.3">
      <c r="A355" s="77"/>
      <c r="B355" s="106"/>
      <c r="F355" s="124"/>
      <c r="G355" s="125"/>
      <c r="J355" s="125"/>
      <c r="L355" s="107"/>
      <c r="M355" s="183"/>
      <c r="N355" s="108"/>
    </row>
    <row r="356" spans="1:14" x14ac:dyDescent="0.3">
      <c r="A356" s="77"/>
      <c r="B356" s="106"/>
      <c r="F356" s="124"/>
      <c r="G356" s="125"/>
      <c r="J356" s="125"/>
      <c r="L356" s="107"/>
      <c r="M356" s="183"/>
      <c r="N356" s="108"/>
    </row>
    <row r="357" spans="1:14" x14ac:dyDescent="0.3">
      <c r="A357" s="77"/>
      <c r="B357" s="106"/>
      <c r="F357" s="124"/>
      <c r="G357" s="125"/>
      <c r="J357" s="125"/>
      <c r="L357" s="107"/>
      <c r="M357" s="183"/>
      <c r="N357" s="108"/>
    </row>
    <row r="358" spans="1:14" x14ac:dyDescent="0.3">
      <c r="A358" s="77"/>
      <c r="B358" s="106"/>
      <c r="F358" s="124"/>
      <c r="G358" s="125"/>
      <c r="J358" s="125"/>
      <c r="L358" s="107"/>
      <c r="M358" s="183"/>
      <c r="N358" s="108"/>
    </row>
    <row r="359" spans="1:14" x14ac:dyDescent="0.3">
      <c r="A359" s="77"/>
      <c r="B359" s="106"/>
      <c r="F359" s="124"/>
      <c r="G359" s="125"/>
      <c r="J359" s="125"/>
      <c r="L359" s="107"/>
      <c r="M359" s="183"/>
      <c r="N359" s="108"/>
    </row>
    <row r="360" spans="1:14" x14ac:dyDescent="0.3">
      <c r="A360" s="77"/>
      <c r="B360" s="106"/>
      <c r="F360" s="124"/>
      <c r="G360" s="125"/>
      <c r="J360" s="125"/>
      <c r="L360" s="107"/>
      <c r="M360" s="183"/>
      <c r="N360" s="108"/>
    </row>
    <row r="361" spans="1:14" x14ac:dyDescent="0.3">
      <c r="A361" s="77"/>
      <c r="B361" s="106"/>
      <c r="F361" s="124"/>
      <c r="G361" s="125"/>
      <c r="J361" s="125"/>
      <c r="L361" s="107"/>
      <c r="M361" s="183"/>
      <c r="N361" s="108"/>
    </row>
    <row r="362" spans="1:14" x14ac:dyDescent="0.3">
      <c r="A362" s="77"/>
      <c r="B362" s="106"/>
      <c r="F362" s="124"/>
      <c r="G362" s="125"/>
      <c r="J362" s="125"/>
      <c r="L362" s="107"/>
      <c r="M362" s="183"/>
      <c r="N362" s="108"/>
    </row>
    <row r="363" spans="1:14" x14ac:dyDescent="0.3">
      <c r="A363" s="77"/>
      <c r="B363" s="106"/>
      <c r="F363" s="124"/>
      <c r="G363" s="125"/>
      <c r="J363" s="125"/>
      <c r="L363" s="107"/>
      <c r="M363" s="183"/>
      <c r="N363" s="108"/>
    </row>
    <row r="364" spans="1:14" x14ac:dyDescent="0.3">
      <c r="A364" s="77"/>
      <c r="B364" s="106"/>
      <c r="F364" s="124"/>
      <c r="G364" s="125"/>
      <c r="J364" s="125"/>
      <c r="L364" s="107"/>
      <c r="M364" s="183"/>
      <c r="N364" s="108"/>
    </row>
    <row r="365" spans="1:14" x14ac:dyDescent="0.3">
      <c r="A365" s="77"/>
      <c r="B365" s="106"/>
      <c r="F365" s="124"/>
      <c r="G365" s="125"/>
      <c r="J365" s="125"/>
      <c r="L365" s="107"/>
      <c r="M365" s="183"/>
      <c r="N365" s="108"/>
    </row>
    <row r="366" spans="1:14" x14ac:dyDescent="0.3">
      <c r="A366" s="77"/>
      <c r="B366" s="106"/>
      <c r="F366" s="124"/>
      <c r="G366" s="125"/>
      <c r="J366" s="125"/>
      <c r="L366" s="107"/>
      <c r="M366" s="183"/>
      <c r="N366" s="108"/>
    </row>
    <row r="367" spans="1:14" x14ac:dyDescent="0.3">
      <c r="A367" s="77"/>
      <c r="B367" s="106"/>
      <c r="F367" s="124"/>
      <c r="G367" s="125"/>
      <c r="J367" s="125"/>
      <c r="L367" s="107"/>
      <c r="M367" s="183"/>
      <c r="N367" s="108"/>
    </row>
    <row r="368" spans="1:14" x14ac:dyDescent="0.3">
      <c r="A368" s="77"/>
      <c r="B368" s="106"/>
      <c r="F368" s="124"/>
      <c r="G368" s="125"/>
      <c r="J368" s="125"/>
      <c r="L368" s="107"/>
      <c r="M368" s="183"/>
      <c r="N368" s="108"/>
    </row>
    <row r="369" spans="1:14" x14ac:dyDescent="0.3">
      <c r="A369" s="77"/>
      <c r="B369" s="106"/>
      <c r="F369" s="124"/>
      <c r="G369" s="125"/>
      <c r="J369" s="125"/>
      <c r="L369" s="107"/>
      <c r="M369" s="183"/>
      <c r="N369" s="108"/>
    </row>
    <row r="370" spans="1:14" x14ac:dyDescent="0.3">
      <c r="A370" s="77"/>
      <c r="B370" s="106"/>
      <c r="F370" s="124"/>
      <c r="G370" s="125"/>
      <c r="J370" s="125"/>
      <c r="L370" s="107"/>
      <c r="M370" s="183"/>
      <c r="N370" s="108"/>
    </row>
    <row r="371" spans="1:14" x14ac:dyDescent="0.3">
      <c r="A371" s="77"/>
      <c r="B371" s="106"/>
      <c r="F371" s="124"/>
      <c r="G371" s="125"/>
      <c r="J371" s="125"/>
      <c r="L371" s="107"/>
      <c r="M371" s="183"/>
      <c r="N371" s="108"/>
    </row>
    <row r="372" spans="1:14" x14ac:dyDescent="0.3">
      <c r="A372" s="77"/>
      <c r="B372" s="106"/>
      <c r="F372" s="124"/>
      <c r="G372" s="125"/>
      <c r="J372" s="125"/>
      <c r="L372" s="107"/>
      <c r="M372" s="183"/>
      <c r="N372" s="108"/>
    </row>
    <row r="373" spans="1:14" x14ac:dyDescent="0.3">
      <c r="A373" s="77"/>
      <c r="B373" s="106"/>
      <c r="F373" s="124"/>
      <c r="G373" s="125"/>
      <c r="J373" s="125"/>
      <c r="L373" s="107"/>
      <c r="M373" s="183"/>
      <c r="N373" s="108"/>
    </row>
    <row r="374" spans="1:14" x14ac:dyDescent="0.3">
      <c r="A374" s="77"/>
      <c r="B374" s="106"/>
      <c r="F374" s="124"/>
      <c r="G374" s="125"/>
      <c r="J374" s="125"/>
      <c r="L374" s="107"/>
      <c r="M374" s="183"/>
      <c r="N374" s="108"/>
    </row>
    <row r="375" spans="1:14" x14ac:dyDescent="0.3">
      <c r="A375" s="77"/>
      <c r="B375" s="106"/>
      <c r="F375" s="124"/>
      <c r="G375" s="125"/>
      <c r="J375" s="125"/>
      <c r="L375" s="107"/>
      <c r="M375" s="183"/>
      <c r="N375" s="108"/>
    </row>
    <row r="376" spans="1:14" x14ac:dyDescent="0.3">
      <c r="A376" s="77"/>
      <c r="B376" s="106"/>
      <c r="F376" s="124"/>
      <c r="G376" s="125"/>
      <c r="J376" s="125"/>
      <c r="L376" s="107"/>
      <c r="M376" s="183"/>
      <c r="N376" s="108"/>
    </row>
    <row r="377" spans="1:14" x14ac:dyDescent="0.3">
      <c r="A377" s="77"/>
      <c r="B377" s="106"/>
      <c r="F377" s="124"/>
      <c r="G377" s="125"/>
      <c r="J377" s="125"/>
      <c r="L377" s="107"/>
      <c r="M377" s="183"/>
      <c r="N377" s="108"/>
    </row>
    <row r="378" spans="1:14" x14ac:dyDescent="0.3">
      <c r="A378" s="77"/>
      <c r="B378" s="106"/>
      <c r="F378" s="124"/>
      <c r="G378" s="125"/>
      <c r="J378" s="125"/>
      <c r="L378" s="107"/>
      <c r="M378" s="183"/>
      <c r="N378" s="108"/>
    </row>
    <row r="379" spans="1:14" x14ac:dyDescent="0.3">
      <c r="A379" s="77"/>
      <c r="B379" s="106"/>
      <c r="F379" s="124"/>
      <c r="G379" s="125"/>
      <c r="J379" s="125"/>
      <c r="L379" s="107"/>
      <c r="M379" s="183"/>
      <c r="N379" s="108"/>
    </row>
    <row r="380" spans="1:14" x14ac:dyDescent="0.3">
      <c r="A380" s="77"/>
      <c r="B380" s="106"/>
      <c r="F380" s="124"/>
      <c r="G380" s="125"/>
      <c r="J380" s="125"/>
      <c r="L380" s="107"/>
      <c r="M380" s="183"/>
      <c r="N380" s="108"/>
    </row>
    <row r="381" spans="1:14" x14ac:dyDescent="0.3">
      <c r="A381" s="77"/>
      <c r="B381" s="106"/>
      <c r="F381" s="124"/>
      <c r="G381" s="125"/>
      <c r="J381" s="125"/>
      <c r="L381" s="107"/>
      <c r="M381" s="183"/>
      <c r="N381" s="108"/>
    </row>
    <row r="382" spans="1:14" x14ac:dyDescent="0.3">
      <c r="A382" s="77"/>
      <c r="B382" s="106"/>
      <c r="F382" s="124"/>
      <c r="G382" s="125"/>
      <c r="J382" s="125"/>
      <c r="L382" s="107"/>
      <c r="M382" s="183"/>
      <c r="N382" s="108"/>
    </row>
    <row r="383" spans="1:14" x14ac:dyDescent="0.3">
      <c r="A383" s="77"/>
      <c r="B383" s="106"/>
      <c r="F383" s="124"/>
      <c r="G383" s="125"/>
      <c r="J383" s="125"/>
      <c r="L383" s="107"/>
      <c r="M383" s="183"/>
      <c r="N383" s="108"/>
    </row>
    <row r="384" spans="1:14" x14ac:dyDescent="0.3">
      <c r="A384" s="77"/>
      <c r="B384" s="106"/>
      <c r="F384" s="124"/>
      <c r="G384" s="125"/>
      <c r="J384" s="125"/>
      <c r="L384" s="107"/>
      <c r="M384" s="183"/>
      <c r="N384" s="108"/>
    </row>
    <row r="385" spans="1:14" x14ac:dyDescent="0.3">
      <c r="A385" s="77"/>
      <c r="B385" s="106"/>
      <c r="F385" s="124"/>
      <c r="G385" s="125"/>
      <c r="J385" s="125"/>
      <c r="L385" s="107"/>
      <c r="M385" s="183"/>
      <c r="N385" s="108"/>
    </row>
    <row r="386" spans="1:14" x14ac:dyDescent="0.3">
      <c r="A386" s="77"/>
      <c r="B386" s="106"/>
      <c r="F386" s="124"/>
      <c r="G386" s="125"/>
      <c r="J386" s="125"/>
      <c r="L386" s="107"/>
      <c r="M386" s="183"/>
      <c r="N386" s="108"/>
    </row>
    <row r="387" spans="1:14" x14ac:dyDescent="0.3">
      <c r="A387" s="77"/>
      <c r="B387" s="106"/>
      <c r="F387" s="124"/>
      <c r="G387" s="125"/>
      <c r="J387" s="125"/>
      <c r="L387" s="107"/>
      <c r="M387" s="183"/>
      <c r="N387" s="108"/>
    </row>
    <row r="388" spans="1:14" x14ac:dyDescent="0.3">
      <c r="A388" s="77"/>
      <c r="B388" s="106"/>
      <c r="F388" s="124"/>
      <c r="G388" s="125"/>
      <c r="J388" s="125"/>
      <c r="L388" s="107"/>
      <c r="M388" s="183"/>
      <c r="N388" s="108"/>
    </row>
    <row r="389" spans="1:14" x14ac:dyDescent="0.3">
      <c r="A389" s="77"/>
      <c r="B389" s="106"/>
      <c r="F389" s="124"/>
      <c r="G389" s="125"/>
      <c r="J389" s="125"/>
      <c r="L389" s="107"/>
      <c r="M389" s="183"/>
      <c r="N389" s="108"/>
    </row>
    <row r="390" spans="1:14" x14ac:dyDescent="0.3">
      <c r="A390" s="77"/>
      <c r="B390" s="106"/>
      <c r="F390" s="124"/>
      <c r="G390" s="125"/>
      <c r="J390" s="125"/>
      <c r="L390" s="107"/>
      <c r="M390" s="183"/>
      <c r="N390" s="108"/>
    </row>
    <row r="391" spans="1:14" x14ac:dyDescent="0.3">
      <c r="A391" s="77"/>
      <c r="B391" s="106"/>
      <c r="F391" s="124"/>
      <c r="G391" s="125"/>
      <c r="J391" s="125"/>
      <c r="L391" s="107"/>
      <c r="M391" s="183"/>
      <c r="N391" s="108"/>
    </row>
    <row r="392" spans="1:14" x14ac:dyDescent="0.3">
      <c r="A392" s="77"/>
      <c r="B392" s="106"/>
      <c r="F392" s="124"/>
      <c r="G392" s="125"/>
      <c r="J392" s="125"/>
      <c r="L392" s="107"/>
      <c r="M392" s="183"/>
      <c r="N392" s="108"/>
    </row>
    <row r="393" spans="1:14" x14ac:dyDescent="0.3">
      <c r="A393" s="77"/>
      <c r="B393" s="106"/>
      <c r="F393" s="124"/>
      <c r="G393" s="125"/>
      <c r="J393" s="125"/>
      <c r="L393" s="107"/>
      <c r="M393" s="183"/>
      <c r="N393" s="108"/>
    </row>
    <row r="394" spans="1:14" x14ac:dyDescent="0.3">
      <c r="A394" s="77"/>
      <c r="B394" s="106"/>
      <c r="F394" s="124"/>
      <c r="G394" s="125"/>
      <c r="J394" s="125"/>
      <c r="L394" s="107"/>
      <c r="M394" s="183"/>
      <c r="N394" s="108"/>
    </row>
    <row r="395" spans="1:14" x14ac:dyDescent="0.3">
      <c r="A395" s="77"/>
      <c r="B395" s="106"/>
      <c r="F395" s="124"/>
      <c r="G395" s="125"/>
      <c r="J395" s="125"/>
      <c r="L395" s="107"/>
      <c r="M395" s="183"/>
      <c r="N395" s="108"/>
    </row>
    <row r="396" spans="1:14" x14ac:dyDescent="0.3">
      <c r="A396" s="77"/>
      <c r="B396" s="106"/>
      <c r="F396" s="124"/>
      <c r="G396" s="125"/>
      <c r="J396" s="125"/>
      <c r="L396" s="107"/>
      <c r="M396" s="183"/>
      <c r="N396" s="108"/>
    </row>
    <row r="397" spans="1:14" x14ac:dyDescent="0.3">
      <c r="A397" s="77"/>
      <c r="B397" s="106"/>
      <c r="F397" s="124"/>
      <c r="G397" s="125"/>
      <c r="J397" s="125"/>
      <c r="L397" s="107"/>
      <c r="M397" s="183"/>
      <c r="N397" s="108"/>
    </row>
    <row r="398" spans="1:14" x14ac:dyDescent="0.3">
      <c r="A398" s="77"/>
      <c r="B398" s="106"/>
      <c r="F398" s="124"/>
      <c r="G398" s="125"/>
      <c r="J398" s="125"/>
      <c r="L398" s="107"/>
      <c r="M398" s="183"/>
      <c r="N398" s="108"/>
    </row>
    <row r="399" spans="1:14" x14ac:dyDescent="0.3">
      <c r="A399" s="77"/>
      <c r="B399" s="106"/>
      <c r="F399" s="124"/>
      <c r="G399" s="125"/>
      <c r="J399" s="125"/>
      <c r="L399" s="107"/>
      <c r="M399" s="183"/>
      <c r="N399" s="108"/>
    </row>
    <row r="400" spans="1:14" x14ac:dyDescent="0.3">
      <c r="A400" s="77"/>
      <c r="B400" s="106"/>
      <c r="F400" s="124"/>
      <c r="G400" s="125"/>
      <c r="J400" s="125"/>
      <c r="L400" s="107"/>
      <c r="M400" s="183"/>
      <c r="N400" s="108"/>
    </row>
    <row r="401" spans="1:14" x14ac:dyDescent="0.3">
      <c r="A401" s="77"/>
      <c r="B401" s="106"/>
      <c r="F401" s="124"/>
      <c r="G401" s="125"/>
      <c r="J401" s="125"/>
      <c r="L401" s="107"/>
      <c r="M401" s="183"/>
      <c r="N401" s="108"/>
    </row>
    <row r="402" spans="1:14" x14ac:dyDescent="0.3">
      <c r="A402" s="77"/>
      <c r="B402" s="106"/>
      <c r="F402" s="124"/>
      <c r="G402" s="125"/>
      <c r="J402" s="125"/>
      <c r="L402" s="107"/>
      <c r="M402" s="183"/>
      <c r="N402" s="108"/>
    </row>
    <row r="403" spans="1:14" x14ac:dyDescent="0.3">
      <c r="A403" s="77"/>
      <c r="B403" s="106"/>
      <c r="F403" s="124"/>
      <c r="G403" s="125"/>
      <c r="J403" s="125"/>
      <c r="L403" s="107"/>
      <c r="M403" s="183"/>
      <c r="N403" s="108"/>
    </row>
    <row r="404" spans="1:14" x14ac:dyDescent="0.3">
      <c r="A404" s="77"/>
      <c r="B404" s="106"/>
      <c r="F404" s="124"/>
      <c r="G404" s="125"/>
      <c r="J404" s="125"/>
      <c r="L404" s="107"/>
      <c r="M404" s="183"/>
      <c r="N404" s="108"/>
    </row>
    <row r="405" spans="1:14" x14ac:dyDescent="0.3">
      <c r="A405" s="77"/>
      <c r="B405" s="106"/>
      <c r="F405" s="124"/>
      <c r="G405" s="125"/>
      <c r="J405" s="125"/>
      <c r="L405" s="107"/>
      <c r="M405" s="183"/>
      <c r="N405" s="108"/>
    </row>
    <row r="406" spans="1:14" x14ac:dyDescent="0.3">
      <c r="A406" s="77"/>
      <c r="B406" s="106"/>
      <c r="F406" s="124"/>
      <c r="G406" s="125"/>
      <c r="J406" s="125"/>
      <c r="L406" s="107"/>
      <c r="M406" s="183"/>
      <c r="N406" s="108"/>
    </row>
    <row r="407" spans="1:14" x14ac:dyDescent="0.3">
      <c r="A407" s="77"/>
      <c r="B407" s="106"/>
      <c r="F407" s="124"/>
      <c r="G407" s="125"/>
      <c r="J407" s="125"/>
      <c r="L407" s="107"/>
      <c r="M407" s="183"/>
      <c r="N407" s="108"/>
    </row>
    <row r="408" spans="1:14" x14ac:dyDescent="0.3">
      <c r="A408" s="77"/>
      <c r="B408" s="106"/>
      <c r="F408" s="124"/>
      <c r="G408" s="125"/>
      <c r="J408" s="125"/>
      <c r="L408" s="107"/>
      <c r="M408" s="183"/>
      <c r="N408" s="108"/>
    </row>
    <row r="409" spans="1:14" x14ac:dyDescent="0.3">
      <c r="A409" s="77"/>
      <c r="B409" s="106"/>
      <c r="F409" s="124"/>
      <c r="G409" s="125"/>
      <c r="J409" s="125"/>
      <c r="L409" s="107"/>
      <c r="M409" s="183"/>
      <c r="N409" s="108"/>
    </row>
    <row r="410" spans="1:14" x14ac:dyDescent="0.3">
      <c r="A410" s="77"/>
      <c r="B410" s="106"/>
      <c r="F410" s="124"/>
      <c r="G410" s="125"/>
      <c r="J410" s="125"/>
      <c r="L410" s="107"/>
      <c r="M410" s="183"/>
      <c r="N410" s="108"/>
    </row>
    <row r="411" spans="1:14" x14ac:dyDescent="0.3">
      <c r="A411" s="77"/>
      <c r="B411" s="106"/>
      <c r="F411" s="124"/>
      <c r="G411" s="125"/>
      <c r="J411" s="125"/>
      <c r="L411" s="107"/>
      <c r="M411" s="183"/>
      <c r="N411" s="108"/>
    </row>
    <row r="412" spans="1:14" x14ac:dyDescent="0.3">
      <c r="A412" s="77"/>
      <c r="B412" s="106"/>
      <c r="F412" s="124"/>
      <c r="G412" s="125"/>
      <c r="J412" s="125"/>
      <c r="L412" s="107"/>
      <c r="M412" s="183"/>
      <c r="N412" s="108"/>
    </row>
    <row r="413" spans="1:14" x14ac:dyDescent="0.3">
      <c r="A413" s="77"/>
      <c r="B413" s="106"/>
      <c r="F413" s="124"/>
      <c r="G413" s="125"/>
      <c r="J413" s="125"/>
      <c r="L413" s="107"/>
      <c r="M413" s="183"/>
      <c r="N413" s="108"/>
    </row>
    <row r="414" spans="1:14" x14ac:dyDescent="0.3">
      <c r="A414" s="77"/>
      <c r="B414" s="106"/>
      <c r="F414" s="124"/>
      <c r="G414" s="125"/>
      <c r="J414" s="125"/>
      <c r="L414" s="107"/>
      <c r="M414" s="183"/>
      <c r="N414" s="108"/>
    </row>
    <row r="415" spans="1:14" x14ac:dyDescent="0.3">
      <c r="A415" s="77"/>
      <c r="B415" s="106"/>
      <c r="F415" s="124"/>
      <c r="G415" s="125"/>
      <c r="J415" s="125"/>
      <c r="L415" s="107"/>
      <c r="M415" s="183"/>
      <c r="N415" s="108"/>
    </row>
    <row r="416" spans="1:14" x14ac:dyDescent="0.3">
      <c r="A416" s="77"/>
      <c r="B416" s="106"/>
      <c r="F416" s="124"/>
      <c r="G416" s="125"/>
      <c r="J416" s="125"/>
      <c r="L416" s="107"/>
      <c r="M416" s="183"/>
      <c r="N416" s="108"/>
    </row>
    <row r="417" spans="1:14" x14ac:dyDescent="0.3">
      <c r="A417" s="77"/>
      <c r="B417" s="106"/>
      <c r="F417" s="124"/>
      <c r="G417" s="125"/>
      <c r="J417" s="125"/>
      <c r="L417" s="107"/>
      <c r="M417" s="183"/>
      <c r="N417" s="108"/>
    </row>
    <row r="418" spans="1:14" x14ac:dyDescent="0.3">
      <c r="A418" s="77"/>
      <c r="B418" s="106"/>
      <c r="F418" s="124"/>
      <c r="G418" s="125"/>
      <c r="J418" s="125"/>
      <c r="L418" s="107"/>
      <c r="M418" s="183"/>
      <c r="N418" s="108"/>
    </row>
    <row r="419" spans="1:14" x14ac:dyDescent="0.3">
      <c r="A419" s="77"/>
      <c r="B419" s="106"/>
      <c r="F419" s="124"/>
      <c r="G419" s="125"/>
      <c r="J419" s="125"/>
      <c r="L419" s="107"/>
      <c r="M419" s="183"/>
      <c r="N419" s="108"/>
    </row>
    <row r="420" spans="1:14" x14ac:dyDescent="0.3">
      <c r="A420" s="77"/>
      <c r="B420" s="106"/>
      <c r="F420" s="124"/>
      <c r="G420" s="125"/>
      <c r="J420" s="125"/>
      <c r="L420" s="107"/>
      <c r="M420" s="183"/>
      <c r="N420" s="108"/>
    </row>
    <row r="421" spans="1:14" x14ac:dyDescent="0.3">
      <c r="A421" s="77"/>
      <c r="B421" s="106"/>
      <c r="F421" s="124"/>
      <c r="G421" s="125"/>
      <c r="J421" s="125"/>
      <c r="L421" s="107"/>
      <c r="M421" s="183"/>
      <c r="N421" s="108"/>
    </row>
    <row r="422" spans="1:14" x14ac:dyDescent="0.3">
      <c r="A422" s="77"/>
      <c r="B422" s="106"/>
      <c r="F422" s="124"/>
      <c r="G422" s="125"/>
      <c r="J422" s="125"/>
      <c r="L422" s="107"/>
      <c r="M422" s="183"/>
      <c r="N422" s="108"/>
    </row>
    <row r="423" spans="1:14" x14ac:dyDescent="0.3">
      <c r="A423" s="77"/>
      <c r="B423" s="106"/>
      <c r="F423" s="124"/>
      <c r="G423" s="125"/>
      <c r="J423" s="125"/>
      <c r="L423" s="107"/>
      <c r="M423" s="183"/>
      <c r="N423" s="108"/>
    </row>
    <row r="424" spans="1:14" x14ac:dyDescent="0.3">
      <c r="A424" s="77"/>
      <c r="B424" s="106"/>
      <c r="F424" s="124"/>
      <c r="G424" s="125"/>
      <c r="J424" s="125"/>
      <c r="L424" s="107"/>
      <c r="M424" s="183"/>
      <c r="N424" s="108"/>
    </row>
    <row r="425" spans="1:14" x14ac:dyDescent="0.3">
      <c r="A425" s="77"/>
      <c r="B425" s="106"/>
      <c r="F425" s="124"/>
      <c r="G425" s="125"/>
      <c r="J425" s="125"/>
      <c r="L425" s="107"/>
      <c r="M425" s="183"/>
      <c r="N425" s="108"/>
    </row>
    <row r="426" spans="1:14" x14ac:dyDescent="0.3">
      <c r="A426" s="77"/>
      <c r="B426" s="106"/>
      <c r="F426" s="124"/>
      <c r="G426" s="125"/>
      <c r="J426" s="125"/>
      <c r="L426" s="107"/>
      <c r="M426" s="183"/>
      <c r="N426" s="108"/>
    </row>
    <row r="427" spans="1:14" x14ac:dyDescent="0.3">
      <c r="A427" s="77"/>
      <c r="B427" s="106"/>
      <c r="F427" s="124"/>
      <c r="G427" s="125"/>
      <c r="J427" s="125"/>
      <c r="L427" s="107"/>
      <c r="M427" s="183"/>
      <c r="N427" s="108"/>
    </row>
    <row r="428" spans="1:14" x14ac:dyDescent="0.3">
      <c r="A428" s="77"/>
      <c r="B428" s="106"/>
      <c r="F428" s="124"/>
      <c r="G428" s="125"/>
      <c r="J428" s="125"/>
      <c r="L428" s="107"/>
      <c r="M428" s="183"/>
      <c r="N428" s="108"/>
    </row>
    <row r="429" spans="1:14" x14ac:dyDescent="0.3">
      <c r="A429" s="77"/>
      <c r="B429" s="106"/>
      <c r="F429" s="124"/>
      <c r="G429" s="125"/>
      <c r="J429" s="125"/>
      <c r="L429" s="107"/>
      <c r="M429" s="183"/>
      <c r="N429" s="108"/>
    </row>
    <row r="430" spans="1:14" x14ac:dyDescent="0.3">
      <c r="A430" s="77"/>
      <c r="B430" s="106"/>
      <c r="F430" s="124"/>
      <c r="G430" s="125"/>
      <c r="J430" s="125"/>
      <c r="L430" s="107"/>
      <c r="M430" s="183"/>
      <c r="N430" s="108"/>
    </row>
    <row r="431" spans="1:14" x14ac:dyDescent="0.3">
      <c r="A431" s="77"/>
      <c r="B431" s="106"/>
      <c r="F431" s="124"/>
      <c r="G431" s="125"/>
      <c r="J431" s="125"/>
      <c r="L431" s="107"/>
      <c r="M431" s="183"/>
      <c r="N431" s="108"/>
    </row>
    <row r="432" spans="1:14" x14ac:dyDescent="0.3">
      <c r="A432" s="77"/>
      <c r="B432" s="106"/>
      <c r="F432" s="124"/>
      <c r="G432" s="125"/>
      <c r="J432" s="125"/>
      <c r="L432" s="107"/>
      <c r="M432" s="183"/>
      <c r="N432" s="108"/>
    </row>
    <row r="433" spans="1:14" x14ac:dyDescent="0.3">
      <c r="A433" s="77"/>
      <c r="B433" s="106"/>
      <c r="F433" s="124"/>
      <c r="G433" s="125"/>
      <c r="J433" s="125"/>
      <c r="L433" s="107"/>
      <c r="M433" s="183"/>
      <c r="N433" s="108"/>
    </row>
    <row r="434" spans="1:14" x14ac:dyDescent="0.3">
      <c r="A434" s="77"/>
      <c r="B434" s="106"/>
      <c r="F434" s="124"/>
      <c r="G434" s="125"/>
      <c r="J434" s="125"/>
      <c r="L434" s="107"/>
      <c r="M434" s="183"/>
      <c r="N434" s="108"/>
    </row>
    <row r="435" spans="1:14" x14ac:dyDescent="0.3">
      <c r="A435" s="77"/>
      <c r="B435" s="106"/>
      <c r="F435" s="124"/>
      <c r="G435" s="125"/>
      <c r="J435" s="125"/>
      <c r="L435" s="107"/>
      <c r="M435" s="183"/>
      <c r="N435" s="108"/>
    </row>
    <row r="436" spans="1:14" x14ac:dyDescent="0.3">
      <c r="A436" s="77"/>
      <c r="B436" s="106"/>
      <c r="F436" s="124"/>
      <c r="G436" s="125"/>
      <c r="J436" s="125"/>
      <c r="L436" s="107"/>
      <c r="M436" s="183"/>
      <c r="N436" s="108"/>
    </row>
    <row r="437" spans="1:14" x14ac:dyDescent="0.3">
      <c r="A437" s="77"/>
      <c r="B437" s="106"/>
      <c r="F437" s="124"/>
      <c r="G437" s="125"/>
      <c r="J437" s="125"/>
      <c r="L437" s="107"/>
      <c r="M437" s="183"/>
      <c r="N437" s="108"/>
    </row>
    <row r="438" spans="1:14" x14ac:dyDescent="0.3">
      <c r="A438" s="77"/>
      <c r="B438" s="106"/>
      <c r="F438" s="124"/>
      <c r="G438" s="125"/>
      <c r="J438" s="125"/>
      <c r="L438" s="107"/>
      <c r="M438" s="183"/>
      <c r="N438" s="108"/>
    </row>
    <row r="439" spans="1:14" x14ac:dyDescent="0.3">
      <c r="A439" s="77"/>
      <c r="B439" s="106"/>
      <c r="F439" s="124"/>
      <c r="G439" s="125"/>
      <c r="J439" s="125"/>
      <c r="L439" s="107"/>
      <c r="M439" s="183"/>
      <c r="N439" s="108"/>
    </row>
    <row r="440" spans="1:14" x14ac:dyDescent="0.3">
      <c r="A440" s="77"/>
      <c r="B440" s="106"/>
      <c r="F440" s="124"/>
      <c r="G440" s="125"/>
      <c r="J440" s="125"/>
      <c r="L440" s="107"/>
      <c r="M440" s="183"/>
      <c r="N440" s="108"/>
    </row>
    <row r="441" spans="1:14" x14ac:dyDescent="0.3">
      <c r="A441" s="77"/>
      <c r="B441" s="106"/>
      <c r="F441" s="124"/>
      <c r="G441" s="125"/>
      <c r="J441" s="125"/>
      <c r="L441" s="107"/>
      <c r="M441" s="183"/>
      <c r="N441" s="108"/>
    </row>
    <row r="442" spans="1:14" x14ac:dyDescent="0.3">
      <c r="A442" s="77"/>
      <c r="B442" s="106"/>
      <c r="F442" s="124"/>
      <c r="G442" s="125"/>
      <c r="J442" s="125"/>
      <c r="L442" s="107"/>
      <c r="M442" s="183"/>
      <c r="N442" s="108"/>
    </row>
    <row r="443" spans="1:14" x14ac:dyDescent="0.3">
      <c r="A443" s="77"/>
      <c r="B443" s="106"/>
      <c r="F443" s="124"/>
      <c r="G443" s="125"/>
      <c r="J443" s="125"/>
      <c r="L443" s="107"/>
      <c r="M443" s="183"/>
      <c r="N443" s="108"/>
    </row>
    <row r="444" spans="1:14" x14ac:dyDescent="0.3">
      <c r="A444" s="77"/>
      <c r="B444" s="106"/>
      <c r="F444" s="124"/>
      <c r="G444" s="125"/>
      <c r="J444" s="125"/>
      <c r="L444" s="107"/>
      <c r="M444" s="183"/>
      <c r="N444" s="108"/>
    </row>
    <row r="445" spans="1:14" x14ac:dyDescent="0.3">
      <c r="A445" s="77"/>
      <c r="B445" s="106"/>
      <c r="F445" s="124"/>
      <c r="G445" s="125"/>
      <c r="J445" s="125"/>
      <c r="L445" s="107"/>
      <c r="M445" s="183"/>
      <c r="N445" s="108"/>
    </row>
    <row r="446" spans="1:14" x14ac:dyDescent="0.3">
      <c r="A446" s="77"/>
      <c r="B446" s="106"/>
      <c r="F446" s="124"/>
      <c r="G446" s="125"/>
      <c r="J446" s="125"/>
      <c r="L446" s="107"/>
      <c r="M446" s="183"/>
      <c r="N446" s="108"/>
    </row>
    <row r="447" spans="1:14" x14ac:dyDescent="0.3">
      <c r="A447" s="77"/>
      <c r="B447" s="106"/>
      <c r="F447" s="124"/>
      <c r="G447" s="125"/>
      <c r="J447" s="125"/>
      <c r="L447" s="107"/>
      <c r="M447" s="183"/>
      <c r="N447" s="108"/>
    </row>
    <row r="448" spans="1:14" x14ac:dyDescent="0.3">
      <c r="A448" s="77"/>
      <c r="B448" s="106"/>
      <c r="F448" s="124"/>
      <c r="G448" s="125"/>
      <c r="J448" s="125"/>
      <c r="L448" s="107"/>
      <c r="M448" s="183"/>
      <c r="N448" s="108"/>
    </row>
    <row r="449" spans="1:14" x14ac:dyDescent="0.3">
      <c r="A449" s="77"/>
      <c r="B449" s="106"/>
      <c r="F449" s="124"/>
      <c r="G449" s="125"/>
      <c r="J449" s="125"/>
      <c r="L449" s="107"/>
      <c r="M449" s="183"/>
      <c r="N449" s="108"/>
    </row>
    <row r="450" spans="1:14" x14ac:dyDescent="0.3">
      <c r="A450" s="77"/>
      <c r="B450" s="106"/>
      <c r="F450" s="124"/>
      <c r="G450" s="125"/>
      <c r="J450" s="125"/>
      <c r="L450" s="107"/>
      <c r="M450" s="183"/>
      <c r="N450" s="108"/>
    </row>
    <row r="451" spans="1:14" x14ac:dyDescent="0.3">
      <c r="A451" s="77"/>
      <c r="B451" s="106"/>
      <c r="F451" s="124"/>
      <c r="G451" s="125"/>
      <c r="J451" s="125"/>
      <c r="L451" s="107"/>
      <c r="M451" s="183"/>
      <c r="N451" s="108"/>
    </row>
    <row r="452" spans="1:14" x14ac:dyDescent="0.3">
      <c r="A452" s="77"/>
      <c r="B452" s="106"/>
      <c r="F452" s="124"/>
      <c r="G452" s="125"/>
      <c r="J452" s="125"/>
      <c r="L452" s="107"/>
      <c r="M452" s="183"/>
      <c r="N452" s="108"/>
    </row>
    <row r="453" spans="1:14" x14ac:dyDescent="0.3">
      <c r="A453" s="77"/>
      <c r="B453" s="106"/>
      <c r="F453" s="124"/>
      <c r="G453" s="125"/>
      <c r="J453" s="125"/>
      <c r="L453" s="107"/>
      <c r="M453" s="183"/>
      <c r="N453" s="108"/>
    </row>
    <row r="454" spans="1:14" x14ac:dyDescent="0.3">
      <c r="A454" s="77"/>
      <c r="B454" s="106"/>
      <c r="F454" s="124"/>
      <c r="G454" s="125"/>
      <c r="J454" s="125"/>
      <c r="L454" s="107"/>
      <c r="M454" s="183"/>
      <c r="N454" s="108"/>
    </row>
    <row r="455" spans="1:14" x14ac:dyDescent="0.3">
      <c r="A455" s="77"/>
      <c r="B455" s="106"/>
      <c r="F455" s="124"/>
      <c r="G455" s="125"/>
      <c r="J455" s="125"/>
      <c r="L455" s="107"/>
      <c r="M455" s="183"/>
      <c r="N455" s="108"/>
    </row>
    <row r="456" spans="1:14" x14ac:dyDescent="0.3">
      <c r="A456" s="77"/>
      <c r="B456" s="106"/>
      <c r="F456" s="124"/>
      <c r="G456" s="125"/>
      <c r="J456" s="125"/>
      <c r="L456" s="107"/>
      <c r="M456" s="183"/>
      <c r="N456" s="108"/>
    </row>
    <row r="457" spans="1:14" x14ac:dyDescent="0.3">
      <c r="A457" s="77"/>
      <c r="B457" s="106"/>
      <c r="F457" s="124"/>
      <c r="G457" s="125"/>
      <c r="J457" s="125"/>
      <c r="L457" s="107"/>
      <c r="M457" s="183"/>
      <c r="N457" s="108"/>
    </row>
    <row r="458" spans="1:14" x14ac:dyDescent="0.3">
      <c r="A458" s="77"/>
      <c r="B458" s="106"/>
      <c r="F458" s="124"/>
      <c r="G458" s="125"/>
      <c r="J458" s="125"/>
      <c r="L458" s="107"/>
      <c r="M458" s="183"/>
      <c r="N458" s="108"/>
    </row>
    <row r="459" spans="1:14" x14ac:dyDescent="0.3">
      <c r="A459" s="77"/>
      <c r="B459" s="106"/>
      <c r="F459" s="124"/>
      <c r="G459" s="125"/>
      <c r="J459" s="125"/>
      <c r="L459" s="107"/>
      <c r="M459" s="183"/>
      <c r="N459" s="108"/>
    </row>
    <row r="460" spans="1:14" x14ac:dyDescent="0.3">
      <c r="A460" s="77"/>
      <c r="B460" s="106"/>
      <c r="F460" s="124"/>
      <c r="G460" s="125"/>
      <c r="J460" s="125"/>
      <c r="L460" s="107"/>
      <c r="M460" s="183"/>
      <c r="N460" s="108"/>
    </row>
    <row r="461" spans="1:14" x14ac:dyDescent="0.3">
      <c r="A461" s="77"/>
      <c r="B461" s="106"/>
      <c r="F461" s="124"/>
      <c r="G461" s="125"/>
      <c r="J461" s="125"/>
      <c r="L461" s="107"/>
      <c r="M461" s="183"/>
      <c r="N461" s="108"/>
    </row>
    <row r="462" spans="1:14" x14ac:dyDescent="0.3">
      <c r="A462" s="77"/>
      <c r="B462" s="106"/>
      <c r="F462" s="124"/>
      <c r="G462" s="125"/>
      <c r="J462" s="125"/>
      <c r="L462" s="107"/>
      <c r="M462" s="183"/>
      <c r="N462" s="108"/>
    </row>
    <row r="463" spans="1:14" x14ac:dyDescent="0.3">
      <c r="A463" s="77"/>
      <c r="B463" s="106"/>
      <c r="F463" s="124"/>
      <c r="G463" s="125"/>
      <c r="J463" s="125"/>
      <c r="L463" s="107"/>
      <c r="M463" s="183"/>
      <c r="N463" s="108"/>
    </row>
    <row r="464" spans="1:14" x14ac:dyDescent="0.3">
      <c r="A464" s="77"/>
      <c r="B464" s="106"/>
      <c r="F464" s="124"/>
      <c r="G464" s="125"/>
      <c r="J464" s="125"/>
      <c r="L464" s="107"/>
      <c r="M464" s="183"/>
      <c r="N464" s="108"/>
    </row>
    <row r="465" spans="1:14" x14ac:dyDescent="0.3">
      <c r="A465" s="77"/>
      <c r="B465" s="106"/>
      <c r="F465" s="124"/>
      <c r="G465" s="125"/>
      <c r="J465" s="125"/>
      <c r="L465" s="107"/>
      <c r="M465" s="183"/>
      <c r="N465" s="108"/>
    </row>
    <row r="466" spans="1:14" x14ac:dyDescent="0.3">
      <c r="A466" s="77"/>
      <c r="B466" s="106"/>
      <c r="F466" s="124"/>
      <c r="G466" s="125"/>
      <c r="J466" s="125"/>
      <c r="L466" s="107"/>
      <c r="M466" s="183"/>
      <c r="N466" s="108"/>
    </row>
    <row r="467" spans="1:14" x14ac:dyDescent="0.3">
      <c r="A467" s="77"/>
      <c r="B467" s="106"/>
      <c r="F467" s="124"/>
      <c r="G467" s="125"/>
      <c r="J467" s="125"/>
      <c r="L467" s="107"/>
      <c r="M467" s="183"/>
      <c r="N467" s="108"/>
    </row>
    <row r="468" spans="1:14" x14ac:dyDescent="0.3">
      <c r="A468" s="77"/>
      <c r="B468" s="106"/>
      <c r="F468" s="124"/>
      <c r="G468" s="125"/>
      <c r="J468" s="125"/>
      <c r="L468" s="107"/>
      <c r="M468" s="183"/>
      <c r="N468" s="108"/>
    </row>
    <row r="469" spans="1:14" x14ac:dyDescent="0.3">
      <c r="A469" s="77"/>
      <c r="B469" s="106"/>
      <c r="F469" s="124"/>
      <c r="G469" s="125"/>
      <c r="J469" s="125"/>
      <c r="L469" s="107"/>
      <c r="M469" s="183"/>
      <c r="N469" s="108"/>
    </row>
    <row r="470" spans="1:14" x14ac:dyDescent="0.3">
      <c r="A470" s="77"/>
      <c r="B470" s="106"/>
      <c r="F470" s="124"/>
      <c r="G470" s="125"/>
      <c r="J470" s="125"/>
      <c r="L470" s="107"/>
      <c r="M470" s="183"/>
      <c r="N470" s="108"/>
    </row>
    <row r="471" spans="1:14" x14ac:dyDescent="0.3">
      <c r="A471" s="77"/>
      <c r="B471" s="106"/>
      <c r="F471" s="124"/>
      <c r="G471" s="125"/>
      <c r="J471" s="125"/>
      <c r="L471" s="107"/>
      <c r="M471" s="183"/>
      <c r="N471" s="108"/>
    </row>
    <row r="472" spans="1:14" x14ac:dyDescent="0.3">
      <c r="A472" s="77"/>
      <c r="B472" s="106"/>
      <c r="F472" s="124"/>
      <c r="G472" s="125"/>
      <c r="J472" s="125"/>
      <c r="L472" s="107"/>
      <c r="M472" s="183"/>
      <c r="N472" s="108"/>
    </row>
    <row r="473" spans="1:14" x14ac:dyDescent="0.3">
      <c r="A473" s="77"/>
      <c r="B473" s="106"/>
      <c r="F473" s="124"/>
      <c r="G473" s="125"/>
      <c r="J473" s="125"/>
      <c r="L473" s="107"/>
      <c r="M473" s="183"/>
      <c r="N473" s="108"/>
    </row>
    <row r="474" spans="1:14" x14ac:dyDescent="0.3">
      <c r="A474" s="77"/>
      <c r="B474" s="106"/>
      <c r="F474" s="124"/>
      <c r="G474" s="125"/>
      <c r="J474" s="125"/>
      <c r="L474" s="107"/>
      <c r="M474" s="183"/>
      <c r="N474" s="108"/>
    </row>
    <row r="475" spans="1:14" x14ac:dyDescent="0.3">
      <c r="A475" s="77"/>
      <c r="B475" s="106"/>
      <c r="F475" s="124"/>
      <c r="G475" s="125"/>
      <c r="J475" s="125"/>
      <c r="L475" s="107"/>
      <c r="M475" s="183"/>
      <c r="N475" s="108"/>
    </row>
    <row r="476" spans="1:14" x14ac:dyDescent="0.3">
      <c r="A476" s="77"/>
      <c r="B476" s="106"/>
      <c r="F476" s="124"/>
      <c r="G476" s="125"/>
      <c r="J476" s="125"/>
      <c r="L476" s="107"/>
      <c r="M476" s="183"/>
      <c r="N476" s="108"/>
    </row>
    <row r="477" spans="1:14" x14ac:dyDescent="0.3">
      <c r="A477" s="77"/>
      <c r="B477" s="106"/>
      <c r="F477" s="124"/>
      <c r="G477" s="125"/>
      <c r="J477" s="125"/>
      <c r="L477" s="107"/>
      <c r="M477" s="183"/>
      <c r="N477" s="108"/>
    </row>
    <row r="478" spans="1:14" x14ac:dyDescent="0.3">
      <c r="A478" s="77"/>
      <c r="B478" s="106"/>
      <c r="F478" s="124"/>
      <c r="G478" s="125"/>
      <c r="J478" s="125"/>
      <c r="L478" s="107"/>
      <c r="M478" s="183"/>
      <c r="N478" s="108"/>
    </row>
    <row r="479" spans="1:14" x14ac:dyDescent="0.3">
      <c r="A479" s="77"/>
      <c r="B479" s="106"/>
      <c r="F479" s="124"/>
      <c r="G479" s="125"/>
      <c r="J479" s="125"/>
      <c r="L479" s="107"/>
      <c r="M479" s="183"/>
      <c r="N479" s="108"/>
    </row>
    <row r="480" spans="1:14" x14ac:dyDescent="0.3">
      <c r="A480" s="77"/>
      <c r="B480" s="106"/>
      <c r="F480" s="124"/>
      <c r="G480" s="125"/>
      <c r="J480" s="125"/>
      <c r="L480" s="107"/>
      <c r="M480" s="183"/>
      <c r="N480" s="108"/>
    </row>
    <row r="481" spans="1:14" x14ac:dyDescent="0.3">
      <c r="A481" s="77"/>
      <c r="B481" s="106"/>
      <c r="F481" s="124"/>
      <c r="G481" s="125"/>
      <c r="J481" s="125"/>
      <c r="L481" s="107"/>
      <c r="M481" s="183"/>
      <c r="N481" s="108"/>
    </row>
    <row r="482" spans="1:14" x14ac:dyDescent="0.3">
      <c r="A482" s="77"/>
      <c r="B482" s="106"/>
      <c r="F482" s="124"/>
      <c r="G482" s="125"/>
      <c r="J482" s="125"/>
      <c r="L482" s="107"/>
      <c r="M482" s="183"/>
      <c r="N482" s="108"/>
    </row>
    <row r="483" spans="1:14" x14ac:dyDescent="0.3">
      <c r="A483" s="77"/>
      <c r="B483" s="106"/>
      <c r="F483" s="124"/>
      <c r="G483" s="125"/>
      <c r="J483" s="125"/>
      <c r="L483" s="107"/>
      <c r="M483" s="183"/>
      <c r="N483" s="108"/>
    </row>
    <row r="484" spans="1:14" x14ac:dyDescent="0.3">
      <c r="A484" s="77"/>
      <c r="B484" s="106"/>
      <c r="F484" s="124"/>
      <c r="G484" s="125"/>
      <c r="J484" s="125"/>
      <c r="L484" s="107"/>
      <c r="M484" s="183"/>
      <c r="N484" s="108"/>
    </row>
    <row r="485" spans="1:14" x14ac:dyDescent="0.3">
      <c r="A485" s="77"/>
      <c r="B485" s="106"/>
      <c r="F485" s="124"/>
      <c r="G485" s="125"/>
      <c r="J485" s="125"/>
      <c r="L485" s="107"/>
      <c r="M485" s="183"/>
      <c r="N485" s="108"/>
    </row>
    <row r="486" spans="1:14" x14ac:dyDescent="0.3">
      <c r="A486" s="77"/>
      <c r="B486" s="106"/>
      <c r="F486" s="124"/>
      <c r="G486" s="125"/>
      <c r="J486" s="125"/>
      <c r="L486" s="107"/>
      <c r="M486" s="183"/>
      <c r="N486" s="108"/>
    </row>
    <row r="487" spans="1:14" x14ac:dyDescent="0.3">
      <c r="A487" s="77"/>
      <c r="B487" s="106"/>
      <c r="F487" s="124"/>
      <c r="G487" s="125"/>
      <c r="J487" s="125"/>
      <c r="L487" s="107"/>
      <c r="M487" s="183"/>
      <c r="N487" s="108"/>
    </row>
    <row r="488" spans="1:14" x14ac:dyDescent="0.3">
      <c r="A488" s="77"/>
      <c r="B488" s="106"/>
      <c r="F488" s="124"/>
      <c r="G488" s="125"/>
      <c r="J488" s="125"/>
      <c r="L488" s="107"/>
      <c r="M488" s="183"/>
      <c r="N488" s="108"/>
    </row>
    <row r="489" spans="1:14" x14ac:dyDescent="0.3">
      <c r="A489" s="77"/>
      <c r="B489" s="106"/>
      <c r="F489" s="124"/>
      <c r="G489" s="125"/>
      <c r="J489" s="125"/>
      <c r="L489" s="107"/>
      <c r="M489" s="183"/>
      <c r="N489" s="108"/>
    </row>
    <row r="490" spans="1:14" x14ac:dyDescent="0.3">
      <c r="A490" s="77"/>
      <c r="B490" s="106"/>
      <c r="F490" s="124"/>
      <c r="G490" s="125"/>
      <c r="J490" s="125"/>
      <c r="L490" s="107"/>
      <c r="M490" s="183"/>
      <c r="N490" s="108"/>
    </row>
    <row r="491" spans="1:14" x14ac:dyDescent="0.3">
      <c r="A491" s="77"/>
      <c r="B491" s="106"/>
      <c r="F491" s="124"/>
      <c r="G491" s="125"/>
      <c r="J491" s="125"/>
      <c r="L491" s="107"/>
      <c r="M491" s="183"/>
      <c r="N491" s="108"/>
    </row>
    <row r="492" spans="1:14" x14ac:dyDescent="0.3">
      <c r="A492" s="77"/>
      <c r="B492" s="106"/>
      <c r="F492" s="124"/>
      <c r="G492" s="125"/>
      <c r="J492" s="125"/>
      <c r="L492" s="107"/>
      <c r="M492" s="183"/>
      <c r="N492" s="108"/>
    </row>
    <row r="493" spans="1:14" x14ac:dyDescent="0.3">
      <c r="A493" s="77"/>
      <c r="B493" s="106"/>
      <c r="F493" s="124"/>
      <c r="G493" s="125"/>
      <c r="J493" s="125"/>
      <c r="L493" s="107"/>
      <c r="M493" s="183"/>
      <c r="N493" s="108"/>
    </row>
    <row r="494" spans="1:14" x14ac:dyDescent="0.3">
      <c r="A494" s="77"/>
      <c r="B494" s="106"/>
      <c r="F494" s="124"/>
      <c r="G494" s="125"/>
      <c r="J494" s="125"/>
      <c r="L494" s="107"/>
      <c r="M494" s="183"/>
      <c r="N494" s="108"/>
    </row>
    <row r="495" spans="1:14" x14ac:dyDescent="0.3">
      <c r="A495" s="77"/>
      <c r="B495" s="106"/>
      <c r="F495" s="124"/>
      <c r="G495" s="125"/>
      <c r="J495" s="125"/>
      <c r="L495" s="107"/>
      <c r="M495" s="183"/>
      <c r="N495" s="108"/>
    </row>
    <row r="496" spans="1:14" x14ac:dyDescent="0.3">
      <c r="A496" s="77"/>
      <c r="B496" s="106"/>
      <c r="F496" s="124"/>
      <c r="G496" s="125"/>
      <c r="J496" s="125"/>
      <c r="L496" s="107"/>
      <c r="M496" s="183"/>
      <c r="N496" s="108"/>
    </row>
    <row r="497" spans="1:14" x14ac:dyDescent="0.3">
      <c r="A497" s="77"/>
      <c r="B497" s="106"/>
      <c r="F497" s="124"/>
      <c r="G497" s="125"/>
      <c r="J497" s="125"/>
      <c r="L497" s="107"/>
      <c r="M497" s="183"/>
      <c r="N497" s="108"/>
    </row>
    <row r="498" spans="1:14" x14ac:dyDescent="0.3">
      <c r="A498" s="77"/>
      <c r="B498" s="106"/>
      <c r="F498" s="124"/>
      <c r="G498" s="125"/>
      <c r="J498" s="125"/>
      <c r="L498" s="107"/>
      <c r="M498" s="183"/>
      <c r="N498" s="108"/>
    </row>
    <row r="499" spans="1:14" x14ac:dyDescent="0.3">
      <c r="A499" s="77"/>
      <c r="B499" s="106"/>
      <c r="F499" s="124"/>
      <c r="G499" s="125"/>
      <c r="J499" s="125"/>
      <c r="L499" s="107"/>
      <c r="M499" s="183"/>
      <c r="N499" s="108"/>
    </row>
    <row r="500" spans="1:14" x14ac:dyDescent="0.3">
      <c r="A500" s="77"/>
      <c r="B500" s="106"/>
      <c r="F500" s="124"/>
      <c r="G500" s="125"/>
      <c r="J500" s="125"/>
      <c r="L500" s="107"/>
      <c r="M500" s="183"/>
      <c r="N500" s="108"/>
    </row>
    <row r="501" spans="1:14" x14ac:dyDescent="0.3">
      <c r="A501" s="77"/>
      <c r="B501" s="106"/>
      <c r="F501" s="124"/>
      <c r="G501" s="125"/>
      <c r="J501" s="125"/>
      <c r="L501" s="107"/>
      <c r="M501" s="183"/>
      <c r="N501" s="108"/>
    </row>
    <row r="502" spans="1:14" x14ac:dyDescent="0.3">
      <c r="A502" s="77"/>
      <c r="B502" s="106"/>
      <c r="F502" s="124"/>
      <c r="G502" s="125"/>
      <c r="J502" s="125"/>
      <c r="L502" s="107"/>
      <c r="M502" s="183"/>
      <c r="N502" s="108"/>
    </row>
    <row r="503" spans="1:14" x14ac:dyDescent="0.3">
      <c r="A503" s="77"/>
      <c r="B503" s="106"/>
      <c r="F503" s="124"/>
      <c r="G503" s="125"/>
      <c r="J503" s="125"/>
      <c r="L503" s="107"/>
      <c r="M503" s="183"/>
      <c r="N503" s="108"/>
    </row>
    <row r="504" spans="1:14" x14ac:dyDescent="0.3">
      <c r="A504" s="77"/>
      <c r="B504" s="106"/>
      <c r="F504" s="124"/>
      <c r="G504" s="125"/>
      <c r="J504" s="125"/>
      <c r="L504" s="107"/>
      <c r="M504" s="183"/>
      <c r="N504" s="108"/>
    </row>
    <row r="505" spans="1:14" x14ac:dyDescent="0.3">
      <c r="A505" s="77"/>
      <c r="B505" s="106"/>
      <c r="F505" s="124"/>
      <c r="G505" s="125"/>
      <c r="J505" s="125"/>
      <c r="L505" s="107"/>
      <c r="M505" s="183"/>
      <c r="N505" s="108"/>
    </row>
    <row r="506" spans="1:14" x14ac:dyDescent="0.3">
      <c r="A506" s="77"/>
      <c r="B506" s="106"/>
      <c r="F506" s="124"/>
      <c r="G506" s="125"/>
      <c r="J506" s="125"/>
      <c r="L506" s="107"/>
      <c r="M506" s="183"/>
      <c r="N506" s="108"/>
    </row>
    <row r="507" spans="1:14" x14ac:dyDescent="0.3">
      <c r="A507" s="77"/>
      <c r="B507" s="106"/>
      <c r="F507" s="124"/>
      <c r="G507" s="125"/>
      <c r="J507" s="125"/>
      <c r="L507" s="107"/>
      <c r="M507" s="183"/>
      <c r="N507" s="108"/>
    </row>
    <row r="508" spans="1:14" x14ac:dyDescent="0.3">
      <c r="A508" s="77"/>
      <c r="B508" s="106"/>
      <c r="F508" s="124"/>
      <c r="G508" s="125"/>
      <c r="J508" s="125"/>
      <c r="L508" s="107"/>
      <c r="M508" s="183"/>
      <c r="N508" s="108"/>
    </row>
    <row r="509" spans="1:14" x14ac:dyDescent="0.3">
      <c r="A509" s="77"/>
      <c r="B509" s="106"/>
      <c r="F509" s="124"/>
      <c r="G509" s="125"/>
      <c r="J509" s="125"/>
      <c r="L509" s="107"/>
      <c r="M509" s="183"/>
      <c r="N509" s="108"/>
    </row>
    <row r="510" spans="1:14" x14ac:dyDescent="0.3">
      <c r="A510" s="77"/>
      <c r="B510" s="106"/>
      <c r="F510" s="124"/>
      <c r="G510" s="125"/>
      <c r="J510" s="125"/>
      <c r="L510" s="107"/>
      <c r="M510" s="183"/>
      <c r="N510" s="108"/>
    </row>
    <row r="511" spans="1:14" x14ac:dyDescent="0.3">
      <c r="A511" s="77"/>
      <c r="B511" s="106"/>
      <c r="F511" s="124"/>
      <c r="G511" s="125"/>
      <c r="J511" s="125"/>
      <c r="L511" s="107"/>
      <c r="M511" s="183"/>
      <c r="N511" s="108"/>
    </row>
    <row r="512" spans="1:14" x14ac:dyDescent="0.3">
      <c r="A512" s="77"/>
      <c r="B512" s="106"/>
      <c r="F512" s="124"/>
      <c r="G512" s="125"/>
      <c r="J512" s="125"/>
      <c r="L512" s="107"/>
      <c r="M512" s="183"/>
      <c r="N512" s="108"/>
    </row>
    <row r="513" spans="1:14" x14ac:dyDescent="0.3">
      <c r="A513" s="77"/>
      <c r="B513" s="106"/>
      <c r="F513" s="124"/>
      <c r="G513" s="125"/>
      <c r="J513" s="125"/>
      <c r="L513" s="107"/>
      <c r="M513" s="183"/>
      <c r="N513" s="108"/>
    </row>
    <row r="514" spans="1:14" x14ac:dyDescent="0.3">
      <c r="A514" s="77"/>
      <c r="B514" s="106"/>
      <c r="F514" s="124"/>
      <c r="G514" s="125"/>
      <c r="J514" s="125"/>
      <c r="L514" s="107"/>
      <c r="M514" s="183"/>
      <c r="N514" s="108"/>
    </row>
    <row r="515" spans="1:14" x14ac:dyDescent="0.3">
      <c r="A515" s="77"/>
      <c r="B515" s="106"/>
      <c r="F515" s="124"/>
      <c r="G515" s="125"/>
      <c r="J515" s="125"/>
      <c r="L515" s="107"/>
      <c r="M515" s="183"/>
      <c r="N515" s="108"/>
    </row>
    <row r="516" spans="1:14" x14ac:dyDescent="0.3">
      <c r="A516" s="77"/>
      <c r="B516" s="106"/>
      <c r="F516" s="124"/>
      <c r="G516" s="125"/>
      <c r="J516" s="125"/>
      <c r="L516" s="107"/>
      <c r="M516" s="183"/>
      <c r="N516" s="108"/>
    </row>
    <row r="517" spans="1:14" x14ac:dyDescent="0.3">
      <c r="A517" s="77"/>
      <c r="B517" s="106"/>
      <c r="F517" s="124"/>
      <c r="G517" s="125"/>
      <c r="J517" s="125"/>
      <c r="L517" s="107"/>
      <c r="M517" s="183"/>
      <c r="N517" s="108"/>
    </row>
    <row r="518" spans="1:14" x14ac:dyDescent="0.3">
      <c r="A518" s="77"/>
      <c r="B518" s="106"/>
      <c r="F518" s="124"/>
      <c r="G518" s="125"/>
      <c r="J518" s="125"/>
      <c r="L518" s="107"/>
      <c r="M518" s="183"/>
      <c r="N518" s="108"/>
    </row>
    <row r="519" spans="1:14" x14ac:dyDescent="0.3">
      <c r="A519" s="77"/>
      <c r="B519" s="106"/>
      <c r="F519" s="124"/>
      <c r="G519" s="125"/>
      <c r="J519" s="125"/>
      <c r="L519" s="107"/>
      <c r="M519" s="183"/>
      <c r="N519" s="108"/>
    </row>
    <row r="520" spans="1:14" x14ac:dyDescent="0.3">
      <c r="A520" s="77"/>
      <c r="B520" s="106"/>
      <c r="F520" s="124"/>
      <c r="G520" s="125"/>
      <c r="J520" s="125"/>
      <c r="L520" s="107"/>
      <c r="M520" s="183"/>
      <c r="N520" s="108"/>
    </row>
    <row r="521" spans="1:14" x14ac:dyDescent="0.3">
      <c r="A521" s="77"/>
      <c r="B521" s="106"/>
      <c r="F521" s="124"/>
      <c r="G521" s="125"/>
      <c r="J521" s="125"/>
      <c r="L521" s="107"/>
      <c r="M521" s="183"/>
      <c r="N521" s="108"/>
    </row>
    <row r="522" spans="1:14" x14ac:dyDescent="0.3">
      <c r="A522" s="77"/>
      <c r="B522" s="106"/>
      <c r="F522" s="124"/>
      <c r="G522" s="125"/>
      <c r="J522" s="125"/>
      <c r="L522" s="107"/>
      <c r="M522" s="183"/>
      <c r="N522" s="108"/>
    </row>
    <row r="523" spans="1:14" x14ac:dyDescent="0.3">
      <c r="A523" s="77"/>
      <c r="B523" s="106"/>
      <c r="F523" s="124"/>
      <c r="G523" s="125"/>
      <c r="J523" s="125"/>
      <c r="L523" s="107"/>
      <c r="M523" s="183"/>
      <c r="N523" s="108"/>
    </row>
    <row r="524" spans="1:14" x14ac:dyDescent="0.3">
      <c r="A524" s="77"/>
      <c r="B524" s="106"/>
      <c r="F524" s="124"/>
      <c r="G524" s="125"/>
      <c r="J524" s="125"/>
      <c r="L524" s="107"/>
      <c r="M524" s="183"/>
      <c r="N524" s="108"/>
    </row>
    <row r="525" spans="1:14" x14ac:dyDescent="0.3">
      <c r="A525" s="77"/>
      <c r="B525" s="106"/>
      <c r="F525" s="124"/>
      <c r="G525" s="125"/>
      <c r="J525" s="125"/>
      <c r="L525" s="107"/>
      <c r="M525" s="183"/>
      <c r="N525" s="108"/>
    </row>
    <row r="526" spans="1:14" x14ac:dyDescent="0.3">
      <c r="A526" s="77"/>
      <c r="B526" s="106"/>
      <c r="F526" s="124"/>
      <c r="G526" s="125"/>
      <c r="J526" s="125"/>
      <c r="L526" s="107"/>
      <c r="M526" s="183"/>
      <c r="N526" s="108"/>
    </row>
    <row r="527" spans="1:14" x14ac:dyDescent="0.3">
      <c r="A527" s="77"/>
      <c r="B527" s="106"/>
      <c r="F527" s="124"/>
      <c r="G527" s="125"/>
      <c r="J527" s="125"/>
      <c r="L527" s="107"/>
      <c r="M527" s="183"/>
      <c r="N527" s="108"/>
    </row>
    <row r="528" spans="1:14" x14ac:dyDescent="0.3">
      <c r="A528" s="77"/>
      <c r="B528" s="106"/>
      <c r="F528" s="124"/>
      <c r="G528" s="125"/>
      <c r="J528" s="125"/>
      <c r="L528" s="107"/>
      <c r="M528" s="183"/>
      <c r="N528" s="108"/>
    </row>
    <row r="529" spans="1:14" x14ac:dyDescent="0.3">
      <c r="A529" s="77"/>
      <c r="B529" s="106"/>
      <c r="F529" s="124"/>
      <c r="G529" s="125"/>
      <c r="J529" s="125"/>
      <c r="L529" s="107"/>
      <c r="M529" s="183"/>
      <c r="N529" s="108"/>
    </row>
    <row r="530" spans="1:14" x14ac:dyDescent="0.3">
      <c r="A530" s="77"/>
      <c r="B530" s="106"/>
      <c r="F530" s="124"/>
      <c r="G530" s="125"/>
      <c r="J530" s="125"/>
      <c r="L530" s="107"/>
      <c r="M530" s="183"/>
      <c r="N530" s="108"/>
    </row>
    <row r="531" spans="1:14" x14ac:dyDescent="0.3">
      <c r="A531" s="77"/>
      <c r="B531" s="106"/>
      <c r="F531" s="124"/>
      <c r="G531" s="125"/>
      <c r="J531" s="125"/>
      <c r="L531" s="107"/>
      <c r="M531" s="183"/>
      <c r="N531" s="108"/>
    </row>
    <row r="532" spans="1:14" x14ac:dyDescent="0.3">
      <c r="A532" s="77"/>
      <c r="B532" s="106"/>
      <c r="F532" s="124"/>
      <c r="G532" s="125"/>
      <c r="J532" s="125"/>
      <c r="L532" s="107"/>
      <c r="M532" s="183"/>
      <c r="N532" s="108"/>
    </row>
    <row r="533" spans="1:14" x14ac:dyDescent="0.3">
      <c r="A533" s="77"/>
      <c r="B533" s="106"/>
      <c r="F533" s="124"/>
      <c r="G533" s="125"/>
      <c r="J533" s="125"/>
      <c r="L533" s="107"/>
      <c r="M533" s="183"/>
      <c r="N533" s="108"/>
    </row>
    <row r="534" spans="1:14" x14ac:dyDescent="0.3">
      <c r="A534" s="77"/>
      <c r="B534" s="106"/>
      <c r="F534" s="124"/>
      <c r="G534" s="125"/>
      <c r="J534" s="125"/>
      <c r="L534" s="107"/>
      <c r="M534" s="183"/>
      <c r="N534" s="108"/>
    </row>
    <row r="535" spans="1:14" x14ac:dyDescent="0.3">
      <c r="A535" s="77"/>
      <c r="B535" s="106"/>
      <c r="F535" s="124"/>
      <c r="G535" s="125"/>
      <c r="J535" s="125"/>
      <c r="L535" s="107"/>
      <c r="M535" s="183"/>
      <c r="N535" s="108"/>
    </row>
    <row r="536" spans="1:14" x14ac:dyDescent="0.3">
      <c r="A536" s="77"/>
      <c r="B536" s="106"/>
      <c r="F536" s="124"/>
      <c r="G536" s="125"/>
      <c r="J536" s="125"/>
      <c r="L536" s="107"/>
      <c r="M536" s="183"/>
      <c r="N536" s="108"/>
    </row>
    <row r="537" spans="1:14" x14ac:dyDescent="0.3">
      <c r="A537" s="77"/>
      <c r="B537" s="106"/>
      <c r="F537" s="124"/>
      <c r="G537" s="125"/>
      <c r="J537" s="125"/>
      <c r="L537" s="107"/>
      <c r="M537" s="183"/>
      <c r="N537" s="108"/>
    </row>
    <row r="538" spans="1:14" x14ac:dyDescent="0.3">
      <c r="A538" s="77"/>
      <c r="B538" s="106"/>
      <c r="F538" s="124"/>
      <c r="G538" s="125"/>
      <c r="J538" s="125"/>
      <c r="L538" s="107"/>
      <c r="M538" s="183"/>
      <c r="N538" s="108"/>
    </row>
    <row r="539" spans="1:14" x14ac:dyDescent="0.3">
      <c r="A539" s="77"/>
      <c r="B539" s="106"/>
      <c r="F539" s="124"/>
      <c r="G539" s="125"/>
      <c r="J539" s="125"/>
      <c r="L539" s="107"/>
      <c r="M539" s="183"/>
      <c r="N539" s="108"/>
    </row>
    <row r="540" spans="1:14" x14ac:dyDescent="0.3">
      <c r="A540" s="77"/>
      <c r="B540" s="106"/>
      <c r="F540" s="124"/>
      <c r="G540" s="125"/>
      <c r="J540" s="125"/>
      <c r="L540" s="107"/>
      <c r="M540" s="183"/>
      <c r="N540" s="108"/>
    </row>
    <row r="541" spans="1:14" x14ac:dyDescent="0.3">
      <c r="A541" s="77"/>
      <c r="B541" s="106"/>
      <c r="F541" s="124"/>
      <c r="G541" s="125"/>
      <c r="J541" s="125"/>
      <c r="L541" s="107"/>
      <c r="M541" s="183"/>
      <c r="N541" s="108"/>
    </row>
    <row r="542" spans="1:14" x14ac:dyDescent="0.3">
      <c r="A542" s="77"/>
      <c r="B542" s="106"/>
      <c r="F542" s="124"/>
      <c r="G542" s="125"/>
      <c r="J542" s="125"/>
      <c r="L542" s="107"/>
      <c r="M542" s="183"/>
      <c r="N542" s="108"/>
    </row>
    <row r="543" spans="1:14" x14ac:dyDescent="0.3">
      <c r="A543" s="77"/>
      <c r="B543" s="106"/>
      <c r="F543" s="124"/>
      <c r="G543" s="125"/>
      <c r="J543" s="125"/>
      <c r="L543" s="107"/>
      <c r="M543" s="183"/>
      <c r="N543" s="108"/>
    </row>
    <row r="544" spans="1:14" x14ac:dyDescent="0.3">
      <c r="A544" s="77"/>
      <c r="B544" s="106"/>
      <c r="F544" s="124"/>
      <c r="G544" s="125"/>
      <c r="J544" s="125"/>
      <c r="L544" s="107"/>
      <c r="M544" s="183"/>
      <c r="N544" s="108"/>
    </row>
    <row r="545" spans="1:14" x14ac:dyDescent="0.3">
      <c r="A545" s="77"/>
      <c r="B545" s="106"/>
      <c r="F545" s="124"/>
      <c r="G545" s="125"/>
      <c r="J545" s="125"/>
      <c r="L545" s="107"/>
      <c r="M545" s="183"/>
      <c r="N545" s="108"/>
    </row>
    <row r="546" spans="1:14" x14ac:dyDescent="0.3">
      <c r="A546" s="77"/>
      <c r="B546" s="106"/>
      <c r="F546" s="124"/>
      <c r="G546" s="125"/>
      <c r="J546" s="125"/>
      <c r="L546" s="107"/>
      <c r="M546" s="183"/>
      <c r="N546" s="108"/>
    </row>
    <row r="547" spans="1:14" x14ac:dyDescent="0.3">
      <c r="A547" s="77"/>
      <c r="B547" s="106"/>
      <c r="F547" s="124"/>
      <c r="G547" s="125"/>
      <c r="J547" s="125"/>
      <c r="L547" s="107"/>
      <c r="M547" s="183"/>
      <c r="N547" s="108"/>
    </row>
    <row r="548" spans="1:14" x14ac:dyDescent="0.3">
      <c r="A548" s="77"/>
      <c r="B548" s="106"/>
      <c r="F548" s="124"/>
      <c r="G548" s="125"/>
      <c r="J548" s="125"/>
      <c r="L548" s="107"/>
      <c r="M548" s="183"/>
      <c r="N548" s="108"/>
    </row>
    <row r="549" spans="1:14" x14ac:dyDescent="0.3">
      <c r="A549" s="77"/>
      <c r="B549" s="106"/>
      <c r="F549" s="124"/>
      <c r="G549" s="125"/>
      <c r="J549" s="125"/>
      <c r="L549" s="107"/>
      <c r="M549" s="183"/>
      <c r="N549" s="108"/>
    </row>
    <row r="550" spans="1:14" x14ac:dyDescent="0.3">
      <c r="A550" s="77"/>
      <c r="B550" s="106"/>
      <c r="F550" s="124"/>
      <c r="G550" s="125"/>
      <c r="J550" s="125"/>
      <c r="L550" s="107"/>
      <c r="M550" s="183"/>
      <c r="N550" s="108"/>
    </row>
    <row r="551" spans="1:14" x14ac:dyDescent="0.3">
      <c r="A551" s="77"/>
      <c r="B551" s="106"/>
      <c r="F551" s="124"/>
      <c r="G551" s="125"/>
      <c r="J551" s="125"/>
      <c r="L551" s="107"/>
      <c r="M551" s="183"/>
      <c r="N551" s="108"/>
    </row>
    <row r="552" spans="1:14" x14ac:dyDescent="0.3">
      <c r="A552" s="77"/>
      <c r="B552" s="106"/>
      <c r="F552" s="124"/>
      <c r="G552" s="125"/>
      <c r="J552" s="125"/>
      <c r="L552" s="107"/>
      <c r="M552" s="183"/>
      <c r="N552" s="108"/>
    </row>
    <row r="553" spans="1:14" x14ac:dyDescent="0.3">
      <c r="A553" s="77"/>
      <c r="B553" s="106"/>
      <c r="F553" s="124"/>
      <c r="G553" s="125"/>
      <c r="J553" s="125"/>
      <c r="L553" s="107"/>
      <c r="M553" s="183"/>
      <c r="N553" s="108"/>
    </row>
    <row r="554" spans="1:14" x14ac:dyDescent="0.3">
      <c r="A554" s="77"/>
      <c r="B554" s="106"/>
      <c r="F554" s="124"/>
      <c r="G554" s="125"/>
      <c r="J554" s="125"/>
      <c r="L554" s="107"/>
      <c r="M554" s="183"/>
      <c r="N554" s="108"/>
    </row>
    <row r="555" spans="1:14" x14ac:dyDescent="0.3">
      <c r="A555" s="77"/>
      <c r="B555" s="106"/>
      <c r="F555" s="124"/>
      <c r="G555" s="125"/>
      <c r="J555" s="125"/>
      <c r="L555" s="107"/>
      <c r="M555" s="183"/>
      <c r="N555" s="108"/>
    </row>
    <row r="556" spans="1:14" x14ac:dyDescent="0.3">
      <c r="A556" s="77"/>
      <c r="B556" s="106"/>
      <c r="F556" s="124"/>
      <c r="G556" s="125"/>
      <c r="J556" s="125"/>
      <c r="L556" s="107"/>
      <c r="M556" s="183"/>
      <c r="N556" s="108"/>
    </row>
    <row r="557" spans="1:14" x14ac:dyDescent="0.3">
      <c r="A557" s="77"/>
      <c r="B557" s="106"/>
      <c r="F557" s="124"/>
      <c r="G557" s="125"/>
      <c r="J557" s="125"/>
      <c r="L557" s="107"/>
      <c r="M557" s="183"/>
      <c r="N557" s="108"/>
    </row>
    <row r="558" spans="1:14" x14ac:dyDescent="0.3">
      <c r="A558" s="77"/>
      <c r="B558" s="106"/>
      <c r="F558" s="124"/>
      <c r="G558" s="125"/>
      <c r="J558" s="125"/>
      <c r="L558" s="107"/>
      <c r="M558" s="183"/>
      <c r="N558" s="108"/>
    </row>
    <row r="559" spans="1:14" x14ac:dyDescent="0.3">
      <c r="A559" s="77"/>
      <c r="B559" s="106"/>
      <c r="F559" s="124"/>
      <c r="G559" s="125"/>
      <c r="J559" s="125"/>
      <c r="L559" s="107"/>
      <c r="M559" s="183"/>
      <c r="N559" s="108"/>
    </row>
    <row r="560" spans="1:14" x14ac:dyDescent="0.3">
      <c r="A560" s="77"/>
      <c r="B560" s="106"/>
      <c r="F560" s="124"/>
      <c r="G560" s="125"/>
      <c r="J560" s="125"/>
      <c r="L560" s="107"/>
      <c r="M560" s="183"/>
      <c r="N560" s="108"/>
    </row>
    <row r="561" spans="1:14" x14ac:dyDescent="0.3">
      <c r="A561" s="77"/>
      <c r="B561" s="106"/>
      <c r="F561" s="124"/>
      <c r="G561" s="125"/>
      <c r="J561" s="125"/>
      <c r="L561" s="107"/>
      <c r="M561" s="183"/>
      <c r="N561" s="108"/>
    </row>
    <row r="562" spans="1:14" x14ac:dyDescent="0.3">
      <c r="A562" s="77"/>
      <c r="B562" s="106"/>
      <c r="F562" s="124"/>
      <c r="G562" s="125"/>
      <c r="J562" s="125"/>
      <c r="L562" s="107"/>
      <c r="M562" s="183"/>
      <c r="N562" s="108"/>
    </row>
    <row r="563" spans="1:14" x14ac:dyDescent="0.3">
      <c r="A563" s="77"/>
      <c r="B563" s="106"/>
      <c r="F563" s="124"/>
      <c r="G563" s="125"/>
      <c r="J563" s="125"/>
      <c r="L563" s="107"/>
      <c r="M563" s="183"/>
      <c r="N563" s="108"/>
    </row>
    <row r="564" spans="1:14" x14ac:dyDescent="0.3">
      <c r="A564" s="77"/>
      <c r="B564" s="106"/>
      <c r="F564" s="124"/>
      <c r="G564" s="125"/>
      <c r="J564" s="125"/>
      <c r="L564" s="107"/>
      <c r="M564" s="183"/>
      <c r="N564" s="108"/>
    </row>
    <row r="565" spans="1:14" x14ac:dyDescent="0.3">
      <c r="A565" s="77"/>
      <c r="B565" s="106"/>
      <c r="F565" s="124"/>
      <c r="G565" s="125"/>
      <c r="J565" s="125"/>
      <c r="L565" s="107"/>
      <c r="M565" s="183"/>
      <c r="N565" s="108"/>
    </row>
    <row r="566" spans="1:14" x14ac:dyDescent="0.3">
      <c r="A566" s="77"/>
      <c r="B566" s="106"/>
      <c r="F566" s="124"/>
      <c r="G566" s="125"/>
      <c r="J566" s="125"/>
      <c r="L566" s="107"/>
      <c r="M566" s="183"/>
      <c r="N566" s="108"/>
    </row>
    <row r="567" spans="1:14" x14ac:dyDescent="0.3">
      <c r="A567" s="77"/>
      <c r="B567" s="106"/>
      <c r="F567" s="124"/>
      <c r="G567" s="125"/>
      <c r="J567" s="125"/>
      <c r="L567" s="107"/>
      <c r="M567" s="183"/>
      <c r="N567" s="108"/>
    </row>
    <row r="568" spans="1:14" x14ac:dyDescent="0.3">
      <c r="A568" s="77"/>
      <c r="B568" s="106"/>
      <c r="F568" s="124"/>
      <c r="G568" s="125"/>
      <c r="J568" s="125"/>
      <c r="L568" s="107"/>
      <c r="M568" s="183"/>
      <c r="N568" s="108"/>
    </row>
    <row r="569" spans="1:14" x14ac:dyDescent="0.3">
      <c r="A569" s="77"/>
      <c r="B569" s="106"/>
      <c r="F569" s="124"/>
      <c r="G569" s="125"/>
      <c r="J569" s="125"/>
      <c r="L569" s="107"/>
      <c r="M569" s="183"/>
      <c r="N569" s="108"/>
    </row>
    <row r="570" spans="1:14" x14ac:dyDescent="0.3">
      <c r="A570" s="77"/>
      <c r="B570" s="106"/>
      <c r="F570" s="124"/>
      <c r="G570" s="125"/>
      <c r="J570" s="125"/>
      <c r="L570" s="107"/>
      <c r="M570" s="183"/>
      <c r="N570" s="108"/>
    </row>
    <row r="571" spans="1:14" x14ac:dyDescent="0.3">
      <c r="A571" s="77"/>
      <c r="B571" s="106"/>
      <c r="F571" s="124"/>
      <c r="G571" s="125"/>
      <c r="J571" s="125"/>
      <c r="L571" s="107"/>
      <c r="M571" s="183"/>
      <c r="N571" s="108"/>
    </row>
    <row r="572" spans="1:14" x14ac:dyDescent="0.3">
      <c r="A572" s="77"/>
      <c r="B572" s="106"/>
      <c r="F572" s="124"/>
      <c r="G572" s="125"/>
      <c r="J572" s="125"/>
      <c r="L572" s="107"/>
      <c r="M572" s="183"/>
      <c r="N572" s="108"/>
    </row>
    <row r="573" spans="1:14" x14ac:dyDescent="0.3">
      <c r="A573" s="77"/>
      <c r="B573" s="106"/>
      <c r="F573" s="124"/>
      <c r="G573" s="125"/>
      <c r="J573" s="125"/>
      <c r="L573" s="107"/>
      <c r="M573" s="183"/>
      <c r="N573" s="108"/>
    </row>
    <row r="574" spans="1:14" x14ac:dyDescent="0.3">
      <c r="A574" s="77"/>
      <c r="B574" s="106"/>
      <c r="F574" s="124"/>
      <c r="G574" s="125"/>
      <c r="J574" s="125"/>
      <c r="L574" s="107"/>
      <c r="M574" s="183"/>
      <c r="N574" s="108"/>
    </row>
    <row r="575" spans="1:14" x14ac:dyDescent="0.3">
      <c r="A575" s="77"/>
      <c r="B575" s="106"/>
      <c r="F575" s="124"/>
      <c r="G575" s="125"/>
      <c r="J575" s="125"/>
      <c r="L575" s="107"/>
      <c r="M575" s="183"/>
      <c r="N575" s="108"/>
    </row>
    <row r="576" spans="1:14" x14ac:dyDescent="0.3">
      <c r="A576" s="77"/>
      <c r="B576" s="106"/>
      <c r="F576" s="124"/>
      <c r="G576" s="125"/>
      <c r="J576" s="125"/>
      <c r="L576" s="107"/>
      <c r="M576" s="183"/>
      <c r="N576" s="108"/>
    </row>
    <row r="577" spans="1:14" x14ac:dyDescent="0.3">
      <c r="A577" s="77"/>
      <c r="B577" s="106"/>
      <c r="F577" s="124"/>
      <c r="G577" s="125"/>
      <c r="J577" s="125"/>
      <c r="L577" s="107"/>
      <c r="M577" s="183"/>
      <c r="N577" s="108"/>
    </row>
    <row r="578" spans="1:14" x14ac:dyDescent="0.3">
      <c r="A578" s="77"/>
      <c r="B578" s="106"/>
      <c r="F578" s="124"/>
      <c r="G578" s="125"/>
      <c r="J578" s="125"/>
      <c r="L578" s="107"/>
      <c r="M578" s="183"/>
      <c r="N578" s="108"/>
    </row>
    <row r="579" spans="1:14" x14ac:dyDescent="0.3">
      <c r="A579" s="77"/>
      <c r="B579" s="106"/>
      <c r="F579" s="124"/>
      <c r="G579" s="125"/>
      <c r="J579" s="125"/>
      <c r="L579" s="107"/>
      <c r="M579" s="183"/>
      <c r="N579" s="108"/>
    </row>
    <row r="580" spans="1:14" x14ac:dyDescent="0.3">
      <c r="A580" s="77"/>
      <c r="B580" s="106"/>
      <c r="F580" s="124"/>
      <c r="G580" s="125"/>
      <c r="J580" s="125"/>
      <c r="L580" s="107"/>
      <c r="M580" s="183"/>
      <c r="N580" s="108"/>
    </row>
    <row r="581" spans="1:14" x14ac:dyDescent="0.3">
      <c r="A581" s="77"/>
      <c r="B581" s="106"/>
      <c r="F581" s="124"/>
      <c r="G581" s="125"/>
      <c r="J581" s="125"/>
      <c r="L581" s="107"/>
      <c r="M581" s="183"/>
      <c r="N581" s="108"/>
    </row>
    <row r="582" spans="1:14" x14ac:dyDescent="0.3">
      <c r="A582" s="77"/>
      <c r="B582" s="106"/>
      <c r="F582" s="124"/>
      <c r="G582" s="125"/>
      <c r="J582" s="125"/>
      <c r="L582" s="107"/>
      <c r="M582" s="183"/>
      <c r="N582" s="108"/>
    </row>
    <row r="583" spans="1:14" x14ac:dyDescent="0.3">
      <c r="A583" s="77"/>
      <c r="B583" s="106"/>
      <c r="F583" s="124"/>
      <c r="G583" s="125"/>
      <c r="J583" s="125"/>
      <c r="L583" s="107"/>
      <c r="M583" s="183"/>
      <c r="N583" s="108"/>
    </row>
    <row r="584" spans="1:14" x14ac:dyDescent="0.3">
      <c r="A584" s="77"/>
      <c r="B584" s="106"/>
      <c r="F584" s="124"/>
      <c r="G584" s="125"/>
      <c r="J584" s="125"/>
      <c r="L584" s="107"/>
      <c r="M584" s="183"/>
      <c r="N584" s="108"/>
    </row>
    <row r="585" spans="1:14" x14ac:dyDescent="0.3">
      <c r="A585" s="77"/>
      <c r="B585" s="106"/>
      <c r="F585" s="124"/>
      <c r="G585" s="125"/>
      <c r="J585" s="125"/>
      <c r="L585" s="107"/>
      <c r="M585" s="183"/>
      <c r="N585" s="108"/>
    </row>
    <row r="586" spans="1:14" x14ac:dyDescent="0.3">
      <c r="A586" s="77"/>
      <c r="B586" s="106"/>
      <c r="F586" s="124"/>
      <c r="G586" s="125"/>
      <c r="J586" s="125"/>
      <c r="L586" s="107"/>
      <c r="M586" s="183"/>
      <c r="N586" s="108"/>
    </row>
    <row r="587" spans="1:14" x14ac:dyDescent="0.3">
      <c r="A587" s="77"/>
      <c r="B587" s="106"/>
      <c r="F587" s="124"/>
      <c r="G587" s="125"/>
      <c r="J587" s="125"/>
      <c r="L587" s="107"/>
      <c r="M587" s="183"/>
      <c r="N587" s="108"/>
    </row>
    <row r="588" spans="1:14" x14ac:dyDescent="0.3">
      <c r="A588" s="77"/>
      <c r="B588" s="106"/>
      <c r="F588" s="124"/>
      <c r="G588" s="125"/>
      <c r="J588" s="125"/>
      <c r="L588" s="107"/>
      <c r="M588" s="183"/>
      <c r="N588" s="108"/>
    </row>
    <row r="589" spans="1:14" x14ac:dyDescent="0.3">
      <c r="A589" s="77"/>
      <c r="B589" s="106"/>
      <c r="F589" s="124"/>
      <c r="G589" s="125"/>
      <c r="J589" s="125"/>
      <c r="L589" s="107"/>
      <c r="M589" s="183"/>
      <c r="N589" s="108"/>
    </row>
    <row r="590" spans="1:14" x14ac:dyDescent="0.3">
      <c r="A590" s="77"/>
      <c r="B590" s="106"/>
      <c r="F590" s="124"/>
      <c r="G590" s="125"/>
      <c r="J590" s="125"/>
      <c r="L590" s="107"/>
      <c r="M590" s="183"/>
      <c r="N590" s="108"/>
    </row>
    <row r="591" spans="1:14" x14ac:dyDescent="0.3">
      <c r="A591" s="77"/>
      <c r="B591" s="106"/>
      <c r="F591" s="124"/>
      <c r="G591" s="125"/>
      <c r="J591" s="125"/>
      <c r="L591" s="107"/>
      <c r="M591" s="183"/>
      <c r="N591" s="108"/>
    </row>
    <row r="592" spans="1:14" x14ac:dyDescent="0.3">
      <c r="A592" s="77"/>
      <c r="B592" s="106"/>
      <c r="F592" s="124"/>
      <c r="G592" s="125"/>
      <c r="J592" s="125"/>
      <c r="L592" s="107"/>
      <c r="M592" s="183"/>
      <c r="N592" s="108"/>
    </row>
    <row r="593" spans="1:14" x14ac:dyDescent="0.3">
      <c r="A593" s="77"/>
      <c r="B593" s="106"/>
      <c r="F593" s="124"/>
      <c r="G593" s="125"/>
      <c r="J593" s="125"/>
      <c r="L593" s="107"/>
      <c r="M593" s="183"/>
      <c r="N593" s="108"/>
    </row>
    <row r="594" spans="1:14" x14ac:dyDescent="0.3">
      <c r="A594" s="77"/>
      <c r="B594" s="106"/>
      <c r="F594" s="124"/>
      <c r="G594" s="125"/>
      <c r="J594" s="125"/>
      <c r="L594" s="107"/>
      <c r="M594" s="183"/>
      <c r="N594" s="108"/>
    </row>
    <row r="595" spans="1:14" x14ac:dyDescent="0.3">
      <c r="A595" s="77"/>
      <c r="B595" s="106"/>
      <c r="F595" s="124"/>
      <c r="G595" s="125"/>
      <c r="J595" s="125"/>
      <c r="L595" s="107"/>
      <c r="M595" s="183"/>
      <c r="N595" s="108"/>
    </row>
    <row r="596" spans="1:14" x14ac:dyDescent="0.3">
      <c r="A596" s="77"/>
      <c r="B596" s="106"/>
      <c r="F596" s="124"/>
      <c r="G596" s="125"/>
      <c r="J596" s="125"/>
      <c r="L596" s="107"/>
      <c r="M596" s="183"/>
      <c r="N596" s="108"/>
    </row>
    <row r="597" spans="1:14" x14ac:dyDescent="0.3">
      <c r="A597" s="77"/>
      <c r="B597" s="106"/>
      <c r="F597" s="124"/>
      <c r="G597" s="125"/>
      <c r="J597" s="125"/>
      <c r="L597" s="107"/>
      <c r="M597" s="183"/>
      <c r="N597" s="108"/>
    </row>
    <row r="598" spans="1:14" x14ac:dyDescent="0.3">
      <c r="A598" s="77"/>
      <c r="B598" s="106"/>
      <c r="F598" s="124"/>
      <c r="G598" s="125"/>
      <c r="J598" s="125"/>
      <c r="L598" s="107"/>
      <c r="M598" s="183"/>
      <c r="N598" s="108"/>
    </row>
    <row r="599" spans="1:14" x14ac:dyDescent="0.3">
      <c r="A599" s="77"/>
      <c r="B599" s="106"/>
      <c r="F599" s="124"/>
      <c r="G599" s="125"/>
      <c r="J599" s="125"/>
      <c r="L599" s="107"/>
      <c r="M599" s="183"/>
      <c r="N599" s="108"/>
    </row>
    <row r="600" spans="1:14" x14ac:dyDescent="0.3">
      <c r="A600" s="77"/>
      <c r="B600" s="106"/>
      <c r="F600" s="124"/>
      <c r="G600" s="125"/>
      <c r="J600" s="125"/>
      <c r="L600" s="107"/>
      <c r="M600" s="183"/>
      <c r="N600" s="108"/>
    </row>
    <row r="601" spans="1:14" x14ac:dyDescent="0.3">
      <c r="A601" s="77"/>
      <c r="B601" s="106"/>
      <c r="F601" s="124"/>
      <c r="G601" s="125"/>
      <c r="J601" s="125"/>
      <c r="L601" s="107"/>
      <c r="M601" s="183"/>
      <c r="N601" s="108"/>
    </row>
    <row r="602" spans="1:14" x14ac:dyDescent="0.3">
      <c r="A602" s="77"/>
      <c r="B602" s="106"/>
      <c r="F602" s="124"/>
      <c r="G602" s="125"/>
      <c r="J602" s="125"/>
      <c r="L602" s="107"/>
      <c r="M602" s="183"/>
      <c r="N602" s="108"/>
    </row>
    <row r="603" spans="1:14" x14ac:dyDescent="0.3">
      <c r="A603" s="77"/>
      <c r="B603" s="106"/>
      <c r="F603" s="124"/>
      <c r="G603" s="125"/>
      <c r="J603" s="125"/>
      <c r="L603" s="107"/>
      <c r="M603" s="183"/>
      <c r="N603" s="108"/>
    </row>
    <row r="604" spans="1:14" x14ac:dyDescent="0.3">
      <c r="A604" s="77"/>
      <c r="B604" s="106"/>
      <c r="F604" s="124"/>
      <c r="G604" s="125"/>
      <c r="J604" s="125"/>
      <c r="L604" s="107"/>
      <c r="M604" s="183"/>
      <c r="N604" s="108"/>
    </row>
    <row r="605" spans="1:14" x14ac:dyDescent="0.3">
      <c r="A605" s="77"/>
      <c r="B605" s="106"/>
      <c r="F605" s="124"/>
      <c r="G605" s="125"/>
      <c r="J605" s="125"/>
      <c r="L605" s="107"/>
      <c r="M605" s="183"/>
      <c r="N605" s="108"/>
    </row>
    <row r="606" spans="1:14" x14ac:dyDescent="0.3">
      <c r="A606" s="77"/>
      <c r="B606" s="106"/>
      <c r="F606" s="124"/>
      <c r="G606" s="125"/>
      <c r="J606" s="125"/>
      <c r="L606" s="107"/>
      <c r="M606" s="183"/>
      <c r="N606" s="108"/>
    </row>
    <row r="607" spans="1:14" x14ac:dyDescent="0.3">
      <c r="A607" s="77"/>
      <c r="B607" s="106"/>
      <c r="F607" s="124"/>
      <c r="G607" s="125"/>
      <c r="J607" s="125"/>
      <c r="L607" s="107"/>
      <c r="M607" s="183"/>
      <c r="N607" s="108"/>
    </row>
    <row r="608" spans="1:14" x14ac:dyDescent="0.3">
      <c r="A608" s="77"/>
      <c r="B608" s="106"/>
      <c r="F608" s="124"/>
      <c r="G608" s="125"/>
      <c r="J608" s="125"/>
      <c r="L608" s="107"/>
      <c r="M608" s="183"/>
      <c r="N608" s="108"/>
    </row>
    <row r="609" spans="1:14" x14ac:dyDescent="0.3">
      <c r="A609" s="77"/>
      <c r="B609" s="106"/>
      <c r="F609" s="124"/>
      <c r="G609" s="125"/>
      <c r="J609" s="125"/>
      <c r="L609" s="107"/>
      <c r="M609" s="183"/>
      <c r="N609" s="108"/>
    </row>
    <row r="610" spans="1:14" x14ac:dyDescent="0.3">
      <c r="A610" s="77"/>
      <c r="B610" s="106"/>
      <c r="F610" s="124"/>
      <c r="G610" s="125"/>
      <c r="J610" s="125"/>
      <c r="L610" s="107"/>
      <c r="M610" s="183"/>
      <c r="N610" s="108"/>
    </row>
    <row r="611" spans="1:14" x14ac:dyDescent="0.3">
      <c r="A611" s="77"/>
      <c r="B611" s="106"/>
      <c r="F611" s="124"/>
      <c r="G611" s="125"/>
      <c r="J611" s="125"/>
      <c r="L611" s="107"/>
      <c r="M611" s="183"/>
      <c r="N611" s="108"/>
    </row>
    <row r="612" spans="1:14" x14ac:dyDescent="0.3">
      <c r="A612" s="77"/>
      <c r="B612" s="106"/>
      <c r="F612" s="124"/>
      <c r="G612" s="125"/>
      <c r="J612" s="125"/>
      <c r="L612" s="107"/>
      <c r="M612" s="183"/>
      <c r="N612" s="108"/>
    </row>
    <row r="613" spans="1:14" x14ac:dyDescent="0.3">
      <c r="A613" s="77"/>
      <c r="B613" s="106"/>
      <c r="F613" s="124"/>
      <c r="G613" s="125"/>
      <c r="J613" s="125"/>
      <c r="L613" s="107"/>
      <c r="M613" s="183"/>
      <c r="N613" s="108"/>
    </row>
    <row r="614" spans="1:14" x14ac:dyDescent="0.3">
      <c r="A614" s="77"/>
      <c r="B614" s="106"/>
      <c r="F614" s="124"/>
      <c r="G614" s="125"/>
      <c r="J614" s="125"/>
      <c r="L614" s="107"/>
      <c r="M614" s="183"/>
      <c r="N614" s="108"/>
    </row>
    <row r="615" spans="1:14" x14ac:dyDescent="0.3">
      <c r="A615" s="77"/>
      <c r="B615" s="106"/>
      <c r="F615" s="124"/>
      <c r="G615" s="125"/>
      <c r="J615" s="125"/>
      <c r="L615" s="107"/>
      <c r="M615" s="183"/>
      <c r="N615" s="108"/>
    </row>
    <row r="616" spans="1:14" x14ac:dyDescent="0.3">
      <c r="A616" s="77"/>
      <c r="B616" s="106"/>
      <c r="F616" s="124"/>
      <c r="G616" s="125"/>
      <c r="J616" s="125"/>
      <c r="L616" s="107"/>
      <c r="M616" s="183"/>
      <c r="N616" s="108"/>
    </row>
    <row r="617" spans="1:14" x14ac:dyDescent="0.3">
      <c r="A617" s="77"/>
      <c r="B617" s="106"/>
      <c r="F617" s="124"/>
      <c r="G617" s="125"/>
      <c r="J617" s="125"/>
      <c r="L617" s="107"/>
      <c r="M617" s="183"/>
      <c r="N617" s="108"/>
    </row>
    <row r="618" spans="1:14" x14ac:dyDescent="0.3">
      <c r="A618" s="77"/>
      <c r="B618" s="106"/>
      <c r="F618" s="124"/>
      <c r="G618" s="125"/>
      <c r="J618" s="125"/>
      <c r="L618" s="107"/>
      <c r="M618" s="183"/>
      <c r="N618" s="108"/>
    </row>
    <row r="619" spans="1:14" x14ac:dyDescent="0.3">
      <c r="A619" s="77"/>
      <c r="B619" s="106"/>
      <c r="F619" s="124"/>
      <c r="G619" s="125"/>
      <c r="J619" s="125"/>
      <c r="L619" s="107"/>
      <c r="M619" s="183"/>
      <c r="N619" s="108"/>
    </row>
    <row r="620" spans="1:14" x14ac:dyDescent="0.3">
      <c r="A620" s="77"/>
      <c r="B620" s="106"/>
      <c r="F620" s="124"/>
      <c r="G620" s="125"/>
      <c r="J620" s="125"/>
      <c r="L620" s="107"/>
      <c r="M620" s="183"/>
      <c r="N620" s="108"/>
    </row>
    <row r="621" spans="1:14" x14ac:dyDescent="0.3">
      <c r="A621" s="77"/>
      <c r="B621" s="106"/>
      <c r="F621" s="124"/>
      <c r="G621" s="125"/>
      <c r="J621" s="125"/>
      <c r="L621" s="107"/>
      <c r="M621" s="183"/>
      <c r="N621" s="108"/>
    </row>
    <row r="622" spans="1:14" x14ac:dyDescent="0.3">
      <c r="A622" s="77"/>
      <c r="B622" s="106"/>
      <c r="F622" s="124"/>
      <c r="G622" s="125"/>
      <c r="J622" s="125"/>
      <c r="L622" s="107"/>
      <c r="M622" s="183"/>
      <c r="N622" s="108"/>
    </row>
    <row r="623" spans="1:14" x14ac:dyDescent="0.3">
      <c r="A623" s="77"/>
      <c r="B623" s="106"/>
      <c r="F623" s="124"/>
      <c r="G623" s="125"/>
      <c r="J623" s="125"/>
      <c r="L623" s="107"/>
      <c r="M623" s="183"/>
      <c r="N623" s="108"/>
    </row>
    <row r="624" spans="1:14" x14ac:dyDescent="0.3">
      <c r="A624" s="77"/>
      <c r="B624" s="106"/>
      <c r="F624" s="124"/>
      <c r="G624" s="125"/>
      <c r="J624" s="125"/>
      <c r="L624" s="107"/>
      <c r="M624" s="183"/>
      <c r="N624" s="108"/>
    </row>
    <row r="625" spans="1:14" x14ac:dyDescent="0.3">
      <c r="A625" s="77"/>
      <c r="B625" s="106"/>
      <c r="F625" s="124"/>
      <c r="G625" s="125"/>
      <c r="J625" s="125"/>
      <c r="L625" s="107"/>
      <c r="M625" s="183"/>
      <c r="N625" s="108"/>
    </row>
    <row r="626" spans="1:14" x14ac:dyDescent="0.3">
      <c r="A626" s="77"/>
      <c r="B626" s="106"/>
      <c r="F626" s="124"/>
      <c r="G626" s="125"/>
      <c r="J626" s="125"/>
      <c r="L626" s="107"/>
      <c r="M626" s="183"/>
      <c r="N626" s="108"/>
    </row>
    <row r="627" spans="1:14" x14ac:dyDescent="0.3">
      <c r="A627" s="77"/>
      <c r="B627" s="106"/>
      <c r="F627" s="124"/>
      <c r="G627" s="125"/>
      <c r="J627" s="125"/>
      <c r="L627" s="107"/>
      <c r="M627" s="183"/>
      <c r="N627" s="108"/>
    </row>
    <row r="628" spans="1:14" x14ac:dyDescent="0.3">
      <c r="A628" s="77"/>
      <c r="B628" s="106"/>
      <c r="F628" s="124"/>
      <c r="G628" s="125"/>
      <c r="J628" s="125"/>
      <c r="L628" s="107"/>
      <c r="M628" s="183"/>
      <c r="N628" s="108"/>
    </row>
    <row r="629" spans="1:14" x14ac:dyDescent="0.3">
      <c r="A629" s="77"/>
      <c r="B629" s="106"/>
      <c r="F629" s="124"/>
      <c r="G629" s="125"/>
      <c r="J629" s="125"/>
      <c r="L629" s="107"/>
      <c r="M629" s="183"/>
      <c r="N629" s="108"/>
    </row>
    <row r="630" spans="1:14" x14ac:dyDescent="0.3">
      <c r="A630" s="77"/>
      <c r="B630" s="106"/>
      <c r="F630" s="124"/>
      <c r="G630" s="125"/>
      <c r="J630" s="125"/>
      <c r="L630" s="107"/>
      <c r="M630" s="183"/>
      <c r="N630" s="108"/>
    </row>
    <row r="631" spans="1:14" x14ac:dyDescent="0.3">
      <c r="A631" s="77"/>
      <c r="B631" s="106"/>
      <c r="F631" s="124"/>
      <c r="G631" s="125"/>
      <c r="J631" s="125"/>
      <c r="L631" s="107"/>
      <c r="M631" s="183"/>
      <c r="N631" s="108"/>
    </row>
    <row r="632" spans="1:14" x14ac:dyDescent="0.3">
      <c r="A632" s="77"/>
      <c r="B632" s="106"/>
      <c r="F632" s="124"/>
      <c r="G632" s="125"/>
      <c r="J632" s="125"/>
      <c r="L632" s="107"/>
      <c r="M632" s="183"/>
      <c r="N632" s="108"/>
    </row>
    <row r="633" spans="1:14" x14ac:dyDescent="0.3">
      <c r="A633" s="77"/>
      <c r="B633" s="106"/>
      <c r="F633" s="124"/>
      <c r="G633" s="125"/>
      <c r="J633" s="125"/>
      <c r="L633" s="107"/>
      <c r="M633" s="183"/>
      <c r="N633" s="108"/>
    </row>
    <row r="634" spans="1:14" x14ac:dyDescent="0.3">
      <c r="A634" s="77"/>
      <c r="B634" s="106"/>
      <c r="F634" s="124"/>
      <c r="G634" s="125"/>
      <c r="J634" s="125"/>
      <c r="L634" s="107"/>
      <c r="M634" s="183"/>
      <c r="N634" s="108"/>
    </row>
    <row r="635" spans="1:14" x14ac:dyDescent="0.3">
      <c r="A635" s="77"/>
      <c r="B635" s="106"/>
      <c r="F635" s="124"/>
      <c r="G635" s="125"/>
      <c r="J635" s="125"/>
      <c r="L635" s="107"/>
      <c r="M635" s="183"/>
      <c r="N635" s="108"/>
    </row>
    <row r="636" spans="1:14" x14ac:dyDescent="0.3">
      <c r="A636" s="77"/>
      <c r="B636" s="106"/>
      <c r="F636" s="124"/>
      <c r="G636" s="125"/>
      <c r="J636" s="125"/>
      <c r="L636" s="107"/>
      <c r="M636" s="183"/>
      <c r="N636" s="108"/>
    </row>
    <row r="637" spans="1:14" x14ac:dyDescent="0.3">
      <c r="A637" s="77"/>
      <c r="B637" s="106"/>
      <c r="F637" s="124"/>
      <c r="G637" s="125"/>
      <c r="J637" s="125"/>
      <c r="L637" s="107"/>
      <c r="M637" s="183"/>
      <c r="N637" s="108"/>
    </row>
    <row r="638" spans="1:14" x14ac:dyDescent="0.3">
      <c r="A638" s="77"/>
      <c r="B638" s="106"/>
      <c r="F638" s="124"/>
      <c r="G638" s="125"/>
      <c r="J638" s="125"/>
      <c r="L638" s="107"/>
      <c r="M638" s="183"/>
      <c r="N638" s="108"/>
    </row>
    <row r="639" spans="1:14" x14ac:dyDescent="0.3">
      <c r="A639" s="77"/>
      <c r="B639" s="106"/>
      <c r="F639" s="124"/>
      <c r="G639" s="125"/>
      <c r="J639" s="125"/>
      <c r="L639" s="107"/>
      <c r="M639" s="183"/>
      <c r="N639" s="108"/>
    </row>
    <row r="640" spans="1:14" x14ac:dyDescent="0.3">
      <c r="A640" s="77"/>
      <c r="B640" s="106"/>
      <c r="F640" s="124"/>
      <c r="G640" s="125"/>
      <c r="J640" s="125"/>
      <c r="L640" s="107"/>
      <c r="M640" s="183"/>
      <c r="N640" s="108"/>
    </row>
    <row r="641" spans="1:14" x14ac:dyDescent="0.3">
      <c r="A641" s="77"/>
      <c r="B641" s="106"/>
      <c r="F641" s="124"/>
      <c r="G641" s="125"/>
      <c r="J641" s="125"/>
      <c r="L641" s="107"/>
      <c r="M641" s="183"/>
      <c r="N641" s="108"/>
    </row>
    <row r="642" spans="1:14" x14ac:dyDescent="0.3">
      <c r="A642" s="77"/>
      <c r="B642" s="106"/>
      <c r="F642" s="124"/>
      <c r="G642" s="125"/>
      <c r="J642" s="125"/>
      <c r="L642" s="107"/>
      <c r="M642" s="183"/>
      <c r="N642" s="108"/>
    </row>
    <row r="643" spans="1:14" x14ac:dyDescent="0.3">
      <c r="A643" s="77"/>
      <c r="B643" s="106"/>
      <c r="F643" s="124"/>
      <c r="G643" s="125"/>
      <c r="J643" s="125"/>
      <c r="L643" s="107"/>
      <c r="M643" s="183"/>
      <c r="N643" s="108"/>
    </row>
    <row r="644" spans="1:14" x14ac:dyDescent="0.3">
      <c r="A644" s="77"/>
      <c r="B644" s="106"/>
      <c r="F644" s="124"/>
      <c r="G644" s="125"/>
      <c r="J644" s="125"/>
      <c r="L644" s="107"/>
      <c r="M644" s="183"/>
      <c r="N644" s="108"/>
    </row>
    <row r="645" spans="1:14" x14ac:dyDescent="0.3">
      <c r="A645" s="77"/>
      <c r="B645" s="106"/>
      <c r="F645" s="124"/>
      <c r="G645" s="125"/>
      <c r="J645" s="125"/>
      <c r="L645" s="107"/>
      <c r="M645" s="183"/>
      <c r="N645" s="108"/>
    </row>
    <row r="646" spans="1:14" x14ac:dyDescent="0.3">
      <c r="A646" s="77"/>
      <c r="B646" s="106"/>
      <c r="F646" s="124"/>
      <c r="G646" s="125"/>
      <c r="J646" s="125"/>
      <c r="L646" s="107"/>
      <c r="M646" s="183"/>
      <c r="N646" s="108"/>
    </row>
    <row r="647" spans="1:14" x14ac:dyDescent="0.3">
      <c r="A647" s="77"/>
      <c r="B647" s="106"/>
      <c r="F647" s="124"/>
      <c r="G647" s="125"/>
      <c r="J647" s="125"/>
      <c r="L647" s="107"/>
      <c r="M647" s="183"/>
      <c r="N647" s="108"/>
    </row>
    <row r="648" spans="1:14" x14ac:dyDescent="0.3">
      <c r="A648" s="77"/>
      <c r="B648" s="106"/>
      <c r="F648" s="124"/>
      <c r="G648" s="125"/>
      <c r="J648" s="125"/>
      <c r="L648" s="107"/>
      <c r="M648" s="183"/>
      <c r="N648" s="108"/>
    </row>
    <row r="649" spans="1:14" x14ac:dyDescent="0.3">
      <c r="A649" s="77"/>
      <c r="B649" s="106"/>
      <c r="F649" s="124"/>
      <c r="G649" s="125"/>
      <c r="J649" s="125"/>
      <c r="L649" s="107"/>
      <c r="M649" s="183"/>
      <c r="N649" s="108"/>
    </row>
    <row r="650" spans="1:14" x14ac:dyDescent="0.3">
      <c r="A650" s="77"/>
      <c r="B650" s="106"/>
      <c r="F650" s="124"/>
      <c r="G650" s="125"/>
      <c r="J650" s="125"/>
      <c r="L650" s="107"/>
      <c r="M650" s="183"/>
      <c r="N650" s="108"/>
    </row>
    <row r="651" spans="1:14" x14ac:dyDescent="0.3">
      <c r="A651" s="77"/>
      <c r="B651" s="106"/>
      <c r="F651" s="124"/>
      <c r="G651" s="125"/>
      <c r="J651" s="125"/>
      <c r="L651" s="107"/>
      <c r="M651" s="183"/>
      <c r="N651" s="108"/>
    </row>
    <row r="652" spans="1:14" x14ac:dyDescent="0.3">
      <c r="A652" s="77"/>
      <c r="B652" s="106"/>
      <c r="F652" s="124"/>
      <c r="G652" s="125"/>
      <c r="J652" s="125"/>
      <c r="L652" s="107"/>
      <c r="M652" s="183"/>
      <c r="N652" s="108"/>
    </row>
    <row r="653" spans="1:14" x14ac:dyDescent="0.3">
      <c r="A653" s="77"/>
      <c r="B653" s="106"/>
      <c r="F653" s="124"/>
      <c r="G653" s="125"/>
      <c r="J653" s="125"/>
      <c r="L653" s="107"/>
      <c r="M653" s="183"/>
      <c r="N653" s="108"/>
    </row>
    <row r="654" spans="1:14" x14ac:dyDescent="0.3">
      <c r="A654" s="77"/>
      <c r="B654" s="106"/>
      <c r="F654" s="124"/>
      <c r="G654" s="125"/>
      <c r="J654" s="125"/>
      <c r="L654" s="107"/>
      <c r="M654" s="183"/>
      <c r="N654" s="108"/>
    </row>
    <row r="655" spans="1:14" x14ac:dyDescent="0.3">
      <c r="A655" s="77"/>
      <c r="B655" s="106"/>
      <c r="F655" s="124"/>
      <c r="G655" s="125"/>
      <c r="J655" s="125"/>
      <c r="L655" s="107"/>
      <c r="M655" s="183"/>
      <c r="N655" s="108"/>
    </row>
    <row r="656" spans="1:14" x14ac:dyDescent="0.3">
      <c r="A656" s="77"/>
      <c r="B656" s="106"/>
      <c r="F656" s="124"/>
      <c r="G656" s="125"/>
      <c r="J656" s="125"/>
      <c r="L656" s="107"/>
      <c r="M656" s="183"/>
      <c r="N656" s="108"/>
    </row>
    <row r="657" spans="1:14" x14ac:dyDescent="0.3">
      <c r="A657" s="77"/>
      <c r="B657" s="106"/>
      <c r="F657" s="124"/>
      <c r="G657" s="125"/>
      <c r="J657" s="125"/>
      <c r="L657" s="107"/>
      <c r="M657" s="183"/>
      <c r="N657" s="108"/>
    </row>
    <row r="658" spans="1:14" x14ac:dyDescent="0.3">
      <c r="A658" s="77"/>
      <c r="B658" s="106"/>
      <c r="F658" s="124"/>
      <c r="G658" s="125"/>
      <c r="J658" s="125"/>
      <c r="L658" s="107"/>
      <c r="M658" s="183"/>
      <c r="N658" s="108"/>
    </row>
    <row r="659" spans="1:14" x14ac:dyDescent="0.3">
      <c r="A659" s="77"/>
      <c r="B659" s="106"/>
      <c r="F659" s="124"/>
      <c r="G659" s="125"/>
      <c r="J659" s="125"/>
      <c r="L659" s="107"/>
      <c r="M659" s="183"/>
      <c r="N659" s="108"/>
    </row>
    <row r="660" spans="1:14" x14ac:dyDescent="0.3">
      <c r="A660" s="77"/>
      <c r="B660" s="106"/>
      <c r="F660" s="124"/>
      <c r="G660" s="125"/>
      <c r="J660" s="125"/>
      <c r="L660" s="107"/>
      <c r="M660" s="183"/>
      <c r="N660" s="108"/>
    </row>
    <row r="661" spans="1:14" x14ac:dyDescent="0.3">
      <c r="A661" s="77"/>
      <c r="B661" s="106"/>
      <c r="F661" s="124"/>
      <c r="G661" s="125"/>
      <c r="J661" s="125"/>
      <c r="L661" s="107"/>
      <c r="M661" s="183"/>
      <c r="N661" s="108"/>
    </row>
    <row r="662" spans="1:14" x14ac:dyDescent="0.3">
      <c r="A662" s="77"/>
      <c r="B662" s="106"/>
      <c r="F662" s="124"/>
      <c r="G662" s="125"/>
      <c r="J662" s="125"/>
      <c r="L662" s="107"/>
      <c r="M662" s="183"/>
      <c r="N662" s="108"/>
    </row>
    <row r="663" spans="1:14" x14ac:dyDescent="0.3">
      <c r="A663" s="77"/>
      <c r="B663" s="106"/>
      <c r="F663" s="124"/>
      <c r="G663" s="125"/>
      <c r="J663" s="125"/>
      <c r="L663" s="107"/>
      <c r="M663" s="183"/>
      <c r="N663" s="108"/>
    </row>
    <row r="664" spans="1:14" x14ac:dyDescent="0.3">
      <c r="A664" s="77"/>
      <c r="B664" s="106"/>
      <c r="F664" s="124"/>
      <c r="G664" s="125"/>
      <c r="J664" s="125"/>
      <c r="L664" s="107"/>
      <c r="M664" s="183"/>
      <c r="N664" s="108"/>
    </row>
    <row r="665" spans="1:14" x14ac:dyDescent="0.3">
      <c r="A665" s="77"/>
      <c r="B665" s="106"/>
      <c r="F665" s="124"/>
      <c r="G665" s="125"/>
      <c r="J665" s="125"/>
      <c r="L665" s="107"/>
      <c r="M665" s="183"/>
      <c r="N665" s="108"/>
    </row>
    <row r="666" spans="1:14" x14ac:dyDescent="0.3">
      <c r="A666" s="77"/>
      <c r="B666" s="106"/>
      <c r="F666" s="124"/>
      <c r="G666" s="125"/>
      <c r="J666" s="125"/>
      <c r="L666" s="107"/>
      <c r="M666" s="183"/>
      <c r="N666" s="108"/>
    </row>
    <row r="667" spans="1:14" x14ac:dyDescent="0.3">
      <c r="A667" s="77"/>
      <c r="B667" s="106"/>
      <c r="F667" s="124"/>
      <c r="G667" s="125"/>
      <c r="J667" s="125"/>
      <c r="L667" s="107"/>
      <c r="M667" s="183"/>
      <c r="N667" s="108"/>
    </row>
    <row r="668" spans="1:14" x14ac:dyDescent="0.3">
      <c r="A668" s="77"/>
      <c r="B668" s="106"/>
      <c r="F668" s="124"/>
      <c r="G668" s="125"/>
      <c r="J668" s="125"/>
      <c r="L668" s="107"/>
      <c r="M668" s="183"/>
      <c r="N668" s="108"/>
    </row>
    <row r="669" spans="1:14" x14ac:dyDescent="0.3">
      <c r="A669" s="77"/>
      <c r="B669" s="106"/>
      <c r="F669" s="124"/>
      <c r="G669" s="125"/>
      <c r="J669" s="125"/>
      <c r="L669" s="107"/>
      <c r="M669" s="183"/>
      <c r="N669" s="108"/>
    </row>
    <row r="670" spans="1:14" x14ac:dyDescent="0.3">
      <c r="A670" s="77"/>
      <c r="B670" s="106"/>
      <c r="F670" s="124"/>
      <c r="G670" s="125"/>
      <c r="J670" s="125"/>
      <c r="L670" s="107"/>
      <c r="M670" s="183"/>
      <c r="N670" s="108"/>
    </row>
    <row r="671" spans="1:14" x14ac:dyDescent="0.3">
      <c r="A671" s="77"/>
      <c r="B671" s="106"/>
      <c r="F671" s="124"/>
      <c r="G671" s="125"/>
      <c r="J671" s="125"/>
      <c r="L671" s="107"/>
      <c r="M671" s="183"/>
      <c r="N671" s="108"/>
    </row>
    <row r="672" spans="1:14" x14ac:dyDescent="0.3">
      <c r="A672" s="77"/>
      <c r="B672" s="106"/>
      <c r="F672" s="124"/>
      <c r="G672" s="125"/>
      <c r="J672" s="125"/>
      <c r="L672" s="107"/>
      <c r="M672" s="183"/>
      <c r="N672" s="108"/>
    </row>
    <row r="673" spans="1:14" x14ac:dyDescent="0.3">
      <c r="A673" s="77"/>
      <c r="B673" s="106"/>
      <c r="F673" s="124"/>
      <c r="G673" s="125"/>
      <c r="J673" s="125"/>
      <c r="L673" s="107"/>
      <c r="M673" s="183"/>
      <c r="N673" s="108"/>
    </row>
    <row r="674" spans="1:14" x14ac:dyDescent="0.3">
      <c r="A674" s="77"/>
      <c r="B674" s="106"/>
      <c r="F674" s="124"/>
      <c r="G674" s="125"/>
      <c r="J674" s="125"/>
      <c r="L674" s="107"/>
      <c r="M674" s="183"/>
      <c r="N674" s="108"/>
    </row>
    <row r="675" spans="1:14" x14ac:dyDescent="0.3">
      <c r="A675" s="77"/>
      <c r="B675" s="106"/>
      <c r="F675" s="124"/>
      <c r="G675" s="125"/>
      <c r="J675" s="125"/>
      <c r="L675" s="107"/>
      <c r="M675" s="183"/>
      <c r="N675" s="108"/>
    </row>
    <row r="676" spans="1:14" x14ac:dyDescent="0.3">
      <c r="A676" s="77"/>
      <c r="B676" s="106"/>
      <c r="F676" s="124"/>
      <c r="G676" s="125"/>
      <c r="J676" s="125"/>
      <c r="L676" s="107"/>
      <c r="M676" s="183"/>
      <c r="N676" s="108"/>
    </row>
    <row r="677" spans="1:14" x14ac:dyDescent="0.3">
      <c r="A677" s="77"/>
      <c r="B677" s="106"/>
      <c r="F677" s="124"/>
      <c r="G677" s="125"/>
      <c r="J677" s="125"/>
      <c r="L677" s="107"/>
      <c r="M677" s="183"/>
      <c r="N677" s="108"/>
    </row>
    <row r="678" spans="1:14" x14ac:dyDescent="0.3">
      <c r="A678" s="77"/>
      <c r="B678" s="106"/>
      <c r="F678" s="124"/>
      <c r="G678" s="125"/>
      <c r="J678" s="125"/>
      <c r="L678" s="107"/>
      <c r="M678" s="183"/>
      <c r="N678" s="108"/>
    </row>
    <row r="679" spans="1:14" x14ac:dyDescent="0.3">
      <c r="A679" s="77"/>
      <c r="B679" s="106"/>
      <c r="F679" s="124"/>
      <c r="G679" s="125"/>
      <c r="J679" s="125"/>
      <c r="L679" s="107"/>
      <c r="M679" s="183"/>
      <c r="N679" s="108"/>
    </row>
    <row r="680" spans="1:14" x14ac:dyDescent="0.3">
      <c r="A680" s="77"/>
      <c r="B680" s="106"/>
      <c r="F680" s="124"/>
      <c r="G680" s="125"/>
      <c r="J680" s="125"/>
      <c r="L680" s="107"/>
      <c r="M680" s="183"/>
      <c r="N680" s="108"/>
    </row>
    <row r="681" spans="1:14" x14ac:dyDescent="0.3">
      <c r="A681" s="77"/>
      <c r="B681" s="106"/>
      <c r="F681" s="124"/>
      <c r="G681" s="125"/>
      <c r="J681" s="125"/>
      <c r="L681" s="107"/>
      <c r="M681" s="183"/>
      <c r="N681" s="108"/>
    </row>
    <row r="682" spans="1:14" x14ac:dyDescent="0.3">
      <c r="A682" s="77"/>
      <c r="B682" s="106"/>
      <c r="F682" s="124"/>
      <c r="G682" s="125"/>
      <c r="J682" s="125"/>
      <c r="L682" s="107"/>
      <c r="M682" s="183"/>
      <c r="N682" s="108"/>
    </row>
    <row r="683" spans="1:14" x14ac:dyDescent="0.3">
      <c r="A683" s="77"/>
      <c r="B683" s="106"/>
      <c r="F683" s="124"/>
      <c r="G683" s="125"/>
      <c r="J683" s="125"/>
      <c r="L683" s="107"/>
      <c r="M683" s="183"/>
      <c r="N683" s="108"/>
    </row>
    <row r="684" spans="1:14" x14ac:dyDescent="0.3">
      <c r="A684" s="77"/>
      <c r="B684" s="106"/>
      <c r="F684" s="124"/>
      <c r="G684" s="125"/>
      <c r="J684" s="125"/>
      <c r="L684" s="107"/>
      <c r="M684" s="183"/>
      <c r="N684" s="108"/>
    </row>
    <row r="685" spans="1:14" x14ac:dyDescent="0.3">
      <c r="A685" s="77"/>
      <c r="B685" s="106"/>
      <c r="F685" s="124"/>
      <c r="G685" s="125"/>
      <c r="J685" s="125"/>
      <c r="L685" s="107"/>
      <c r="M685" s="183"/>
      <c r="N685" s="108"/>
    </row>
    <row r="686" spans="1:14" x14ac:dyDescent="0.3">
      <c r="A686" s="77"/>
      <c r="B686" s="106"/>
      <c r="F686" s="124"/>
      <c r="G686" s="125"/>
      <c r="J686" s="125"/>
      <c r="L686" s="107"/>
      <c r="M686" s="183"/>
      <c r="N686" s="108"/>
    </row>
  </sheetData>
  <conditionalFormatting sqref="I2:I209">
    <cfRule type="cellIs" dxfId="39" priority="1" operator="equal">
      <formula>"REVISAR"</formula>
    </cfRule>
    <cfRule type="cellIs" dxfId="38" priority="2" operator="equal">
      <formula>"CORRECTO"</formula>
    </cfRule>
  </conditionalFormatting>
  <conditionalFormatting sqref="L2:L213">
    <cfRule type="cellIs" dxfId="37" priority="3" operator="equal">
      <formula>"APROBADO"</formula>
    </cfRule>
    <cfRule type="cellIs" dxfId="36" priority="4" operator="equal">
      <formula>"PENDIENTE"</formula>
    </cfRule>
    <cfRule type="cellIs" dxfId="35" priority="5" operator="equal">
      <formula>"PAGADO"</formula>
    </cfRule>
  </conditionalFormatting>
  <dataValidations count="1">
    <dataValidation type="list" allowBlank="1" showErrorMessage="1" sqref="L2:L213" xr:uid="{76AA1428-C91B-4819-B419-6AB5320BFB13}">
      <formula1>"PAGADO,PENDIENTE,APROBADO"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C0A3B74-A025-4315-BEE8-505F3325D8AB}">
          <x14:formula1>
            <xm:f>'CUENTAS'!$A$2:$A$59</xm:f>
          </x14:formula1>
          <xm:sqref>C2:C213</xm:sqref>
        </x14:dataValidation>
        <x14:dataValidation type="list" allowBlank="1" showInputMessage="1" showErrorMessage="1" xr:uid="{725F3E23-1FC6-4F6F-9C59-C13397D71F3F}">
          <x14:formula1>
            <xm:f>'CUENTAS'!$G$2:$G$8</xm:f>
          </x14:formula1>
          <xm:sqref>J2:J213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34B7-807C-4C08-A3B8-5F2C208E8352}">
  <sheetPr>
    <tabColor theme="1" tint="4.9989318521683403E-2"/>
  </sheetPr>
  <dimension ref="A1:Q68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2.6640625" defaultRowHeight="14.4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8" style="83" customWidth="1"/>
    <col min="8" max="9" width="18" style="97" customWidth="1"/>
    <col min="10" max="10" width="23.44140625" style="83" bestFit="1" customWidth="1"/>
    <col min="11" max="11" width="14.77734375" style="98" customWidth="1"/>
    <col min="12" max="12" width="11.21875" style="99" bestFit="1" customWidth="1"/>
    <col min="13" max="13" width="12.6640625" style="182"/>
    <col min="14" max="14" width="23.554687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77" customFormat="1" ht="24.6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81" t="s">
        <v>104</v>
      </c>
      <c r="N1" s="12" t="s">
        <v>105</v>
      </c>
    </row>
    <row r="2" spans="1:17" x14ac:dyDescent="0.3">
      <c r="A2" s="16" t="s">
        <v>250</v>
      </c>
      <c r="B2" s="16" t="s">
        <v>1142</v>
      </c>
      <c r="C2" s="28" t="s">
        <v>110</v>
      </c>
      <c r="D2" s="28" t="str">
        <f>IFERROR(VLOOKUP($C2,CUENTAS[],2,0),"")</f>
        <v>GASTOS FIJOS</v>
      </c>
      <c r="E2" s="28" t="str">
        <f>IFERROR(VLOOKUP($C2,CUENTAS[],3,0),"")</f>
        <v>MDE2025-002D</v>
      </c>
      <c r="F2" s="86">
        <v>80000</v>
      </c>
      <c r="G2" s="86">
        <v>0</v>
      </c>
      <c r="H2" s="74">
        <v>80000</v>
      </c>
      <c r="I2" s="200" t="str">
        <f>IFERROR(IF(F2+G2&lt;&gt;H2,"REVISAR","CORRECTO"),"")</f>
        <v>CORRECTO</v>
      </c>
      <c r="J2" s="88" t="s">
        <v>3244</v>
      </c>
      <c r="K2" s="69" t="s">
        <v>363</v>
      </c>
      <c r="L2" s="84" t="s">
        <v>227</v>
      </c>
      <c r="M2" s="135">
        <v>45810</v>
      </c>
      <c r="N2" s="75" t="s">
        <v>371</v>
      </c>
      <c r="P2" s="89"/>
      <c r="Q2" s="89"/>
    </row>
    <row r="3" spans="1:17" x14ac:dyDescent="0.3">
      <c r="A3" s="16" t="s">
        <v>236</v>
      </c>
      <c r="B3" s="16" t="s">
        <v>1088</v>
      </c>
      <c r="C3" s="28" t="s">
        <v>223</v>
      </c>
      <c r="D3" s="28" t="str">
        <f>IFERROR(VLOOKUP($C3,CUENTAS[],2,0),"")</f>
        <v>MANTENIMIENTO</v>
      </c>
      <c r="E3" s="28" t="str">
        <f>IFERROR(VLOOKUP($C3,CUENTAS[],3,0),"")</f>
        <v>MDE2025-009B</v>
      </c>
      <c r="F3" s="86">
        <v>3500</v>
      </c>
      <c r="G3" s="86">
        <v>0</v>
      </c>
      <c r="H3" s="74">
        <v>3500</v>
      </c>
      <c r="I3" s="200" t="str">
        <f t="shared" ref="I3:I66" si="0">IFERROR(IF(F3+G3&lt;&gt;H3,"REVISAR","CORRECTO"),"")</f>
        <v>CORRECTO</v>
      </c>
      <c r="J3" s="88" t="s">
        <v>3244</v>
      </c>
      <c r="K3" s="69" t="s">
        <v>363</v>
      </c>
      <c r="L3" s="84" t="s">
        <v>227</v>
      </c>
      <c r="M3" s="135">
        <v>45810</v>
      </c>
      <c r="N3" s="75" t="s">
        <v>371</v>
      </c>
      <c r="P3" s="89"/>
      <c r="Q3" s="89"/>
    </row>
    <row r="4" spans="1:17" x14ac:dyDescent="0.3">
      <c r="A4" s="16" t="s">
        <v>238</v>
      </c>
      <c r="B4" s="16" t="s">
        <v>1088</v>
      </c>
      <c r="C4" s="28" t="s">
        <v>223</v>
      </c>
      <c r="D4" s="28" t="str">
        <f>IFERROR(VLOOKUP($C4,CUENTAS[],2,0),"")</f>
        <v>MANTENIMIENTO</v>
      </c>
      <c r="E4" s="28" t="str">
        <f>IFERROR(VLOOKUP($C4,CUENTAS[],3,0),"")</f>
        <v>MDE2025-009B</v>
      </c>
      <c r="F4" s="86">
        <v>3200</v>
      </c>
      <c r="G4" s="86">
        <v>0</v>
      </c>
      <c r="H4" s="74">
        <v>3200</v>
      </c>
      <c r="I4" s="200" t="str">
        <f t="shared" si="0"/>
        <v>CORRECTO</v>
      </c>
      <c r="J4" s="88" t="s">
        <v>3244</v>
      </c>
      <c r="K4" s="69" t="s">
        <v>363</v>
      </c>
      <c r="L4" s="84" t="s">
        <v>227</v>
      </c>
      <c r="M4" s="135">
        <v>45810</v>
      </c>
      <c r="N4" s="75" t="s">
        <v>371</v>
      </c>
      <c r="P4" s="89"/>
      <c r="Q4" s="89"/>
    </row>
    <row r="5" spans="1:17" x14ac:dyDescent="0.3">
      <c r="A5" s="16" t="s">
        <v>1600</v>
      </c>
      <c r="B5" s="16" t="s">
        <v>1601</v>
      </c>
      <c r="C5" s="28" t="s">
        <v>109</v>
      </c>
      <c r="D5" s="28" t="str">
        <f>IFERROR(VLOOKUP($C5,CUENTAS[],2,0),"")</f>
        <v>LOGÍSTICA</v>
      </c>
      <c r="E5" s="28" t="str">
        <f>IFERROR(VLOOKUP($C5,CUENTAS[],3,0),"")</f>
        <v>MDE2025-006A</v>
      </c>
      <c r="F5" s="86">
        <v>3500</v>
      </c>
      <c r="G5" s="86">
        <v>0</v>
      </c>
      <c r="H5" s="74">
        <v>3500</v>
      </c>
      <c r="I5" s="200" t="str">
        <f t="shared" si="0"/>
        <v>CORRECTO</v>
      </c>
      <c r="J5" s="88" t="s">
        <v>3244</v>
      </c>
      <c r="K5" s="69" t="s">
        <v>362</v>
      </c>
      <c r="L5" s="84" t="s">
        <v>227</v>
      </c>
      <c r="M5" s="136">
        <v>45811</v>
      </c>
      <c r="N5" s="75" t="s">
        <v>371</v>
      </c>
      <c r="P5" s="89"/>
      <c r="Q5" s="89"/>
    </row>
    <row r="6" spans="1:17" x14ac:dyDescent="0.3">
      <c r="A6" s="16" t="s">
        <v>1602</v>
      </c>
      <c r="B6" s="16" t="s">
        <v>1603</v>
      </c>
      <c r="C6" s="28" t="s">
        <v>140</v>
      </c>
      <c r="D6" s="28" t="str">
        <f>IFERROR(VLOOKUP($C6,CUENTAS[],2,0),"")</f>
        <v>LOGÍSTICA</v>
      </c>
      <c r="E6" s="28" t="str">
        <f>IFERROR(VLOOKUP($C6,CUENTAS[],3,0),"")</f>
        <v>MDE2025-006B</v>
      </c>
      <c r="F6" s="86">
        <v>0</v>
      </c>
      <c r="G6" s="86">
        <v>0</v>
      </c>
      <c r="H6" s="74">
        <v>0</v>
      </c>
      <c r="I6" s="200" t="str">
        <f t="shared" si="0"/>
        <v>CORRECTO</v>
      </c>
      <c r="J6" s="88" t="s">
        <v>3244</v>
      </c>
      <c r="K6" s="69" t="s">
        <v>362</v>
      </c>
      <c r="L6" s="84" t="s">
        <v>227</v>
      </c>
      <c r="M6" s="135">
        <v>45811</v>
      </c>
      <c r="N6" s="75" t="s">
        <v>368</v>
      </c>
      <c r="P6" s="89"/>
      <c r="Q6" s="89"/>
    </row>
    <row r="7" spans="1:17" x14ac:dyDescent="0.3">
      <c r="A7" s="16" t="s">
        <v>1602</v>
      </c>
      <c r="B7" s="16" t="s">
        <v>1603</v>
      </c>
      <c r="C7" s="28" t="s">
        <v>140</v>
      </c>
      <c r="D7" s="28" t="str">
        <f>IFERROR(VLOOKUP($C7,CUENTAS[],2,0),"")</f>
        <v>LOGÍSTICA</v>
      </c>
      <c r="E7" s="28" t="str">
        <f>IFERROR(VLOOKUP($C7,CUENTAS[],3,0),"")</f>
        <v>MDE2025-006B</v>
      </c>
      <c r="F7" s="86">
        <v>2692</v>
      </c>
      <c r="G7" s="86">
        <v>0</v>
      </c>
      <c r="H7" s="74">
        <v>2692</v>
      </c>
      <c r="I7" s="200" t="str">
        <f t="shared" si="0"/>
        <v>CORRECTO</v>
      </c>
      <c r="J7" s="88" t="s">
        <v>3244</v>
      </c>
      <c r="K7" s="69" t="s">
        <v>362</v>
      </c>
      <c r="L7" s="84" t="s">
        <v>227</v>
      </c>
      <c r="M7" s="135">
        <v>45812</v>
      </c>
      <c r="N7" s="75" t="s">
        <v>368</v>
      </c>
      <c r="P7" s="89"/>
      <c r="Q7" s="89"/>
    </row>
    <row r="8" spans="1:17" x14ac:dyDescent="0.3">
      <c r="A8" s="16" t="s">
        <v>1604</v>
      </c>
      <c r="B8" s="16" t="s">
        <v>1605</v>
      </c>
      <c r="C8" s="28" t="s">
        <v>224</v>
      </c>
      <c r="D8" s="28" t="str">
        <f>IFERROR(VLOOKUP($C8,CUENTAS[],2,0),"")</f>
        <v>MATERIALES</v>
      </c>
      <c r="E8" s="28" t="str">
        <f>IFERROR(VLOOKUP($C8,CUENTAS[],3,0),"")</f>
        <v>MDE2025-004</v>
      </c>
      <c r="F8" s="86">
        <v>20172.61</v>
      </c>
      <c r="G8" s="86">
        <v>3227.61</v>
      </c>
      <c r="H8" s="74">
        <v>23400.22</v>
      </c>
      <c r="I8" s="200" t="str">
        <f t="shared" si="0"/>
        <v>CORRECTO</v>
      </c>
      <c r="J8" s="88" t="s">
        <v>3244</v>
      </c>
      <c r="K8" s="69" t="s">
        <v>407</v>
      </c>
      <c r="L8" s="84" t="s">
        <v>227</v>
      </c>
      <c r="M8" s="135">
        <v>45813</v>
      </c>
      <c r="N8" s="75" t="s">
        <v>1659</v>
      </c>
      <c r="P8" s="89"/>
      <c r="Q8" s="89"/>
    </row>
    <row r="9" spans="1:17" x14ac:dyDescent="0.3">
      <c r="A9" s="16" t="s">
        <v>283</v>
      </c>
      <c r="B9" s="16">
        <v>2532652</v>
      </c>
      <c r="C9" s="28" t="s">
        <v>120</v>
      </c>
      <c r="D9" s="28" t="str">
        <f>IFERROR(VLOOKUP($C9,CUENTAS[],2,0),"")</f>
        <v>TOKA</v>
      </c>
      <c r="E9" s="28" t="str">
        <f>IFERROR(VLOOKUP($C9,CUENTAS[],3,0),"")</f>
        <v>TOK2025-001C</v>
      </c>
      <c r="F9" s="86">
        <v>348</v>
      </c>
      <c r="G9" s="86">
        <v>0</v>
      </c>
      <c r="H9" s="74">
        <v>348</v>
      </c>
      <c r="I9" s="200" t="str">
        <f t="shared" si="0"/>
        <v>CORRECTO</v>
      </c>
      <c r="J9" s="88" t="s">
        <v>3244</v>
      </c>
      <c r="K9" s="69" t="s">
        <v>363</v>
      </c>
      <c r="L9" s="84" t="s">
        <v>227</v>
      </c>
      <c r="M9" s="136">
        <v>45817</v>
      </c>
      <c r="N9" s="75" t="s">
        <v>570</v>
      </c>
      <c r="P9" s="89"/>
      <c r="Q9" s="89"/>
    </row>
    <row r="10" spans="1:17" x14ac:dyDescent="0.3">
      <c r="A10" s="16" t="s">
        <v>341</v>
      </c>
      <c r="B10" s="16" t="s">
        <v>1606</v>
      </c>
      <c r="C10" s="28" t="s">
        <v>109</v>
      </c>
      <c r="D10" s="28" t="str">
        <f>IFERROR(VLOOKUP($C10,CUENTAS[],2,0),"")</f>
        <v>LOGÍSTICA</v>
      </c>
      <c r="E10" s="28" t="str">
        <f>IFERROR(VLOOKUP($C10,CUENTAS[],3,0),"")</f>
        <v>MDE2025-006A</v>
      </c>
      <c r="F10" s="86">
        <v>3000</v>
      </c>
      <c r="G10" s="86">
        <v>0</v>
      </c>
      <c r="H10" s="74">
        <v>3000</v>
      </c>
      <c r="I10" s="200" t="str">
        <f t="shared" si="0"/>
        <v>CORRECTO</v>
      </c>
      <c r="J10" s="88" t="s">
        <v>3244</v>
      </c>
      <c r="K10" s="69" t="s">
        <v>1423</v>
      </c>
      <c r="L10" s="84" t="s">
        <v>227</v>
      </c>
      <c r="M10" s="136">
        <v>45814</v>
      </c>
      <c r="N10" s="75" t="s">
        <v>368</v>
      </c>
      <c r="P10" s="89"/>
      <c r="Q10" s="89"/>
    </row>
    <row r="11" spans="1:17" x14ac:dyDescent="0.3">
      <c r="A11" s="16" t="s">
        <v>1607</v>
      </c>
      <c r="B11" s="16" t="s">
        <v>1608</v>
      </c>
      <c r="C11" s="28" t="s">
        <v>224</v>
      </c>
      <c r="D11" s="28" t="str">
        <f>IFERROR(VLOOKUP($C11,CUENTAS[],2,0),"")</f>
        <v>MATERIALES</v>
      </c>
      <c r="E11" s="28" t="str">
        <f>IFERROR(VLOOKUP($C11,CUENTAS[],3,0),"")</f>
        <v>MDE2025-004</v>
      </c>
      <c r="F11" s="86">
        <v>21839.65</v>
      </c>
      <c r="G11" s="86">
        <v>3494.75</v>
      </c>
      <c r="H11" s="74">
        <v>25334.400000000001</v>
      </c>
      <c r="I11" s="200" t="str">
        <f t="shared" si="0"/>
        <v>CORRECTO</v>
      </c>
      <c r="J11" s="88" t="s">
        <v>3244</v>
      </c>
      <c r="K11" s="69" t="s">
        <v>407</v>
      </c>
      <c r="L11" s="84" t="s">
        <v>227</v>
      </c>
      <c r="M11" s="135">
        <v>45814</v>
      </c>
      <c r="N11" s="75" t="s">
        <v>1660</v>
      </c>
      <c r="P11" s="89"/>
      <c r="Q11" s="89"/>
    </row>
    <row r="12" spans="1:17" x14ac:dyDescent="0.3">
      <c r="A12" s="16" t="s">
        <v>232</v>
      </c>
      <c r="B12" s="16" t="s">
        <v>1609</v>
      </c>
      <c r="C12" s="28" t="s">
        <v>224</v>
      </c>
      <c r="D12" s="28" t="str">
        <f>IFERROR(VLOOKUP($C12,CUENTAS[],2,0),"")</f>
        <v>MATERIALES</v>
      </c>
      <c r="E12" s="28" t="str">
        <f>IFERROR(VLOOKUP($C12,CUENTAS[],3,0),"")</f>
        <v>MDE2025-004</v>
      </c>
      <c r="F12" s="86">
        <v>504.31</v>
      </c>
      <c r="G12" s="86">
        <v>80.69</v>
      </c>
      <c r="H12" s="74">
        <v>585</v>
      </c>
      <c r="I12" s="200" t="str">
        <f t="shared" si="0"/>
        <v>CORRECTO</v>
      </c>
      <c r="J12" s="88" t="s">
        <v>3244</v>
      </c>
      <c r="K12" s="69" t="s">
        <v>407</v>
      </c>
      <c r="L12" s="84" t="s">
        <v>227</v>
      </c>
      <c r="M12" s="135">
        <v>45814</v>
      </c>
      <c r="N12" s="75" t="s">
        <v>1661</v>
      </c>
      <c r="P12" s="89"/>
      <c r="Q12" s="89"/>
    </row>
    <row r="13" spans="1:17" x14ac:dyDescent="0.3">
      <c r="A13" s="16" t="s">
        <v>232</v>
      </c>
      <c r="B13" s="16" t="s">
        <v>1610</v>
      </c>
      <c r="C13" s="28" t="s">
        <v>224</v>
      </c>
      <c r="D13" s="28" t="str">
        <f>IFERROR(VLOOKUP($C13,CUENTAS[],2,0),"")</f>
        <v>MATERIALES</v>
      </c>
      <c r="E13" s="28" t="str">
        <f>IFERROR(VLOOKUP($C13,CUENTAS[],3,0),"")</f>
        <v>MDE2025-004</v>
      </c>
      <c r="F13" s="86">
        <v>1576.72</v>
      </c>
      <c r="G13" s="86">
        <v>252.28</v>
      </c>
      <c r="H13" s="74">
        <v>1829</v>
      </c>
      <c r="I13" s="200" t="str">
        <f t="shared" si="0"/>
        <v>CORRECTO</v>
      </c>
      <c r="J13" s="88" t="s">
        <v>3244</v>
      </c>
      <c r="K13" s="69" t="s">
        <v>407</v>
      </c>
      <c r="L13" s="84" t="s">
        <v>227</v>
      </c>
      <c r="M13" s="135">
        <v>45814</v>
      </c>
      <c r="N13" s="75" t="s">
        <v>1662</v>
      </c>
      <c r="P13" s="89"/>
      <c r="Q13" s="89"/>
    </row>
    <row r="14" spans="1:17" x14ac:dyDescent="0.3">
      <c r="A14" s="16" t="s">
        <v>232</v>
      </c>
      <c r="B14" s="16" t="s">
        <v>1611</v>
      </c>
      <c r="C14" s="28" t="s">
        <v>224</v>
      </c>
      <c r="D14" s="28" t="str">
        <f>IFERROR(VLOOKUP($C14,CUENTAS[],2,0),"")</f>
        <v>MATERIALES</v>
      </c>
      <c r="E14" s="28" t="str">
        <f>IFERROR(VLOOKUP($C14,CUENTAS[],3,0),"")</f>
        <v>MDE2025-004</v>
      </c>
      <c r="F14" s="86">
        <v>2500.69</v>
      </c>
      <c r="G14" s="86">
        <v>400.11</v>
      </c>
      <c r="H14" s="74">
        <v>2900.8</v>
      </c>
      <c r="I14" s="200" t="str">
        <f t="shared" si="0"/>
        <v>CORRECTO</v>
      </c>
      <c r="J14" s="88" t="s">
        <v>3244</v>
      </c>
      <c r="K14" s="69" t="s">
        <v>407</v>
      </c>
      <c r="L14" s="84" t="s">
        <v>227</v>
      </c>
      <c r="M14" s="135">
        <v>45814</v>
      </c>
      <c r="N14" s="75" t="s">
        <v>1663</v>
      </c>
      <c r="P14" s="89"/>
      <c r="Q14" s="89"/>
    </row>
    <row r="15" spans="1:17" x14ac:dyDescent="0.3">
      <c r="A15" s="16" t="s">
        <v>232</v>
      </c>
      <c r="B15" s="16" t="s">
        <v>1612</v>
      </c>
      <c r="C15" s="28" t="s">
        <v>224</v>
      </c>
      <c r="D15" s="28" t="str">
        <f>IFERROR(VLOOKUP($C15,CUENTAS[],2,0),"")</f>
        <v>MATERIALES</v>
      </c>
      <c r="E15" s="28" t="str">
        <f>IFERROR(VLOOKUP($C15,CUENTAS[],3,0),"")</f>
        <v>MDE2025-004</v>
      </c>
      <c r="F15" s="86">
        <v>517.24</v>
      </c>
      <c r="G15" s="86">
        <v>82.76</v>
      </c>
      <c r="H15" s="74">
        <v>600</v>
      </c>
      <c r="I15" s="200" t="str">
        <f t="shared" si="0"/>
        <v>CORRECTO</v>
      </c>
      <c r="J15" s="88" t="s">
        <v>3244</v>
      </c>
      <c r="K15" s="69" t="s">
        <v>407</v>
      </c>
      <c r="L15" s="84" t="s">
        <v>227</v>
      </c>
      <c r="M15" s="135">
        <v>45814</v>
      </c>
      <c r="N15" s="75" t="s">
        <v>1664</v>
      </c>
      <c r="P15" s="89"/>
      <c r="Q15" s="89"/>
    </row>
    <row r="16" spans="1:17" x14ac:dyDescent="0.3">
      <c r="A16" s="16" t="s">
        <v>232</v>
      </c>
      <c r="B16" s="16" t="s">
        <v>1613</v>
      </c>
      <c r="C16" s="28" t="s">
        <v>224</v>
      </c>
      <c r="D16" s="28" t="str">
        <f>IFERROR(VLOOKUP($C16,CUENTAS[],2,0),"")</f>
        <v>MATERIALES</v>
      </c>
      <c r="E16" s="28" t="str">
        <f>IFERROR(VLOOKUP($C16,CUENTAS[],3,0),"")</f>
        <v>MDE2025-004</v>
      </c>
      <c r="F16" s="86">
        <v>7806.27</v>
      </c>
      <c r="G16" s="86">
        <v>1248.97</v>
      </c>
      <c r="H16" s="74">
        <v>9055.24</v>
      </c>
      <c r="I16" s="200" t="str">
        <f t="shared" si="0"/>
        <v>CORRECTO</v>
      </c>
      <c r="J16" s="88" t="s">
        <v>3244</v>
      </c>
      <c r="K16" s="69" t="s">
        <v>407</v>
      </c>
      <c r="L16" s="84" t="s">
        <v>227</v>
      </c>
      <c r="M16" s="135">
        <v>45814</v>
      </c>
      <c r="N16" s="75" t="s">
        <v>1665</v>
      </c>
      <c r="P16" s="89"/>
      <c r="Q16" s="89"/>
    </row>
    <row r="17" spans="1:17" x14ac:dyDescent="0.3">
      <c r="A17" s="16" t="s">
        <v>232</v>
      </c>
      <c r="B17" s="16" t="s">
        <v>1614</v>
      </c>
      <c r="C17" s="28" t="s">
        <v>224</v>
      </c>
      <c r="D17" s="28" t="str">
        <f>IFERROR(VLOOKUP($C17,CUENTAS[],2,0),"")</f>
        <v>MATERIALES</v>
      </c>
      <c r="E17" s="28" t="str">
        <f>IFERROR(VLOOKUP($C17,CUENTAS[],3,0),"")</f>
        <v>MDE2025-004</v>
      </c>
      <c r="F17" s="86">
        <v>1599.22</v>
      </c>
      <c r="G17" s="86">
        <v>255.82</v>
      </c>
      <c r="H17" s="74">
        <v>1855.04</v>
      </c>
      <c r="I17" s="200" t="str">
        <f t="shared" si="0"/>
        <v>CORRECTO</v>
      </c>
      <c r="J17" s="88" t="s">
        <v>3244</v>
      </c>
      <c r="K17" s="69" t="s">
        <v>407</v>
      </c>
      <c r="L17" s="84" t="s">
        <v>227</v>
      </c>
      <c r="M17" s="135">
        <v>45814</v>
      </c>
      <c r="N17" s="75" t="s">
        <v>1666</v>
      </c>
      <c r="P17" s="89"/>
      <c r="Q17" s="89"/>
    </row>
    <row r="18" spans="1:17" x14ac:dyDescent="0.3">
      <c r="A18" s="16" t="s">
        <v>232</v>
      </c>
      <c r="B18" s="16" t="s">
        <v>1615</v>
      </c>
      <c r="C18" s="28" t="s">
        <v>224</v>
      </c>
      <c r="D18" s="28" t="str">
        <f>IFERROR(VLOOKUP($C18,CUENTAS[],2,0),"")</f>
        <v>MATERIALES</v>
      </c>
      <c r="E18" s="28" t="str">
        <f>IFERROR(VLOOKUP($C18,CUENTAS[],3,0),"")</f>
        <v>MDE2025-004</v>
      </c>
      <c r="F18" s="86">
        <v>10003.93</v>
      </c>
      <c r="G18" s="86">
        <v>1600.62</v>
      </c>
      <c r="H18" s="74">
        <v>11604.55</v>
      </c>
      <c r="I18" s="200" t="str">
        <f t="shared" si="0"/>
        <v>CORRECTO</v>
      </c>
      <c r="J18" s="88" t="s">
        <v>3244</v>
      </c>
      <c r="K18" s="69" t="s">
        <v>407</v>
      </c>
      <c r="L18" s="84" t="s">
        <v>227</v>
      </c>
      <c r="M18" s="135">
        <v>45814</v>
      </c>
      <c r="N18" s="75" t="s">
        <v>1667</v>
      </c>
      <c r="P18" s="89"/>
      <c r="Q18" s="89"/>
    </row>
    <row r="19" spans="1:17" x14ac:dyDescent="0.3">
      <c r="A19" s="16" t="s">
        <v>232</v>
      </c>
      <c r="B19" s="16" t="s">
        <v>1616</v>
      </c>
      <c r="C19" s="28" t="s">
        <v>224</v>
      </c>
      <c r="D19" s="28" t="str">
        <f>IFERROR(VLOOKUP($C19,CUENTAS[],2,0),"")</f>
        <v>MATERIALES</v>
      </c>
      <c r="E19" s="28" t="str">
        <f>IFERROR(VLOOKUP($C19,CUENTAS[],3,0),"")</f>
        <v>MDE2025-004</v>
      </c>
      <c r="F19" s="86">
        <v>17791.37</v>
      </c>
      <c r="G19" s="86">
        <v>2846.63</v>
      </c>
      <c r="H19" s="74">
        <v>20638</v>
      </c>
      <c r="I19" s="200" t="str">
        <f t="shared" si="0"/>
        <v>CORRECTO</v>
      </c>
      <c r="J19" s="88" t="s">
        <v>3244</v>
      </c>
      <c r="K19" s="69" t="s">
        <v>407</v>
      </c>
      <c r="L19" s="84" t="s">
        <v>227</v>
      </c>
      <c r="M19" s="135">
        <v>45814</v>
      </c>
      <c r="N19" s="75" t="s">
        <v>1668</v>
      </c>
      <c r="P19" s="89"/>
      <c r="Q19" s="89"/>
    </row>
    <row r="20" spans="1:17" x14ac:dyDescent="0.3">
      <c r="A20" s="16" t="s">
        <v>232</v>
      </c>
      <c r="B20" s="16" t="s">
        <v>1617</v>
      </c>
      <c r="C20" s="28" t="s">
        <v>224</v>
      </c>
      <c r="D20" s="28" t="str">
        <f>IFERROR(VLOOKUP($C20,CUENTAS[],2,0),"")</f>
        <v>MATERIALES</v>
      </c>
      <c r="E20" s="28" t="str">
        <f>IFERROR(VLOOKUP($C20,CUENTAS[],3,0),"")</f>
        <v>MDE2025-004</v>
      </c>
      <c r="F20" s="86">
        <v>75364.55</v>
      </c>
      <c r="G20" s="86">
        <v>12058.33</v>
      </c>
      <c r="H20" s="74">
        <v>87422.88</v>
      </c>
      <c r="I20" s="200" t="str">
        <f t="shared" si="0"/>
        <v>CORRECTO</v>
      </c>
      <c r="J20" s="88" t="s">
        <v>3244</v>
      </c>
      <c r="K20" s="69" t="s">
        <v>407</v>
      </c>
      <c r="L20" s="84" t="s">
        <v>227</v>
      </c>
      <c r="M20" s="135">
        <v>45818</v>
      </c>
      <c r="N20" s="75" t="s">
        <v>1675</v>
      </c>
      <c r="P20" s="89"/>
      <c r="Q20" s="89"/>
    </row>
    <row r="21" spans="1:17" x14ac:dyDescent="0.3">
      <c r="A21" s="16" t="s">
        <v>666</v>
      </c>
      <c r="B21" s="16" t="s">
        <v>1618</v>
      </c>
      <c r="C21" s="28" t="s">
        <v>224</v>
      </c>
      <c r="D21" s="28" t="str">
        <f>IFERROR(VLOOKUP($C21,CUENTAS[],2,0),"")</f>
        <v>MATERIALES</v>
      </c>
      <c r="E21" s="28" t="str">
        <f>IFERROR(VLOOKUP($C21,CUENTAS[],3,0),"")</f>
        <v>MDE2025-004</v>
      </c>
      <c r="F21" s="86">
        <v>5109.49</v>
      </c>
      <c r="G21" s="86">
        <v>817.51</v>
      </c>
      <c r="H21" s="74">
        <v>5927</v>
      </c>
      <c r="I21" s="200" t="str">
        <f t="shared" si="0"/>
        <v>CORRECTO</v>
      </c>
      <c r="J21" s="88" t="s">
        <v>3244</v>
      </c>
      <c r="K21" s="69" t="s">
        <v>407</v>
      </c>
      <c r="L21" s="84" t="s">
        <v>227</v>
      </c>
      <c r="M21" s="135">
        <v>45818</v>
      </c>
      <c r="N21" s="75" t="s">
        <v>1676</v>
      </c>
      <c r="P21" s="89"/>
      <c r="Q21" s="89"/>
    </row>
    <row r="22" spans="1:17" x14ac:dyDescent="0.3">
      <c r="A22" s="16" t="s">
        <v>230</v>
      </c>
      <c r="B22" s="16" t="s">
        <v>1308</v>
      </c>
      <c r="C22" s="28" t="s">
        <v>224</v>
      </c>
      <c r="D22" s="28" t="str">
        <f>IFERROR(VLOOKUP($C22,CUENTAS[],2,0),"")</f>
        <v>MATERIALES</v>
      </c>
      <c r="E22" s="28" t="str">
        <f>IFERROR(VLOOKUP($C22,CUENTAS[],3,0),"")</f>
        <v>MDE2025-004</v>
      </c>
      <c r="F22" s="86">
        <v>7327.59</v>
      </c>
      <c r="G22" s="86">
        <v>1172.4100000000001</v>
      </c>
      <c r="H22" s="74">
        <v>8500</v>
      </c>
      <c r="I22" s="200" t="str">
        <f t="shared" si="0"/>
        <v>CORRECTO</v>
      </c>
      <c r="J22" s="88" t="s">
        <v>3244</v>
      </c>
      <c r="K22" s="69" t="s">
        <v>363</v>
      </c>
      <c r="L22" s="84" t="s">
        <v>227</v>
      </c>
      <c r="M22" s="135">
        <v>45818</v>
      </c>
      <c r="N22" s="75" t="s">
        <v>226</v>
      </c>
      <c r="P22" s="89"/>
      <c r="Q22" s="89"/>
    </row>
    <row r="23" spans="1:17" x14ac:dyDescent="0.3">
      <c r="A23" s="16" t="s">
        <v>1068</v>
      </c>
      <c r="B23" s="16" t="s">
        <v>1619</v>
      </c>
      <c r="C23" s="28" t="s">
        <v>177</v>
      </c>
      <c r="D23" s="28" t="str">
        <f>IFERROR(VLOOKUP($C23,CUENTAS[],2,0),"")</f>
        <v>GASTOS FIJOS</v>
      </c>
      <c r="E23" s="28" t="str">
        <f>IFERROR(VLOOKUP($C23,CUENTAS[],3,0),"")</f>
        <v>MDE2025-002A</v>
      </c>
      <c r="F23" s="86">
        <v>2800</v>
      </c>
      <c r="G23" s="86">
        <v>0</v>
      </c>
      <c r="H23" s="74">
        <v>2800</v>
      </c>
      <c r="I23" s="200" t="str">
        <f t="shared" si="0"/>
        <v>CORRECTO</v>
      </c>
      <c r="J23" s="88" t="s">
        <v>3244</v>
      </c>
      <c r="K23" s="69" t="s">
        <v>363</v>
      </c>
      <c r="L23" s="84" t="s">
        <v>227</v>
      </c>
      <c r="M23" s="135">
        <v>45818</v>
      </c>
      <c r="N23" s="75" t="s">
        <v>371</v>
      </c>
      <c r="P23" s="89"/>
      <c r="Q23" s="89"/>
    </row>
    <row r="24" spans="1:17" x14ac:dyDescent="0.3">
      <c r="A24" s="16" t="s">
        <v>541</v>
      </c>
      <c r="B24" s="16" t="s">
        <v>1620</v>
      </c>
      <c r="C24" s="28" t="s">
        <v>224</v>
      </c>
      <c r="D24" s="28" t="str">
        <f>IFERROR(VLOOKUP($C24,CUENTAS[],2,0),"")</f>
        <v>MATERIALES</v>
      </c>
      <c r="E24" s="28" t="str">
        <f>IFERROR(VLOOKUP($C24,CUENTAS[],3,0),"")</f>
        <v>MDE2025-004</v>
      </c>
      <c r="F24" s="86">
        <v>1352</v>
      </c>
      <c r="G24" s="86">
        <v>216.32</v>
      </c>
      <c r="H24" s="74">
        <v>1568.32</v>
      </c>
      <c r="I24" s="200" t="str">
        <f t="shared" si="0"/>
        <v>CORRECTO</v>
      </c>
      <c r="J24" s="88" t="s">
        <v>3244</v>
      </c>
      <c r="K24" s="69" t="s">
        <v>407</v>
      </c>
      <c r="L24" s="84" t="s">
        <v>227</v>
      </c>
      <c r="M24" s="135">
        <v>45818</v>
      </c>
      <c r="N24" s="75" t="s">
        <v>1669</v>
      </c>
      <c r="P24" s="89"/>
      <c r="Q24" s="89"/>
    </row>
    <row r="25" spans="1:17" x14ac:dyDescent="0.3">
      <c r="A25" s="16" t="s">
        <v>236</v>
      </c>
      <c r="B25" s="16" t="s">
        <v>1088</v>
      </c>
      <c r="C25" s="28" t="s">
        <v>223</v>
      </c>
      <c r="D25" s="28" t="str">
        <f>IFERROR(VLOOKUP($C25,CUENTAS[],2,0),"")</f>
        <v>MANTENIMIENTO</v>
      </c>
      <c r="E25" s="28" t="str">
        <f>IFERROR(VLOOKUP($C25,CUENTAS[],3,0),"")</f>
        <v>MDE2025-009B</v>
      </c>
      <c r="F25" s="86">
        <v>3500</v>
      </c>
      <c r="G25" s="86">
        <v>0</v>
      </c>
      <c r="H25" s="74">
        <v>3500</v>
      </c>
      <c r="I25" s="200" t="str">
        <f t="shared" si="0"/>
        <v>CORRECTO</v>
      </c>
      <c r="J25" s="88" t="s">
        <v>3244</v>
      </c>
      <c r="K25" s="69" t="s">
        <v>363</v>
      </c>
      <c r="L25" s="84" t="s">
        <v>227</v>
      </c>
      <c r="M25" s="135">
        <v>45818</v>
      </c>
      <c r="N25" s="75" t="s">
        <v>371</v>
      </c>
      <c r="P25" s="89"/>
      <c r="Q25" s="89"/>
    </row>
    <row r="26" spans="1:17" x14ac:dyDescent="0.3">
      <c r="A26" s="16" t="s">
        <v>238</v>
      </c>
      <c r="B26" s="16" t="s">
        <v>1088</v>
      </c>
      <c r="C26" s="28" t="s">
        <v>223</v>
      </c>
      <c r="D26" s="28" t="str">
        <f>IFERROR(VLOOKUP($C26,CUENTAS[],2,0),"")</f>
        <v>MANTENIMIENTO</v>
      </c>
      <c r="E26" s="28" t="str">
        <f>IFERROR(VLOOKUP($C26,CUENTAS[],3,0),"")</f>
        <v>MDE2025-009B</v>
      </c>
      <c r="F26" s="86">
        <v>3200</v>
      </c>
      <c r="G26" s="86">
        <v>0</v>
      </c>
      <c r="H26" s="74">
        <v>3200</v>
      </c>
      <c r="I26" s="200" t="str">
        <f t="shared" si="0"/>
        <v>CORRECTO</v>
      </c>
      <c r="J26" s="88" t="s">
        <v>3244</v>
      </c>
      <c r="K26" s="69" t="s">
        <v>363</v>
      </c>
      <c r="L26" s="84" t="s">
        <v>227</v>
      </c>
      <c r="M26" s="135">
        <v>45818</v>
      </c>
      <c r="N26" s="75" t="s">
        <v>371</v>
      </c>
      <c r="P26" s="89"/>
      <c r="Q26" s="89"/>
    </row>
    <row r="27" spans="1:17" x14ac:dyDescent="0.3">
      <c r="A27" s="16" t="s">
        <v>283</v>
      </c>
      <c r="B27" s="16">
        <v>2541931</v>
      </c>
      <c r="C27" s="28" t="s">
        <v>120</v>
      </c>
      <c r="D27" s="28" t="str">
        <f>IFERROR(VLOOKUP($C27,CUENTAS[],2,0),"")</f>
        <v>TOKA</v>
      </c>
      <c r="E27" s="28" t="str">
        <f>IFERROR(VLOOKUP($C27,CUENTAS[],3,0),"")</f>
        <v>TOK2025-001C</v>
      </c>
      <c r="F27" s="86">
        <v>580</v>
      </c>
      <c r="G27" s="86">
        <v>0</v>
      </c>
      <c r="H27" s="74">
        <v>580</v>
      </c>
      <c r="I27" s="200" t="str">
        <f t="shared" si="0"/>
        <v>CORRECTO</v>
      </c>
      <c r="J27" s="88" t="s">
        <v>3244</v>
      </c>
      <c r="K27" s="69" t="s">
        <v>363</v>
      </c>
      <c r="L27" s="84" t="s">
        <v>227</v>
      </c>
      <c r="M27" s="135">
        <v>45819</v>
      </c>
      <c r="N27" s="75" t="s">
        <v>570</v>
      </c>
      <c r="P27" s="89"/>
      <c r="Q27" s="89"/>
    </row>
    <row r="28" spans="1:17" x14ac:dyDescent="0.3">
      <c r="A28" s="16" t="s">
        <v>629</v>
      </c>
      <c r="B28" s="16" t="s">
        <v>1621</v>
      </c>
      <c r="C28" s="28" t="s">
        <v>224</v>
      </c>
      <c r="D28" s="28" t="str">
        <f>IFERROR(VLOOKUP($C28,CUENTAS[],2,0),"")</f>
        <v>MATERIALES</v>
      </c>
      <c r="E28" s="28" t="str">
        <f>IFERROR(VLOOKUP($C28,CUENTAS[],3,0),"")</f>
        <v>MDE2025-004</v>
      </c>
      <c r="F28" s="86">
        <v>125</v>
      </c>
      <c r="G28" s="86">
        <v>0</v>
      </c>
      <c r="H28" s="74">
        <v>125</v>
      </c>
      <c r="I28" s="200" t="str">
        <f t="shared" si="0"/>
        <v>CORRECTO</v>
      </c>
      <c r="J28" s="88" t="s">
        <v>3244</v>
      </c>
      <c r="K28" s="69" t="s">
        <v>357</v>
      </c>
      <c r="L28" s="84" t="s">
        <v>227</v>
      </c>
      <c r="M28" s="135">
        <v>45820</v>
      </c>
      <c r="N28" s="75" t="s">
        <v>368</v>
      </c>
      <c r="P28" s="89"/>
      <c r="Q28" s="89"/>
    </row>
    <row r="29" spans="1:17" x14ac:dyDescent="0.3">
      <c r="A29" s="16" t="s">
        <v>1622</v>
      </c>
      <c r="B29" s="16" t="s">
        <v>1623</v>
      </c>
      <c r="C29" s="28" t="s">
        <v>224</v>
      </c>
      <c r="D29" s="28" t="str">
        <f>IFERROR(VLOOKUP($C29,CUENTAS[],2,0),"")</f>
        <v>MATERIALES</v>
      </c>
      <c r="E29" s="28" t="str">
        <f>IFERROR(VLOOKUP($C29,CUENTAS[],3,0),"")</f>
        <v>MDE2025-004</v>
      </c>
      <c r="F29" s="86">
        <v>5601.56</v>
      </c>
      <c r="G29" s="86">
        <v>896.24</v>
      </c>
      <c r="H29" s="74">
        <v>6497.8</v>
      </c>
      <c r="I29" s="200" t="str">
        <f t="shared" si="0"/>
        <v>CORRECTO</v>
      </c>
      <c r="J29" s="88" t="s">
        <v>3244</v>
      </c>
      <c r="K29" s="69" t="s">
        <v>407</v>
      </c>
      <c r="L29" s="84" t="s">
        <v>227</v>
      </c>
      <c r="M29" s="136">
        <v>45820</v>
      </c>
      <c r="N29" s="75" t="s">
        <v>1670</v>
      </c>
      <c r="P29" s="89"/>
      <c r="Q29" s="89"/>
    </row>
    <row r="30" spans="1:17" x14ac:dyDescent="0.3">
      <c r="A30" s="16" t="s">
        <v>341</v>
      </c>
      <c r="B30" s="16" t="s">
        <v>1624</v>
      </c>
      <c r="C30" s="28" t="s">
        <v>135</v>
      </c>
      <c r="D30" s="28" t="str">
        <f>IFERROR(VLOOKUP($C30,CUENTAS[],2,0),"")</f>
        <v>EVENTOS INTERNOS</v>
      </c>
      <c r="E30" s="28" t="str">
        <f>IFERROR(VLOOKUP($C30,CUENTAS[],3,0),"")</f>
        <v>MDE2025-008B</v>
      </c>
      <c r="F30" s="86">
        <v>1100</v>
      </c>
      <c r="G30" s="86">
        <v>0</v>
      </c>
      <c r="H30" s="74">
        <v>1100</v>
      </c>
      <c r="I30" s="200" t="str">
        <f t="shared" si="0"/>
        <v>CORRECTO</v>
      </c>
      <c r="J30" s="88" t="s">
        <v>3244</v>
      </c>
      <c r="K30" s="69" t="s">
        <v>1423</v>
      </c>
      <c r="L30" s="84" t="s">
        <v>227</v>
      </c>
      <c r="M30" s="136">
        <v>45820</v>
      </c>
      <c r="N30" s="75" t="s">
        <v>368</v>
      </c>
      <c r="P30" s="89"/>
      <c r="Q30" s="89"/>
    </row>
    <row r="31" spans="1:17" x14ac:dyDescent="0.3">
      <c r="A31" s="16" t="s">
        <v>666</v>
      </c>
      <c r="B31" s="16" t="s">
        <v>1625</v>
      </c>
      <c r="C31" s="28" t="s">
        <v>224</v>
      </c>
      <c r="D31" s="28" t="str">
        <f>IFERROR(VLOOKUP($C31,CUENTAS[],2,0),"")</f>
        <v>MATERIALES</v>
      </c>
      <c r="E31" s="28" t="str">
        <f>IFERROR(VLOOKUP($C31,CUENTAS[],3,0),"")</f>
        <v>MDE2025-004</v>
      </c>
      <c r="F31" s="86">
        <v>15811.21</v>
      </c>
      <c r="G31" s="86">
        <v>2529.79</v>
      </c>
      <c r="H31" s="74">
        <v>18341</v>
      </c>
      <c r="I31" s="200" t="str">
        <f t="shared" si="0"/>
        <v>CORRECTO</v>
      </c>
      <c r="J31" s="88" t="s">
        <v>3244</v>
      </c>
      <c r="K31" s="69" t="s">
        <v>407</v>
      </c>
      <c r="L31" s="84" t="s">
        <v>227</v>
      </c>
      <c r="M31" s="135">
        <v>45820</v>
      </c>
      <c r="N31" s="75" t="s">
        <v>1677</v>
      </c>
      <c r="P31" s="89"/>
      <c r="Q31" s="89"/>
    </row>
    <row r="32" spans="1:17" x14ac:dyDescent="0.3">
      <c r="A32" s="16" t="s">
        <v>284</v>
      </c>
      <c r="B32" s="16" t="s">
        <v>1626</v>
      </c>
      <c r="C32" s="28" t="s">
        <v>170</v>
      </c>
      <c r="D32" s="28" t="str">
        <f>IFERROR(VLOOKUP($C32,CUENTAS[],2,0),"")</f>
        <v>ACTIVOS FIJOS</v>
      </c>
      <c r="E32" s="28" t="str">
        <f>IFERROR(VLOOKUP($C32,CUENTAS[],3,0),"")</f>
        <v>MDE2025-007H</v>
      </c>
      <c r="F32" s="86">
        <v>1787.93</v>
      </c>
      <c r="G32" s="86">
        <v>286.07</v>
      </c>
      <c r="H32" s="74">
        <v>2074</v>
      </c>
      <c r="I32" s="200" t="str">
        <f t="shared" si="0"/>
        <v>CORRECTO</v>
      </c>
      <c r="J32" s="88" t="s">
        <v>3244</v>
      </c>
      <c r="K32" s="69" t="s">
        <v>407</v>
      </c>
      <c r="L32" s="84" t="s">
        <v>227</v>
      </c>
      <c r="M32" s="135">
        <v>45820</v>
      </c>
      <c r="N32" s="75" t="s">
        <v>368</v>
      </c>
      <c r="P32" s="89"/>
      <c r="Q32" s="89"/>
    </row>
    <row r="33" spans="1:17" x14ac:dyDescent="0.3">
      <c r="A33" s="16" t="s">
        <v>341</v>
      </c>
      <c r="B33" s="16" t="s">
        <v>1627</v>
      </c>
      <c r="C33" s="28" t="s">
        <v>109</v>
      </c>
      <c r="D33" s="28" t="str">
        <f>IFERROR(VLOOKUP($C33,CUENTAS[],2,0),"")</f>
        <v>LOGÍSTICA</v>
      </c>
      <c r="E33" s="28" t="str">
        <f>IFERROR(VLOOKUP($C33,CUENTAS[],3,0),"")</f>
        <v>MDE2025-006A</v>
      </c>
      <c r="F33" s="86">
        <v>5370</v>
      </c>
      <c r="G33" s="86">
        <v>0</v>
      </c>
      <c r="H33" s="74">
        <v>5370</v>
      </c>
      <c r="I33" s="200" t="str">
        <f t="shared" si="0"/>
        <v>CORRECTO</v>
      </c>
      <c r="J33" s="88" t="s">
        <v>3244</v>
      </c>
      <c r="K33" s="69" t="s">
        <v>1423</v>
      </c>
      <c r="L33" s="84" t="s">
        <v>227</v>
      </c>
      <c r="M33" s="135">
        <v>45820</v>
      </c>
      <c r="N33" s="75" t="s">
        <v>368</v>
      </c>
      <c r="P33" s="89"/>
      <c r="Q33" s="89"/>
    </row>
    <row r="34" spans="1:17" x14ac:dyDescent="0.3">
      <c r="A34" s="16" t="s">
        <v>666</v>
      </c>
      <c r="B34" s="16" t="s">
        <v>1628</v>
      </c>
      <c r="C34" s="28" t="s">
        <v>224</v>
      </c>
      <c r="D34" s="28" t="str">
        <f>IFERROR(VLOOKUP($C34,CUENTAS[],2,0),"")</f>
        <v>MATERIALES</v>
      </c>
      <c r="E34" s="28" t="str">
        <f>IFERROR(VLOOKUP($C34,CUENTAS[],3,0),"")</f>
        <v>MDE2025-004</v>
      </c>
      <c r="F34" s="86">
        <v>57051.73</v>
      </c>
      <c r="G34" s="86">
        <v>9128.27</v>
      </c>
      <c r="H34" s="74">
        <v>66180</v>
      </c>
      <c r="I34" s="200" t="str">
        <f t="shared" si="0"/>
        <v>CORRECTO</v>
      </c>
      <c r="J34" s="88" t="s">
        <v>3244</v>
      </c>
      <c r="K34" s="69" t="s">
        <v>407</v>
      </c>
      <c r="L34" s="84" t="s">
        <v>227</v>
      </c>
      <c r="M34" s="135">
        <v>45821</v>
      </c>
      <c r="N34" s="75" t="s">
        <v>1678</v>
      </c>
      <c r="P34" s="89"/>
      <c r="Q34" s="89"/>
    </row>
    <row r="35" spans="1:17" x14ac:dyDescent="0.3">
      <c r="A35" s="16" t="s">
        <v>341</v>
      </c>
      <c r="B35" s="16" t="s">
        <v>1629</v>
      </c>
      <c r="C35" s="28" t="s">
        <v>135</v>
      </c>
      <c r="D35" s="28" t="str">
        <f>IFERROR(VLOOKUP($C35,CUENTAS[],2,0),"")</f>
        <v>EVENTOS INTERNOS</v>
      </c>
      <c r="E35" s="28" t="str">
        <f>IFERROR(VLOOKUP($C35,CUENTAS[],3,0),"")</f>
        <v>MDE2025-008B</v>
      </c>
      <c r="F35" s="86">
        <v>130.11000000000001</v>
      </c>
      <c r="G35" s="86">
        <v>0</v>
      </c>
      <c r="H35" s="74">
        <v>130.11000000000001</v>
      </c>
      <c r="I35" s="200" t="str">
        <f t="shared" si="0"/>
        <v>CORRECTO</v>
      </c>
      <c r="J35" s="88" t="s">
        <v>3244</v>
      </c>
      <c r="K35" s="69" t="s">
        <v>364</v>
      </c>
      <c r="L35" s="84" t="s">
        <v>227</v>
      </c>
      <c r="M35" s="135">
        <v>45821</v>
      </c>
      <c r="N35" s="75" t="s">
        <v>368</v>
      </c>
      <c r="P35" s="89"/>
      <c r="Q35" s="89"/>
    </row>
    <row r="36" spans="1:17" x14ac:dyDescent="0.3">
      <c r="A36" s="16" t="s">
        <v>228</v>
      </c>
      <c r="B36" s="16" t="s">
        <v>1630</v>
      </c>
      <c r="C36" s="28" t="s">
        <v>126</v>
      </c>
      <c r="D36" s="28" t="str">
        <f>IFERROR(VLOOKUP($C36,CUENTAS[],2,0),"")</f>
        <v>ACTIVOS FIJOS</v>
      </c>
      <c r="E36" s="28" t="str">
        <f>IFERROR(VLOOKUP($C36,CUENTAS[],3,0),"")</f>
        <v>MDE2025-007A</v>
      </c>
      <c r="F36" s="86">
        <v>10000</v>
      </c>
      <c r="G36" s="86">
        <v>0</v>
      </c>
      <c r="H36" s="74">
        <v>10000</v>
      </c>
      <c r="I36" s="200" t="str">
        <f t="shared" si="0"/>
        <v>CORRECTO</v>
      </c>
      <c r="J36" s="88" t="s">
        <v>3244</v>
      </c>
      <c r="K36" s="69" t="s">
        <v>363</v>
      </c>
      <c r="L36" s="84" t="s">
        <v>227</v>
      </c>
      <c r="M36" s="135">
        <v>45821</v>
      </c>
      <c r="N36" s="75" t="s">
        <v>368</v>
      </c>
      <c r="P36" s="89"/>
      <c r="Q36" s="89"/>
    </row>
    <row r="37" spans="1:17" x14ac:dyDescent="0.3">
      <c r="A37" s="16" t="s">
        <v>228</v>
      </c>
      <c r="B37" s="16" t="s">
        <v>1631</v>
      </c>
      <c r="C37" s="28" t="s">
        <v>224</v>
      </c>
      <c r="D37" s="28" t="str">
        <f>IFERROR(VLOOKUP($C37,CUENTAS[],2,0),"")</f>
        <v>MATERIALES</v>
      </c>
      <c r="E37" s="28" t="str">
        <f>IFERROR(VLOOKUP($C37,CUENTAS[],3,0),"")</f>
        <v>MDE2025-004</v>
      </c>
      <c r="F37" s="86">
        <v>9750</v>
      </c>
      <c r="G37" s="86">
        <v>0</v>
      </c>
      <c r="H37" s="74">
        <v>9750</v>
      </c>
      <c r="I37" s="200" t="str">
        <f t="shared" si="0"/>
        <v>CORRECTO</v>
      </c>
      <c r="J37" s="88" t="s">
        <v>3244</v>
      </c>
      <c r="K37" s="69" t="s">
        <v>363</v>
      </c>
      <c r="L37" s="84" t="s">
        <v>227</v>
      </c>
      <c r="M37" s="135">
        <v>45821</v>
      </c>
      <c r="N37" s="75" t="s">
        <v>368</v>
      </c>
      <c r="P37" s="89"/>
      <c r="Q37" s="89"/>
    </row>
    <row r="38" spans="1:17" x14ac:dyDescent="0.3">
      <c r="A38" s="16" t="s">
        <v>228</v>
      </c>
      <c r="B38" s="16" t="s">
        <v>1632</v>
      </c>
      <c r="C38" s="28" t="s">
        <v>113</v>
      </c>
      <c r="D38" s="28" t="str">
        <f>IFERROR(VLOOKUP($C38,CUENTAS[],2,0),"")</f>
        <v>GASTOS VARIOS</v>
      </c>
      <c r="E38" s="28" t="str">
        <f>IFERROR(VLOOKUP($C38,CUENTAS[],3,0),"")</f>
        <v>MDE2025-003B</v>
      </c>
      <c r="F38" s="86">
        <v>9036</v>
      </c>
      <c r="G38" s="86">
        <v>0</v>
      </c>
      <c r="H38" s="74">
        <v>9036</v>
      </c>
      <c r="I38" s="200" t="str">
        <f t="shared" si="0"/>
        <v>CORRECTO</v>
      </c>
      <c r="J38" s="88" t="s">
        <v>3244</v>
      </c>
      <c r="K38" s="69" t="s">
        <v>363</v>
      </c>
      <c r="L38" s="84" t="s">
        <v>227</v>
      </c>
      <c r="M38" s="136">
        <v>45821</v>
      </c>
      <c r="N38" s="75" t="s">
        <v>368</v>
      </c>
      <c r="P38" s="89"/>
      <c r="Q38" s="89"/>
    </row>
    <row r="39" spans="1:17" x14ac:dyDescent="0.3">
      <c r="A39" s="16" t="s">
        <v>284</v>
      </c>
      <c r="B39" s="16" t="s">
        <v>1633</v>
      </c>
      <c r="C39" s="28" t="s">
        <v>222</v>
      </c>
      <c r="D39" s="28" t="str">
        <f>IFERROR(VLOOKUP($C39,CUENTAS[],2,0),"")</f>
        <v>MANTENIMIENTO</v>
      </c>
      <c r="E39" s="28" t="str">
        <f>IFERROR(VLOOKUP($C39,CUENTAS[],3,0),"")</f>
        <v>MDE2025-009A</v>
      </c>
      <c r="F39" s="86">
        <v>180</v>
      </c>
      <c r="G39" s="86">
        <v>0</v>
      </c>
      <c r="H39" s="74">
        <v>180</v>
      </c>
      <c r="I39" s="200" t="str">
        <f t="shared" si="0"/>
        <v>CORRECTO</v>
      </c>
      <c r="J39" s="88" t="s">
        <v>3244</v>
      </c>
      <c r="K39" s="69" t="s">
        <v>1423</v>
      </c>
      <c r="L39" s="84" t="s">
        <v>227</v>
      </c>
      <c r="M39" s="135">
        <v>45826</v>
      </c>
      <c r="N39" s="75" t="s">
        <v>368</v>
      </c>
      <c r="P39" s="89"/>
      <c r="Q39" s="89"/>
    </row>
    <row r="40" spans="1:17" x14ac:dyDescent="0.3">
      <c r="A40" s="16" t="s">
        <v>275</v>
      </c>
      <c r="B40" s="16" t="s">
        <v>1634</v>
      </c>
      <c r="C40" s="28" t="s">
        <v>121</v>
      </c>
      <c r="D40" s="28" t="str">
        <f>IFERROR(VLOOKUP($C40,CUENTAS[],2,0),"")</f>
        <v>GASTOS FIJOS</v>
      </c>
      <c r="E40" s="28" t="str">
        <f>IFERROR(VLOOKUP($C40,CUENTAS[],3,0),"")</f>
        <v>MDE2025-002K</v>
      </c>
      <c r="F40" s="86">
        <v>15525</v>
      </c>
      <c r="G40" s="86">
        <v>2484</v>
      </c>
      <c r="H40" s="74">
        <v>18009</v>
      </c>
      <c r="I40" s="200" t="str">
        <f t="shared" si="0"/>
        <v>CORRECTO</v>
      </c>
      <c r="J40" s="88" t="s">
        <v>3244</v>
      </c>
      <c r="K40" s="69" t="s">
        <v>1423</v>
      </c>
      <c r="L40" s="84" t="s">
        <v>227</v>
      </c>
      <c r="M40" s="137">
        <v>45826</v>
      </c>
      <c r="N40" s="75" t="s">
        <v>1671</v>
      </c>
      <c r="P40" s="89"/>
      <c r="Q40" s="89"/>
    </row>
    <row r="41" spans="1:17" x14ac:dyDescent="0.3">
      <c r="A41" s="16" t="s">
        <v>666</v>
      </c>
      <c r="B41" s="16" t="s">
        <v>1635</v>
      </c>
      <c r="C41" s="28" t="s">
        <v>224</v>
      </c>
      <c r="D41" s="28" t="str">
        <f>IFERROR(VLOOKUP($C41,CUENTAS[],2,0),"")</f>
        <v>MATERIALES</v>
      </c>
      <c r="E41" s="28" t="str">
        <f>IFERROR(VLOOKUP($C41,CUENTAS[],3,0),"")</f>
        <v>MDE2025-004</v>
      </c>
      <c r="F41" s="86">
        <v>8973.2800000000007</v>
      </c>
      <c r="G41" s="86">
        <v>1435.72</v>
      </c>
      <c r="H41" s="74">
        <v>10409</v>
      </c>
      <c r="I41" s="200" t="str">
        <f t="shared" si="0"/>
        <v>CORRECTO</v>
      </c>
      <c r="J41" s="88" t="s">
        <v>3244</v>
      </c>
      <c r="K41" s="69" t="s">
        <v>407</v>
      </c>
      <c r="L41" s="84" t="s">
        <v>227</v>
      </c>
      <c r="M41" s="137">
        <v>45826</v>
      </c>
      <c r="N41" s="75" t="s">
        <v>1679</v>
      </c>
      <c r="P41" s="89"/>
      <c r="Q41" s="89"/>
    </row>
    <row r="42" spans="1:17" x14ac:dyDescent="0.3">
      <c r="A42" s="16" t="s">
        <v>1607</v>
      </c>
      <c r="B42" s="16" t="s">
        <v>1636</v>
      </c>
      <c r="C42" s="28" t="s">
        <v>224</v>
      </c>
      <c r="D42" s="28" t="str">
        <f>IFERROR(VLOOKUP($C42,CUENTAS[],2,0),"")</f>
        <v>MATERIALES</v>
      </c>
      <c r="E42" s="28" t="str">
        <f>IFERROR(VLOOKUP($C42,CUENTAS[],3,0),"")</f>
        <v>MDE2025-004</v>
      </c>
      <c r="F42" s="86">
        <v>34960</v>
      </c>
      <c r="G42" s="86">
        <v>5593.6</v>
      </c>
      <c r="H42" s="74">
        <v>40553.599999999999</v>
      </c>
      <c r="I42" s="200" t="str">
        <f t="shared" si="0"/>
        <v>CORRECTO</v>
      </c>
      <c r="J42" s="88" t="s">
        <v>3244</v>
      </c>
      <c r="K42" s="69" t="s">
        <v>407</v>
      </c>
      <c r="L42" s="84" t="s">
        <v>227</v>
      </c>
      <c r="M42" s="135">
        <v>45826</v>
      </c>
      <c r="N42" s="75" t="s">
        <v>1672</v>
      </c>
      <c r="P42" s="89"/>
      <c r="Q42" s="89"/>
    </row>
    <row r="43" spans="1:17" x14ac:dyDescent="0.3">
      <c r="A43" s="16" t="s">
        <v>230</v>
      </c>
      <c r="B43" s="16" t="s">
        <v>1637</v>
      </c>
      <c r="C43" s="28" t="s">
        <v>201</v>
      </c>
      <c r="D43" s="28" t="str">
        <f>IFERROR(VLOOKUP($C43,CUENTAS[],2,0),"")</f>
        <v>ACTIVOS FIJOS</v>
      </c>
      <c r="E43" s="28" t="str">
        <f>IFERROR(VLOOKUP($C43,CUENTAS[],3,0),"")</f>
        <v>MDE2025-007I</v>
      </c>
      <c r="F43" s="86">
        <v>2946.56</v>
      </c>
      <c r="G43" s="86">
        <v>471.44</v>
      </c>
      <c r="H43" s="74">
        <v>3418</v>
      </c>
      <c r="I43" s="200" t="str">
        <f t="shared" si="0"/>
        <v>CORRECTO</v>
      </c>
      <c r="J43" s="88" t="s">
        <v>3244</v>
      </c>
      <c r="K43" s="69" t="s">
        <v>407</v>
      </c>
      <c r="L43" s="84" t="s">
        <v>227</v>
      </c>
      <c r="M43" s="135">
        <v>45826</v>
      </c>
      <c r="N43" s="75" t="s">
        <v>1673</v>
      </c>
      <c r="P43" s="89"/>
      <c r="Q43" s="89"/>
    </row>
    <row r="44" spans="1:17" x14ac:dyDescent="0.3">
      <c r="A44" s="16" t="s">
        <v>283</v>
      </c>
      <c r="B44" s="16">
        <v>2550362</v>
      </c>
      <c r="C44" s="28" t="s">
        <v>120</v>
      </c>
      <c r="D44" s="28" t="str">
        <f>IFERROR(VLOOKUP($C44,CUENTAS[],2,0),"")</f>
        <v>TOKA</v>
      </c>
      <c r="E44" s="28" t="str">
        <f>IFERROR(VLOOKUP($C44,CUENTAS[],3,0),"")</f>
        <v>TOK2025-001C</v>
      </c>
      <c r="F44" s="86">
        <v>464</v>
      </c>
      <c r="G44" s="86">
        <v>0</v>
      </c>
      <c r="H44" s="74">
        <v>464</v>
      </c>
      <c r="I44" s="200" t="str">
        <f t="shared" si="0"/>
        <v>CORRECTO</v>
      </c>
      <c r="J44" s="88" t="s">
        <v>3244</v>
      </c>
      <c r="K44" s="69" t="s">
        <v>363</v>
      </c>
      <c r="L44" s="84" t="s">
        <v>227</v>
      </c>
      <c r="M44" s="135">
        <v>44001</v>
      </c>
      <c r="N44" s="75" t="s">
        <v>570</v>
      </c>
      <c r="P44" s="89"/>
      <c r="Q44" s="89"/>
    </row>
    <row r="45" spans="1:17" x14ac:dyDescent="0.3">
      <c r="A45" s="16" t="s">
        <v>1293</v>
      </c>
      <c r="B45" s="16" t="s">
        <v>1638</v>
      </c>
      <c r="C45" s="28" t="s">
        <v>224</v>
      </c>
      <c r="D45" s="28" t="str">
        <f>IFERROR(VLOOKUP($C45,CUENTAS[],2,0),"")</f>
        <v>MATERIALES</v>
      </c>
      <c r="E45" s="28" t="str">
        <f>IFERROR(VLOOKUP($C45,CUENTAS[],3,0),"")</f>
        <v>MDE2025-004</v>
      </c>
      <c r="F45" s="86">
        <v>668.97</v>
      </c>
      <c r="G45" s="86">
        <v>107.03</v>
      </c>
      <c r="H45" s="74">
        <v>776</v>
      </c>
      <c r="I45" s="200" t="str">
        <f t="shared" si="0"/>
        <v>CORRECTO</v>
      </c>
      <c r="J45" s="88" t="s">
        <v>3244</v>
      </c>
      <c r="K45" s="69" t="s">
        <v>407</v>
      </c>
      <c r="L45" s="84" t="s">
        <v>227</v>
      </c>
      <c r="M45" s="135">
        <v>45827</v>
      </c>
      <c r="N45" s="75" t="s">
        <v>368</v>
      </c>
      <c r="P45" s="89"/>
      <c r="Q45" s="89"/>
    </row>
    <row r="46" spans="1:17" x14ac:dyDescent="0.3">
      <c r="A46" s="16" t="s">
        <v>228</v>
      </c>
      <c r="B46" s="16" t="s">
        <v>1639</v>
      </c>
      <c r="C46" s="28" t="s">
        <v>223</v>
      </c>
      <c r="D46" s="28" t="str">
        <f>IFERROR(VLOOKUP($C46,CUENTAS[],2,0),"")</f>
        <v>MANTENIMIENTO</v>
      </c>
      <c r="E46" s="28" t="str">
        <f>IFERROR(VLOOKUP($C46,CUENTAS[],3,0),"")</f>
        <v>MDE2025-009B</v>
      </c>
      <c r="F46" s="86">
        <v>2000</v>
      </c>
      <c r="G46" s="86">
        <v>0</v>
      </c>
      <c r="H46" s="74">
        <v>2000</v>
      </c>
      <c r="I46" s="200" t="str">
        <f t="shared" si="0"/>
        <v>CORRECTO</v>
      </c>
      <c r="J46" s="88" t="s">
        <v>3244</v>
      </c>
      <c r="K46" s="69" t="s">
        <v>1423</v>
      </c>
      <c r="L46" s="84" t="s">
        <v>227</v>
      </c>
      <c r="M46" s="135">
        <v>45831</v>
      </c>
      <c r="N46" s="75" t="s">
        <v>368</v>
      </c>
      <c r="P46" s="89"/>
      <c r="Q46" s="89"/>
    </row>
    <row r="47" spans="1:17" x14ac:dyDescent="0.3">
      <c r="A47" s="16" t="s">
        <v>228</v>
      </c>
      <c r="B47" s="16" t="s">
        <v>1640</v>
      </c>
      <c r="C47" s="28" t="s">
        <v>223</v>
      </c>
      <c r="D47" s="28" t="str">
        <f>IFERROR(VLOOKUP($C47,CUENTAS[],2,0),"")</f>
        <v>MANTENIMIENTO</v>
      </c>
      <c r="E47" s="28" t="str">
        <f>IFERROR(VLOOKUP($C47,CUENTAS[],3,0),"")</f>
        <v>MDE2025-009B</v>
      </c>
      <c r="F47" s="86">
        <v>3500</v>
      </c>
      <c r="G47" s="86">
        <v>0</v>
      </c>
      <c r="H47" s="74">
        <v>3500</v>
      </c>
      <c r="I47" s="200" t="str">
        <f t="shared" si="0"/>
        <v>CORRECTO</v>
      </c>
      <c r="J47" s="88" t="s">
        <v>3244</v>
      </c>
      <c r="K47" s="69" t="s">
        <v>1423</v>
      </c>
      <c r="L47" s="84" t="s">
        <v>227</v>
      </c>
      <c r="M47" s="135">
        <v>45831</v>
      </c>
      <c r="N47" s="75" t="s">
        <v>368</v>
      </c>
      <c r="P47" s="89"/>
      <c r="Q47" s="89"/>
    </row>
    <row r="48" spans="1:17" x14ac:dyDescent="0.3">
      <c r="A48" s="16" t="s">
        <v>228</v>
      </c>
      <c r="B48" s="16" t="s">
        <v>1641</v>
      </c>
      <c r="C48" s="28" t="s">
        <v>223</v>
      </c>
      <c r="D48" s="28" t="str">
        <f>IFERROR(VLOOKUP($C48,CUENTAS[],2,0),"")</f>
        <v>MANTENIMIENTO</v>
      </c>
      <c r="E48" s="28" t="str">
        <f>IFERROR(VLOOKUP($C48,CUENTAS[],3,0),"")</f>
        <v>MDE2025-009B</v>
      </c>
      <c r="F48" s="86">
        <v>17200</v>
      </c>
      <c r="G48" s="86">
        <v>0</v>
      </c>
      <c r="H48" s="74">
        <v>17200</v>
      </c>
      <c r="I48" s="200" t="str">
        <f t="shared" si="0"/>
        <v>CORRECTO</v>
      </c>
      <c r="J48" s="88" t="s">
        <v>3244</v>
      </c>
      <c r="K48" s="69" t="s">
        <v>363</v>
      </c>
      <c r="L48" s="84" t="s">
        <v>227</v>
      </c>
      <c r="M48" s="135">
        <v>45831</v>
      </c>
      <c r="N48" s="75" t="s">
        <v>368</v>
      </c>
      <c r="P48" s="89"/>
      <c r="Q48" s="89"/>
    </row>
    <row r="49" spans="1:17" x14ac:dyDescent="0.3">
      <c r="A49" s="16" t="s">
        <v>228</v>
      </c>
      <c r="B49" s="16" t="s">
        <v>1642</v>
      </c>
      <c r="C49" s="28" t="s">
        <v>157</v>
      </c>
      <c r="D49" s="28" t="str">
        <f>IFERROR(VLOOKUP($C49,CUENTAS[],2,0),"")</f>
        <v>GASTOS FIJOS</v>
      </c>
      <c r="E49" s="28" t="str">
        <f>IFERROR(VLOOKUP($C49,CUENTAS[],3,0),"")</f>
        <v>MDE2025-002Q</v>
      </c>
      <c r="F49" s="86">
        <v>2000</v>
      </c>
      <c r="G49" s="86">
        <v>0</v>
      </c>
      <c r="H49" s="74">
        <v>2000</v>
      </c>
      <c r="I49" s="200" t="str">
        <f t="shared" si="0"/>
        <v>CORRECTO</v>
      </c>
      <c r="J49" s="88" t="s">
        <v>3244</v>
      </c>
      <c r="K49" s="69" t="s">
        <v>363</v>
      </c>
      <c r="L49" s="84" t="s">
        <v>227</v>
      </c>
      <c r="M49" s="135">
        <v>45831</v>
      </c>
      <c r="N49" s="75" t="s">
        <v>368</v>
      </c>
      <c r="P49" s="89"/>
      <c r="Q49" s="89"/>
    </row>
    <row r="50" spans="1:17" x14ac:dyDescent="0.3">
      <c r="A50" s="16" t="s">
        <v>228</v>
      </c>
      <c r="B50" s="16" t="s">
        <v>1643</v>
      </c>
      <c r="C50" s="28" t="s">
        <v>201</v>
      </c>
      <c r="D50" s="28" t="str">
        <f>IFERROR(VLOOKUP($C50,CUENTAS[],2,0),"")</f>
        <v>ACTIVOS FIJOS</v>
      </c>
      <c r="E50" s="28" t="str">
        <f>IFERROR(VLOOKUP($C50,CUENTAS[],3,0),"")</f>
        <v>MDE2025-007I</v>
      </c>
      <c r="F50" s="86">
        <v>2000</v>
      </c>
      <c r="G50" s="86">
        <v>0</v>
      </c>
      <c r="H50" s="74">
        <v>2000</v>
      </c>
      <c r="I50" s="200" t="str">
        <f t="shared" si="0"/>
        <v>CORRECTO</v>
      </c>
      <c r="J50" s="88" t="s">
        <v>3244</v>
      </c>
      <c r="K50" s="69" t="s">
        <v>1423</v>
      </c>
      <c r="L50" s="84" t="s">
        <v>227</v>
      </c>
      <c r="M50" s="135">
        <v>45831</v>
      </c>
      <c r="N50" s="75" t="s">
        <v>368</v>
      </c>
      <c r="P50" s="89"/>
      <c r="Q50" s="89"/>
    </row>
    <row r="51" spans="1:17" x14ac:dyDescent="0.3">
      <c r="A51" s="16" t="s">
        <v>1397</v>
      </c>
      <c r="B51" s="16" t="s">
        <v>1644</v>
      </c>
      <c r="C51" s="28" t="s">
        <v>224</v>
      </c>
      <c r="D51" s="28" t="str">
        <f>IFERROR(VLOOKUP($C51,CUENTAS[],2,0),"")</f>
        <v>MATERIALES</v>
      </c>
      <c r="E51" s="28" t="str">
        <f>IFERROR(VLOOKUP($C51,CUENTAS[],3,0),"")</f>
        <v>MDE2025-004</v>
      </c>
      <c r="F51" s="86">
        <v>1899</v>
      </c>
      <c r="G51" s="86">
        <v>0</v>
      </c>
      <c r="H51" s="74">
        <v>1899</v>
      </c>
      <c r="I51" s="200" t="str">
        <f t="shared" si="0"/>
        <v>CORRECTO</v>
      </c>
      <c r="J51" s="88" t="s">
        <v>3244</v>
      </c>
      <c r="K51" s="69" t="s">
        <v>361</v>
      </c>
      <c r="L51" s="84" t="s">
        <v>227</v>
      </c>
      <c r="M51" s="136">
        <v>45831</v>
      </c>
      <c r="N51" s="75" t="s">
        <v>1674</v>
      </c>
      <c r="P51" s="89"/>
      <c r="Q51" s="89"/>
    </row>
    <row r="52" spans="1:17" x14ac:dyDescent="0.3">
      <c r="A52" s="16" t="s">
        <v>341</v>
      </c>
      <c r="B52" s="16" t="s">
        <v>1645</v>
      </c>
      <c r="C52" s="28" t="s">
        <v>140</v>
      </c>
      <c r="D52" s="28" t="str">
        <f>IFERROR(VLOOKUP($C52,CUENTAS[],2,0),"")</f>
        <v>LOGÍSTICA</v>
      </c>
      <c r="E52" s="28" t="str">
        <f>IFERROR(VLOOKUP($C52,CUENTAS[],3,0),"")</f>
        <v>MDE2025-006B</v>
      </c>
      <c r="F52" s="86">
        <v>2181</v>
      </c>
      <c r="G52" s="86">
        <v>0</v>
      </c>
      <c r="H52" s="74">
        <v>2181</v>
      </c>
      <c r="I52" s="200" t="str">
        <f t="shared" si="0"/>
        <v>CORRECTO</v>
      </c>
      <c r="J52" s="88" t="s">
        <v>3244</v>
      </c>
      <c r="K52" s="69" t="s">
        <v>1423</v>
      </c>
      <c r="L52" s="84" t="s">
        <v>227</v>
      </c>
      <c r="M52" s="135">
        <v>45831</v>
      </c>
      <c r="N52" s="75" t="s">
        <v>387</v>
      </c>
      <c r="P52" s="89"/>
      <c r="Q52" s="89"/>
    </row>
    <row r="53" spans="1:17" x14ac:dyDescent="0.3">
      <c r="A53" s="16" t="s">
        <v>341</v>
      </c>
      <c r="B53" s="16" t="s">
        <v>1646</v>
      </c>
      <c r="C53" s="28" t="s">
        <v>109</v>
      </c>
      <c r="D53" s="28" t="str">
        <f>IFERROR(VLOOKUP($C53,CUENTAS[],2,0),"")</f>
        <v>LOGÍSTICA</v>
      </c>
      <c r="E53" s="28" t="str">
        <f>IFERROR(VLOOKUP($C53,CUENTAS[],3,0),"")</f>
        <v>MDE2025-006A</v>
      </c>
      <c r="F53" s="86">
        <v>630</v>
      </c>
      <c r="G53" s="86">
        <v>0</v>
      </c>
      <c r="H53" s="74">
        <v>630</v>
      </c>
      <c r="I53" s="200" t="str">
        <f t="shared" si="0"/>
        <v>CORRECTO</v>
      </c>
      <c r="J53" s="88" t="s">
        <v>3244</v>
      </c>
      <c r="K53" s="69" t="s">
        <v>1423</v>
      </c>
      <c r="L53" s="84" t="s">
        <v>227</v>
      </c>
      <c r="M53" s="135">
        <v>45831</v>
      </c>
      <c r="N53" s="75" t="s">
        <v>387</v>
      </c>
      <c r="P53" s="89"/>
      <c r="Q53" s="89"/>
    </row>
    <row r="54" spans="1:17" x14ac:dyDescent="0.3">
      <c r="A54" s="16" t="s">
        <v>666</v>
      </c>
      <c r="B54" s="16" t="s">
        <v>1647</v>
      </c>
      <c r="C54" s="28" t="s">
        <v>224</v>
      </c>
      <c r="D54" s="28" t="str">
        <f>IFERROR(VLOOKUP($C54,CUENTAS[],2,0),"")</f>
        <v>MATERIALES</v>
      </c>
      <c r="E54" s="28" t="str">
        <f>IFERROR(VLOOKUP($C54,CUENTAS[],3,0),"")</f>
        <v>MDE2025-004</v>
      </c>
      <c r="F54" s="86">
        <v>11327.59</v>
      </c>
      <c r="G54" s="86">
        <v>1812.41</v>
      </c>
      <c r="H54" s="74">
        <v>13140</v>
      </c>
      <c r="I54" s="200" t="str">
        <f t="shared" si="0"/>
        <v>CORRECTO</v>
      </c>
      <c r="J54" s="88" t="s">
        <v>3244</v>
      </c>
      <c r="K54" s="69" t="s">
        <v>407</v>
      </c>
      <c r="L54" s="84" t="s">
        <v>227</v>
      </c>
      <c r="M54" s="135">
        <v>45832</v>
      </c>
      <c r="N54" s="75" t="s">
        <v>1680</v>
      </c>
      <c r="P54" s="89"/>
      <c r="Q54" s="89"/>
    </row>
    <row r="55" spans="1:17" x14ac:dyDescent="0.3">
      <c r="A55" s="16" t="s">
        <v>562</v>
      </c>
      <c r="B55" s="16" t="s">
        <v>1648</v>
      </c>
      <c r="C55" s="28" t="s">
        <v>201</v>
      </c>
      <c r="D55" s="28" t="str">
        <f>IFERROR(VLOOKUP($C55,CUENTAS[],2,0),"")</f>
        <v>ACTIVOS FIJOS</v>
      </c>
      <c r="E55" s="28" t="str">
        <f>IFERROR(VLOOKUP($C55,CUENTAS[],3,0),"")</f>
        <v>MDE2025-007I</v>
      </c>
      <c r="F55" s="86">
        <v>30000</v>
      </c>
      <c r="G55" s="86">
        <v>0</v>
      </c>
      <c r="H55" s="74">
        <v>30000</v>
      </c>
      <c r="I55" s="200" t="str">
        <f t="shared" si="0"/>
        <v>CORRECTO</v>
      </c>
      <c r="J55" s="88" t="s">
        <v>3244</v>
      </c>
      <c r="K55" s="69" t="s">
        <v>360</v>
      </c>
      <c r="L55" s="84" t="s">
        <v>227</v>
      </c>
      <c r="M55" s="135">
        <v>45832</v>
      </c>
      <c r="N55" s="75" t="s">
        <v>371</v>
      </c>
      <c r="P55" s="89"/>
      <c r="Q55" s="89"/>
    </row>
    <row r="56" spans="1:17" x14ac:dyDescent="0.3">
      <c r="A56" s="16" t="s">
        <v>1649</v>
      </c>
      <c r="B56" s="16">
        <v>18287201</v>
      </c>
      <c r="C56" s="28" t="s">
        <v>134</v>
      </c>
      <c r="D56" s="28" t="str">
        <f>IFERROR(VLOOKUP($C56,CUENTAS[],2,0),"")</f>
        <v>GASTOS FIJOS</v>
      </c>
      <c r="E56" s="28" t="str">
        <f>IFERROR(VLOOKUP($C56,CUENTAS[],3,0),"")</f>
        <v>MDE2025-002J</v>
      </c>
      <c r="F56" s="86">
        <v>17632</v>
      </c>
      <c r="G56" s="86">
        <v>0</v>
      </c>
      <c r="H56" s="74">
        <v>17632</v>
      </c>
      <c r="I56" s="200" t="str">
        <f t="shared" si="0"/>
        <v>CORRECTO</v>
      </c>
      <c r="J56" s="88" t="s">
        <v>3244</v>
      </c>
      <c r="K56" s="69" t="s">
        <v>361</v>
      </c>
      <c r="L56" s="84" t="s">
        <v>227</v>
      </c>
      <c r="M56" s="135">
        <v>45833</v>
      </c>
      <c r="N56" s="75" t="s">
        <v>226</v>
      </c>
      <c r="P56" s="89"/>
      <c r="Q56" s="89"/>
    </row>
    <row r="57" spans="1:17" x14ac:dyDescent="0.3">
      <c r="A57" s="16" t="s">
        <v>1650</v>
      </c>
      <c r="B57" s="16" t="s">
        <v>1651</v>
      </c>
      <c r="C57" s="28" t="s">
        <v>140</v>
      </c>
      <c r="D57" s="28" t="str">
        <f>IFERROR(VLOOKUP($C57,CUENTAS[],2,0),"")</f>
        <v>LOGÍSTICA</v>
      </c>
      <c r="E57" s="28" t="str">
        <f>IFERROR(VLOOKUP($C57,CUENTAS[],3,0),"")</f>
        <v>MDE2025-006B</v>
      </c>
      <c r="F57" s="86">
        <v>1500</v>
      </c>
      <c r="G57" s="86">
        <v>0</v>
      </c>
      <c r="H57" s="74">
        <v>1500</v>
      </c>
      <c r="I57" s="200" t="str">
        <f t="shared" si="0"/>
        <v>CORRECTO</v>
      </c>
      <c r="J57" s="88" t="s">
        <v>3244</v>
      </c>
      <c r="K57" s="69" t="s">
        <v>362</v>
      </c>
      <c r="L57" s="84" t="s">
        <v>227</v>
      </c>
      <c r="M57" s="135">
        <v>45833</v>
      </c>
      <c r="N57" s="75" t="s">
        <v>371</v>
      </c>
      <c r="P57" s="89"/>
      <c r="Q57" s="89"/>
    </row>
    <row r="58" spans="1:17" x14ac:dyDescent="0.3">
      <c r="A58" s="16" t="s">
        <v>1652</v>
      </c>
      <c r="B58" s="16" t="s">
        <v>1653</v>
      </c>
      <c r="C58" s="28" t="s">
        <v>109</v>
      </c>
      <c r="D58" s="28" t="str">
        <f>IFERROR(VLOOKUP($C58,CUENTAS[],2,0),"")</f>
        <v>LOGÍSTICA</v>
      </c>
      <c r="E58" s="28" t="str">
        <f>IFERROR(VLOOKUP($C58,CUENTAS[],3,0),"")</f>
        <v>MDE2025-006A</v>
      </c>
      <c r="F58" s="86">
        <v>4000</v>
      </c>
      <c r="G58" s="86">
        <v>0</v>
      </c>
      <c r="H58" s="74">
        <v>4000</v>
      </c>
      <c r="I58" s="200" t="str">
        <f t="shared" si="0"/>
        <v>CORRECTO</v>
      </c>
      <c r="J58" s="88" t="s">
        <v>3244</v>
      </c>
      <c r="K58" s="69" t="s">
        <v>362</v>
      </c>
      <c r="L58" s="84" t="s">
        <v>227</v>
      </c>
      <c r="M58" s="135">
        <v>45833</v>
      </c>
      <c r="N58" s="75" t="s">
        <v>371</v>
      </c>
      <c r="P58" s="89"/>
      <c r="Q58" s="89"/>
    </row>
    <row r="59" spans="1:17" x14ac:dyDescent="0.3">
      <c r="A59" s="16" t="s">
        <v>283</v>
      </c>
      <c r="B59" s="16">
        <v>2556979</v>
      </c>
      <c r="C59" s="28" t="s">
        <v>120</v>
      </c>
      <c r="D59" s="28" t="str">
        <f>IFERROR(VLOOKUP($C59,CUENTAS[],2,0),"")</f>
        <v>TOKA</v>
      </c>
      <c r="E59" s="28" t="str">
        <f>IFERROR(VLOOKUP($C59,CUENTAS[],3,0),"")</f>
        <v>TOK2025-001C</v>
      </c>
      <c r="F59" s="86">
        <v>500</v>
      </c>
      <c r="G59" s="86">
        <v>80</v>
      </c>
      <c r="H59" s="74">
        <v>580</v>
      </c>
      <c r="I59" s="200" t="str">
        <f t="shared" si="0"/>
        <v>CORRECTO</v>
      </c>
      <c r="J59" s="88" t="s">
        <v>3244</v>
      </c>
      <c r="K59" s="69" t="s">
        <v>363</v>
      </c>
      <c r="L59" s="84" t="s">
        <v>227</v>
      </c>
      <c r="M59" s="135">
        <v>45834</v>
      </c>
      <c r="N59" s="75" t="s">
        <v>570</v>
      </c>
      <c r="P59" s="89"/>
      <c r="Q59" s="89"/>
    </row>
    <row r="60" spans="1:17" x14ac:dyDescent="0.3">
      <c r="A60" s="16" t="s">
        <v>1652</v>
      </c>
      <c r="B60" s="16" t="s">
        <v>1654</v>
      </c>
      <c r="C60" s="28" t="s">
        <v>109</v>
      </c>
      <c r="D60" s="28" t="str">
        <f>IFERROR(VLOOKUP($C60,CUENTAS[],2,0),"")</f>
        <v>LOGÍSTICA</v>
      </c>
      <c r="E60" s="28" t="str">
        <f>IFERROR(VLOOKUP($C60,CUENTAS[],3,0),"")</f>
        <v>MDE2025-006A</v>
      </c>
      <c r="F60" s="86">
        <v>40000</v>
      </c>
      <c r="G60" s="86">
        <v>0</v>
      </c>
      <c r="H60" s="74">
        <v>40000</v>
      </c>
      <c r="I60" s="200" t="str">
        <f t="shared" si="0"/>
        <v>CORRECTO</v>
      </c>
      <c r="J60" s="88" t="s">
        <v>3244</v>
      </c>
      <c r="K60" s="69" t="s">
        <v>360</v>
      </c>
      <c r="L60" s="84" t="s">
        <v>227</v>
      </c>
      <c r="M60" s="135">
        <v>45833</v>
      </c>
      <c r="N60" s="75" t="s">
        <v>371</v>
      </c>
      <c r="P60" s="89"/>
      <c r="Q60" s="89"/>
    </row>
    <row r="61" spans="1:17" x14ac:dyDescent="0.3">
      <c r="A61" s="16" t="s">
        <v>1655</v>
      </c>
      <c r="B61" s="16" t="s">
        <v>1656</v>
      </c>
      <c r="C61" s="28" t="s">
        <v>134</v>
      </c>
      <c r="D61" s="28" t="str">
        <f>IFERROR(VLOOKUP($C61,CUENTAS[],2,0),"")</f>
        <v>GASTOS FIJOS</v>
      </c>
      <c r="E61" s="28" t="str">
        <f>IFERROR(VLOOKUP($C61,CUENTAS[],3,0),"")</f>
        <v>MDE2025-002J</v>
      </c>
      <c r="F61" s="86">
        <v>110000</v>
      </c>
      <c r="G61" s="86">
        <v>0</v>
      </c>
      <c r="H61" s="74">
        <v>110000</v>
      </c>
      <c r="I61" s="200" t="str">
        <f t="shared" si="0"/>
        <v>CORRECTO</v>
      </c>
      <c r="J61" s="88" t="s">
        <v>3244</v>
      </c>
      <c r="K61" s="69" t="s">
        <v>360</v>
      </c>
      <c r="L61" s="84" t="s">
        <v>227</v>
      </c>
      <c r="M61" s="148">
        <v>45833</v>
      </c>
      <c r="N61" s="75" t="s">
        <v>371</v>
      </c>
      <c r="P61" s="89"/>
      <c r="Q61" s="89"/>
    </row>
    <row r="62" spans="1:17" x14ac:dyDescent="0.3">
      <c r="A62" s="16" t="s">
        <v>279</v>
      </c>
      <c r="B62" s="16" t="s">
        <v>1657</v>
      </c>
      <c r="C62" s="28" t="s">
        <v>143</v>
      </c>
      <c r="D62" s="28" t="str">
        <f>IFERROR(VLOOKUP($C62,CUENTAS[],2,0),"")</f>
        <v>GASTOS FIJOS</v>
      </c>
      <c r="E62" s="28" t="str">
        <f>IFERROR(VLOOKUP($C62,CUENTAS[],3,0),"")</f>
        <v>MDE2025-002C</v>
      </c>
      <c r="F62" s="86">
        <v>10921</v>
      </c>
      <c r="G62" s="86">
        <v>0</v>
      </c>
      <c r="H62" s="74">
        <v>10921</v>
      </c>
      <c r="I62" s="200" t="str">
        <f t="shared" si="0"/>
        <v>CORRECTO</v>
      </c>
      <c r="J62" s="88" t="s">
        <v>3244</v>
      </c>
      <c r="K62" s="69" t="s">
        <v>363</v>
      </c>
      <c r="L62" s="84" t="s">
        <v>227</v>
      </c>
      <c r="M62" s="136">
        <v>45835</v>
      </c>
      <c r="N62" s="75" t="s">
        <v>410</v>
      </c>
      <c r="P62" s="89"/>
      <c r="Q62" s="89"/>
    </row>
    <row r="63" spans="1:17" x14ac:dyDescent="0.3">
      <c r="A63" s="16" t="s">
        <v>230</v>
      </c>
      <c r="B63" s="16" t="s">
        <v>1658</v>
      </c>
      <c r="C63" s="28" t="s">
        <v>223</v>
      </c>
      <c r="D63" s="28" t="str">
        <f>IFERROR(VLOOKUP($C63,CUENTAS[],2,0),"")</f>
        <v>MANTENIMIENTO</v>
      </c>
      <c r="E63" s="28" t="str">
        <f>IFERROR(VLOOKUP($C63,CUENTAS[],3,0),"")</f>
        <v>MDE2025-009B</v>
      </c>
      <c r="F63" s="86">
        <v>6000</v>
      </c>
      <c r="G63" s="86">
        <v>0</v>
      </c>
      <c r="H63" s="74">
        <v>6000</v>
      </c>
      <c r="I63" s="200" t="str">
        <f t="shared" si="0"/>
        <v>CORRECTO</v>
      </c>
      <c r="J63" s="88" t="s">
        <v>3244</v>
      </c>
      <c r="K63" s="69" t="s">
        <v>364</v>
      </c>
      <c r="L63" s="84" t="s">
        <v>227</v>
      </c>
      <c r="M63" s="135">
        <v>45834</v>
      </c>
      <c r="N63" s="75" t="s">
        <v>1164</v>
      </c>
      <c r="P63" s="89"/>
      <c r="Q63" s="89"/>
    </row>
    <row r="64" spans="1:17" x14ac:dyDescent="0.3">
      <c r="A64" s="16" t="s">
        <v>1842</v>
      </c>
      <c r="B64" s="16" t="s">
        <v>565</v>
      </c>
      <c r="C64" s="28" t="s">
        <v>222</v>
      </c>
      <c r="D64" s="28" t="str">
        <f>IFERROR(VLOOKUP($C64,CUENTAS[],2,0),"")</f>
        <v>MANTENIMIENTO</v>
      </c>
      <c r="E64" s="28" t="str">
        <f>IFERROR(VLOOKUP($C64,CUENTAS[],3,0),"")</f>
        <v>MDE2025-009A</v>
      </c>
      <c r="F64" s="86">
        <v>33</v>
      </c>
      <c r="G64" s="86">
        <v>0</v>
      </c>
      <c r="H64" s="74">
        <v>33</v>
      </c>
      <c r="I64" s="200" t="str">
        <f t="shared" si="0"/>
        <v>CORRECTO</v>
      </c>
      <c r="J64" s="88" t="s">
        <v>963</v>
      </c>
      <c r="K64" s="69" t="s">
        <v>1851</v>
      </c>
      <c r="L64" s="84"/>
      <c r="M64" s="139"/>
      <c r="N64" s="75"/>
      <c r="P64" s="89"/>
      <c r="Q64" s="89"/>
    </row>
    <row r="65" spans="1:17" x14ac:dyDescent="0.3">
      <c r="A65" s="16" t="s">
        <v>1843</v>
      </c>
      <c r="B65" s="16" t="s">
        <v>1844</v>
      </c>
      <c r="C65" s="28" t="s">
        <v>222</v>
      </c>
      <c r="D65" s="28" t="str">
        <f>IFERROR(VLOOKUP($C65,CUENTAS[],2,0),"")</f>
        <v>MANTENIMIENTO</v>
      </c>
      <c r="E65" s="28" t="str">
        <f>IFERROR(VLOOKUP($C65,CUENTAS[],3,0),"")</f>
        <v>MDE2025-009A</v>
      </c>
      <c r="F65" s="86">
        <v>45</v>
      </c>
      <c r="G65" s="86">
        <v>0</v>
      </c>
      <c r="H65" s="74">
        <v>45</v>
      </c>
      <c r="I65" s="200" t="str">
        <f t="shared" si="0"/>
        <v>CORRECTO</v>
      </c>
      <c r="J65" s="88" t="s">
        <v>963</v>
      </c>
      <c r="K65" s="69" t="s">
        <v>1852</v>
      </c>
      <c r="L65" s="84"/>
      <c r="M65" s="139"/>
      <c r="N65" s="75"/>
      <c r="P65" s="89"/>
      <c r="Q65" s="89"/>
    </row>
    <row r="66" spans="1:17" x14ac:dyDescent="0.3">
      <c r="A66" s="16" t="s">
        <v>1845</v>
      </c>
      <c r="B66" s="16" t="s">
        <v>1846</v>
      </c>
      <c r="C66" s="28" t="s">
        <v>222</v>
      </c>
      <c r="D66" s="28" t="str">
        <f>IFERROR(VLOOKUP($C66,CUENTAS[],2,0),"")</f>
        <v>MANTENIMIENTO</v>
      </c>
      <c r="E66" s="28" t="str">
        <f>IFERROR(VLOOKUP($C66,CUENTAS[],3,0),"")</f>
        <v>MDE2025-009A</v>
      </c>
      <c r="F66" s="86">
        <v>272.60000000000002</v>
      </c>
      <c r="G66" s="86">
        <v>0</v>
      </c>
      <c r="H66" s="74">
        <v>272.60000000000002</v>
      </c>
      <c r="I66" s="200" t="str">
        <f t="shared" si="0"/>
        <v>CORRECTO</v>
      </c>
      <c r="J66" s="88" t="s">
        <v>963</v>
      </c>
      <c r="K66" s="69" t="s">
        <v>1853</v>
      </c>
      <c r="L66" s="84"/>
      <c r="M66" s="139"/>
      <c r="N66" s="75"/>
      <c r="P66" s="89"/>
      <c r="Q66" s="89"/>
    </row>
    <row r="67" spans="1:17" x14ac:dyDescent="0.3">
      <c r="A67" s="16" t="s">
        <v>1847</v>
      </c>
      <c r="B67" s="16" t="s">
        <v>1848</v>
      </c>
      <c r="C67" s="28" t="s">
        <v>222</v>
      </c>
      <c r="D67" s="28" t="str">
        <f>IFERROR(VLOOKUP($C67,CUENTAS[],2,0),"")</f>
        <v>MANTENIMIENTO</v>
      </c>
      <c r="E67" s="28" t="str">
        <f>IFERROR(VLOOKUP($C67,CUENTAS[],3,0),"")</f>
        <v>MDE2025-009A</v>
      </c>
      <c r="F67" s="86">
        <v>15.1</v>
      </c>
      <c r="G67" s="86">
        <v>0</v>
      </c>
      <c r="H67" s="74">
        <v>15.1</v>
      </c>
      <c r="I67" s="200" t="str">
        <f t="shared" ref="I67:I130" si="1">IFERROR(IF(F67+G67&lt;&gt;H67,"REVISAR","CORRECTO"),"")</f>
        <v>CORRECTO</v>
      </c>
      <c r="J67" s="88" t="s">
        <v>963</v>
      </c>
      <c r="K67" s="69" t="s">
        <v>1853</v>
      </c>
      <c r="L67" s="84"/>
      <c r="M67" s="139"/>
      <c r="N67" s="75"/>
      <c r="P67" s="89"/>
      <c r="Q67" s="89"/>
    </row>
    <row r="68" spans="1:17" x14ac:dyDescent="0.3">
      <c r="A68" s="16" t="s">
        <v>1849</v>
      </c>
      <c r="B68" s="16" t="s">
        <v>1848</v>
      </c>
      <c r="C68" s="28" t="s">
        <v>222</v>
      </c>
      <c r="D68" s="28" t="str">
        <f>IFERROR(VLOOKUP($C68,CUENTAS[],2,0),"")</f>
        <v>MANTENIMIENTO</v>
      </c>
      <c r="E68" s="28" t="str">
        <f>IFERROR(VLOOKUP($C68,CUENTAS[],3,0),"")</f>
        <v>MDE2025-009A</v>
      </c>
      <c r="F68" s="86">
        <v>29.5</v>
      </c>
      <c r="G68" s="86">
        <v>0</v>
      </c>
      <c r="H68" s="74">
        <v>29.5</v>
      </c>
      <c r="I68" s="200" t="str">
        <f t="shared" si="1"/>
        <v>CORRECTO</v>
      </c>
      <c r="J68" s="88" t="s">
        <v>963</v>
      </c>
      <c r="K68" s="69" t="s">
        <v>1853</v>
      </c>
      <c r="L68" s="84"/>
      <c r="M68" s="139"/>
      <c r="N68" s="75"/>
      <c r="P68" s="89"/>
      <c r="Q68" s="89"/>
    </row>
    <row r="69" spans="1:17" x14ac:dyDescent="0.3">
      <c r="A69" s="16" t="s">
        <v>1850</v>
      </c>
      <c r="B69" s="16" t="s">
        <v>1844</v>
      </c>
      <c r="C69" s="28" t="s">
        <v>222</v>
      </c>
      <c r="D69" s="28" t="str">
        <f>IFERROR(VLOOKUP($C69,CUENTAS[],2,0),"")</f>
        <v>MANTENIMIENTO</v>
      </c>
      <c r="E69" s="28" t="str">
        <f>IFERROR(VLOOKUP($C69,CUENTAS[],3,0),"")</f>
        <v>MDE2025-009A</v>
      </c>
      <c r="F69" s="86">
        <v>128.9</v>
      </c>
      <c r="G69" s="86">
        <v>0</v>
      </c>
      <c r="H69" s="74">
        <v>128.9</v>
      </c>
      <c r="I69" s="200" t="str">
        <f t="shared" si="1"/>
        <v>CORRECTO</v>
      </c>
      <c r="J69" s="88" t="s">
        <v>963</v>
      </c>
      <c r="K69" s="69" t="s">
        <v>1852</v>
      </c>
      <c r="L69" s="84"/>
      <c r="M69" s="139"/>
      <c r="N69" s="75"/>
      <c r="P69" s="89"/>
      <c r="Q69" s="89"/>
    </row>
    <row r="70" spans="1:17" x14ac:dyDescent="0.3">
      <c r="A70" s="16" t="s">
        <v>650</v>
      </c>
      <c r="B70" s="16" t="s">
        <v>1854</v>
      </c>
      <c r="C70" s="28" t="s">
        <v>167</v>
      </c>
      <c r="D70" s="28" t="str">
        <f>IFERROR(VLOOKUP($C70,CUENTAS[],2,0),"")</f>
        <v>LOGÍSTICA</v>
      </c>
      <c r="E70" s="28" t="str">
        <f>IFERROR(VLOOKUP($C70,CUENTAS[],3,0),"")</f>
        <v>MDE2025-006D</v>
      </c>
      <c r="F70" s="86">
        <v>1688.84</v>
      </c>
      <c r="G70" s="86">
        <v>270.20999999999998</v>
      </c>
      <c r="H70" s="74">
        <v>1959.05</v>
      </c>
      <c r="I70" s="200" t="str">
        <f t="shared" si="1"/>
        <v>CORRECTO</v>
      </c>
      <c r="J70" s="88" t="s">
        <v>1272</v>
      </c>
      <c r="K70" s="69" t="s">
        <v>360</v>
      </c>
      <c r="L70" s="84" t="s">
        <v>227</v>
      </c>
      <c r="M70" s="139">
        <v>45820</v>
      </c>
      <c r="N70" s="75" t="s">
        <v>1857</v>
      </c>
      <c r="P70" s="89"/>
      <c r="Q70" s="89"/>
    </row>
    <row r="71" spans="1:17" x14ac:dyDescent="0.3">
      <c r="A71" s="16" t="s">
        <v>650</v>
      </c>
      <c r="B71" s="16" t="s">
        <v>1855</v>
      </c>
      <c r="C71" s="28" t="s">
        <v>167</v>
      </c>
      <c r="D71" s="28" t="str">
        <f>IFERROR(VLOOKUP($C71,CUENTAS[],2,0),"")</f>
        <v>LOGÍSTICA</v>
      </c>
      <c r="E71" s="28" t="str">
        <f>IFERROR(VLOOKUP($C71,CUENTAS[],3,0),"")</f>
        <v>MDE2025-006D</v>
      </c>
      <c r="F71" s="86">
        <v>191.38</v>
      </c>
      <c r="G71" s="86">
        <v>30.62</v>
      </c>
      <c r="H71" s="74">
        <v>222</v>
      </c>
      <c r="I71" s="200" t="str">
        <f t="shared" si="1"/>
        <v>CORRECTO</v>
      </c>
      <c r="J71" s="88" t="s">
        <v>1272</v>
      </c>
      <c r="K71" s="69" t="s">
        <v>961</v>
      </c>
      <c r="L71" s="84" t="s">
        <v>227</v>
      </c>
      <c r="M71" s="139">
        <v>45820</v>
      </c>
      <c r="N71" s="75" t="s">
        <v>1857</v>
      </c>
      <c r="P71" s="89"/>
      <c r="Q71" s="89"/>
    </row>
    <row r="72" spans="1:17" x14ac:dyDescent="0.3">
      <c r="A72" s="16" t="s">
        <v>650</v>
      </c>
      <c r="B72" s="16" t="s">
        <v>1856</v>
      </c>
      <c r="C72" s="28" t="s">
        <v>167</v>
      </c>
      <c r="D72" s="28" t="str">
        <f>IFERROR(VLOOKUP($C72,CUENTAS[],2,0),"")</f>
        <v>LOGÍSTICA</v>
      </c>
      <c r="E72" s="28" t="str">
        <f>IFERROR(VLOOKUP($C72,CUENTAS[],3,0),"")</f>
        <v>MDE2025-006D</v>
      </c>
      <c r="F72" s="86">
        <v>1164.6600000000001</v>
      </c>
      <c r="G72" s="86">
        <v>186.34</v>
      </c>
      <c r="H72" s="74">
        <v>1351</v>
      </c>
      <c r="I72" s="200" t="str">
        <f t="shared" si="1"/>
        <v>CORRECTO</v>
      </c>
      <c r="J72" s="88" t="s">
        <v>1272</v>
      </c>
      <c r="K72" s="69" t="s">
        <v>360</v>
      </c>
      <c r="L72" s="84" t="s">
        <v>227</v>
      </c>
      <c r="M72" s="139">
        <v>45831</v>
      </c>
      <c r="N72" s="75" t="s">
        <v>1858</v>
      </c>
      <c r="P72" s="89"/>
      <c r="Q72" s="89"/>
    </row>
    <row r="73" spans="1:17" x14ac:dyDescent="0.3">
      <c r="A73" s="5" t="s">
        <v>228</v>
      </c>
      <c r="B73" s="100" t="s">
        <v>1574</v>
      </c>
      <c r="C73" s="28" t="s">
        <v>168</v>
      </c>
      <c r="D73" s="28" t="str">
        <f>IFERROR(VLOOKUP($C73,CUENTAS[],2,0),"")</f>
        <v>ACTIVOS FIJOS</v>
      </c>
      <c r="E73" s="28" t="str">
        <f>IFERROR(VLOOKUP($C73,CUENTAS[],3,0),"")</f>
        <v>MDE2025-007B</v>
      </c>
      <c r="F73" s="144">
        <v>8999.67</v>
      </c>
      <c r="G73" s="145">
        <v>0</v>
      </c>
      <c r="H73" s="128">
        <v>8999.67</v>
      </c>
      <c r="I73" s="200" t="str">
        <f t="shared" si="1"/>
        <v>CORRECTO</v>
      </c>
      <c r="J73" s="88" t="s">
        <v>1862</v>
      </c>
      <c r="K73" s="141" t="s">
        <v>360</v>
      </c>
      <c r="L73" s="142" t="s">
        <v>227</v>
      </c>
      <c r="M73" s="139">
        <v>45841</v>
      </c>
      <c r="N73" s="143"/>
      <c r="P73" s="89"/>
      <c r="Q73" s="89"/>
    </row>
    <row r="74" spans="1:17" x14ac:dyDescent="0.3">
      <c r="A74" s="5" t="s">
        <v>228</v>
      </c>
      <c r="B74" s="100" t="s">
        <v>1007</v>
      </c>
      <c r="C74" s="28" t="s">
        <v>168</v>
      </c>
      <c r="D74" s="28" t="str">
        <f>IFERROR(VLOOKUP($C74,CUENTAS[],2,0),"")</f>
        <v>ACTIVOS FIJOS</v>
      </c>
      <c r="E74" s="28" t="str">
        <f>IFERROR(VLOOKUP($C74,CUENTAS[],3,0),"")</f>
        <v>MDE2025-007B</v>
      </c>
      <c r="F74" s="144">
        <v>7649.67</v>
      </c>
      <c r="G74" s="145">
        <v>0</v>
      </c>
      <c r="H74" s="128">
        <v>7649.67</v>
      </c>
      <c r="I74" s="200" t="str">
        <f t="shared" si="1"/>
        <v>CORRECTO</v>
      </c>
      <c r="J74" s="88" t="s">
        <v>1862</v>
      </c>
      <c r="K74" s="141" t="s">
        <v>360</v>
      </c>
      <c r="L74" s="142" t="s">
        <v>227</v>
      </c>
      <c r="M74" s="139">
        <v>45841</v>
      </c>
      <c r="N74" s="143"/>
      <c r="P74" s="89"/>
      <c r="Q74" s="89"/>
    </row>
    <row r="75" spans="1:17" x14ac:dyDescent="0.3">
      <c r="A75" s="5" t="s">
        <v>228</v>
      </c>
      <c r="B75" s="100" t="s">
        <v>401</v>
      </c>
      <c r="C75" s="28" t="s">
        <v>151</v>
      </c>
      <c r="D75" s="28" t="str">
        <f>IFERROR(VLOOKUP($C75,CUENTAS[],2,0),"")</f>
        <v>GASTOS FIJOS</v>
      </c>
      <c r="E75" s="28" t="str">
        <f>IFERROR(VLOOKUP($C75,CUENTAS[],3,0),"")</f>
        <v>MDE2025-002F</v>
      </c>
      <c r="F75" s="144">
        <v>1045</v>
      </c>
      <c r="G75" s="145">
        <v>0</v>
      </c>
      <c r="H75" s="128">
        <v>1045</v>
      </c>
      <c r="I75" s="200" t="str">
        <f t="shared" si="1"/>
        <v>CORRECTO</v>
      </c>
      <c r="J75" s="88" t="s">
        <v>1862</v>
      </c>
      <c r="K75" s="141" t="s">
        <v>1278</v>
      </c>
      <c r="L75" s="142" t="s">
        <v>227</v>
      </c>
      <c r="M75" s="139">
        <v>45841</v>
      </c>
      <c r="N75" s="143"/>
      <c r="P75" s="89"/>
      <c r="Q75" s="89"/>
    </row>
    <row r="76" spans="1:17" x14ac:dyDescent="0.3">
      <c r="A76" s="5" t="s">
        <v>228</v>
      </c>
      <c r="B76" s="100" t="s">
        <v>1000</v>
      </c>
      <c r="C76" s="28" t="s">
        <v>113</v>
      </c>
      <c r="D76" s="28" t="str">
        <f>IFERROR(VLOOKUP($C76,CUENTAS[],2,0),"")</f>
        <v>GASTOS VARIOS</v>
      </c>
      <c r="E76" s="28" t="str">
        <f>IFERROR(VLOOKUP($C76,CUENTAS[],3,0),"")</f>
        <v>MDE2025-003B</v>
      </c>
      <c r="F76" s="144">
        <v>295</v>
      </c>
      <c r="G76" s="145">
        <v>0</v>
      </c>
      <c r="H76" s="128">
        <v>295</v>
      </c>
      <c r="I76" s="200" t="str">
        <f t="shared" si="1"/>
        <v>CORRECTO</v>
      </c>
      <c r="J76" s="88" t="s">
        <v>1862</v>
      </c>
      <c r="K76" s="141" t="s">
        <v>405</v>
      </c>
      <c r="L76" s="142" t="s">
        <v>227</v>
      </c>
      <c r="M76" s="139">
        <v>45841</v>
      </c>
      <c r="N76" s="143"/>
      <c r="P76" s="89"/>
      <c r="Q76" s="89"/>
    </row>
    <row r="77" spans="1:17" x14ac:dyDescent="0.3">
      <c r="A77" s="5" t="s">
        <v>228</v>
      </c>
      <c r="B77" s="100" t="s">
        <v>1000</v>
      </c>
      <c r="C77" s="28" t="s">
        <v>113</v>
      </c>
      <c r="D77" s="28" t="str">
        <f>IFERROR(VLOOKUP($C77,CUENTAS[],2,0),"")</f>
        <v>GASTOS VARIOS</v>
      </c>
      <c r="E77" s="28" t="str">
        <f>IFERROR(VLOOKUP($C77,CUENTAS[],3,0),"")</f>
        <v>MDE2025-003B</v>
      </c>
      <c r="F77" s="144">
        <v>395</v>
      </c>
      <c r="G77" s="145">
        <v>0</v>
      </c>
      <c r="H77" s="128">
        <v>395</v>
      </c>
      <c r="I77" s="200" t="str">
        <f t="shared" si="1"/>
        <v>CORRECTO</v>
      </c>
      <c r="J77" s="88" t="s">
        <v>1862</v>
      </c>
      <c r="K77" s="141" t="s">
        <v>405</v>
      </c>
      <c r="L77" s="142" t="s">
        <v>227</v>
      </c>
      <c r="M77" s="139">
        <v>45841</v>
      </c>
      <c r="N77" s="143"/>
      <c r="P77" s="89"/>
      <c r="Q77" s="89"/>
    </row>
    <row r="78" spans="1:17" x14ac:dyDescent="0.3">
      <c r="A78" s="5" t="s">
        <v>228</v>
      </c>
      <c r="B78" s="100" t="s">
        <v>998</v>
      </c>
      <c r="C78" s="28" t="s">
        <v>134</v>
      </c>
      <c r="D78" s="28" t="str">
        <f>IFERROR(VLOOKUP($C78,CUENTAS[],2,0),"")</f>
        <v>GASTOS FIJOS</v>
      </c>
      <c r="E78" s="28" t="str">
        <f>IFERROR(VLOOKUP($C78,CUENTAS[],3,0),"")</f>
        <v>MDE2025-002J</v>
      </c>
      <c r="F78" s="144">
        <v>573.73</v>
      </c>
      <c r="G78" s="145">
        <v>0</v>
      </c>
      <c r="H78" s="128">
        <v>573.73</v>
      </c>
      <c r="I78" s="200" t="str">
        <f t="shared" si="1"/>
        <v>CORRECTO</v>
      </c>
      <c r="J78" s="88" t="s">
        <v>1862</v>
      </c>
      <c r="K78" s="141" t="s">
        <v>367</v>
      </c>
      <c r="L78" s="142" t="s">
        <v>227</v>
      </c>
      <c r="M78" s="139">
        <v>45841</v>
      </c>
      <c r="N78" s="143"/>
      <c r="P78" s="89"/>
      <c r="Q78" s="89"/>
    </row>
    <row r="79" spans="1:17" x14ac:dyDescent="0.3">
      <c r="A79" s="5" t="s">
        <v>228</v>
      </c>
      <c r="B79" s="100" t="s">
        <v>1578</v>
      </c>
      <c r="C79" s="28" t="s">
        <v>134</v>
      </c>
      <c r="D79" s="28" t="str">
        <f>IFERROR(VLOOKUP($C79,CUENTAS[],2,0),"")</f>
        <v>GASTOS FIJOS</v>
      </c>
      <c r="E79" s="28" t="str">
        <f>IFERROR(VLOOKUP($C79,CUENTAS[],3,0),"")</f>
        <v>MDE2025-002J</v>
      </c>
      <c r="F79" s="144">
        <v>451.91</v>
      </c>
      <c r="G79" s="145">
        <v>0</v>
      </c>
      <c r="H79" s="128">
        <v>451.91</v>
      </c>
      <c r="I79" s="200" t="str">
        <f t="shared" si="1"/>
        <v>CORRECTO</v>
      </c>
      <c r="J79" s="88" t="s">
        <v>1862</v>
      </c>
      <c r="K79" s="141" t="s">
        <v>360</v>
      </c>
      <c r="L79" s="142" t="s">
        <v>227</v>
      </c>
      <c r="M79" s="139">
        <v>45841</v>
      </c>
      <c r="N79" s="143"/>
      <c r="P79" s="89"/>
      <c r="Q79" s="89"/>
    </row>
    <row r="80" spans="1:17" x14ac:dyDescent="0.3">
      <c r="A80" s="5" t="s">
        <v>228</v>
      </c>
      <c r="B80" s="100" t="s">
        <v>1000</v>
      </c>
      <c r="C80" s="28" t="s">
        <v>147</v>
      </c>
      <c r="D80" s="28" t="str">
        <f>IFERROR(VLOOKUP($C80,CUENTAS[],2,0),"")</f>
        <v>ACTIVOS FIJOS</v>
      </c>
      <c r="E80" s="28" t="str">
        <f>IFERROR(VLOOKUP($C80,CUENTAS[],3,0),"")</f>
        <v>MDE2025-007D</v>
      </c>
      <c r="F80" s="144">
        <v>562.82000000000005</v>
      </c>
      <c r="G80" s="145">
        <v>0</v>
      </c>
      <c r="H80" s="128">
        <v>562.82000000000005</v>
      </c>
      <c r="I80" s="200" t="str">
        <f t="shared" si="1"/>
        <v>CORRECTO</v>
      </c>
      <c r="J80" s="88" t="s">
        <v>1862</v>
      </c>
      <c r="K80" s="141" t="s">
        <v>361</v>
      </c>
      <c r="L80" s="142" t="s">
        <v>227</v>
      </c>
      <c r="M80" s="139">
        <v>45841</v>
      </c>
      <c r="N80" s="143"/>
      <c r="P80" s="89"/>
      <c r="Q80" s="89"/>
    </row>
    <row r="81" spans="1:17" x14ac:dyDescent="0.3">
      <c r="A81" s="5" t="s">
        <v>228</v>
      </c>
      <c r="B81" s="100" t="s">
        <v>1275</v>
      </c>
      <c r="C81" s="28" t="s">
        <v>168</v>
      </c>
      <c r="D81" s="28" t="str">
        <f>IFERROR(VLOOKUP($C81,CUENTAS[],2,0),"")</f>
        <v>ACTIVOS FIJOS</v>
      </c>
      <c r="E81" s="28" t="str">
        <f>IFERROR(VLOOKUP($C81,CUENTAS[],3,0),"")</f>
        <v>MDE2025-007B</v>
      </c>
      <c r="F81" s="144">
        <v>4792</v>
      </c>
      <c r="G81" s="145">
        <v>0</v>
      </c>
      <c r="H81" s="128">
        <v>4792</v>
      </c>
      <c r="I81" s="200" t="str">
        <f t="shared" si="1"/>
        <v>CORRECTO</v>
      </c>
      <c r="J81" s="88" t="s">
        <v>1862</v>
      </c>
      <c r="K81" s="141" t="s">
        <v>405</v>
      </c>
      <c r="L81" s="142" t="s">
        <v>227</v>
      </c>
      <c r="M81" s="139">
        <v>45841</v>
      </c>
      <c r="N81" s="143"/>
      <c r="P81" s="89"/>
      <c r="Q81" s="89"/>
    </row>
    <row r="82" spans="1:17" x14ac:dyDescent="0.3">
      <c r="A82" s="5" t="s">
        <v>228</v>
      </c>
      <c r="B82" s="100" t="s">
        <v>1275</v>
      </c>
      <c r="C82" s="28" t="s">
        <v>168</v>
      </c>
      <c r="D82" s="28" t="str">
        <f>IFERROR(VLOOKUP($C82,CUENTAS[],2,0),"")</f>
        <v>ACTIVOS FIJOS</v>
      </c>
      <c r="E82" s="28" t="str">
        <f>IFERROR(VLOOKUP($C82,CUENTAS[],3,0),"")</f>
        <v>MDE2025-007B</v>
      </c>
      <c r="F82" s="144">
        <v>4792</v>
      </c>
      <c r="G82" s="145">
        <v>0</v>
      </c>
      <c r="H82" s="128">
        <v>4792</v>
      </c>
      <c r="I82" s="200" t="str">
        <f t="shared" si="1"/>
        <v>CORRECTO</v>
      </c>
      <c r="J82" s="88" t="s">
        <v>1862</v>
      </c>
      <c r="K82" s="141" t="s">
        <v>405</v>
      </c>
      <c r="L82" s="142" t="s">
        <v>227</v>
      </c>
      <c r="M82" s="139">
        <v>45841</v>
      </c>
      <c r="N82" s="143"/>
      <c r="P82" s="89"/>
      <c r="Q82" s="89"/>
    </row>
    <row r="83" spans="1:17" x14ac:dyDescent="0.3">
      <c r="A83" s="5" t="s">
        <v>228</v>
      </c>
      <c r="B83" s="100" t="s">
        <v>1275</v>
      </c>
      <c r="C83" s="28" t="s">
        <v>168</v>
      </c>
      <c r="D83" s="28" t="str">
        <f>IFERROR(VLOOKUP($C83,CUENTAS[],2,0),"")</f>
        <v>ACTIVOS FIJOS</v>
      </c>
      <c r="E83" s="28" t="str">
        <f>IFERROR(VLOOKUP($C83,CUENTAS[],3,0),"")</f>
        <v>MDE2025-007B</v>
      </c>
      <c r="F83" s="144">
        <v>4792</v>
      </c>
      <c r="G83" s="145">
        <v>0</v>
      </c>
      <c r="H83" s="128">
        <v>4792</v>
      </c>
      <c r="I83" s="200" t="str">
        <f t="shared" si="1"/>
        <v>CORRECTO</v>
      </c>
      <c r="J83" s="88" t="s">
        <v>1862</v>
      </c>
      <c r="K83" s="141" t="s">
        <v>405</v>
      </c>
      <c r="L83" s="142" t="s">
        <v>227</v>
      </c>
      <c r="M83" s="139">
        <v>45841</v>
      </c>
      <c r="N83" s="143"/>
      <c r="P83" s="89"/>
      <c r="Q83" s="89"/>
    </row>
    <row r="84" spans="1:17" x14ac:dyDescent="0.3">
      <c r="A84" s="5" t="s">
        <v>228</v>
      </c>
      <c r="B84" s="100" t="s">
        <v>1275</v>
      </c>
      <c r="C84" s="28" t="s">
        <v>168</v>
      </c>
      <c r="D84" s="28" t="str">
        <f>IFERROR(VLOOKUP($C84,CUENTAS[],2,0),"")</f>
        <v>ACTIVOS FIJOS</v>
      </c>
      <c r="E84" s="28" t="str">
        <f>IFERROR(VLOOKUP($C84,CUENTAS[],3,0),"")</f>
        <v>MDE2025-007B</v>
      </c>
      <c r="F84" s="144">
        <v>4792</v>
      </c>
      <c r="G84" s="145">
        <v>0</v>
      </c>
      <c r="H84" s="128">
        <v>4792</v>
      </c>
      <c r="I84" s="200" t="str">
        <f t="shared" si="1"/>
        <v>CORRECTO</v>
      </c>
      <c r="J84" s="88" t="s">
        <v>1862</v>
      </c>
      <c r="K84" s="141" t="s">
        <v>405</v>
      </c>
      <c r="L84" s="142" t="s">
        <v>227</v>
      </c>
      <c r="M84" s="139">
        <v>45841</v>
      </c>
      <c r="N84" s="143"/>
      <c r="P84" s="89"/>
      <c r="Q84" s="89"/>
    </row>
    <row r="85" spans="1:17" x14ac:dyDescent="0.3">
      <c r="A85" s="5" t="s">
        <v>228</v>
      </c>
      <c r="B85" s="100" t="s">
        <v>1275</v>
      </c>
      <c r="C85" s="28" t="s">
        <v>168</v>
      </c>
      <c r="D85" s="28" t="str">
        <f>IFERROR(VLOOKUP($C85,CUENTAS[],2,0),"")</f>
        <v>ACTIVOS FIJOS</v>
      </c>
      <c r="E85" s="28" t="str">
        <f>IFERROR(VLOOKUP($C85,CUENTAS[],3,0),"")</f>
        <v>MDE2025-007B</v>
      </c>
      <c r="F85" s="144">
        <v>4792</v>
      </c>
      <c r="G85" s="145">
        <v>0</v>
      </c>
      <c r="H85" s="128">
        <v>4792</v>
      </c>
      <c r="I85" s="200" t="str">
        <f t="shared" si="1"/>
        <v>CORRECTO</v>
      </c>
      <c r="J85" s="88" t="s">
        <v>1862</v>
      </c>
      <c r="K85" s="141" t="s">
        <v>405</v>
      </c>
      <c r="L85" s="142" t="s">
        <v>227</v>
      </c>
      <c r="M85" s="139">
        <v>45841</v>
      </c>
      <c r="N85" s="143"/>
      <c r="P85" s="89"/>
      <c r="Q85" s="89"/>
    </row>
    <row r="86" spans="1:17" x14ac:dyDescent="0.3">
      <c r="A86" s="5" t="s">
        <v>228</v>
      </c>
      <c r="B86" s="100" t="s">
        <v>1574</v>
      </c>
      <c r="C86" s="28" t="s">
        <v>168</v>
      </c>
      <c r="D86" s="28" t="str">
        <f>IFERROR(VLOOKUP($C86,CUENTAS[],2,0),"")</f>
        <v>ACTIVOS FIJOS</v>
      </c>
      <c r="E86" s="28" t="str">
        <f>IFERROR(VLOOKUP($C86,CUENTAS[],3,0),"")</f>
        <v>MDE2025-007B</v>
      </c>
      <c r="F86" s="144">
        <v>2148</v>
      </c>
      <c r="G86" s="145">
        <v>0</v>
      </c>
      <c r="H86" s="128">
        <v>2148</v>
      </c>
      <c r="I86" s="200" t="str">
        <f t="shared" si="1"/>
        <v>CORRECTO</v>
      </c>
      <c r="J86" s="88" t="s">
        <v>1862</v>
      </c>
      <c r="K86" s="141" t="s">
        <v>360</v>
      </c>
      <c r="L86" s="142" t="s">
        <v>227</v>
      </c>
      <c r="M86" s="139">
        <v>45841</v>
      </c>
      <c r="N86" s="143"/>
      <c r="P86" s="89"/>
      <c r="Q86" s="89"/>
    </row>
    <row r="87" spans="1:17" x14ac:dyDescent="0.3">
      <c r="A87" s="5" t="s">
        <v>228</v>
      </c>
      <c r="B87" s="100" t="s">
        <v>1000</v>
      </c>
      <c r="C87" s="28" t="s">
        <v>159</v>
      </c>
      <c r="D87" s="28" t="str">
        <f>IFERROR(VLOOKUP($C87,CUENTAS[],2,0),"")</f>
        <v>GASTOS VARIOS</v>
      </c>
      <c r="E87" s="28" t="str">
        <f>IFERROR(VLOOKUP($C87,CUENTAS[],3,0),"")</f>
        <v>MDE2025-003A</v>
      </c>
      <c r="F87" s="144">
        <v>328</v>
      </c>
      <c r="G87" s="145">
        <v>0</v>
      </c>
      <c r="H87" s="128">
        <v>328</v>
      </c>
      <c r="I87" s="200" t="str">
        <f t="shared" si="1"/>
        <v>CORRECTO</v>
      </c>
      <c r="J87" s="88" t="s">
        <v>1862</v>
      </c>
      <c r="K87" s="141" t="s">
        <v>407</v>
      </c>
      <c r="L87" s="142" t="s">
        <v>227</v>
      </c>
      <c r="M87" s="139">
        <v>45841</v>
      </c>
      <c r="N87" s="143"/>
      <c r="P87" s="89"/>
      <c r="Q87" s="89"/>
    </row>
    <row r="88" spans="1:17" x14ac:dyDescent="0.3">
      <c r="A88" s="5" t="s">
        <v>228</v>
      </c>
      <c r="B88" s="100" t="s">
        <v>1000</v>
      </c>
      <c r="C88" s="28" t="s">
        <v>159</v>
      </c>
      <c r="D88" s="28" t="str">
        <f>IFERROR(VLOOKUP($C88,CUENTAS[],2,0),"")</f>
        <v>GASTOS VARIOS</v>
      </c>
      <c r="E88" s="28" t="str">
        <f>IFERROR(VLOOKUP($C88,CUENTAS[],3,0),"")</f>
        <v>MDE2025-003A</v>
      </c>
      <c r="F88" s="144">
        <v>599.25</v>
      </c>
      <c r="G88" s="145">
        <v>0</v>
      </c>
      <c r="H88" s="128">
        <v>599.25</v>
      </c>
      <c r="I88" s="200" t="str">
        <f t="shared" si="1"/>
        <v>CORRECTO</v>
      </c>
      <c r="J88" s="88" t="s">
        <v>1862</v>
      </c>
      <c r="K88" s="141" t="s">
        <v>407</v>
      </c>
      <c r="L88" s="142" t="s">
        <v>227</v>
      </c>
      <c r="M88" s="139">
        <v>45841</v>
      </c>
      <c r="N88" s="143"/>
      <c r="P88" s="89"/>
      <c r="Q88" s="89"/>
    </row>
    <row r="89" spans="1:17" x14ac:dyDescent="0.3">
      <c r="A89" s="5" t="s">
        <v>228</v>
      </c>
      <c r="B89" s="100" t="s">
        <v>1859</v>
      </c>
      <c r="C89" s="28" t="s">
        <v>168</v>
      </c>
      <c r="D89" s="28" t="str">
        <f>IFERROR(VLOOKUP($C89,CUENTAS[],2,0),"")</f>
        <v>ACTIVOS FIJOS</v>
      </c>
      <c r="E89" s="28" t="str">
        <f>IFERROR(VLOOKUP($C89,CUENTAS[],3,0),"")</f>
        <v>MDE2025-007B</v>
      </c>
      <c r="F89" s="144">
        <v>1942.68</v>
      </c>
      <c r="G89" s="145">
        <v>0</v>
      </c>
      <c r="H89" s="128">
        <v>1942.68</v>
      </c>
      <c r="I89" s="200" t="str">
        <f t="shared" si="1"/>
        <v>CORRECTO</v>
      </c>
      <c r="J89" s="88" t="s">
        <v>1862</v>
      </c>
      <c r="K89" s="141" t="s">
        <v>360</v>
      </c>
      <c r="L89" s="142" t="s">
        <v>227</v>
      </c>
      <c r="M89" s="139">
        <v>45841</v>
      </c>
      <c r="N89" s="143"/>
      <c r="P89" s="89"/>
      <c r="Q89" s="89"/>
    </row>
    <row r="90" spans="1:17" x14ac:dyDescent="0.3">
      <c r="A90" s="5" t="s">
        <v>228</v>
      </c>
      <c r="B90" s="100" t="s">
        <v>1275</v>
      </c>
      <c r="C90" s="28" t="s">
        <v>168</v>
      </c>
      <c r="D90" s="28" t="str">
        <f>IFERROR(VLOOKUP($C90,CUENTAS[],2,0),"")</f>
        <v>ACTIVOS FIJOS</v>
      </c>
      <c r="E90" s="28" t="str">
        <f>IFERROR(VLOOKUP($C90,CUENTAS[],3,0),"")</f>
        <v>MDE2025-007B</v>
      </c>
      <c r="F90" s="144">
        <v>120</v>
      </c>
      <c r="G90" s="145">
        <v>0</v>
      </c>
      <c r="H90" s="128">
        <v>120</v>
      </c>
      <c r="I90" s="200" t="str">
        <f t="shared" si="1"/>
        <v>CORRECTO</v>
      </c>
      <c r="J90" s="88" t="s">
        <v>1862</v>
      </c>
      <c r="K90" s="141" t="s">
        <v>360</v>
      </c>
      <c r="L90" s="142" t="s">
        <v>227</v>
      </c>
      <c r="M90" s="139">
        <v>45841</v>
      </c>
      <c r="N90" s="143"/>
      <c r="P90" s="89"/>
      <c r="Q90" s="89"/>
    </row>
    <row r="91" spans="1:17" x14ac:dyDescent="0.3">
      <c r="A91" s="5" t="s">
        <v>228</v>
      </c>
      <c r="B91" s="100" t="s">
        <v>1275</v>
      </c>
      <c r="C91" s="28" t="s">
        <v>168</v>
      </c>
      <c r="D91" s="28" t="str">
        <f>IFERROR(VLOOKUP($C91,CUENTAS[],2,0),"")</f>
        <v>ACTIVOS FIJOS</v>
      </c>
      <c r="E91" s="28" t="str">
        <f>IFERROR(VLOOKUP($C91,CUENTAS[],3,0),"")</f>
        <v>MDE2025-007B</v>
      </c>
      <c r="F91" s="144">
        <v>4492</v>
      </c>
      <c r="G91" s="145">
        <v>0</v>
      </c>
      <c r="H91" s="128">
        <v>4492</v>
      </c>
      <c r="I91" s="200" t="str">
        <f t="shared" si="1"/>
        <v>CORRECTO</v>
      </c>
      <c r="J91" s="88" t="s">
        <v>1862</v>
      </c>
      <c r="K91" s="141" t="s">
        <v>360</v>
      </c>
      <c r="L91" s="142" t="s">
        <v>227</v>
      </c>
      <c r="M91" s="139">
        <v>45841</v>
      </c>
      <c r="N91" s="143"/>
      <c r="P91" s="89"/>
      <c r="Q91" s="89"/>
    </row>
    <row r="92" spans="1:17" x14ac:dyDescent="0.3">
      <c r="A92" s="5" t="s">
        <v>228</v>
      </c>
      <c r="B92" s="100" t="s">
        <v>1275</v>
      </c>
      <c r="C92" s="28" t="s">
        <v>168</v>
      </c>
      <c r="D92" s="28" t="str">
        <f>IFERROR(VLOOKUP($C92,CUENTAS[],2,0),"")</f>
        <v>ACTIVOS FIJOS</v>
      </c>
      <c r="E92" s="28" t="str">
        <f>IFERROR(VLOOKUP($C92,CUENTAS[],3,0),"")</f>
        <v>MDE2025-007B</v>
      </c>
      <c r="F92" s="144">
        <v>4492</v>
      </c>
      <c r="G92" s="145">
        <v>0</v>
      </c>
      <c r="H92" s="128">
        <v>4492</v>
      </c>
      <c r="I92" s="200" t="str">
        <f t="shared" si="1"/>
        <v>CORRECTO</v>
      </c>
      <c r="J92" s="88" t="s">
        <v>1862</v>
      </c>
      <c r="K92" s="141" t="s">
        <v>360</v>
      </c>
      <c r="L92" s="142" t="s">
        <v>227</v>
      </c>
      <c r="M92" s="139">
        <v>45841</v>
      </c>
      <c r="N92" s="143"/>
      <c r="P92" s="89"/>
      <c r="Q92" s="89"/>
    </row>
    <row r="93" spans="1:17" x14ac:dyDescent="0.3">
      <c r="A93" s="5" t="s">
        <v>228</v>
      </c>
      <c r="B93" s="100" t="s">
        <v>1275</v>
      </c>
      <c r="C93" s="28" t="s">
        <v>168</v>
      </c>
      <c r="D93" s="28" t="str">
        <f>IFERROR(VLOOKUP($C93,CUENTAS[],2,0),"")</f>
        <v>ACTIVOS FIJOS</v>
      </c>
      <c r="E93" s="28" t="str">
        <f>IFERROR(VLOOKUP($C93,CUENTAS[],3,0),"")</f>
        <v>MDE2025-007B</v>
      </c>
      <c r="F93" s="144">
        <v>10175</v>
      </c>
      <c r="G93" s="145">
        <v>0</v>
      </c>
      <c r="H93" s="128">
        <v>10175</v>
      </c>
      <c r="I93" s="200" t="str">
        <f t="shared" si="1"/>
        <v>CORRECTO</v>
      </c>
      <c r="J93" s="88" t="s">
        <v>1862</v>
      </c>
      <c r="K93" s="141" t="s">
        <v>360</v>
      </c>
      <c r="L93" s="142" t="s">
        <v>227</v>
      </c>
      <c r="M93" s="139">
        <v>45841</v>
      </c>
      <c r="N93" s="143"/>
      <c r="P93" s="89"/>
      <c r="Q93" s="89"/>
    </row>
    <row r="94" spans="1:17" x14ac:dyDescent="0.3">
      <c r="A94" s="5" t="s">
        <v>1004</v>
      </c>
      <c r="B94" s="100" t="s">
        <v>1009</v>
      </c>
      <c r="C94" s="28" t="s">
        <v>145</v>
      </c>
      <c r="D94" s="28" t="str">
        <f>IFERROR(VLOOKUP($C94,CUENTAS[],2,0),"")</f>
        <v>GASTOS VARIOS</v>
      </c>
      <c r="E94" s="28" t="str">
        <f>IFERROR(VLOOKUP($C94,CUENTAS[],3,0),"")</f>
        <v>MDE2025-003H</v>
      </c>
      <c r="F94" s="144">
        <v>1663.65</v>
      </c>
      <c r="G94" s="145">
        <v>0</v>
      </c>
      <c r="H94" s="128">
        <v>1663.65</v>
      </c>
      <c r="I94" s="200" t="str">
        <f t="shared" si="1"/>
        <v>CORRECTO</v>
      </c>
      <c r="J94" s="88" t="s">
        <v>133</v>
      </c>
      <c r="K94" s="141" t="s">
        <v>1277</v>
      </c>
      <c r="L94" s="142" t="s">
        <v>227</v>
      </c>
      <c r="M94" s="139">
        <v>45833</v>
      </c>
      <c r="N94" s="143"/>
      <c r="P94" s="89"/>
      <c r="Q94" s="89"/>
    </row>
    <row r="95" spans="1:17" x14ac:dyDescent="0.3">
      <c r="A95" s="5" t="s">
        <v>1004</v>
      </c>
      <c r="B95" s="100" t="s">
        <v>1010</v>
      </c>
      <c r="C95" s="28" t="s">
        <v>145</v>
      </c>
      <c r="D95" s="28" t="str">
        <f>IFERROR(VLOOKUP($C95,CUENTAS[],2,0),"")</f>
        <v>GASTOS VARIOS</v>
      </c>
      <c r="E95" s="28" t="str">
        <f>IFERROR(VLOOKUP($C95,CUENTAS[],3,0),"")</f>
        <v>MDE2025-003H</v>
      </c>
      <c r="F95" s="144">
        <v>266.18</v>
      </c>
      <c r="G95" s="145">
        <v>0</v>
      </c>
      <c r="H95" s="128">
        <v>266.18</v>
      </c>
      <c r="I95" s="200" t="str">
        <f t="shared" si="1"/>
        <v>CORRECTO</v>
      </c>
      <c r="J95" s="88" t="s">
        <v>133</v>
      </c>
      <c r="K95" s="141" t="s">
        <v>1277</v>
      </c>
      <c r="L95" s="142" t="s">
        <v>227</v>
      </c>
      <c r="M95" s="139">
        <v>45833</v>
      </c>
      <c r="N95" s="143"/>
      <c r="P95" s="89"/>
      <c r="Q95" s="89"/>
    </row>
    <row r="96" spans="1:17" x14ac:dyDescent="0.3">
      <c r="A96" s="5" t="s">
        <v>1004</v>
      </c>
      <c r="B96" s="100" t="s">
        <v>1011</v>
      </c>
      <c r="C96" s="28" t="s">
        <v>145</v>
      </c>
      <c r="D96" s="28" t="str">
        <f>IFERROR(VLOOKUP($C96,CUENTAS[],2,0),"")</f>
        <v>GASTOS VARIOS</v>
      </c>
      <c r="E96" s="28" t="str">
        <f>IFERROR(VLOOKUP($C96,CUENTAS[],3,0),"")</f>
        <v>MDE2025-003H</v>
      </c>
      <c r="F96" s="144">
        <v>9242.51</v>
      </c>
      <c r="G96" s="145">
        <v>0</v>
      </c>
      <c r="H96" s="128">
        <v>9242.51</v>
      </c>
      <c r="I96" s="200" t="str">
        <f t="shared" si="1"/>
        <v>CORRECTO</v>
      </c>
      <c r="J96" s="88" t="s">
        <v>133</v>
      </c>
      <c r="K96" s="141" t="s">
        <v>1277</v>
      </c>
      <c r="L96" s="142" t="s">
        <v>227</v>
      </c>
      <c r="M96" s="139">
        <v>45833</v>
      </c>
      <c r="N96" s="143"/>
      <c r="P96" s="89"/>
      <c r="Q96" s="89"/>
    </row>
    <row r="97" spans="1:17" x14ac:dyDescent="0.3">
      <c r="A97" s="5" t="s">
        <v>228</v>
      </c>
      <c r="B97" s="100" t="s">
        <v>1860</v>
      </c>
      <c r="C97" s="28" t="s">
        <v>134</v>
      </c>
      <c r="D97" s="28" t="str">
        <f>IFERROR(VLOOKUP($C97,CUENTAS[],2,0),"")</f>
        <v>GASTOS FIJOS</v>
      </c>
      <c r="E97" s="28" t="str">
        <f>IFERROR(VLOOKUP($C97,CUENTAS[],3,0),"")</f>
        <v>MDE2025-002J</v>
      </c>
      <c r="F97" s="144">
        <v>2299</v>
      </c>
      <c r="G97" s="145">
        <v>0</v>
      </c>
      <c r="H97" s="128">
        <v>2299</v>
      </c>
      <c r="I97" s="200" t="str">
        <f t="shared" si="1"/>
        <v>CORRECTO</v>
      </c>
      <c r="J97" s="88" t="s">
        <v>1862</v>
      </c>
      <c r="K97" s="141" t="s">
        <v>367</v>
      </c>
      <c r="L97" s="142" t="s">
        <v>227</v>
      </c>
      <c r="M97" s="139">
        <v>45841</v>
      </c>
      <c r="N97" s="143"/>
      <c r="P97" s="89"/>
      <c r="Q97" s="89"/>
    </row>
    <row r="98" spans="1:17" x14ac:dyDescent="0.3">
      <c r="A98" s="5" t="s">
        <v>228</v>
      </c>
      <c r="B98" s="100" t="s">
        <v>1000</v>
      </c>
      <c r="C98" s="28" t="s">
        <v>145</v>
      </c>
      <c r="D98" s="28" t="str">
        <f>IFERROR(VLOOKUP($C98,CUENTAS[],2,0),"")</f>
        <v>GASTOS VARIOS</v>
      </c>
      <c r="E98" s="28" t="str">
        <f>IFERROR(VLOOKUP($C98,CUENTAS[],3,0),"")</f>
        <v>MDE2025-003H</v>
      </c>
      <c r="F98" s="144">
        <v>1309.98</v>
      </c>
      <c r="G98" s="145">
        <v>0</v>
      </c>
      <c r="H98" s="128">
        <v>1309.98</v>
      </c>
      <c r="I98" s="200" t="str">
        <f t="shared" si="1"/>
        <v>CORRECTO</v>
      </c>
      <c r="J98" s="88" t="s">
        <v>1862</v>
      </c>
      <c r="K98" s="141" t="s">
        <v>360</v>
      </c>
      <c r="L98" s="142" t="s">
        <v>227</v>
      </c>
      <c r="M98" s="139">
        <v>45841</v>
      </c>
      <c r="N98" s="143"/>
      <c r="P98" s="89"/>
      <c r="Q98" s="89"/>
    </row>
    <row r="99" spans="1:17" x14ac:dyDescent="0.3">
      <c r="A99" s="5" t="s">
        <v>228</v>
      </c>
      <c r="B99" s="100" t="s">
        <v>1861</v>
      </c>
      <c r="C99" s="28" t="s">
        <v>145</v>
      </c>
      <c r="D99" s="28" t="str">
        <f>IFERROR(VLOOKUP($C99,CUENTAS[],2,0),"")</f>
        <v>GASTOS VARIOS</v>
      </c>
      <c r="E99" s="28" t="str">
        <f>IFERROR(VLOOKUP($C99,CUENTAS[],3,0),"")</f>
        <v>MDE2025-003H</v>
      </c>
      <c r="F99" s="144">
        <v>149</v>
      </c>
      <c r="G99" s="145">
        <v>0</v>
      </c>
      <c r="H99" s="128">
        <v>149</v>
      </c>
      <c r="I99" s="200" t="str">
        <f t="shared" si="1"/>
        <v>CORRECTO</v>
      </c>
      <c r="J99" s="88" t="s">
        <v>1862</v>
      </c>
      <c r="K99" s="141" t="s">
        <v>360</v>
      </c>
      <c r="L99" s="142" t="s">
        <v>227</v>
      </c>
      <c r="M99" s="139">
        <v>45841</v>
      </c>
      <c r="N99" s="143"/>
      <c r="P99" s="89"/>
      <c r="Q99" s="89"/>
    </row>
    <row r="100" spans="1:17" x14ac:dyDescent="0.3">
      <c r="A100" s="5" t="s">
        <v>228</v>
      </c>
      <c r="B100" s="100" t="s">
        <v>1000</v>
      </c>
      <c r="C100" s="28" t="s">
        <v>145</v>
      </c>
      <c r="D100" s="28" t="str">
        <f>IFERROR(VLOOKUP($C100,CUENTAS[],2,0),"")</f>
        <v>GASTOS VARIOS</v>
      </c>
      <c r="E100" s="28" t="str">
        <f>IFERROR(VLOOKUP($C100,CUENTAS[],3,0),"")</f>
        <v>MDE2025-003H</v>
      </c>
      <c r="F100" s="144">
        <v>2649</v>
      </c>
      <c r="G100" s="145">
        <v>0</v>
      </c>
      <c r="H100" s="128">
        <v>2649</v>
      </c>
      <c r="I100" s="200" t="str">
        <f t="shared" si="1"/>
        <v>CORRECTO</v>
      </c>
      <c r="J100" s="88" t="s">
        <v>1862</v>
      </c>
      <c r="K100" s="141" t="s">
        <v>360</v>
      </c>
      <c r="L100" s="142" t="s">
        <v>227</v>
      </c>
      <c r="M100" s="139">
        <v>45841</v>
      </c>
      <c r="N100" s="143"/>
      <c r="P100" s="89"/>
      <c r="Q100" s="89"/>
    </row>
    <row r="101" spans="1:17" x14ac:dyDescent="0.3">
      <c r="A101" s="5" t="s">
        <v>228</v>
      </c>
      <c r="B101" s="100" t="s">
        <v>1000</v>
      </c>
      <c r="C101" s="28" t="s">
        <v>145</v>
      </c>
      <c r="D101" s="28" t="str">
        <f>IFERROR(VLOOKUP($C101,CUENTAS[],2,0),"")</f>
        <v>GASTOS VARIOS</v>
      </c>
      <c r="E101" s="28" t="str">
        <f>IFERROR(VLOOKUP($C101,CUENTAS[],3,0),"")</f>
        <v>MDE2025-003H</v>
      </c>
      <c r="F101" s="144">
        <v>948.64</v>
      </c>
      <c r="G101" s="145">
        <v>0</v>
      </c>
      <c r="H101" s="128">
        <v>948.64</v>
      </c>
      <c r="I101" s="200" t="str">
        <f t="shared" si="1"/>
        <v>CORRECTO</v>
      </c>
      <c r="J101" s="88" t="s">
        <v>1862</v>
      </c>
      <c r="K101" s="141" t="s">
        <v>360</v>
      </c>
      <c r="L101" s="142" t="s">
        <v>227</v>
      </c>
      <c r="M101" s="139">
        <v>45841</v>
      </c>
      <c r="N101" s="143"/>
      <c r="P101" s="89"/>
      <c r="Q101" s="89"/>
    </row>
    <row r="102" spans="1:17" x14ac:dyDescent="0.3">
      <c r="A102" s="6" t="s">
        <v>833</v>
      </c>
      <c r="B102" s="109" t="s">
        <v>1681</v>
      </c>
      <c r="C102" s="28" t="s">
        <v>222</v>
      </c>
      <c r="D102" s="28" t="str">
        <f>IFERROR(VLOOKUP($C102,CUENTAS[],2,0),"")</f>
        <v>MANTENIMIENTO</v>
      </c>
      <c r="E102" s="28" t="str">
        <f>IFERROR(VLOOKUP($C102,CUENTAS[],3,0),"")</f>
        <v>MDE2025-009A</v>
      </c>
      <c r="F102" s="86">
        <v>125</v>
      </c>
      <c r="G102" s="129">
        <v>20</v>
      </c>
      <c r="H102" s="126">
        <v>145</v>
      </c>
      <c r="I102" s="200" t="str">
        <f t="shared" si="1"/>
        <v>CORRECTO</v>
      </c>
      <c r="J102" s="201" t="s">
        <v>3246</v>
      </c>
      <c r="K102" s="101" t="s">
        <v>623</v>
      </c>
      <c r="L102" s="95" t="s">
        <v>227</v>
      </c>
      <c r="M102" s="184">
        <v>45811</v>
      </c>
      <c r="N102" s="8" t="s">
        <v>1683</v>
      </c>
      <c r="P102" s="89"/>
      <c r="Q102" s="89"/>
    </row>
    <row r="103" spans="1:17" x14ac:dyDescent="0.3">
      <c r="A103" s="6" t="s">
        <v>833</v>
      </c>
      <c r="B103" s="111" t="s">
        <v>1682</v>
      </c>
      <c r="C103" s="28" t="s">
        <v>223</v>
      </c>
      <c r="D103" s="28" t="str">
        <f>IFERROR(VLOOKUP($C103,CUENTAS[],2,0),"")</f>
        <v>MANTENIMIENTO</v>
      </c>
      <c r="E103" s="28" t="str">
        <f>IFERROR(VLOOKUP($C103,CUENTAS[],3,0),"")</f>
        <v>MDE2025-009B</v>
      </c>
      <c r="F103" s="86">
        <v>86.21</v>
      </c>
      <c r="G103" s="129">
        <v>13.79</v>
      </c>
      <c r="H103" s="127">
        <v>100</v>
      </c>
      <c r="I103" s="200" t="str">
        <f t="shared" si="1"/>
        <v>CORRECTO</v>
      </c>
      <c r="J103" s="201" t="s">
        <v>3246</v>
      </c>
      <c r="K103" s="112" t="s">
        <v>1232</v>
      </c>
      <c r="L103" s="95" t="s">
        <v>227</v>
      </c>
      <c r="M103" s="185">
        <v>45821</v>
      </c>
      <c r="N103" s="9" t="s">
        <v>1684</v>
      </c>
      <c r="P103" s="89"/>
      <c r="Q103" s="89"/>
    </row>
    <row r="104" spans="1:17" x14ac:dyDescent="0.3">
      <c r="A104" s="6" t="s">
        <v>1028</v>
      </c>
      <c r="B104" s="111" t="s">
        <v>1863</v>
      </c>
      <c r="C104" s="28" t="s">
        <v>117</v>
      </c>
      <c r="D104" s="28" t="str">
        <f>IFERROR(VLOOKUP($C104,CUENTAS[],2,0),"")</f>
        <v>GASTOS VARIOS</v>
      </c>
      <c r="E104" s="28" t="str">
        <f>IFERROR(VLOOKUP($C104,CUENTAS[],3,0),"")</f>
        <v>MDE2025-003D</v>
      </c>
      <c r="F104" s="86">
        <v>259.61</v>
      </c>
      <c r="G104" s="129">
        <v>40.39</v>
      </c>
      <c r="H104" s="127">
        <v>300</v>
      </c>
      <c r="I104" s="200" t="str">
        <f t="shared" si="1"/>
        <v>CORRECTO</v>
      </c>
      <c r="J104" s="201" t="s">
        <v>3245</v>
      </c>
      <c r="K104" s="112" t="s">
        <v>472</v>
      </c>
      <c r="L104" s="95" t="s">
        <v>227</v>
      </c>
      <c r="M104" s="185">
        <v>45820</v>
      </c>
      <c r="N104" s="9" t="s">
        <v>1866</v>
      </c>
      <c r="P104" s="89"/>
      <c r="Q104" s="89"/>
    </row>
    <row r="105" spans="1:17" x14ac:dyDescent="0.3">
      <c r="A105" s="6" t="s">
        <v>1864</v>
      </c>
      <c r="B105" s="111" t="s">
        <v>1865</v>
      </c>
      <c r="C105" s="28" t="s">
        <v>117</v>
      </c>
      <c r="D105" s="28" t="str">
        <f>IFERROR(VLOOKUP($C105,CUENTAS[],2,0),"")</f>
        <v>GASTOS VARIOS</v>
      </c>
      <c r="E105" s="28" t="str">
        <f>IFERROR(VLOOKUP($C105,CUENTAS[],3,0),"")</f>
        <v>MDE2025-003D</v>
      </c>
      <c r="F105" s="86">
        <v>259.61</v>
      </c>
      <c r="G105" s="129">
        <v>40.39</v>
      </c>
      <c r="H105" s="127">
        <v>300</v>
      </c>
      <c r="I105" s="200" t="str">
        <f t="shared" si="1"/>
        <v>CORRECTO</v>
      </c>
      <c r="J105" s="201" t="s">
        <v>3245</v>
      </c>
      <c r="K105" s="112" t="s">
        <v>472</v>
      </c>
      <c r="L105" s="95" t="s">
        <v>227</v>
      </c>
      <c r="M105" s="185">
        <v>45824</v>
      </c>
      <c r="N105" s="9" t="s">
        <v>1867</v>
      </c>
      <c r="P105" s="89"/>
      <c r="Q105" s="89"/>
    </row>
    <row r="106" spans="1:17" x14ac:dyDescent="0.3">
      <c r="A106" s="6" t="s">
        <v>1864</v>
      </c>
      <c r="B106" s="111" t="s">
        <v>1865</v>
      </c>
      <c r="C106" s="28" t="s">
        <v>117</v>
      </c>
      <c r="D106" s="28" t="str">
        <f>IFERROR(VLOOKUP($C106,CUENTAS[],2,0),"")</f>
        <v>GASTOS VARIOS</v>
      </c>
      <c r="E106" s="28" t="str">
        <f>IFERROR(VLOOKUP($C106,CUENTAS[],3,0),"")</f>
        <v>MDE2025-003D</v>
      </c>
      <c r="F106" s="86">
        <v>300</v>
      </c>
      <c r="G106" s="129">
        <v>0</v>
      </c>
      <c r="H106" s="127">
        <v>300</v>
      </c>
      <c r="I106" s="200" t="str">
        <f t="shared" si="1"/>
        <v>CORRECTO</v>
      </c>
      <c r="J106" s="201" t="s">
        <v>3245</v>
      </c>
      <c r="K106" s="112" t="s">
        <v>472</v>
      </c>
      <c r="L106" s="95" t="s">
        <v>227</v>
      </c>
      <c r="M106" s="185">
        <v>45824</v>
      </c>
      <c r="N106" s="9" t="s">
        <v>1868</v>
      </c>
      <c r="P106" s="89"/>
      <c r="Q106" s="89"/>
    </row>
    <row r="107" spans="1:17" ht="14.25" customHeight="1" x14ac:dyDescent="0.3">
      <c r="A107" s="115" t="s">
        <v>1522</v>
      </c>
      <c r="B107" s="115" t="s">
        <v>1523</v>
      </c>
      <c r="C107" s="28" t="s">
        <v>114</v>
      </c>
      <c r="D107" s="28" t="str">
        <f>IFERROR(VLOOKUP($C107,CUENTAS[],2,0),"")</f>
        <v>GASTOS FIJOS</v>
      </c>
      <c r="E107" s="28" t="str">
        <f>IFERROR(VLOOKUP($C107,CUENTAS[],3,0),"")</f>
        <v>MDE2025-002G</v>
      </c>
      <c r="F107" s="86">
        <v>520</v>
      </c>
      <c r="G107" s="129">
        <v>83.2</v>
      </c>
      <c r="H107" s="130">
        <v>603.20000000000005</v>
      </c>
      <c r="I107" s="200" t="str">
        <f t="shared" si="1"/>
        <v>CORRECTO</v>
      </c>
      <c r="J107" s="88" t="s">
        <v>2614</v>
      </c>
      <c r="K107" s="116" t="s">
        <v>363</v>
      </c>
      <c r="L107" s="95" t="s">
        <v>227</v>
      </c>
      <c r="M107" s="159">
        <v>45810</v>
      </c>
      <c r="N107" s="118" t="s">
        <v>371</v>
      </c>
      <c r="P107" s="89"/>
      <c r="Q107" s="89"/>
    </row>
    <row r="108" spans="1:17" ht="14.25" customHeight="1" x14ac:dyDescent="0.3">
      <c r="A108" s="115" t="s">
        <v>1520</v>
      </c>
      <c r="B108" s="115" t="s">
        <v>1702</v>
      </c>
      <c r="C108" s="28" t="s">
        <v>109</v>
      </c>
      <c r="D108" s="28" t="str">
        <f>IFERROR(VLOOKUP($C108,CUENTAS[],2,0),"")</f>
        <v>LOGÍSTICA</v>
      </c>
      <c r="E108" s="28" t="str">
        <f>IFERROR(VLOOKUP($C108,CUENTAS[],3,0),"")</f>
        <v>MDE2025-006A</v>
      </c>
      <c r="F108" s="86">
        <v>23641.200000000001</v>
      </c>
      <c r="G108" s="129">
        <v>3782.6</v>
      </c>
      <c r="H108" s="131">
        <v>27423.8</v>
      </c>
      <c r="I108" s="200" t="str">
        <f t="shared" si="1"/>
        <v>CORRECTO</v>
      </c>
      <c r="J108" s="88" t="s">
        <v>2614</v>
      </c>
      <c r="K108" s="116" t="s">
        <v>362</v>
      </c>
      <c r="L108" s="95" t="s">
        <v>227</v>
      </c>
      <c r="M108" s="159">
        <v>45810</v>
      </c>
      <c r="N108" s="22" t="s">
        <v>1546</v>
      </c>
      <c r="P108" s="89"/>
      <c r="Q108" s="89"/>
    </row>
    <row r="109" spans="1:17" ht="14.25" customHeight="1" x14ac:dyDescent="0.3">
      <c r="A109" s="115" t="s">
        <v>1604</v>
      </c>
      <c r="B109" s="115" t="s">
        <v>1703</v>
      </c>
      <c r="C109" s="28" t="s">
        <v>224</v>
      </c>
      <c r="D109" s="28" t="str">
        <f>IFERROR(VLOOKUP($C109,CUENTAS[],2,0),"")</f>
        <v>MATERIALES</v>
      </c>
      <c r="E109" s="28" t="str">
        <f>IFERROR(VLOOKUP($C109,CUENTAS[],3,0),"")</f>
        <v>MDE2025-004</v>
      </c>
      <c r="F109" s="86">
        <v>112.07</v>
      </c>
      <c r="G109" s="129">
        <v>17.93</v>
      </c>
      <c r="H109" s="131">
        <v>130</v>
      </c>
      <c r="I109" s="200" t="str">
        <f t="shared" si="1"/>
        <v>CORRECTO</v>
      </c>
      <c r="J109" s="88" t="s">
        <v>2614</v>
      </c>
      <c r="K109" s="116" t="s">
        <v>407</v>
      </c>
      <c r="L109" s="95" t="s">
        <v>227</v>
      </c>
      <c r="M109" s="159">
        <v>45811</v>
      </c>
      <c r="N109" s="22" t="s">
        <v>1790</v>
      </c>
      <c r="P109" s="89"/>
      <c r="Q109" s="89"/>
    </row>
    <row r="110" spans="1:17" ht="14.25" customHeight="1" x14ac:dyDescent="0.3">
      <c r="A110" s="115" t="s">
        <v>1704</v>
      </c>
      <c r="B110" s="115" t="s">
        <v>1705</v>
      </c>
      <c r="C110" s="28" t="s">
        <v>166</v>
      </c>
      <c r="D110" s="28" t="str">
        <f>IFERROR(VLOOKUP($C110,CUENTAS[],2,0),"")</f>
        <v>LOGÍSTICA</v>
      </c>
      <c r="E110" s="28" t="str">
        <f>IFERROR(VLOOKUP($C110,CUENTAS[],3,0),"")</f>
        <v>MDE2025-006C</v>
      </c>
      <c r="F110" s="86">
        <v>21747.21</v>
      </c>
      <c r="G110" s="129">
        <v>3479.55</v>
      </c>
      <c r="H110" s="131">
        <v>25226.76</v>
      </c>
      <c r="I110" s="200" t="str">
        <f t="shared" si="1"/>
        <v>CORRECTO</v>
      </c>
      <c r="J110" s="88" t="s">
        <v>2614</v>
      </c>
      <c r="K110" s="116" t="s">
        <v>360</v>
      </c>
      <c r="L110" s="95" t="s">
        <v>227</v>
      </c>
      <c r="M110" s="159">
        <v>45812</v>
      </c>
      <c r="N110" s="22" t="s">
        <v>1791</v>
      </c>
      <c r="P110" s="89"/>
      <c r="Q110" s="89"/>
    </row>
    <row r="111" spans="1:17" ht="14.25" customHeight="1" x14ac:dyDescent="0.3">
      <c r="A111" s="115" t="s">
        <v>1706</v>
      </c>
      <c r="B111" s="115" t="s">
        <v>1707</v>
      </c>
      <c r="C111" s="28" t="s">
        <v>109</v>
      </c>
      <c r="D111" s="28" t="str">
        <f>IFERROR(VLOOKUP($C111,CUENTAS[],2,0),"")</f>
        <v>LOGÍSTICA</v>
      </c>
      <c r="E111" s="28" t="str">
        <f>IFERROR(VLOOKUP($C111,CUENTAS[],3,0),"")</f>
        <v>MDE2025-006A</v>
      </c>
      <c r="F111" s="86">
        <v>2068.9699999999998</v>
      </c>
      <c r="G111" s="129">
        <v>331.03</v>
      </c>
      <c r="H111" s="131">
        <v>2400</v>
      </c>
      <c r="I111" s="200" t="str">
        <f t="shared" si="1"/>
        <v>CORRECTO</v>
      </c>
      <c r="J111" s="88" t="s">
        <v>2614</v>
      </c>
      <c r="K111" s="116" t="s">
        <v>362</v>
      </c>
      <c r="L111" s="95" t="s">
        <v>227</v>
      </c>
      <c r="M111" s="159">
        <v>45813</v>
      </c>
      <c r="N111" s="22" t="s">
        <v>1792</v>
      </c>
      <c r="P111" s="89"/>
      <c r="Q111" s="89"/>
    </row>
    <row r="112" spans="1:17" ht="14.25" customHeight="1" x14ac:dyDescent="0.3">
      <c r="A112" s="115" t="s">
        <v>281</v>
      </c>
      <c r="B112" s="115" t="s">
        <v>1310</v>
      </c>
      <c r="C112" s="28" t="s">
        <v>128</v>
      </c>
      <c r="D112" s="28" t="str">
        <f>IFERROR(VLOOKUP($C112,CUENTAS[],2,0),"")</f>
        <v>GASTOS FIJOS</v>
      </c>
      <c r="E112" s="28" t="str">
        <f>IFERROR(VLOOKUP($C112,CUENTAS[],3,0),"")</f>
        <v>MDE2025-002I</v>
      </c>
      <c r="F112" s="86">
        <v>8000</v>
      </c>
      <c r="G112" s="129">
        <v>0</v>
      </c>
      <c r="H112" s="131">
        <v>8000</v>
      </c>
      <c r="I112" s="200" t="str">
        <f t="shared" si="1"/>
        <v>CORRECTO</v>
      </c>
      <c r="J112" s="88" t="s">
        <v>2614</v>
      </c>
      <c r="K112" s="116" t="s">
        <v>360</v>
      </c>
      <c r="L112" s="95" t="s">
        <v>227</v>
      </c>
      <c r="M112" s="159">
        <v>45783</v>
      </c>
      <c r="N112" s="22" t="s">
        <v>371</v>
      </c>
      <c r="P112" s="89"/>
      <c r="Q112" s="89"/>
    </row>
    <row r="113" spans="1:17" ht="14.25" customHeight="1" x14ac:dyDescent="0.3">
      <c r="A113" s="115" t="s">
        <v>1708</v>
      </c>
      <c r="B113" s="115" t="s">
        <v>1709</v>
      </c>
      <c r="C113" s="28" t="s">
        <v>201</v>
      </c>
      <c r="D113" s="28" t="str">
        <f>IFERROR(VLOOKUP($C113,CUENTAS[],2,0),"")</f>
        <v>ACTIVOS FIJOS</v>
      </c>
      <c r="E113" s="28" t="str">
        <f>IFERROR(VLOOKUP($C113,CUENTAS[],3,0),"")</f>
        <v>MDE2025-007I</v>
      </c>
      <c r="F113" s="86">
        <v>1478.88</v>
      </c>
      <c r="G113" s="129">
        <v>236.62</v>
      </c>
      <c r="H113" s="131">
        <v>1715.5</v>
      </c>
      <c r="I113" s="200" t="str">
        <f t="shared" si="1"/>
        <v>CORRECTO</v>
      </c>
      <c r="J113" s="88" t="s">
        <v>2614</v>
      </c>
      <c r="K113" s="116" t="s">
        <v>407</v>
      </c>
      <c r="L113" s="95" t="s">
        <v>227</v>
      </c>
      <c r="M113" s="159">
        <v>45817</v>
      </c>
      <c r="N113" s="22" t="s">
        <v>1793</v>
      </c>
      <c r="P113" s="89"/>
      <c r="Q113" s="89"/>
    </row>
    <row r="114" spans="1:17" ht="14.25" customHeight="1" x14ac:dyDescent="0.3">
      <c r="A114" s="115" t="s">
        <v>948</v>
      </c>
      <c r="B114" s="115" t="s">
        <v>1540</v>
      </c>
      <c r="C114" s="28" t="s">
        <v>125</v>
      </c>
      <c r="D114" s="28" t="str">
        <f>IFERROR(VLOOKUP($C114,CUENTAS[],2,0),"")</f>
        <v>GASTOS FIJOS</v>
      </c>
      <c r="E114" s="28" t="str">
        <f>IFERROR(VLOOKUP($C114,CUENTAS[],3,0),"")</f>
        <v>MDE2025-002B</v>
      </c>
      <c r="F114" s="86">
        <v>650</v>
      </c>
      <c r="G114" s="129">
        <v>0</v>
      </c>
      <c r="H114" s="131">
        <v>650</v>
      </c>
      <c r="I114" s="200" t="str">
        <f t="shared" si="1"/>
        <v>CORRECTO</v>
      </c>
      <c r="J114" s="88" t="s">
        <v>2614</v>
      </c>
      <c r="K114" s="116" t="s">
        <v>363</v>
      </c>
      <c r="L114" s="95" t="s">
        <v>227</v>
      </c>
      <c r="M114" s="159">
        <v>45818</v>
      </c>
      <c r="N114" s="22" t="s">
        <v>1794</v>
      </c>
      <c r="P114" s="89"/>
      <c r="Q114" s="89"/>
    </row>
    <row r="115" spans="1:17" ht="14.25" customHeight="1" x14ac:dyDescent="0.3">
      <c r="A115" s="115" t="s">
        <v>1710</v>
      </c>
      <c r="B115" s="115" t="s">
        <v>1711</v>
      </c>
      <c r="C115" s="28" t="s">
        <v>224</v>
      </c>
      <c r="D115" s="28" t="str">
        <f>IFERROR(VLOOKUP($C115,CUENTAS[],2,0),"")</f>
        <v>MATERIALES</v>
      </c>
      <c r="E115" s="28" t="str">
        <f>IFERROR(VLOOKUP($C115,CUENTAS[],3,0),"")</f>
        <v>MDE2025-004</v>
      </c>
      <c r="F115" s="86">
        <v>4408</v>
      </c>
      <c r="G115" s="129">
        <v>705.28</v>
      </c>
      <c r="H115" s="131">
        <v>5113.28</v>
      </c>
      <c r="I115" s="200" t="str">
        <f t="shared" si="1"/>
        <v>CORRECTO</v>
      </c>
      <c r="J115" s="88" t="s">
        <v>2614</v>
      </c>
      <c r="K115" s="116" t="s">
        <v>407</v>
      </c>
      <c r="L115" s="95" t="s">
        <v>227</v>
      </c>
      <c r="M115" s="159">
        <v>45818</v>
      </c>
      <c r="N115" s="22" t="s">
        <v>1795</v>
      </c>
      <c r="P115" s="89"/>
      <c r="Q115" s="89"/>
    </row>
    <row r="116" spans="1:17" ht="14.25" customHeight="1" x14ac:dyDescent="0.3">
      <c r="A116" s="115" t="s">
        <v>1524</v>
      </c>
      <c r="B116" s="115" t="s">
        <v>1712</v>
      </c>
      <c r="C116" s="28" t="s">
        <v>224</v>
      </c>
      <c r="D116" s="28" t="str">
        <f>IFERROR(VLOOKUP($C116,CUENTAS[],2,0),"")</f>
        <v>MATERIALES</v>
      </c>
      <c r="E116" s="28" t="str">
        <f>IFERROR(VLOOKUP($C116,CUENTAS[],3,0),"")</f>
        <v>MDE2025-004</v>
      </c>
      <c r="F116" s="86">
        <v>2468.9699999999998</v>
      </c>
      <c r="G116" s="129">
        <v>395.03</v>
      </c>
      <c r="H116" s="131">
        <v>2864</v>
      </c>
      <c r="I116" s="200" t="str">
        <f t="shared" si="1"/>
        <v>CORRECTO</v>
      </c>
      <c r="J116" s="88" t="s">
        <v>2614</v>
      </c>
      <c r="K116" s="116" t="s">
        <v>407</v>
      </c>
      <c r="L116" s="95" t="s">
        <v>227</v>
      </c>
      <c r="M116" s="159">
        <v>45818</v>
      </c>
      <c r="N116" s="22" t="s">
        <v>1796</v>
      </c>
      <c r="P116" s="89"/>
      <c r="Q116" s="89"/>
    </row>
    <row r="117" spans="1:17" ht="14.25" customHeight="1" x14ac:dyDescent="0.3">
      <c r="A117" s="115" t="s">
        <v>619</v>
      </c>
      <c r="B117" s="115" t="s">
        <v>1713</v>
      </c>
      <c r="C117" s="28" t="s">
        <v>224</v>
      </c>
      <c r="D117" s="28" t="str">
        <f>IFERROR(VLOOKUP($C117,CUENTAS[],2,0),"")</f>
        <v>MATERIALES</v>
      </c>
      <c r="E117" s="28" t="str">
        <f>IFERROR(VLOOKUP($C117,CUENTAS[],3,0),"")</f>
        <v>MDE2025-004</v>
      </c>
      <c r="F117" s="86">
        <v>340</v>
      </c>
      <c r="G117" s="129">
        <v>0</v>
      </c>
      <c r="H117" s="131">
        <v>340</v>
      </c>
      <c r="I117" s="200" t="str">
        <f t="shared" si="1"/>
        <v>CORRECTO</v>
      </c>
      <c r="J117" s="88" t="s">
        <v>2614</v>
      </c>
      <c r="K117" s="116" t="s">
        <v>407</v>
      </c>
      <c r="L117" s="95" t="s">
        <v>227</v>
      </c>
      <c r="M117" s="159">
        <v>45818</v>
      </c>
      <c r="N117" s="22">
        <v>3092</v>
      </c>
      <c r="P117" s="89"/>
      <c r="Q117" s="89"/>
    </row>
    <row r="118" spans="1:17" ht="14.25" customHeight="1" x14ac:dyDescent="0.3">
      <c r="A118" s="115" t="s">
        <v>1714</v>
      </c>
      <c r="B118" s="115" t="s">
        <v>1715</v>
      </c>
      <c r="C118" s="28" t="s">
        <v>224</v>
      </c>
      <c r="D118" s="28" t="str">
        <f>IFERROR(VLOOKUP($C118,CUENTAS[],2,0),"")</f>
        <v>MATERIALES</v>
      </c>
      <c r="E118" s="28" t="str">
        <f>IFERROR(VLOOKUP($C118,CUENTAS[],3,0),"")</f>
        <v>MDE2025-004</v>
      </c>
      <c r="F118" s="86">
        <v>150</v>
      </c>
      <c r="G118" s="129">
        <v>0</v>
      </c>
      <c r="H118" s="131">
        <v>150</v>
      </c>
      <c r="I118" s="200" t="str">
        <f t="shared" si="1"/>
        <v>CORRECTO</v>
      </c>
      <c r="J118" s="88" t="s">
        <v>2614</v>
      </c>
      <c r="K118" s="116" t="s">
        <v>407</v>
      </c>
      <c r="L118" s="95" t="s">
        <v>227</v>
      </c>
      <c r="M118" s="159">
        <v>45818</v>
      </c>
      <c r="N118" s="22" t="s">
        <v>1797</v>
      </c>
      <c r="P118" s="89"/>
      <c r="Q118" s="89"/>
    </row>
    <row r="119" spans="1:17" ht="14.25" customHeight="1" x14ac:dyDescent="0.3">
      <c r="A119" s="115" t="s">
        <v>240</v>
      </c>
      <c r="B119" s="115" t="s">
        <v>1716</v>
      </c>
      <c r="C119" s="28" t="s">
        <v>201</v>
      </c>
      <c r="D119" s="28" t="str">
        <f>IFERROR(VLOOKUP($C119,CUENTAS[],2,0),"")</f>
        <v>ACTIVOS FIJOS</v>
      </c>
      <c r="E119" s="28" t="str">
        <f>IFERROR(VLOOKUP($C119,CUENTAS[],3,0),"")</f>
        <v>MDE2025-007I</v>
      </c>
      <c r="F119" s="86">
        <v>13650</v>
      </c>
      <c r="G119" s="129">
        <v>0</v>
      </c>
      <c r="H119" s="131">
        <v>13650</v>
      </c>
      <c r="I119" s="200" t="str">
        <f t="shared" si="1"/>
        <v>CORRECTO</v>
      </c>
      <c r="J119" s="88" t="s">
        <v>2614</v>
      </c>
      <c r="K119" s="116" t="s">
        <v>360</v>
      </c>
      <c r="L119" s="95" t="s">
        <v>227</v>
      </c>
      <c r="M119" s="159">
        <v>45819</v>
      </c>
      <c r="N119" s="22" t="s">
        <v>371</v>
      </c>
      <c r="P119" s="89"/>
      <c r="Q119" s="89"/>
    </row>
    <row r="120" spans="1:17" ht="14.25" customHeight="1" x14ac:dyDescent="0.3">
      <c r="A120" s="115" t="s">
        <v>1602</v>
      </c>
      <c r="B120" s="115" t="s">
        <v>1717</v>
      </c>
      <c r="C120" s="28" t="s">
        <v>140</v>
      </c>
      <c r="D120" s="28" t="str">
        <f>IFERROR(VLOOKUP($C120,CUENTAS[],2,0),"")</f>
        <v>LOGÍSTICA</v>
      </c>
      <c r="E120" s="28" t="str">
        <f>IFERROR(VLOOKUP($C120,CUENTAS[],3,0),"")</f>
        <v>MDE2025-006B</v>
      </c>
      <c r="F120" s="86">
        <v>2604</v>
      </c>
      <c r="G120" s="129">
        <v>0</v>
      </c>
      <c r="H120" s="131">
        <v>2604</v>
      </c>
      <c r="I120" s="200" t="str">
        <f t="shared" si="1"/>
        <v>CORRECTO</v>
      </c>
      <c r="J120" s="88" t="s">
        <v>2614</v>
      </c>
      <c r="K120" s="116" t="s">
        <v>362</v>
      </c>
      <c r="L120" s="95" t="s">
        <v>227</v>
      </c>
      <c r="M120" s="159">
        <v>45819</v>
      </c>
      <c r="N120" s="22" t="s">
        <v>368</v>
      </c>
      <c r="P120" s="89"/>
      <c r="Q120" s="89"/>
    </row>
    <row r="121" spans="1:17" ht="14.25" customHeight="1" x14ac:dyDescent="0.3">
      <c r="A121" s="115" t="s">
        <v>1650</v>
      </c>
      <c r="B121" s="115" t="s">
        <v>1718</v>
      </c>
      <c r="C121" s="28" t="s">
        <v>140</v>
      </c>
      <c r="D121" s="28" t="str">
        <f>IFERROR(VLOOKUP($C121,CUENTAS[],2,0),"")</f>
        <v>LOGÍSTICA</v>
      </c>
      <c r="E121" s="28" t="str">
        <f>IFERROR(VLOOKUP($C121,CUENTAS[],3,0),"")</f>
        <v>MDE2025-006B</v>
      </c>
      <c r="F121" s="86">
        <v>750</v>
      </c>
      <c r="G121" s="129">
        <v>0</v>
      </c>
      <c r="H121" s="131">
        <v>750</v>
      </c>
      <c r="I121" s="200" t="str">
        <f t="shared" si="1"/>
        <v>CORRECTO</v>
      </c>
      <c r="J121" s="88" t="s">
        <v>2614</v>
      </c>
      <c r="K121" s="116" t="s">
        <v>362</v>
      </c>
      <c r="L121" s="95" t="s">
        <v>227</v>
      </c>
      <c r="M121" s="159">
        <v>45819</v>
      </c>
      <c r="N121" s="22" t="s">
        <v>371</v>
      </c>
      <c r="P121" s="89"/>
      <c r="Q121" s="89"/>
    </row>
    <row r="122" spans="1:17" ht="14.25" customHeight="1" x14ac:dyDescent="0.3">
      <c r="A122" s="115" t="s">
        <v>1719</v>
      </c>
      <c r="B122" s="115" t="s">
        <v>1720</v>
      </c>
      <c r="C122" s="28" t="s">
        <v>224</v>
      </c>
      <c r="D122" s="28" t="str">
        <f>IFERROR(VLOOKUP($C122,CUENTAS[],2,0),"")</f>
        <v>MATERIALES</v>
      </c>
      <c r="E122" s="28" t="str">
        <f>IFERROR(VLOOKUP($C122,CUENTAS[],3,0),"")</f>
        <v>MDE2025-004</v>
      </c>
      <c r="F122" s="86">
        <v>122</v>
      </c>
      <c r="G122" s="129">
        <v>0</v>
      </c>
      <c r="H122" s="131">
        <v>122</v>
      </c>
      <c r="I122" s="200" t="str">
        <f t="shared" si="1"/>
        <v>CORRECTO</v>
      </c>
      <c r="J122" s="88" t="s">
        <v>2614</v>
      </c>
      <c r="K122" s="116" t="s">
        <v>407</v>
      </c>
      <c r="L122" s="95" t="s">
        <v>227</v>
      </c>
      <c r="M122" s="159">
        <v>45819</v>
      </c>
      <c r="N122" s="22" t="s">
        <v>1798</v>
      </c>
      <c r="P122" s="89"/>
      <c r="Q122" s="89"/>
    </row>
    <row r="123" spans="1:17" ht="14.25" customHeight="1" x14ac:dyDescent="0.3">
      <c r="A123" s="115" t="s">
        <v>1719</v>
      </c>
      <c r="B123" s="115" t="s">
        <v>1720</v>
      </c>
      <c r="C123" s="28" t="s">
        <v>224</v>
      </c>
      <c r="D123" s="28" t="str">
        <f>IFERROR(VLOOKUP($C123,CUENTAS[],2,0),"")</f>
        <v>MATERIALES</v>
      </c>
      <c r="E123" s="28" t="str">
        <f>IFERROR(VLOOKUP($C123,CUENTAS[],3,0),"")</f>
        <v>MDE2025-004</v>
      </c>
      <c r="F123" s="86">
        <v>122</v>
      </c>
      <c r="G123" s="129">
        <v>0</v>
      </c>
      <c r="H123" s="131">
        <v>122</v>
      </c>
      <c r="I123" s="200" t="str">
        <f t="shared" si="1"/>
        <v>CORRECTO</v>
      </c>
      <c r="J123" s="88" t="s">
        <v>2614</v>
      </c>
      <c r="K123" s="116" t="s">
        <v>407</v>
      </c>
      <c r="L123" s="95" t="s">
        <v>227</v>
      </c>
      <c r="M123" s="159">
        <v>45819</v>
      </c>
      <c r="N123" s="22" t="s">
        <v>1799</v>
      </c>
      <c r="P123" s="89"/>
      <c r="Q123" s="89"/>
    </row>
    <row r="124" spans="1:17" ht="14.25" customHeight="1" x14ac:dyDescent="0.3">
      <c r="A124" s="115" t="s">
        <v>1721</v>
      </c>
      <c r="B124" s="115" t="s">
        <v>1722</v>
      </c>
      <c r="C124" s="28" t="s">
        <v>224</v>
      </c>
      <c r="D124" s="28" t="str">
        <f>IFERROR(VLOOKUP($C124,CUENTAS[],2,0),"")</f>
        <v>MATERIALES</v>
      </c>
      <c r="E124" s="28" t="str">
        <f>IFERROR(VLOOKUP($C124,CUENTAS[],3,0),"")</f>
        <v>MDE2025-004</v>
      </c>
      <c r="F124" s="86">
        <v>92</v>
      </c>
      <c r="G124" s="129">
        <v>0</v>
      </c>
      <c r="H124" s="131">
        <v>92</v>
      </c>
      <c r="I124" s="200" t="str">
        <f t="shared" si="1"/>
        <v>CORRECTO</v>
      </c>
      <c r="J124" s="88" t="s">
        <v>2614</v>
      </c>
      <c r="K124" s="116" t="s">
        <v>407</v>
      </c>
      <c r="L124" s="95" t="s">
        <v>227</v>
      </c>
      <c r="M124" s="159">
        <v>45820</v>
      </c>
      <c r="N124" s="22" t="s">
        <v>1838</v>
      </c>
      <c r="P124" s="89"/>
      <c r="Q124" s="89"/>
    </row>
    <row r="125" spans="1:17" ht="14.25" customHeight="1" x14ac:dyDescent="0.3">
      <c r="A125" s="115" t="s">
        <v>878</v>
      </c>
      <c r="B125" s="115" t="s">
        <v>1723</v>
      </c>
      <c r="C125" s="28" t="s">
        <v>224</v>
      </c>
      <c r="D125" s="28" t="str">
        <f>IFERROR(VLOOKUP($C125,CUENTAS[],2,0),"")</f>
        <v>MATERIALES</v>
      </c>
      <c r="E125" s="28" t="str">
        <f>IFERROR(VLOOKUP($C125,CUENTAS[],3,0),"")</f>
        <v>MDE2025-004</v>
      </c>
      <c r="F125" s="86">
        <v>1094.6199999999999</v>
      </c>
      <c r="G125" s="129">
        <v>175.14</v>
      </c>
      <c r="H125" s="131">
        <v>1269.76</v>
      </c>
      <c r="I125" s="200" t="str">
        <f t="shared" si="1"/>
        <v>CORRECTO</v>
      </c>
      <c r="J125" s="88" t="s">
        <v>2614</v>
      </c>
      <c r="K125" s="116" t="s">
        <v>407</v>
      </c>
      <c r="L125" s="95" t="s">
        <v>227</v>
      </c>
      <c r="M125" s="159">
        <v>45820</v>
      </c>
      <c r="N125" s="22">
        <v>62941</v>
      </c>
      <c r="P125" s="89"/>
      <c r="Q125" s="89"/>
    </row>
    <row r="126" spans="1:17" ht="14.25" customHeight="1" x14ac:dyDescent="0.3">
      <c r="A126" s="115" t="s">
        <v>1724</v>
      </c>
      <c r="B126" s="115" t="s">
        <v>1725</v>
      </c>
      <c r="C126" s="28" t="s">
        <v>224</v>
      </c>
      <c r="D126" s="28" t="str">
        <f>IFERROR(VLOOKUP($C126,CUENTAS[],2,0),"")</f>
        <v>MATERIALES</v>
      </c>
      <c r="E126" s="28" t="str">
        <f>IFERROR(VLOOKUP($C126,CUENTAS[],3,0),"")</f>
        <v>MDE2025-004</v>
      </c>
      <c r="F126" s="86">
        <v>1679.38</v>
      </c>
      <c r="G126" s="129">
        <v>268.7</v>
      </c>
      <c r="H126" s="131">
        <v>1948.08</v>
      </c>
      <c r="I126" s="200" t="str">
        <f t="shared" si="1"/>
        <v>CORRECTO</v>
      </c>
      <c r="J126" s="88" t="s">
        <v>2614</v>
      </c>
      <c r="K126" s="116" t="s">
        <v>407</v>
      </c>
      <c r="L126" s="95" t="s">
        <v>227</v>
      </c>
      <c r="M126" s="159">
        <v>45820</v>
      </c>
      <c r="N126" s="22" t="s">
        <v>1800</v>
      </c>
      <c r="P126" s="89"/>
      <c r="Q126" s="89"/>
    </row>
    <row r="127" spans="1:17" ht="14.25" customHeight="1" x14ac:dyDescent="0.3">
      <c r="A127" s="115" t="s">
        <v>1726</v>
      </c>
      <c r="B127" s="115" t="s">
        <v>1727</v>
      </c>
      <c r="C127" s="28" t="s">
        <v>159</v>
      </c>
      <c r="D127" s="28" t="str">
        <f>IFERROR(VLOOKUP($C127,CUENTAS[],2,0),"")</f>
        <v>GASTOS VARIOS</v>
      </c>
      <c r="E127" s="28" t="str">
        <f>IFERROR(VLOOKUP($C127,CUENTAS[],3,0),"")</f>
        <v>MDE2025-003A</v>
      </c>
      <c r="F127" s="86">
        <v>333.62</v>
      </c>
      <c r="G127" s="129">
        <v>53.38</v>
      </c>
      <c r="H127" s="131">
        <v>387</v>
      </c>
      <c r="I127" s="200" t="str">
        <f t="shared" si="1"/>
        <v>CORRECTO</v>
      </c>
      <c r="J127" s="88" t="s">
        <v>2614</v>
      </c>
      <c r="K127" s="116" t="s">
        <v>407</v>
      </c>
      <c r="L127" s="95" t="s">
        <v>227</v>
      </c>
      <c r="M127" s="159">
        <v>45821</v>
      </c>
      <c r="N127" s="22" t="s">
        <v>1801</v>
      </c>
      <c r="P127" s="89"/>
      <c r="Q127" s="89"/>
    </row>
    <row r="128" spans="1:17" ht="14.25" customHeight="1" x14ac:dyDescent="0.3">
      <c r="A128" s="115" t="s">
        <v>1728</v>
      </c>
      <c r="B128" s="115" t="s">
        <v>1729</v>
      </c>
      <c r="C128" s="28" t="s">
        <v>224</v>
      </c>
      <c r="D128" s="28" t="str">
        <f>IFERROR(VLOOKUP($C128,CUENTAS[],2,0),"")</f>
        <v>MATERIALES</v>
      </c>
      <c r="E128" s="28" t="str">
        <f>IFERROR(VLOOKUP($C128,CUENTAS[],3,0),"")</f>
        <v>MDE2025-004</v>
      </c>
      <c r="F128" s="86">
        <v>1110.3499999999999</v>
      </c>
      <c r="G128" s="129">
        <v>177.66</v>
      </c>
      <c r="H128" s="131">
        <v>1288.01</v>
      </c>
      <c r="I128" s="200" t="str">
        <f t="shared" si="1"/>
        <v>CORRECTO</v>
      </c>
      <c r="J128" s="88" t="s">
        <v>2614</v>
      </c>
      <c r="K128" s="116" t="s">
        <v>407</v>
      </c>
      <c r="L128" s="95" t="s">
        <v>227</v>
      </c>
      <c r="M128" s="159">
        <v>45811</v>
      </c>
      <c r="N128" s="22" t="s">
        <v>1802</v>
      </c>
      <c r="P128" s="89"/>
      <c r="Q128" s="89"/>
    </row>
    <row r="129" spans="1:17" ht="14.25" customHeight="1" x14ac:dyDescent="0.3">
      <c r="A129" s="115" t="s">
        <v>1520</v>
      </c>
      <c r="B129" s="115" t="s">
        <v>1730</v>
      </c>
      <c r="C129" s="28" t="s">
        <v>109</v>
      </c>
      <c r="D129" s="28" t="str">
        <f>IFERROR(VLOOKUP($C129,CUENTAS[],2,0),"")</f>
        <v>LOGÍSTICA</v>
      </c>
      <c r="E129" s="28" t="str">
        <f>IFERROR(VLOOKUP($C129,CUENTAS[],3,0),"")</f>
        <v>MDE2025-006A</v>
      </c>
      <c r="F129" s="86">
        <v>13420.34</v>
      </c>
      <c r="G129" s="129">
        <v>2147.66</v>
      </c>
      <c r="H129" s="131">
        <v>15568</v>
      </c>
      <c r="I129" s="200" t="str">
        <f t="shared" si="1"/>
        <v>CORRECTO</v>
      </c>
      <c r="J129" s="88" t="s">
        <v>2614</v>
      </c>
      <c r="K129" s="116" t="s">
        <v>362</v>
      </c>
      <c r="L129" s="95" t="s">
        <v>227</v>
      </c>
      <c r="M129" s="159">
        <v>45821</v>
      </c>
      <c r="N129" s="22" t="s">
        <v>1803</v>
      </c>
      <c r="P129" s="89"/>
      <c r="Q129" s="89"/>
    </row>
    <row r="130" spans="1:17" ht="14.25" customHeight="1" x14ac:dyDescent="0.3">
      <c r="A130" s="115" t="s">
        <v>1520</v>
      </c>
      <c r="B130" s="115" t="s">
        <v>1731</v>
      </c>
      <c r="C130" s="28" t="s">
        <v>109</v>
      </c>
      <c r="D130" s="28" t="str">
        <f>IFERROR(VLOOKUP($C130,CUENTAS[],2,0),"")</f>
        <v>LOGÍSTICA</v>
      </c>
      <c r="E130" s="28" t="str">
        <f>IFERROR(VLOOKUP($C130,CUENTAS[],3,0),"")</f>
        <v>MDE2025-006A</v>
      </c>
      <c r="F130" s="86">
        <v>6100</v>
      </c>
      <c r="G130" s="129">
        <v>976</v>
      </c>
      <c r="H130" s="131">
        <v>7076</v>
      </c>
      <c r="I130" s="200" t="str">
        <f t="shared" si="1"/>
        <v>CORRECTO</v>
      </c>
      <c r="J130" s="88" t="s">
        <v>2614</v>
      </c>
      <c r="K130" s="116" t="s">
        <v>362</v>
      </c>
      <c r="L130" s="95" t="s">
        <v>227</v>
      </c>
      <c r="M130" s="159">
        <v>45821</v>
      </c>
      <c r="N130" s="22" t="s">
        <v>1804</v>
      </c>
      <c r="P130" s="89"/>
      <c r="Q130" s="89"/>
    </row>
    <row r="131" spans="1:17" ht="14.25" customHeight="1" x14ac:dyDescent="0.3">
      <c r="A131" s="115" t="s">
        <v>857</v>
      </c>
      <c r="B131" s="115" t="s">
        <v>1732</v>
      </c>
      <c r="C131" s="28" t="s">
        <v>224</v>
      </c>
      <c r="D131" s="28" t="str">
        <f>IFERROR(VLOOKUP($C131,CUENTAS[],2,0),"")</f>
        <v>MATERIALES</v>
      </c>
      <c r="E131" s="28" t="str">
        <f>IFERROR(VLOOKUP($C131,CUENTAS[],3,0),"")</f>
        <v>MDE2025-004</v>
      </c>
      <c r="F131" s="86">
        <v>606.21</v>
      </c>
      <c r="G131" s="129">
        <v>96.99</v>
      </c>
      <c r="H131" s="131">
        <v>703.2</v>
      </c>
      <c r="I131" s="200" t="str">
        <f t="shared" ref="I131:I194" si="2">IFERROR(IF(F131+G131&lt;&gt;H131,"REVISAR","CORRECTO"),"")</f>
        <v>CORRECTO</v>
      </c>
      <c r="J131" s="88" t="s">
        <v>2614</v>
      </c>
      <c r="K131" s="116" t="s">
        <v>407</v>
      </c>
      <c r="L131" s="95" t="s">
        <v>227</v>
      </c>
      <c r="M131" s="159">
        <v>45825</v>
      </c>
      <c r="N131" s="22" t="s">
        <v>1805</v>
      </c>
      <c r="P131" s="89"/>
      <c r="Q131" s="89"/>
    </row>
    <row r="132" spans="1:17" ht="14.25" customHeight="1" x14ac:dyDescent="0.3">
      <c r="A132" s="115" t="s">
        <v>463</v>
      </c>
      <c r="B132" s="115" t="s">
        <v>1733</v>
      </c>
      <c r="C132" s="28" t="s">
        <v>224</v>
      </c>
      <c r="D132" s="28" t="str">
        <f>IFERROR(VLOOKUP($C132,CUENTAS[],2,0),"")</f>
        <v>MATERIALES</v>
      </c>
      <c r="E132" s="28" t="str">
        <f>IFERROR(VLOOKUP($C132,CUENTAS[],3,0),"")</f>
        <v>MDE2025-004</v>
      </c>
      <c r="F132" s="86">
        <v>4544.83</v>
      </c>
      <c r="G132" s="129">
        <v>727.17</v>
      </c>
      <c r="H132" s="131">
        <v>5272</v>
      </c>
      <c r="I132" s="200" t="str">
        <f t="shared" si="2"/>
        <v>CORRECTO</v>
      </c>
      <c r="J132" s="88" t="s">
        <v>2614</v>
      </c>
      <c r="K132" s="116" t="s">
        <v>407</v>
      </c>
      <c r="L132" s="95" t="s">
        <v>227</v>
      </c>
      <c r="M132" s="159">
        <v>45825</v>
      </c>
      <c r="N132" s="22" t="s">
        <v>1806</v>
      </c>
      <c r="P132" s="89"/>
      <c r="Q132" s="89"/>
    </row>
    <row r="133" spans="1:17" ht="14.25" customHeight="1" x14ac:dyDescent="0.3">
      <c r="A133" s="115" t="s">
        <v>236</v>
      </c>
      <c r="B133" s="115" t="s">
        <v>1088</v>
      </c>
      <c r="C133" s="28" t="s">
        <v>201</v>
      </c>
      <c r="D133" s="28" t="str">
        <f>IFERROR(VLOOKUP($C133,CUENTAS[],2,0),"")</f>
        <v>ACTIVOS FIJOS</v>
      </c>
      <c r="E133" s="28" t="str">
        <f>IFERROR(VLOOKUP($C133,CUENTAS[],3,0),"")</f>
        <v>MDE2025-007I</v>
      </c>
      <c r="F133" s="86">
        <v>3500</v>
      </c>
      <c r="G133" s="129">
        <v>0</v>
      </c>
      <c r="H133" s="131">
        <v>3500</v>
      </c>
      <c r="I133" s="200" t="str">
        <f t="shared" si="2"/>
        <v>CORRECTO</v>
      </c>
      <c r="J133" s="88" t="s">
        <v>2614</v>
      </c>
      <c r="K133" s="116" t="s">
        <v>363</v>
      </c>
      <c r="L133" s="95" t="s">
        <v>227</v>
      </c>
      <c r="M133" s="159">
        <v>45825</v>
      </c>
      <c r="N133" s="22" t="s">
        <v>371</v>
      </c>
      <c r="P133" s="89"/>
      <c r="Q133" s="89"/>
    </row>
    <row r="134" spans="1:17" ht="14.25" customHeight="1" x14ac:dyDescent="0.3">
      <c r="A134" s="115" t="s">
        <v>238</v>
      </c>
      <c r="B134" s="115" t="s">
        <v>1088</v>
      </c>
      <c r="C134" s="28" t="s">
        <v>201</v>
      </c>
      <c r="D134" s="28" t="str">
        <f>IFERROR(VLOOKUP($C134,CUENTAS[],2,0),"")</f>
        <v>ACTIVOS FIJOS</v>
      </c>
      <c r="E134" s="28" t="str">
        <f>IFERROR(VLOOKUP($C134,CUENTAS[],3,0),"")</f>
        <v>MDE2025-007I</v>
      </c>
      <c r="F134" s="86">
        <v>3200</v>
      </c>
      <c r="G134" s="129">
        <v>0</v>
      </c>
      <c r="H134" s="131">
        <v>3200</v>
      </c>
      <c r="I134" s="200" t="str">
        <f t="shared" si="2"/>
        <v>CORRECTO</v>
      </c>
      <c r="J134" s="88" t="s">
        <v>2614</v>
      </c>
      <c r="K134" s="116" t="s">
        <v>363</v>
      </c>
      <c r="L134" s="95" t="s">
        <v>227</v>
      </c>
      <c r="M134" s="159">
        <v>45825</v>
      </c>
      <c r="N134" s="22" t="s">
        <v>371</v>
      </c>
      <c r="P134" s="89"/>
      <c r="Q134" s="89"/>
    </row>
    <row r="135" spans="1:17" ht="14.25" customHeight="1" x14ac:dyDescent="0.3">
      <c r="A135" s="115" t="s">
        <v>1734</v>
      </c>
      <c r="B135" s="115" t="s">
        <v>1735</v>
      </c>
      <c r="C135" s="28" t="s">
        <v>144</v>
      </c>
      <c r="D135" s="28" t="str">
        <f>IFERROR(VLOOKUP($C135,CUENTAS[],2,0),"")</f>
        <v>LOGÍSTICA</v>
      </c>
      <c r="E135" s="28" t="str">
        <f>IFERROR(VLOOKUP($C135,CUENTAS[],3,0),"")</f>
        <v>MDE2025-006G</v>
      </c>
      <c r="F135" s="86">
        <v>150</v>
      </c>
      <c r="G135" s="129">
        <v>0</v>
      </c>
      <c r="H135" s="131">
        <v>150</v>
      </c>
      <c r="I135" s="200" t="str">
        <f t="shared" si="2"/>
        <v>CORRECTO</v>
      </c>
      <c r="J135" s="88" t="s">
        <v>137</v>
      </c>
      <c r="K135" s="116" t="s">
        <v>407</v>
      </c>
      <c r="L135" s="95" t="s">
        <v>227</v>
      </c>
      <c r="M135" s="159">
        <v>45819</v>
      </c>
      <c r="N135" s="22" t="s">
        <v>470</v>
      </c>
      <c r="P135" s="89"/>
      <c r="Q135" s="89"/>
    </row>
    <row r="136" spans="1:17" ht="14.25" customHeight="1" x14ac:dyDescent="0.3">
      <c r="A136" s="115" t="s">
        <v>230</v>
      </c>
      <c r="B136" s="115" t="s">
        <v>1736</v>
      </c>
      <c r="C136" s="28" t="s">
        <v>224</v>
      </c>
      <c r="D136" s="28" t="str">
        <f>IFERROR(VLOOKUP($C136,CUENTAS[],2,0),"")</f>
        <v>MATERIALES</v>
      </c>
      <c r="E136" s="28" t="str">
        <f>IFERROR(VLOOKUP($C136,CUENTAS[],3,0),"")</f>
        <v>MDE2025-004</v>
      </c>
      <c r="F136" s="86">
        <v>268.10000000000002</v>
      </c>
      <c r="G136" s="129">
        <v>42.9</v>
      </c>
      <c r="H136" s="131">
        <v>311</v>
      </c>
      <c r="I136" s="200" t="str">
        <f t="shared" si="2"/>
        <v>CORRECTO</v>
      </c>
      <c r="J136" s="88" t="s">
        <v>137</v>
      </c>
      <c r="K136" s="116" t="s">
        <v>407</v>
      </c>
      <c r="L136" s="95" t="s">
        <v>227</v>
      </c>
      <c r="M136" s="159">
        <v>45822</v>
      </c>
      <c r="N136" s="22" t="s">
        <v>1807</v>
      </c>
      <c r="P136" s="89"/>
      <c r="Q136" s="89"/>
    </row>
    <row r="137" spans="1:17" ht="14.25" customHeight="1" x14ac:dyDescent="0.3">
      <c r="A137" s="115" t="s">
        <v>1721</v>
      </c>
      <c r="B137" s="115" t="s">
        <v>1737</v>
      </c>
      <c r="C137" s="28" t="s">
        <v>224</v>
      </c>
      <c r="D137" s="28" t="str">
        <f>IFERROR(VLOOKUP($C137,CUENTAS[],2,0),"")</f>
        <v>MATERIALES</v>
      </c>
      <c r="E137" s="28" t="str">
        <f>IFERROR(VLOOKUP($C137,CUENTAS[],3,0),"")</f>
        <v>MDE2025-004</v>
      </c>
      <c r="F137" s="86">
        <v>1613.79</v>
      </c>
      <c r="G137" s="129">
        <v>258.20999999999998</v>
      </c>
      <c r="H137" s="131">
        <v>1872</v>
      </c>
      <c r="I137" s="200" t="str">
        <f t="shared" si="2"/>
        <v>CORRECTO</v>
      </c>
      <c r="J137" s="88" t="s">
        <v>2614</v>
      </c>
      <c r="K137" s="116" t="s">
        <v>407</v>
      </c>
      <c r="L137" s="95" t="s">
        <v>227</v>
      </c>
      <c r="M137" s="159">
        <v>45826</v>
      </c>
      <c r="N137" s="22" t="s">
        <v>1808</v>
      </c>
      <c r="P137" s="89"/>
      <c r="Q137" s="89"/>
    </row>
    <row r="138" spans="1:17" ht="14.25" customHeight="1" x14ac:dyDescent="0.3">
      <c r="A138" s="115" t="s">
        <v>1738</v>
      </c>
      <c r="B138" s="115" t="s">
        <v>1739</v>
      </c>
      <c r="C138" s="28" t="s">
        <v>224</v>
      </c>
      <c r="D138" s="28" t="str">
        <f>IFERROR(VLOOKUP($C138,CUENTAS[],2,0),"")</f>
        <v>MATERIALES</v>
      </c>
      <c r="E138" s="28" t="str">
        <f>IFERROR(VLOOKUP($C138,CUENTAS[],3,0),"")</f>
        <v>MDE2025-004</v>
      </c>
      <c r="F138" s="86">
        <v>10006.5</v>
      </c>
      <c r="G138" s="129">
        <v>0</v>
      </c>
      <c r="H138" s="131">
        <v>10006.5</v>
      </c>
      <c r="I138" s="200" t="str">
        <f t="shared" si="2"/>
        <v>CORRECTO</v>
      </c>
      <c r="J138" s="88" t="s">
        <v>2614</v>
      </c>
      <c r="K138" s="116" t="s">
        <v>407</v>
      </c>
      <c r="L138" s="95" t="s">
        <v>227</v>
      </c>
      <c r="M138" s="159">
        <v>45826</v>
      </c>
      <c r="N138" s="22" t="s">
        <v>1809</v>
      </c>
      <c r="P138" s="89"/>
      <c r="Q138" s="89"/>
    </row>
    <row r="139" spans="1:17" ht="14.25" customHeight="1" x14ac:dyDescent="0.3">
      <c r="A139" s="115" t="s">
        <v>1740</v>
      </c>
      <c r="B139" s="115" t="s">
        <v>1741</v>
      </c>
      <c r="C139" s="28" t="s">
        <v>159</v>
      </c>
      <c r="D139" s="28" t="str">
        <f>IFERROR(VLOOKUP($C139,CUENTAS[],2,0),"")</f>
        <v>GASTOS VARIOS</v>
      </c>
      <c r="E139" s="28" t="str">
        <f>IFERROR(VLOOKUP($C139,CUENTAS[],3,0),"")</f>
        <v>MDE2025-003A</v>
      </c>
      <c r="F139" s="86">
        <v>335</v>
      </c>
      <c r="G139" s="129">
        <v>0</v>
      </c>
      <c r="H139" s="131">
        <v>335</v>
      </c>
      <c r="I139" s="200" t="str">
        <f t="shared" si="2"/>
        <v>CORRECTO</v>
      </c>
      <c r="J139" s="88" t="s">
        <v>2614</v>
      </c>
      <c r="K139" s="116" t="s">
        <v>407</v>
      </c>
      <c r="L139" s="95" t="s">
        <v>227</v>
      </c>
      <c r="M139" s="159">
        <v>45826</v>
      </c>
      <c r="N139" s="22" t="s">
        <v>1810</v>
      </c>
      <c r="P139" s="89"/>
      <c r="Q139" s="89"/>
    </row>
    <row r="140" spans="1:17" ht="14.25" customHeight="1" x14ac:dyDescent="0.3">
      <c r="A140" s="115" t="s">
        <v>1742</v>
      </c>
      <c r="B140" s="115" t="s">
        <v>1743</v>
      </c>
      <c r="C140" s="28" t="s">
        <v>224</v>
      </c>
      <c r="D140" s="28" t="str">
        <f>IFERROR(VLOOKUP($C140,CUENTAS[],2,0),"")</f>
        <v>MATERIALES</v>
      </c>
      <c r="E140" s="28" t="str">
        <f>IFERROR(VLOOKUP($C140,CUENTAS[],3,0),"")</f>
        <v>MDE2025-004</v>
      </c>
      <c r="F140" s="86">
        <v>1241.3800000000001</v>
      </c>
      <c r="G140" s="129">
        <v>198.62</v>
      </c>
      <c r="H140" s="131">
        <v>1440</v>
      </c>
      <c r="I140" s="200" t="str">
        <f t="shared" si="2"/>
        <v>CORRECTO</v>
      </c>
      <c r="J140" s="88" t="s">
        <v>2614</v>
      </c>
      <c r="K140" s="116" t="s">
        <v>407</v>
      </c>
      <c r="L140" s="95" t="s">
        <v>227</v>
      </c>
      <c r="M140" s="159">
        <v>45826</v>
      </c>
      <c r="N140" s="22" t="s">
        <v>1811</v>
      </c>
      <c r="P140" s="89"/>
      <c r="Q140" s="89"/>
    </row>
    <row r="141" spans="1:17" ht="14.25" customHeight="1" x14ac:dyDescent="0.3">
      <c r="A141" s="115" t="s">
        <v>1744</v>
      </c>
      <c r="B141" s="115" t="s">
        <v>1745</v>
      </c>
      <c r="C141" s="28" t="s">
        <v>224</v>
      </c>
      <c r="D141" s="28" t="str">
        <f>IFERROR(VLOOKUP($C141,CUENTAS[],2,0),"")</f>
        <v>MATERIALES</v>
      </c>
      <c r="E141" s="28" t="str">
        <f>IFERROR(VLOOKUP($C141,CUENTAS[],3,0),"")</f>
        <v>MDE2025-004</v>
      </c>
      <c r="F141" s="86">
        <v>14450</v>
      </c>
      <c r="G141" s="129">
        <v>0</v>
      </c>
      <c r="H141" s="131">
        <v>14450</v>
      </c>
      <c r="I141" s="200" t="str">
        <f t="shared" si="2"/>
        <v>CORRECTO</v>
      </c>
      <c r="J141" s="88" t="s">
        <v>2614</v>
      </c>
      <c r="K141" s="116" t="s">
        <v>407</v>
      </c>
      <c r="L141" s="95" t="s">
        <v>227</v>
      </c>
      <c r="M141" s="159">
        <v>45826</v>
      </c>
      <c r="N141" s="22" t="s">
        <v>1812</v>
      </c>
      <c r="P141" s="89"/>
      <c r="Q141" s="89"/>
    </row>
    <row r="142" spans="1:17" ht="14.25" customHeight="1" x14ac:dyDescent="0.3">
      <c r="A142" s="115" t="s">
        <v>1744</v>
      </c>
      <c r="B142" s="115" t="s">
        <v>1746</v>
      </c>
      <c r="C142" s="28" t="s">
        <v>224</v>
      </c>
      <c r="D142" s="28" t="str">
        <f>IFERROR(VLOOKUP($C142,CUENTAS[],2,0),"")</f>
        <v>MATERIALES</v>
      </c>
      <c r="E142" s="28" t="str">
        <f>IFERROR(VLOOKUP($C142,CUENTAS[],3,0),"")</f>
        <v>MDE2025-004</v>
      </c>
      <c r="F142" s="86">
        <v>2151</v>
      </c>
      <c r="G142" s="129">
        <v>0</v>
      </c>
      <c r="H142" s="131">
        <v>2151</v>
      </c>
      <c r="I142" s="200" t="str">
        <f t="shared" si="2"/>
        <v>CORRECTO</v>
      </c>
      <c r="J142" s="88" t="s">
        <v>2614</v>
      </c>
      <c r="K142" s="116" t="s">
        <v>407</v>
      </c>
      <c r="L142" s="95" t="s">
        <v>227</v>
      </c>
      <c r="M142" s="159">
        <v>45826</v>
      </c>
      <c r="N142" s="22" t="s">
        <v>1813</v>
      </c>
      <c r="P142" s="89"/>
      <c r="Q142" s="89"/>
    </row>
    <row r="143" spans="1:17" ht="14.25" customHeight="1" x14ac:dyDescent="0.3">
      <c r="A143" s="115" t="s">
        <v>1747</v>
      </c>
      <c r="B143" s="115" t="s">
        <v>1748</v>
      </c>
      <c r="C143" s="28" t="s">
        <v>224</v>
      </c>
      <c r="D143" s="28" t="str">
        <f>IFERROR(VLOOKUP($C143,CUENTAS[],2,0),"")</f>
        <v>MATERIALES</v>
      </c>
      <c r="E143" s="28" t="str">
        <f>IFERROR(VLOOKUP($C143,CUENTAS[],3,0),"")</f>
        <v>MDE2025-004</v>
      </c>
      <c r="F143" s="86">
        <v>340.52</v>
      </c>
      <c r="G143" s="129">
        <v>54.48</v>
      </c>
      <c r="H143" s="131">
        <v>395</v>
      </c>
      <c r="I143" s="200" t="str">
        <f t="shared" si="2"/>
        <v>CORRECTO</v>
      </c>
      <c r="J143" s="88" t="s">
        <v>2614</v>
      </c>
      <c r="K143" s="116" t="s">
        <v>407</v>
      </c>
      <c r="L143" s="95" t="s">
        <v>227</v>
      </c>
      <c r="M143" s="159">
        <v>45826</v>
      </c>
      <c r="N143" s="22" t="s">
        <v>1814</v>
      </c>
      <c r="P143" s="89"/>
      <c r="Q143" s="89"/>
    </row>
    <row r="144" spans="1:17" ht="14.25" customHeight="1" x14ac:dyDescent="0.3">
      <c r="A144" s="115" t="s">
        <v>1749</v>
      </c>
      <c r="B144" s="115" t="s">
        <v>1750</v>
      </c>
      <c r="C144" s="28" t="s">
        <v>224</v>
      </c>
      <c r="D144" s="28" t="str">
        <f>IFERROR(VLOOKUP($C144,CUENTAS[],2,0),"")</f>
        <v>MATERIALES</v>
      </c>
      <c r="E144" s="28" t="str">
        <f>IFERROR(VLOOKUP($C144,CUENTAS[],3,0),"")</f>
        <v>MDE2025-004</v>
      </c>
      <c r="F144" s="86">
        <v>300</v>
      </c>
      <c r="G144" s="129">
        <v>0</v>
      </c>
      <c r="H144" s="131">
        <v>300</v>
      </c>
      <c r="I144" s="200" t="str">
        <f t="shared" si="2"/>
        <v>CORRECTO</v>
      </c>
      <c r="J144" s="88" t="s">
        <v>2614</v>
      </c>
      <c r="K144" s="116" t="s">
        <v>407</v>
      </c>
      <c r="L144" s="95" t="s">
        <v>227</v>
      </c>
      <c r="M144" s="159">
        <v>45827</v>
      </c>
      <c r="N144" s="22" t="s">
        <v>226</v>
      </c>
      <c r="P144" s="89"/>
      <c r="Q144" s="89"/>
    </row>
    <row r="145" spans="1:17" ht="14.25" customHeight="1" x14ac:dyDescent="0.3">
      <c r="A145" s="115" t="s">
        <v>1751</v>
      </c>
      <c r="B145" s="115" t="s">
        <v>1752</v>
      </c>
      <c r="C145" s="28" t="s">
        <v>224</v>
      </c>
      <c r="D145" s="28" t="str">
        <f>IFERROR(VLOOKUP($C145,CUENTAS[],2,0),"")</f>
        <v>MATERIALES</v>
      </c>
      <c r="E145" s="28" t="str">
        <f>IFERROR(VLOOKUP($C145,CUENTAS[],3,0),"")</f>
        <v>MDE2025-004</v>
      </c>
      <c r="F145" s="86">
        <v>163.79</v>
      </c>
      <c r="G145" s="129">
        <v>26.21</v>
      </c>
      <c r="H145" s="131">
        <v>190</v>
      </c>
      <c r="I145" s="200" t="str">
        <f t="shared" si="2"/>
        <v>CORRECTO</v>
      </c>
      <c r="J145" s="88" t="s">
        <v>2614</v>
      </c>
      <c r="K145" s="116" t="s">
        <v>407</v>
      </c>
      <c r="L145" s="95" t="s">
        <v>227</v>
      </c>
      <c r="M145" s="159">
        <v>45827</v>
      </c>
      <c r="N145" s="22" t="s">
        <v>1815</v>
      </c>
      <c r="P145" s="89"/>
      <c r="Q145" s="89"/>
    </row>
    <row r="146" spans="1:17" ht="14.25" customHeight="1" x14ac:dyDescent="0.3">
      <c r="A146" s="115" t="s">
        <v>1753</v>
      </c>
      <c r="B146" s="115" t="s">
        <v>1754</v>
      </c>
      <c r="C146" s="28" t="s">
        <v>224</v>
      </c>
      <c r="D146" s="28" t="str">
        <f>IFERROR(VLOOKUP($C146,CUENTAS[],2,0),"")</f>
        <v>MATERIALES</v>
      </c>
      <c r="E146" s="28" t="str">
        <f>IFERROR(VLOOKUP($C146,CUENTAS[],3,0),"")</f>
        <v>MDE2025-004</v>
      </c>
      <c r="F146" s="86">
        <v>342.59</v>
      </c>
      <c r="G146" s="129">
        <v>0</v>
      </c>
      <c r="H146" s="131">
        <v>342.59</v>
      </c>
      <c r="I146" s="200" t="str">
        <f t="shared" si="2"/>
        <v>CORRECTO</v>
      </c>
      <c r="J146" s="88" t="s">
        <v>2614</v>
      </c>
      <c r="K146" s="116" t="s">
        <v>407</v>
      </c>
      <c r="L146" s="95" t="s">
        <v>227</v>
      </c>
      <c r="M146" s="159">
        <v>45827</v>
      </c>
      <c r="N146" s="22" t="s">
        <v>1816</v>
      </c>
      <c r="P146" s="89"/>
      <c r="Q146" s="89"/>
    </row>
    <row r="147" spans="1:17" ht="14.25" customHeight="1" x14ac:dyDescent="0.3">
      <c r="A147" s="115" t="s">
        <v>230</v>
      </c>
      <c r="B147" s="115" t="s">
        <v>1755</v>
      </c>
      <c r="C147" s="28" t="s">
        <v>224</v>
      </c>
      <c r="D147" s="28" t="str">
        <f>IFERROR(VLOOKUP($C147,CUENTAS[],2,0),"")</f>
        <v>MATERIALES</v>
      </c>
      <c r="E147" s="28" t="str">
        <f>IFERROR(VLOOKUP($C147,CUENTAS[],3,0),"")</f>
        <v>MDE2025-004</v>
      </c>
      <c r="F147" s="86">
        <v>543.1</v>
      </c>
      <c r="G147" s="129">
        <v>86.9</v>
      </c>
      <c r="H147" s="131">
        <v>630</v>
      </c>
      <c r="I147" s="200" t="str">
        <f t="shared" si="2"/>
        <v>CORRECTO</v>
      </c>
      <c r="J147" s="88" t="s">
        <v>2614</v>
      </c>
      <c r="K147" s="116" t="s">
        <v>407</v>
      </c>
      <c r="L147" s="95" t="s">
        <v>227</v>
      </c>
      <c r="M147" s="159">
        <v>45827</v>
      </c>
      <c r="N147" s="22" t="s">
        <v>1817</v>
      </c>
      <c r="P147" s="89"/>
      <c r="Q147" s="89"/>
    </row>
    <row r="148" spans="1:17" ht="14.25" customHeight="1" x14ac:dyDescent="0.3">
      <c r="A148" s="115" t="s">
        <v>845</v>
      </c>
      <c r="B148" s="115" t="s">
        <v>1756</v>
      </c>
      <c r="C148" s="28" t="s">
        <v>224</v>
      </c>
      <c r="D148" s="28" t="str">
        <f>IFERROR(VLOOKUP($C148,CUENTAS[],2,0),"")</f>
        <v>MATERIALES</v>
      </c>
      <c r="E148" s="28" t="str">
        <f>IFERROR(VLOOKUP($C148,CUENTAS[],3,0),"")</f>
        <v>MDE2025-004</v>
      </c>
      <c r="F148" s="86">
        <v>862.2</v>
      </c>
      <c r="G148" s="129">
        <v>137.94999999999999</v>
      </c>
      <c r="H148" s="131">
        <v>1000.15</v>
      </c>
      <c r="I148" s="200" t="str">
        <f t="shared" si="2"/>
        <v>CORRECTO</v>
      </c>
      <c r="J148" s="88" t="s">
        <v>2614</v>
      </c>
      <c r="K148" s="116" t="s">
        <v>360</v>
      </c>
      <c r="L148" s="95" t="s">
        <v>227</v>
      </c>
      <c r="M148" s="159">
        <v>45828</v>
      </c>
      <c r="N148" s="22" t="s">
        <v>1818</v>
      </c>
      <c r="P148" s="89"/>
      <c r="Q148" s="89"/>
    </row>
    <row r="149" spans="1:17" ht="14.25" customHeight="1" x14ac:dyDescent="0.3">
      <c r="A149" s="115" t="s">
        <v>1757</v>
      </c>
      <c r="B149" s="115" t="s">
        <v>1758</v>
      </c>
      <c r="C149" s="28" t="s">
        <v>224</v>
      </c>
      <c r="D149" s="28" t="str">
        <f>IFERROR(VLOOKUP($C149,CUENTAS[],2,0),"")</f>
        <v>MATERIALES</v>
      </c>
      <c r="E149" s="28" t="str">
        <f>IFERROR(VLOOKUP($C149,CUENTAS[],3,0),"")</f>
        <v>MDE2025-004</v>
      </c>
      <c r="F149" s="86">
        <v>285</v>
      </c>
      <c r="G149" s="129">
        <v>0</v>
      </c>
      <c r="H149" s="131">
        <v>285</v>
      </c>
      <c r="I149" s="200" t="str">
        <f t="shared" si="2"/>
        <v>CORRECTO</v>
      </c>
      <c r="J149" s="88" t="s">
        <v>2614</v>
      </c>
      <c r="K149" s="116" t="s">
        <v>360</v>
      </c>
      <c r="L149" s="95" t="s">
        <v>227</v>
      </c>
      <c r="M149" s="159">
        <v>45828</v>
      </c>
      <c r="N149" s="22" t="s">
        <v>1819</v>
      </c>
      <c r="P149" s="89"/>
      <c r="Q149" s="89"/>
    </row>
    <row r="150" spans="1:17" ht="14.25" customHeight="1" x14ac:dyDescent="0.3">
      <c r="A150" s="115" t="s">
        <v>883</v>
      </c>
      <c r="B150" s="115" t="s">
        <v>1759</v>
      </c>
      <c r="C150" s="28" t="s">
        <v>224</v>
      </c>
      <c r="D150" s="28" t="str">
        <f>IFERROR(VLOOKUP($C150,CUENTAS[],2,0),"")</f>
        <v>MATERIALES</v>
      </c>
      <c r="E150" s="28" t="str">
        <f>IFERROR(VLOOKUP($C150,CUENTAS[],3,0),"")</f>
        <v>MDE2025-004</v>
      </c>
      <c r="F150" s="86">
        <v>16269.92</v>
      </c>
      <c r="G150" s="129">
        <v>2603.19</v>
      </c>
      <c r="H150" s="131">
        <v>18873.11</v>
      </c>
      <c r="I150" s="200" t="str">
        <f t="shared" si="2"/>
        <v>CORRECTO</v>
      </c>
      <c r="J150" s="88" t="s">
        <v>2614</v>
      </c>
      <c r="K150" s="116" t="s">
        <v>360</v>
      </c>
      <c r="L150" s="95" t="s">
        <v>227</v>
      </c>
      <c r="M150" s="159">
        <v>45828</v>
      </c>
      <c r="N150" s="22" t="s">
        <v>1820</v>
      </c>
      <c r="P150" s="89"/>
      <c r="Q150" s="89"/>
    </row>
    <row r="151" spans="1:17" ht="14.25" customHeight="1" x14ac:dyDescent="0.3">
      <c r="A151" s="115" t="s">
        <v>1760</v>
      </c>
      <c r="B151" s="115" t="s">
        <v>1761</v>
      </c>
      <c r="C151" s="28" t="s">
        <v>224</v>
      </c>
      <c r="D151" s="28" t="str">
        <f>IFERROR(VLOOKUP($C151,CUENTAS[],2,0),"")</f>
        <v>MATERIALES</v>
      </c>
      <c r="E151" s="28" t="str">
        <f>IFERROR(VLOOKUP($C151,CUENTAS[],3,0),"")</f>
        <v>MDE2025-004</v>
      </c>
      <c r="F151" s="86">
        <v>791.37</v>
      </c>
      <c r="G151" s="129">
        <v>126.63</v>
      </c>
      <c r="H151" s="131">
        <v>918</v>
      </c>
      <c r="I151" s="200" t="str">
        <f t="shared" si="2"/>
        <v>CORRECTO</v>
      </c>
      <c r="J151" s="88" t="s">
        <v>2614</v>
      </c>
      <c r="K151" s="116" t="s">
        <v>360</v>
      </c>
      <c r="L151" s="95" t="s">
        <v>227</v>
      </c>
      <c r="M151" s="159">
        <v>45828</v>
      </c>
      <c r="N151" s="22" t="s">
        <v>1821</v>
      </c>
      <c r="P151" s="89"/>
      <c r="Q151" s="89"/>
    </row>
    <row r="152" spans="1:17" ht="14.25" customHeight="1" x14ac:dyDescent="0.3">
      <c r="A152" s="115" t="s">
        <v>1721</v>
      </c>
      <c r="B152" s="115" t="s">
        <v>1762</v>
      </c>
      <c r="C152" s="28" t="s">
        <v>224</v>
      </c>
      <c r="D152" s="28" t="str">
        <f>IFERROR(VLOOKUP($C152,CUENTAS[],2,0),"")</f>
        <v>MATERIALES</v>
      </c>
      <c r="E152" s="28" t="str">
        <f>IFERROR(VLOOKUP($C152,CUENTAS[],3,0),"")</f>
        <v>MDE2025-004</v>
      </c>
      <c r="F152" s="86">
        <v>300</v>
      </c>
      <c r="G152" s="129">
        <v>0</v>
      </c>
      <c r="H152" s="131">
        <v>300</v>
      </c>
      <c r="I152" s="200" t="str">
        <f t="shared" si="2"/>
        <v>CORRECTO</v>
      </c>
      <c r="J152" s="88" t="s">
        <v>2614</v>
      </c>
      <c r="K152" s="116" t="s">
        <v>360</v>
      </c>
      <c r="L152" s="95" t="s">
        <v>227</v>
      </c>
      <c r="M152" s="159">
        <v>45826</v>
      </c>
      <c r="N152" s="22" t="s">
        <v>1822</v>
      </c>
      <c r="P152" s="89"/>
      <c r="Q152" s="89"/>
    </row>
    <row r="153" spans="1:17" ht="14.25" customHeight="1" x14ac:dyDescent="0.3">
      <c r="A153" s="115" t="s">
        <v>1763</v>
      </c>
      <c r="B153" s="115" t="s">
        <v>1764</v>
      </c>
      <c r="C153" s="28" t="s">
        <v>224</v>
      </c>
      <c r="D153" s="28" t="str">
        <f>IFERROR(VLOOKUP($C153,CUENTAS[],2,0),"")</f>
        <v>MATERIALES</v>
      </c>
      <c r="E153" s="28" t="str">
        <f>IFERROR(VLOOKUP($C153,CUENTAS[],3,0),"")</f>
        <v>MDE2025-004</v>
      </c>
      <c r="F153" s="86">
        <v>3214.46</v>
      </c>
      <c r="G153" s="129">
        <v>514.30999999999995</v>
      </c>
      <c r="H153" s="131">
        <v>3728.77</v>
      </c>
      <c r="I153" s="200" t="str">
        <f t="shared" si="2"/>
        <v>CORRECTO</v>
      </c>
      <c r="J153" s="88" t="s">
        <v>2614</v>
      </c>
      <c r="K153" s="116" t="s">
        <v>360</v>
      </c>
      <c r="L153" s="95" t="s">
        <v>227</v>
      </c>
      <c r="M153" s="159">
        <v>45828</v>
      </c>
      <c r="N153" s="22" t="s">
        <v>1823</v>
      </c>
      <c r="P153" s="89"/>
      <c r="Q153" s="89"/>
    </row>
    <row r="154" spans="1:17" ht="14.25" customHeight="1" x14ac:dyDescent="0.3">
      <c r="A154" s="115" t="s">
        <v>1528</v>
      </c>
      <c r="B154" s="115" t="s">
        <v>1765</v>
      </c>
      <c r="C154" s="28" t="s">
        <v>224</v>
      </c>
      <c r="D154" s="28" t="str">
        <f>IFERROR(VLOOKUP($C154,CUENTAS[],2,0),"")</f>
        <v>MATERIALES</v>
      </c>
      <c r="E154" s="28" t="str">
        <f>IFERROR(VLOOKUP($C154,CUENTAS[],3,0),"")</f>
        <v>MDE2025-004</v>
      </c>
      <c r="F154" s="86">
        <v>1090.7</v>
      </c>
      <c r="G154" s="129">
        <v>0</v>
      </c>
      <c r="H154" s="131">
        <v>1090.7</v>
      </c>
      <c r="I154" s="200" t="str">
        <f t="shared" si="2"/>
        <v>CORRECTO</v>
      </c>
      <c r="J154" s="88" t="s">
        <v>2614</v>
      </c>
      <c r="K154" s="116" t="s">
        <v>360</v>
      </c>
      <c r="L154" s="95" t="s">
        <v>227</v>
      </c>
      <c r="M154" s="159">
        <v>45828</v>
      </c>
      <c r="N154" s="22" t="s">
        <v>226</v>
      </c>
      <c r="P154" s="89"/>
      <c r="Q154" s="89"/>
    </row>
    <row r="155" spans="1:17" ht="14.25" customHeight="1" x14ac:dyDescent="0.3">
      <c r="A155" s="115" t="s">
        <v>236</v>
      </c>
      <c r="B155" s="115" t="s">
        <v>1088</v>
      </c>
      <c r="C155" s="28" t="s">
        <v>201</v>
      </c>
      <c r="D155" s="28" t="str">
        <f>IFERROR(VLOOKUP($C155,CUENTAS[],2,0),"")</f>
        <v>ACTIVOS FIJOS</v>
      </c>
      <c r="E155" s="28" t="str">
        <f>IFERROR(VLOOKUP($C155,CUENTAS[],3,0),"")</f>
        <v>MDE2025-007I</v>
      </c>
      <c r="F155" s="86">
        <v>3500</v>
      </c>
      <c r="G155" s="129">
        <v>0</v>
      </c>
      <c r="H155" s="131">
        <v>3500</v>
      </c>
      <c r="I155" s="200" t="str">
        <f t="shared" si="2"/>
        <v>CORRECTO</v>
      </c>
      <c r="J155" s="88" t="s">
        <v>2614</v>
      </c>
      <c r="K155" s="116" t="s">
        <v>363</v>
      </c>
      <c r="L155" s="95" t="s">
        <v>227</v>
      </c>
      <c r="M155" s="159">
        <v>45831</v>
      </c>
      <c r="N155" s="22" t="s">
        <v>371</v>
      </c>
      <c r="P155" s="89"/>
      <c r="Q155" s="89"/>
    </row>
    <row r="156" spans="1:17" ht="14.25" customHeight="1" x14ac:dyDescent="0.3">
      <c r="A156" s="115" t="s">
        <v>238</v>
      </c>
      <c r="B156" s="115" t="s">
        <v>1088</v>
      </c>
      <c r="C156" s="28" t="s">
        <v>201</v>
      </c>
      <c r="D156" s="28" t="str">
        <f>IFERROR(VLOOKUP($C156,CUENTAS[],2,0),"")</f>
        <v>ACTIVOS FIJOS</v>
      </c>
      <c r="E156" s="28" t="str">
        <f>IFERROR(VLOOKUP($C156,CUENTAS[],3,0),"")</f>
        <v>MDE2025-007I</v>
      </c>
      <c r="F156" s="86">
        <v>3200</v>
      </c>
      <c r="G156" s="129">
        <v>0</v>
      </c>
      <c r="H156" s="131">
        <v>3200</v>
      </c>
      <c r="I156" s="200" t="str">
        <f t="shared" si="2"/>
        <v>CORRECTO</v>
      </c>
      <c r="J156" s="88" t="s">
        <v>2614</v>
      </c>
      <c r="K156" s="116" t="s">
        <v>363</v>
      </c>
      <c r="L156" s="95" t="s">
        <v>227</v>
      </c>
      <c r="M156" s="159">
        <v>45831</v>
      </c>
      <c r="N156" s="22" t="s">
        <v>371</v>
      </c>
      <c r="P156" s="89"/>
      <c r="Q156" s="89"/>
    </row>
    <row r="157" spans="1:17" ht="14.25" customHeight="1" x14ac:dyDescent="0.3">
      <c r="A157" s="115" t="s">
        <v>1602</v>
      </c>
      <c r="B157" s="115" t="s">
        <v>1766</v>
      </c>
      <c r="C157" s="28" t="s">
        <v>140</v>
      </c>
      <c r="D157" s="28" t="str">
        <f>IFERROR(VLOOKUP($C157,CUENTAS[],2,0),"")</f>
        <v>LOGÍSTICA</v>
      </c>
      <c r="E157" s="28" t="str">
        <f>IFERROR(VLOOKUP($C157,CUENTAS[],3,0),"")</f>
        <v>MDE2025-006B</v>
      </c>
      <c r="F157" s="86">
        <v>3307</v>
      </c>
      <c r="G157" s="129">
        <v>0</v>
      </c>
      <c r="H157" s="131">
        <v>3307</v>
      </c>
      <c r="I157" s="200" t="str">
        <f t="shared" si="2"/>
        <v>CORRECTO</v>
      </c>
      <c r="J157" s="88" t="s">
        <v>2614</v>
      </c>
      <c r="K157" s="116" t="s">
        <v>362</v>
      </c>
      <c r="L157" s="95" t="s">
        <v>227</v>
      </c>
      <c r="M157" s="159">
        <v>45831</v>
      </c>
      <c r="N157" s="22" t="s">
        <v>371</v>
      </c>
      <c r="P157" s="89"/>
      <c r="Q157" s="89"/>
    </row>
    <row r="158" spans="1:17" ht="14.25" customHeight="1" x14ac:dyDescent="0.3">
      <c r="A158" s="115" t="s">
        <v>459</v>
      </c>
      <c r="B158" s="115" t="s">
        <v>1767</v>
      </c>
      <c r="C158" s="28" t="s">
        <v>224</v>
      </c>
      <c r="D158" s="28" t="str">
        <f>IFERROR(VLOOKUP($C158,CUENTAS[],2,0),"")</f>
        <v>MATERIALES</v>
      </c>
      <c r="E158" s="28" t="str">
        <f>IFERROR(VLOOKUP($C158,CUENTAS[],3,0),"")</f>
        <v>MDE2025-004</v>
      </c>
      <c r="F158" s="86">
        <v>889.05</v>
      </c>
      <c r="G158" s="129">
        <v>142.25</v>
      </c>
      <c r="H158" s="131">
        <v>1031.3</v>
      </c>
      <c r="I158" s="200" t="str">
        <f t="shared" si="2"/>
        <v>CORRECTO</v>
      </c>
      <c r="J158" s="88" t="s">
        <v>2614</v>
      </c>
      <c r="K158" s="116" t="s">
        <v>360</v>
      </c>
      <c r="L158" s="95" t="s">
        <v>227</v>
      </c>
      <c r="M158" s="159">
        <v>45832</v>
      </c>
      <c r="N158" s="22" t="s">
        <v>1824</v>
      </c>
      <c r="P158" s="89"/>
      <c r="Q158" s="89"/>
    </row>
    <row r="159" spans="1:17" ht="14.25" customHeight="1" x14ac:dyDescent="0.3">
      <c r="A159" s="115" t="s">
        <v>1768</v>
      </c>
      <c r="B159" s="115" t="s">
        <v>1769</v>
      </c>
      <c r="C159" s="28" t="s">
        <v>224</v>
      </c>
      <c r="D159" s="28" t="str">
        <f>IFERROR(VLOOKUP($C159,CUENTAS[],2,0),"")</f>
        <v>MATERIALES</v>
      </c>
      <c r="E159" s="28" t="str">
        <f>IFERROR(VLOOKUP($C159,CUENTAS[],3,0),"")</f>
        <v>MDE2025-004</v>
      </c>
      <c r="F159" s="86">
        <v>2824.14</v>
      </c>
      <c r="G159" s="129">
        <v>451.86</v>
      </c>
      <c r="H159" s="131">
        <v>3276</v>
      </c>
      <c r="I159" s="200" t="str">
        <f t="shared" si="2"/>
        <v>CORRECTO</v>
      </c>
      <c r="J159" s="88" t="s">
        <v>2614</v>
      </c>
      <c r="K159" s="116" t="s">
        <v>360</v>
      </c>
      <c r="L159" s="95" t="s">
        <v>227</v>
      </c>
      <c r="M159" s="159">
        <v>45832</v>
      </c>
      <c r="N159" s="22" t="s">
        <v>1825</v>
      </c>
      <c r="P159" s="89"/>
      <c r="Q159" s="89"/>
    </row>
    <row r="160" spans="1:17" ht="14.25" customHeight="1" x14ac:dyDescent="0.3">
      <c r="A160" s="115" t="s">
        <v>878</v>
      </c>
      <c r="B160" s="115" t="s">
        <v>1770</v>
      </c>
      <c r="C160" s="28" t="s">
        <v>224</v>
      </c>
      <c r="D160" s="28" t="str">
        <f>IFERROR(VLOOKUP($C160,CUENTAS[],2,0),"")</f>
        <v>MATERIALES</v>
      </c>
      <c r="E160" s="28" t="str">
        <f>IFERROR(VLOOKUP($C160,CUENTAS[],3,0),"")</f>
        <v>MDE2025-004</v>
      </c>
      <c r="F160" s="86">
        <v>2976.72</v>
      </c>
      <c r="G160" s="129">
        <v>476.28</v>
      </c>
      <c r="H160" s="131">
        <v>3453</v>
      </c>
      <c r="I160" s="200" t="str">
        <f t="shared" si="2"/>
        <v>CORRECTO</v>
      </c>
      <c r="J160" s="88" t="s">
        <v>2614</v>
      </c>
      <c r="K160" s="116" t="s">
        <v>360</v>
      </c>
      <c r="L160" s="95" t="s">
        <v>227</v>
      </c>
      <c r="M160" s="159">
        <v>45832</v>
      </c>
      <c r="N160" s="22" t="s">
        <v>1826</v>
      </c>
      <c r="P160" s="89"/>
      <c r="Q160" s="89"/>
    </row>
    <row r="161" spans="1:17" ht="14.25" customHeight="1" x14ac:dyDescent="0.3">
      <c r="A161" s="115" t="s">
        <v>1771</v>
      </c>
      <c r="B161" s="115" t="s">
        <v>1772</v>
      </c>
      <c r="C161" s="28" t="s">
        <v>109</v>
      </c>
      <c r="D161" s="28" t="str">
        <f>IFERROR(VLOOKUP($C161,CUENTAS[],2,0),"")</f>
        <v>LOGÍSTICA</v>
      </c>
      <c r="E161" s="28" t="str">
        <f>IFERROR(VLOOKUP($C161,CUENTAS[],3,0),"")</f>
        <v>MDE2025-006A</v>
      </c>
      <c r="F161" s="86">
        <v>5700</v>
      </c>
      <c r="G161" s="129">
        <v>0</v>
      </c>
      <c r="H161" s="131">
        <v>5700</v>
      </c>
      <c r="I161" s="200" t="str">
        <f t="shared" si="2"/>
        <v>CORRECTO</v>
      </c>
      <c r="J161" s="88" t="s">
        <v>2614</v>
      </c>
      <c r="K161" s="116" t="s">
        <v>360</v>
      </c>
      <c r="L161" s="95" t="s">
        <v>227</v>
      </c>
      <c r="M161" s="159">
        <v>45833</v>
      </c>
      <c r="N161" s="22" t="s">
        <v>368</v>
      </c>
      <c r="P161" s="89"/>
      <c r="Q161" s="89"/>
    </row>
    <row r="162" spans="1:17" ht="14.25" customHeight="1" x14ac:dyDescent="0.3">
      <c r="A162" s="115" t="s">
        <v>1524</v>
      </c>
      <c r="B162" s="115" t="s">
        <v>1773</v>
      </c>
      <c r="C162" s="28" t="s">
        <v>224</v>
      </c>
      <c r="D162" s="28" t="str">
        <f>IFERROR(VLOOKUP($C162,CUENTAS[],2,0),"")</f>
        <v>MATERIALES</v>
      </c>
      <c r="E162" s="28" t="str">
        <f>IFERROR(VLOOKUP($C162,CUENTAS[],3,0),"")</f>
        <v>MDE2025-004</v>
      </c>
      <c r="F162" s="86">
        <v>2451.7199999999998</v>
      </c>
      <c r="G162" s="129">
        <v>392.28</v>
      </c>
      <c r="H162" s="131">
        <v>2844</v>
      </c>
      <c r="I162" s="200" t="str">
        <f t="shared" si="2"/>
        <v>CORRECTO</v>
      </c>
      <c r="J162" s="88" t="s">
        <v>2614</v>
      </c>
      <c r="K162" s="116" t="s">
        <v>360</v>
      </c>
      <c r="L162" s="95" t="s">
        <v>227</v>
      </c>
      <c r="M162" s="159">
        <v>45834</v>
      </c>
      <c r="N162" s="22">
        <v>435222</v>
      </c>
      <c r="P162" s="89"/>
      <c r="Q162" s="89"/>
    </row>
    <row r="163" spans="1:17" ht="14.25" customHeight="1" x14ac:dyDescent="0.3">
      <c r="A163" s="115" t="s">
        <v>463</v>
      </c>
      <c r="B163" s="115" t="s">
        <v>1774</v>
      </c>
      <c r="C163" s="28" t="s">
        <v>224</v>
      </c>
      <c r="D163" s="28" t="str">
        <f>IFERROR(VLOOKUP($C163,CUENTAS[],2,0),"")</f>
        <v>MATERIALES</v>
      </c>
      <c r="E163" s="28" t="str">
        <f>IFERROR(VLOOKUP($C163,CUENTAS[],3,0),"")</f>
        <v>MDE2025-004</v>
      </c>
      <c r="F163" s="86">
        <v>967.85</v>
      </c>
      <c r="G163" s="129">
        <v>154.86000000000001</v>
      </c>
      <c r="H163" s="131">
        <v>1122.71</v>
      </c>
      <c r="I163" s="200" t="str">
        <f t="shared" si="2"/>
        <v>CORRECTO</v>
      </c>
      <c r="J163" s="88" t="s">
        <v>2614</v>
      </c>
      <c r="K163" s="116" t="s">
        <v>360</v>
      </c>
      <c r="L163" s="95" t="s">
        <v>227</v>
      </c>
      <c r="M163" s="159">
        <v>45834</v>
      </c>
      <c r="N163" s="22" t="s">
        <v>1827</v>
      </c>
      <c r="P163" s="89"/>
      <c r="Q163" s="89"/>
    </row>
    <row r="164" spans="1:17" ht="14.25" customHeight="1" x14ac:dyDescent="0.3">
      <c r="A164" s="115" t="s">
        <v>1775</v>
      </c>
      <c r="B164" s="115" t="s">
        <v>1776</v>
      </c>
      <c r="C164" s="28" t="s">
        <v>224</v>
      </c>
      <c r="D164" s="28" t="str">
        <f>IFERROR(VLOOKUP($C164,CUENTAS[],2,0),"")</f>
        <v>MATERIALES</v>
      </c>
      <c r="E164" s="28" t="str">
        <f>IFERROR(VLOOKUP($C164,CUENTAS[],3,0),"")</f>
        <v>MDE2025-004</v>
      </c>
      <c r="F164" s="86">
        <v>647</v>
      </c>
      <c r="G164" s="129">
        <v>0</v>
      </c>
      <c r="H164" s="131">
        <v>647</v>
      </c>
      <c r="I164" s="200" t="str">
        <f t="shared" si="2"/>
        <v>CORRECTO</v>
      </c>
      <c r="J164" s="88" t="s">
        <v>2614</v>
      </c>
      <c r="K164" s="116" t="s">
        <v>360</v>
      </c>
      <c r="L164" s="95" t="s">
        <v>227</v>
      </c>
      <c r="M164" s="159">
        <v>45834</v>
      </c>
      <c r="N164" s="22" t="s">
        <v>1828</v>
      </c>
      <c r="P164" s="89"/>
      <c r="Q164" s="89"/>
    </row>
    <row r="165" spans="1:17" ht="14.25" customHeight="1" x14ac:dyDescent="0.3">
      <c r="A165" s="115" t="s">
        <v>1777</v>
      </c>
      <c r="B165" s="115" t="s">
        <v>1778</v>
      </c>
      <c r="C165" s="28" t="s">
        <v>222</v>
      </c>
      <c r="D165" s="28" t="str">
        <f>IFERROR(VLOOKUP($C165,CUENTAS[],2,0),"")</f>
        <v>MANTENIMIENTO</v>
      </c>
      <c r="E165" s="28" t="str">
        <f>IFERROR(VLOOKUP($C165,CUENTAS[],3,0),"")</f>
        <v>MDE2025-009A</v>
      </c>
      <c r="F165" s="86">
        <v>280</v>
      </c>
      <c r="G165" s="129">
        <v>0</v>
      </c>
      <c r="H165" s="131">
        <v>280</v>
      </c>
      <c r="I165" s="200" t="str">
        <f t="shared" si="2"/>
        <v>CORRECTO</v>
      </c>
      <c r="J165" s="88" t="s">
        <v>2614</v>
      </c>
      <c r="K165" s="116" t="s">
        <v>360</v>
      </c>
      <c r="L165" s="95" t="s">
        <v>227</v>
      </c>
      <c r="M165" s="159">
        <v>45834</v>
      </c>
      <c r="N165" s="22" t="s">
        <v>1829</v>
      </c>
      <c r="P165" s="89"/>
      <c r="Q165" s="89"/>
    </row>
    <row r="166" spans="1:17" ht="14.25" customHeight="1" x14ac:dyDescent="0.3">
      <c r="A166" s="115" t="s">
        <v>463</v>
      </c>
      <c r="B166" s="115" t="s">
        <v>1779</v>
      </c>
      <c r="C166" s="28" t="s">
        <v>224</v>
      </c>
      <c r="D166" s="28" t="str">
        <f>IFERROR(VLOOKUP($C166,CUENTAS[],2,0),"")</f>
        <v>MATERIALES</v>
      </c>
      <c r="E166" s="28" t="str">
        <f>IFERROR(VLOOKUP($C166,CUENTAS[],3,0),"")</f>
        <v>MDE2025-004</v>
      </c>
      <c r="F166" s="86">
        <v>129.34</v>
      </c>
      <c r="G166" s="129">
        <v>20.7</v>
      </c>
      <c r="H166" s="131">
        <v>150.04</v>
      </c>
      <c r="I166" s="200" t="str">
        <f t="shared" si="2"/>
        <v>CORRECTO</v>
      </c>
      <c r="J166" s="88" t="s">
        <v>2614</v>
      </c>
      <c r="K166" s="116" t="s">
        <v>360</v>
      </c>
      <c r="L166" s="95" t="s">
        <v>227</v>
      </c>
      <c r="M166" s="159">
        <v>45834</v>
      </c>
      <c r="N166" s="22" t="s">
        <v>1830</v>
      </c>
      <c r="P166" s="89"/>
      <c r="Q166" s="89"/>
    </row>
    <row r="167" spans="1:17" ht="14.25" customHeight="1" x14ac:dyDescent="0.3">
      <c r="A167" s="115" t="s">
        <v>1780</v>
      </c>
      <c r="B167" s="115" t="s">
        <v>1781</v>
      </c>
      <c r="C167" s="28" t="s">
        <v>159</v>
      </c>
      <c r="D167" s="28" t="str">
        <f>IFERROR(VLOOKUP($C167,CUENTAS[],2,0),"")</f>
        <v>GASTOS VARIOS</v>
      </c>
      <c r="E167" s="28" t="str">
        <f>IFERROR(VLOOKUP($C167,CUENTAS[],3,0),"")</f>
        <v>MDE2025-003A</v>
      </c>
      <c r="F167" s="86">
        <v>393.1</v>
      </c>
      <c r="G167" s="129">
        <v>62.9</v>
      </c>
      <c r="H167" s="131">
        <v>456</v>
      </c>
      <c r="I167" s="200" t="str">
        <f t="shared" si="2"/>
        <v>CORRECTO</v>
      </c>
      <c r="J167" s="88" t="s">
        <v>2614</v>
      </c>
      <c r="K167" s="116" t="s">
        <v>360</v>
      </c>
      <c r="L167" s="95" t="s">
        <v>227</v>
      </c>
      <c r="M167" s="159">
        <v>45834</v>
      </c>
      <c r="N167" s="22" t="s">
        <v>1831</v>
      </c>
      <c r="P167" s="89"/>
      <c r="Q167" s="89"/>
    </row>
    <row r="168" spans="1:17" ht="14.25" customHeight="1" x14ac:dyDescent="0.3">
      <c r="A168" s="115" t="s">
        <v>948</v>
      </c>
      <c r="B168" s="115" t="s">
        <v>949</v>
      </c>
      <c r="C168" s="28" t="s">
        <v>125</v>
      </c>
      <c r="D168" s="28" t="str">
        <f>IFERROR(VLOOKUP($C168,CUENTAS[],2,0),"")</f>
        <v>GASTOS FIJOS</v>
      </c>
      <c r="E168" s="28" t="str">
        <f>IFERROR(VLOOKUP($C168,CUENTAS[],3,0),"")</f>
        <v>MDE2025-002B</v>
      </c>
      <c r="F168" s="86">
        <v>750</v>
      </c>
      <c r="G168" s="129">
        <v>0</v>
      </c>
      <c r="H168" s="131">
        <v>750</v>
      </c>
      <c r="I168" s="200" t="str">
        <f t="shared" si="2"/>
        <v>CORRECTO</v>
      </c>
      <c r="J168" s="88" t="s">
        <v>2614</v>
      </c>
      <c r="K168" s="116" t="s">
        <v>363</v>
      </c>
      <c r="L168" s="95" t="s">
        <v>227</v>
      </c>
      <c r="M168" s="159">
        <v>45834</v>
      </c>
      <c r="N168" s="22" t="s">
        <v>1832</v>
      </c>
      <c r="P168" s="89"/>
      <c r="Q168" s="89"/>
    </row>
    <row r="169" spans="1:17" ht="14.25" customHeight="1" x14ac:dyDescent="0.3">
      <c r="A169" s="115" t="s">
        <v>236</v>
      </c>
      <c r="B169" s="115" t="s">
        <v>1088</v>
      </c>
      <c r="C169" s="28" t="s">
        <v>201</v>
      </c>
      <c r="D169" s="28" t="str">
        <f>IFERROR(VLOOKUP($C169,CUENTAS[],2,0),"")</f>
        <v>ACTIVOS FIJOS</v>
      </c>
      <c r="E169" s="28" t="str">
        <f>IFERROR(VLOOKUP($C169,CUENTAS[],3,0),"")</f>
        <v>MDE2025-007I</v>
      </c>
      <c r="F169" s="86">
        <v>3500</v>
      </c>
      <c r="G169" s="129">
        <v>0</v>
      </c>
      <c r="H169" s="131">
        <v>3500</v>
      </c>
      <c r="I169" s="200" t="str">
        <f t="shared" si="2"/>
        <v>CORRECTO</v>
      </c>
      <c r="J169" s="88" t="s">
        <v>2614</v>
      </c>
      <c r="K169" s="116" t="s">
        <v>363</v>
      </c>
      <c r="L169" s="95" t="s">
        <v>227</v>
      </c>
      <c r="M169" s="159">
        <v>45838</v>
      </c>
      <c r="N169" s="22" t="s">
        <v>371</v>
      </c>
      <c r="P169" s="89"/>
      <c r="Q169" s="89"/>
    </row>
    <row r="170" spans="1:17" ht="14.25" customHeight="1" x14ac:dyDescent="0.3">
      <c r="A170" s="115" t="s">
        <v>238</v>
      </c>
      <c r="B170" s="115" t="s">
        <v>1088</v>
      </c>
      <c r="C170" s="28" t="s">
        <v>201</v>
      </c>
      <c r="D170" s="28" t="str">
        <f>IFERROR(VLOOKUP($C170,CUENTAS[],2,0),"")</f>
        <v>ACTIVOS FIJOS</v>
      </c>
      <c r="E170" s="28" t="str">
        <f>IFERROR(VLOOKUP($C170,CUENTAS[],3,0),"")</f>
        <v>MDE2025-007I</v>
      </c>
      <c r="F170" s="86">
        <v>3200</v>
      </c>
      <c r="G170" s="129">
        <v>0</v>
      </c>
      <c r="H170" s="131">
        <v>3200</v>
      </c>
      <c r="I170" s="200" t="str">
        <f t="shared" si="2"/>
        <v>CORRECTO</v>
      </c>
      <c r="J170" s="88" t="s">
        <v>2614</v>
      </c>
      <c r="K170" s="116" t="s">
        <v>363</v>
      </c>
      <c r="L170" s="95" t="s">
        <v>227</v>
      </c>
      <c r="M170" s="159">
        <v>45838</v>
      </c>
      <c r="N170" s="22" t="s">
        <v>371</v>
      </c>
      <c r="P170" s="89"/>
      <c r="Q170" s="89"/>
    </row>
    <row r="171" spans="1:17" ht="14.25" customHeight="1" x14ac:dyDescent="0.3">
      <c r="A171" s="115" t="s">
        <v>1229</v>
      </c>
      <c r="B171" s="115" t="s">
        <v>1782</v>
      </c>
      <c r="C171" s="28" t="s">
        <v>151</v>
      </c>
      <c r="D171" s="28" t="str">
        <f>IFERROR(VLOOKUP($C171,CUENTAS[],2,0),"")</f>
        <v>GASTOS FIJOS</v>
      </c>
      <c r="E171" s="28" t="str">
        <f>IFERROR(VLOOKUP($C171,CUENTAS[],3,0),"")</f>
        <v>MDE2025-002F</v>
      </c>
      <c r="F171" s="86">
        <v>688.79</v>
      </c>
      <c r="G171" s="129">
        <v>110.21</v>
      </c>
      <c r="H171" s="131">
        <v>799</v>
      </c>
      <c r="I171" s="200" t="str">
        <f t="shared" si="2"/>
        <v>CORRECTO</v>
      </c>
      <c r="J171" s="88" t="s">
        <v>2614</v>
      </c>
      <c r="K171" s="116" t="s">
        <v>363</v>
      </c>
      <c r="L171" s="95" t="s">
        <v>227</v>
      </c>
      <c r="M171" s="159">
        <v>45838</v>
      </c>
      <c r="N171" s="22" t="s">
        <v>371</v>
      </c>
      <c r="P171" s="89"/>
      <c r="Q171" s="89"/>
    </row>
    <row r="172" spans="1:17" ht="14.25" customHeight="1" x14ac:dyDescent="0.3">
      <c r="A172" s="115" t="s">
        <v>1229</v>
      </c>
      <c r="B172" s="115" t="s">
        <v>1782</v>
      </c>
      <c r="C172" s="28" t="s">
        <v>151</v>
      </c>
      <c r="D172" s="28" t="str">
        <f>IFERROR(VLOOKUP($C172,CUENTAS[],2,0),"")</f>
        <v>GASTOS FIJOS</v>
      </c>
      <c r="E172" s="28" t="str">
        <f>IFERROR(VLOOKUP($C172,CUENTAS[],3,0),"")</f>
        <v>MDE2025-002F</v>
      </c>
      <c r="F172" s="86">
        <v>1377.59</v>
      </c>
      <c r="G172" s="129">
        <v>220.41</v>
      </c>
      <c r="H172" s="131">
        <v>1598</v>
      </c>
      <c r="I172" s="200" t="str">
        <f t="shared" si="2"/>
        <v>CORRECTO</v>
      </c>
      <c r="J172" s="88" t="s">
        <v>2614</v>
      </c>
      <c r="K172" s="116" t="s">
        <v>363</v>
      </c>
      <c r="L172" s="95" t="s">
        <v>227</v>
      </c>
      <c r="M172" s="159">
        <v>45838</v>
      </c>
      <c r="N172" s="22" t="s">
        <v>371</v>
      </c>
      <c r="P172" s="89"/>
      <c r="Q172" s="89"/>
    </row>
    <row r="173" spans="1:17" ht="14.25" customHeight="1" x14ac:dyDescent="0.3">
      <c r="A173" s="115" t="s">
        <v>1724</v>
      </c>
      <c r="B173" s="115" t="s">
        <v>1783</v>
      </c>
      <c r="C173" s="28" t="s">
        <v>224</v>
      </c>
      <c r="D173" s="28" t="str">
        <f>IFERROR(VLOOKUP($C173,CUENTAS[],2,0),"")</f>
        <v>MATERIALES</v>
      </c>
      <c r="E173" s="28" t="str">
        <f>IFERROR(VLOOKUP($C173,CUENTAS[],3,0),"")</f>
        <v>MDE2025-004</v>
      </c>
      <c r="F173" s="86">
        <v>488.82</v>
      </c>
      <c r="G173" s="129">
        <v>78.209999999999994</v>
      </c>
      <c r="H173" s="131">
        <v>567.03</v>
      </c>
      <c r="I173" s="200" t="str">
        <f t="shared" si="2"/>
        <v>CORRECTO</v>
      </c>
      <c r="J173" s="88" t="s">
        <v>2614</v>
      </c>
      <c r="K173" s="116" t="s">
        <v>363</v>
      </c>
      <c r="L173" s="95" t="s">
        <v>227</v>
      </c>
      <c r="M173" s="159">
        <v>45838</v>
      </c>
      <c r="N173" s="22" t="s">
        <v>1833</v>
      </c>
      <c r="P173" s="89"/>
      <c r="Q173" s="89"/>
    </row>
    <row r="174" spans="1:17" ht="14.25" customHeight="1" x14ac:dyDescent="0.3">
      <c r="A174" s="115" t="s">
        <v>619</v>
      </c>
      <c r="B174" s="115" t="s">
        <v>1784</v>
      </c>
      <c r="C174" s="28" t="s">
        <v>223</v>
      </c>
      <c r="D174" s="28" t="str">
        <f>IFERROR(VLOOKUP($C174,CUENTAS[],2,0),"")</f>
        <v>MANTENIMIENTO</v>
      </c>
      <c r="E174" s="28" t="str">
        <f>IFERROR(VLOOKUP($C174,CUENTAS[],3,0),"")</f>
        <v>MDE2025-009B</v>
      </c>
      <c r="F174" s="86">
        <v>1153.45</v>
      </c>
      <c r="G174" s="129">
        <v>184.55</v>
      </c>
      <c r="H174" s="131">
        <v>1338</v>
      </c>
      <c r="I174" s="200" t="str">
        <f t="shared" si="2"/>
        <v>CORRECTO</v>
      </c>
      <c r="J174" s="88" t="s">
        <v>137</v>
      </c>
      <c r="K174" s="116" t="s">
        <v>363</v>
      </c>
      <c r="L174" s="95" t="s">
        <v>227</v>
      </c>
      <c r="M174" s="159">
        <v>45827</v>
      </c>
      <c r="N174" s="22" t="s">
        <v>1834</v>
      </c>
      <c r="P174" s="89"/>
      <c r="Q174" s="89"/>
    </row>
    <row r="175" spans="1:17" ht="14.25" customHeight="1" x14ac:dyDescent="0.3">
      <c r="A175" s="115" t="s">
        <v>1785</v>
      </c>
      <c r="B175" s="115" t="s">
        <v>1786</v>
      </c>
      <c r="C175" s="28" t="s">
        <v>159</v>
      </c>
      <c r="D175" s="28" t="str">
        <f>IFERROR(VLOOKUP($C175,CUENTAS[],2,0),"")</f>
        <v>GASTOS VARIOS</v>
      </c>
      <c r="E175" s="28" t="str">
        <f>IFERROR(VLOOKUP($C175,CUENTAS[],3,0),"")</f>
        <v>MDE2025-003A</v>
      </c>
      <c r="F175" s="86">
        <v>60.34</v>
      </c>
      <c r="G175" s="129">
        <v>9.66</v>
      </c>
      <c r="H175" s="131">
        <v>70</v>
      </c>
      <c r="I175" s="200" t="str">
        <f t="shared" si="2"/>
        <v>CORRECTO</v>
      </c>
      <c r="J175" s="88" t="s">
        <v>137</v>
      </c>
      <c r="K175" s="116" t="s">
        <v>363</v>
      </c>
      <c r="L175" s="95" t="s">
        <v>227</v>
      </c>
      <c r="M175" s="159">
        <v>45831</v>
      </c>
      <c r="N175" s="22" t="s">
        <v>1835</v>
      </c>
      <c r="P175" s="89"/>
      <c r="Q175" s="89"/>
    </row>
    <row r="176" spans="1:17" ht="14.25" customHeight="1" x14ac:dyDescent="0.3">
      <c r="A176" s="115" t="s">
        <v>1221</v>
      </c>
      <c r="B176" s="115" t="s">
        <v>1787</v>
      </c>
      <c r="C176" s="28" t="s">
        <v>159</v>
      </c>
      <c r="D176" s="28" t="str">
        <f>IFERROR(VLOOKUP($C176,CUENTAS[],2,0),"")</f>
        <v>GASTOS VARIOS</v>
      </c>
      <c r="E176" s="28" t="str">
        <f>IFERROR(VLOOKUP($C176,CUENTAS[],3,0),"")</f>
        <v>MDE2025-003A</v>
      </c>
      <c r="F176" s="86">
        <v>92</v>
      </c>
      <c r="G176" s="129">
        <v>0</v>
      </c>
      <c r="H176" s="131">
        <v>92</v>
      </c>
      <c r="I176" s="200" t="str">
        <f t="shared" si="2"/>
        <v>CORRECTO</v>
      </c>
      <c r="J176" s="88" t="s">
        <v>137</v>
      </c>
      <c r="K176" s="116" t="s">
        <v>363</v>
      </c>
      <c r="L176" s="95" t="s">
        <v>227</v>
      </c>
      <c r="M176" s="159">
        <v>45838</v>
      </c>
      <c r="N176" s="22" t="s">
        <v>1836</v>
      </c>
      <c r="P176" s="89"/>
      <c r="Q176" s="89"/>
    </row>
    <row r="177" spans="1:17" ht="14.25" customHeight="1" x14ac:dyDescent="0.3">
      <c r="A177" s="115" t="s">
        <v>1788</v>
      </c>
      <c r="B177" s="115" t="s">
        <v>1789</v>
      </c>
      <c r="C177" s="28" t="s">
        <v>113</v>
      </c>
      <c r="D177" s="28" t="str">
        <f>IFERROR(VLOOKUP($C177,CUENTAS[],2,0),"")</f>
        <v>GASTOS VARIOS</v>
      </c>
      <c r="E177" s="28" t="str">
        <f>IFERROR(VLOOKUP($C177,CUENTAS[],3,0),"")</f>
        <v>MDE2025-003B</v>
      </c>
      <c r="F177" s="86">
        <v>171</v>
      </c>
      <c r="G177" s="129">
        <v>0</v>
      </c>
      <c r="H177" s="131">
        <v>171</v>
      </c>
      <c r="I177" s="200" t="str">
        <f t="shared" si="2"/>
        <v>CORRECTO</v>
      </c>
      <c r="J177" s="88" t="s">
        <v>137</v>
      </c>
      <c r="K177" s="116" t="s">
        <v>363</v>
      </c>
      <c r="L177" s="95" t="s">
        <v>227</v>
      </c>
      <c r="M177" s="159">
        <v>45833</v>
      </c>
      <c r="N177" s="22" t="s">
        <v>1837</v>
      </c>
      <c r="P177" s="89"/>
      <c r="Q177" s="89"/>
    </row>
    <row r="178" spans="1:17" ht="14.25" customHeight="1" x14ac:dyDescent="0.3">
      <c r="A178" s="115" t="s">
        <v>480</v>
      </c>
      <c r="B178" s="115" t="s">
        <v>1573</v>
      </c>
      <c r="C178" s="28" t="s">
        <v>196</v>
      </c>
      <c r="D178" s="28" t="str">
        <f>IFERROR(VLOOKUP($C178,CUENTAS[],2,0),"")</f>
        <v>CAJA CHICA</v>
      </c>
      <c r="E178" s="28" t="str">
        <f>IFERROR(VLOOKUP($C178,CUENTAS[],3,0),"")</f>
        <v>MDE2025-005</v>
      </c>
      <c r="F178" s="86">
        <v>50651.77</v>
      </c>
      <c r="G178" s="129">
        <v>0</v>
      </c>
      <c r="H178" s="131">
        <v>50651.77</v>
      </c>
      <c r="I178" s="200" t="str">
        <f t="shared" si="2"/>
        <v>CORRECTO</v>
      </c>
      <c r="J178" s="88" t="s">
        <v>3244</v>
      </c>
      <c r="K178" s="116" t="s">
        <v>363</v>
      </c>
      <c r="L178" s="95" t="s">
        <v>227</v>
      </c>
      <c r="M178" s="159">
        <v>45814</v>
      </c>
      <c r="N178" s="22" t="s">
        <v>1840</v>
      </c>
      <c r="P178" s="89"/>
      <c r="Q178" s="89"/>
    </row>
    <row r="179" spans="1:17" ht="14.25" customHeight="1" x14ac:dyDescent="0.3">
      <c r="A179" s="115" t="s">
        <v>480</v>
      </c>
      <c r="B179" s="115" t="s">
        <v>1573</v>
      </c>
      <c r="C179" s="28" t="s">
        <v>196</v>
      </c>
      <c r="D179" s="28" t="str">
        <f>IFERROR(VLOOKUP($C179,CUENTAS[],2,0),"")</f>
        <v>CAJA CHICA</v>
      </c>
      <c r="E179" s="28" t="str">
        <f>IFERROR(VLOOKUP($C179,CUENTAS[],3,0),"")</f>
        <v>MDE2025-005</v>
      </c>
      <c r="F179" s="86">
        <v>80017.67</v>
      </c>
      <c r="G179" s="129">
        <v>0</v>
      </c>
      <c r="H179" s="131">
        <v>80017.67</v>
      </c>
      <c r="I179" s="200" t="str">
        <f t="shared" si="2"/>
        <v>CORRECTO</v>
      </c>
      <c r="J179" s="88" t="s">
        <v>3244</v>
      </c>
      <c r="K179" s="116" t="s">
        <v>363</v>
      </c>
      <c r="L179" s="95" t="s">
        <v>227</v>
      </c>
      <c r="M179" s="159">
        <v>45818</v>
      </c>
      <c r="N179" s="22" t="s">
        <v>1840</v>
      </c>
      <c r="P179" s="89"/>
      <c r="Q179" s="89"/>
    </row>
    <row r="180" spans="1:17" ht="14.25" customHeight="1" x14ac:dyDescent="0.3">
      <c r="A180" s="115" t="s">
        <v>480</v>
      </c>
      <c r="B180" s="115" t="s">
        <v>1839</v>
      </c>
      <c r="C180" s="28" t="s">
        <v>196</v>
      </c>
      <c r="D180" s="28" t="str">
        <f>IFERROR(VLOOKUP($C180,CUENTAS[],2,0),"")</f>
        <v>CAJA CHICA</v>
      </c>
      <c r="E180" s="28" t="str">
        <f>IFERROR(VLOOKUP($C180,CUENTAS[],3,0),"")</f>
        <v>MDE2025-005</v>
      </c>
      <c r="F180" s="86">
        <v>37467</v>
      </c>
      <c r="G180" s="129">
        <v>0</v>
      </c>
      <c r="H180" s="131">
        <v>37467</v>
      </c>
      <c r="I180" s="200" t="str">
        <f t="shared" si="2"/>
        <v>CORRECTO</v>
      </c>
      <c r="J180" s="88" t="s">
        <v>3244</v>
      </c>
      <c r="K180" s="116" t="s">
        <v>363</v>
      </c>
      <c r="L180" s="95" t="s">
        <v>227</v>
      </c>
      <c r="M180" s="159">
        <v>45821</v>
      </c>
      <c r="N180" s="22" t="s">
        <v>1840</v>
      </c>
      <c r="P180" s="89"/>
      <c r="Q180" s="89"/>
    </row>
    <row r="181" spans="1:17" ht="14.25" customHeight="1" x14ac:dyDescent="0.3">
      <c r="A181" s="115" t="s">
        <v>480</v>
      </c>
      <c r="B181" s="115" t="s">
        <v>1573</v>
      </c>
      <c r="C181" s="28" t="s">
        <v>196</v>
      </c>
      <c r="D181" s="28" t="str">
        <f>IFERROR(VLOOKUP($C181,CUENTAS[],2,0),"")</f>
        <v>CAJA CHICA</v>
      </c>
      <c r="E181" s="28" t="str">
        <f>IFERROR(VLOOKUP($C181,CUENTAS[],3,0),"")</f>
        <v>MDE2025-005</v>
      </c>
      <c r="F181" s="86">
        <v>40749.19</v>
      </c>
      <c r="G181" s="129">
        <v>0</v>
      </c>
      <c r="H181" s="131">
        <v>40749.19</v>
      </c>
      <c r="I181" s="200" t="str">
        <f t="shared" si="2"/>
        <v>CORRECTO</v>
      </c>
      <c r="J181" s="88" t="s">
        <v>3244</v>
      </c>
      <c r="K181" s="116" t="s">
        <v>363</v>
      </c>
      <c r="L181" s="95" t="s">
        <v>227</v>
      </c>
      <c r="M181" s="159">
        <v>45826</v>
      </c>
      <c r="N181" s="22" t="s">
        <v>1840</v>
      </c>
      <c r="P181" s="89"/>
      <c r="Q181" s="89"/>
    </row>
    <row r="182" spans="1:17" ht="14.25" customHeight="1" x14ac:dyDescent="0.3">
      <c r="A182" s="115" t="s">
        <v>480</v>
      </c>
      <c r="B182" s="115" t="s">
        <v>1573</v>
      </c>
      <c r="C182" s="28" t="s">
        <v>196</v>
      </c>
      <c r="D182" s="28" t="str">
        <f>IFERROR(VLOOKUP($C182,CUENTAS[],2,0),"")</f>
        <v>CAJA CHICA</v>
      </c>
      <c r="E182" s="28" t="str">
        <f>IFERROR(VLOOKUP($C182,CUENTAS[],3,0),"")</f>
        <v>MDE2025-005</v>
      </c>
      <c r="F182" s="86">
        <v>60000</v>
      </c>
      <c r="G182" s="129">
        <v>0</v>
      </c>
      <c r="H182" s="131">
        <v>60000</v>
      </c>
      <c r="I182" s="200" t="str">
        <f t="shared" si="2"/>
        <v>CORRECTO</v>
      </c>
      <c r="J182" s="88" t="s">
        <v>3244</v>
      </c>
      <c r="K182" s="116" t="s">
        <v>363</v>
      </c>
      <c r="L182" s="95" t="s">
        <v>227</v>
      </c>
      <c r="M182" s="159">
        <v>45828</v>
      </c>
      <c r="N182" s="22" t="s">
        <v>1840</v>
      </c>
      <c r="P182" s="89"/>
      <c r="Q182" s="89"/>
    </row>
    <row r="183" spans="1:17" ht="14.25" customHeight="1" x14ac:dyDescent="0.3">
      <c r="A183" s="115" t="s">
        <v>480</v>
      </c>
      <c r="B183" s="115" t="s">
        <v>1573</v>
      </c>
      <c r="C183" s="28" t="s">
        <v>196</v>
      </c>
      <c r="D183" s="28" t="str">
        <f>IFERROR(VLOOKUP($C183,CUENTAS[],2,0),"")</f>
        <v>CAJA CHICA</v>
      </c>
      <c r="E183" s="28" t="str">
        <f>IFERROR(VLOOKUP($C183,CUENTAS[],3,0),"")</f>
        <v>MDE2025-005</v>
      </c>
      <c r="F183" s="86">
        <v>98604.23</v>
      </c>
      <c r="G183" s="129">
        <v>0</v>
      </c>
      <c r="H183" s="130">
        <v>98604.23</v>
      </c>
      <c r="I183" s="200" t="str">
        <f t="shared" si="2"/>
        <v>CORRECTO</v>
      </c>
      <c r="J183" s="88" t="s">
        <v>3244</v>
      </c>
      <c r="K183" s="116" t="s">
        <v>363</v>
      </c>
      <c r="L183" s="95" t="s">
        <v>227</v>
      </c>
      <c r="M183" s="159">
        <v>45831</v>
      </c>
      <c r="N183" s="118" t="s">
        <v>1840</v>
      </c>
      <c r="P183" s="89"/>
      <c r="Q183" s="89"/>
    </row>
    <row r="184" spans="1:17" ht="14.25" customHeight="1" x14ac:dyDescent="0.3">
      <c r="A184" s="115" t="s">
        <v>480</v>
      </c>
      <c r="B184" s="119" t="s">
        <v>1839</v>
      </c>
      <c r="C184" s="28" t="s">
        <v>196</v>
      </c>
      <c r="D184" s="28" t="str">
        <f>IFERROR(VLOOKUP($C184,CUENTAS[],2,0),"")</f>
        <v>CAJA CHICA</v>
      </c>
      <c r="E184" s="28" t="str">
        <f>IFERROR(VLOOKUP($C184,CUENTAS[],3,0),"")</f>
        <v>MDE2025-005</v>
      </c>
      <c r="F184" s="86">
        <v>37467</v>
      </c>
      <c r="G184" s="129">
        <v>0</v>
      </c>
      <c r="H184" s="130">
        <v>37467</v>
      </c>
      <c r="I184" s="200" t="str">
        <f t="shared" si="2"/>
        <v>CORRECTO</v>
      </c>
      <c r="J184" s="88" t="s">
        <v>3244</v>
      </c>
      <c r="K184" s="116" t="s">
        <v>363</v>
      </c>
      <c r="L184" s="95" t="s">
        <v>227</v>
      </c>
      <c r="M184" s="159">
        <v>45821</v>
      </c>
      <c r="N184" s="118" t="s">
        <v>1840</v>
      </c>
      <c r="P184" s="89"/>
      <c r="Q184" s="89"/>
    </row>
    <row r="185" spans="1:17" ht="14.25" customHeight="1" x14ac:dyDescent="0.3">
      <c r="A185" s="115" t="s">
        <v>480</v>
      </c>
      <c r="B185" s="119" t="s">
        <v>1573</v>
      </c>
      <c r="C185" s="28" t="s">
        <v>196</v>
      </c>
      <c r="D185" s="28" t="str">
        <f>IFERROR(VLOOKUP($C185,CUENTAS[],2,0),"")</f>
        <v>CAJA CHICA</v>
      </c>
      <c r="E185" s="28" t="str">
        <f>IFERROR(VLOOKUP($C185,CUENTAS[],3,0),"")</f>
        <v>MDE2025-005</v>
      </c>
      <c r="F185" s="86">
        <v>52924.72</v>
      </c>
      <c r="G185" s="129">
        <v>0</v>
      </c>
      <c r="H185" s="130">
        <v>52924.72</v>
      </c>
      <c r="I185" s="200" t="str">
        <f t="shared" si="2"/>
        <v>CORRECTO</v>
      </c>
      <c r="J185" s="88" t="s">
        <v>3244</v>
      </c>
      <c r="K185" s="116" t="s">
        <v>363</v>
      </c>
      <c r="L185" s="95" t="s">
        <v>227</v>
      </c>
      <c r="M185" s="159">
        <v>45811</v>
      </c>
      <c r="N185" s="118" t="s">
        <v>1841</v>
      </c>
      <c r="P185" s="89"/>
      <c r="Q185" s="89"/>
    </row>
    <row r="186" spans="1:17" x14ac:dyDescent="0.3">
      <c r="A186" s="115" t="s">
        <v>606</v>
      </c>
      <c r="B186" s="119" t="s">
        <v>1106</v>
      </c>
      <c r="C186" s="28" t="s">
        <v>158</v>
      </c>
      <c r="D186" s="28" t="str">
        <f>IFERROR(VLOOKUP($C186,CUENTAS[],2,0),"")</f>
        <v>GASTOS FIJOS</v>
      </c>
      <c r="E186" s="28" t="str">
        <f>IFERROR(VLOOKUP($C186,CUENTAS[],3,0),"")</f>
        <v>MDE2025-002R</v>
      </c>
      <c r="F186" s="86">
        <v>300000</v>
      </c>
      <c r="G186" s="129">
        <v>0</v>
      </c>
      <c r="H186" s="130">
        <v>300000</v>
      </c>
      <c r="I186" s="200" t="str">
        <f t="shared" si="2"/>
        <v>CORRECTO</v>
      </c>
      <c r="J186" s="88" t="s">
        <v>3244</v>
      </c>
      <c r="K186" s="116" t="s">
        <v>360</v>
      </c>
      <c r="L186" s="95" t="s">
        <v>227</v>
      </c>
      <c r="M186" s="159">
        <v>45820</v>
      </c>
      <c r="N186" s="118" t="s">
        <v>371</v>
      </c>
      <c r="P186" s="89"/>
      <c r="Q186" s="89"/>
    </row>
    <row r="187" spans="1:17" x14ac:dyDescent="0.3">
      <c r="A187" s="120" t="s">
        <v>341</v>
      </c>
      <c r="B187" s="120" t="s">
        <v>1685</v>
      </c>
      <c r="C187" s="28" t="s">
        <v>153</v>
      </c>
      <c r="D187" s="28" t="str">
        <f>IFERROR(VLOOKUP($C187,CUENTAS[],2,0),"")</f>
        <v>GASTOS FIJOS</v>
      </c>
      <c r="E187" s="28" t="str">
        <f>IFERROR(VLOOKUP($C187,CUENTAS[],3,0),"")</f>
        <v>MDE2025-002L</v>
      </c>
      <c r="F187" s="86">
        <v>418.2</v>
      </c>
      <c r="G187" s="129">
        <v>0</v>
      </c>
      <c r="H187" s="132">
        <v>418.2</v>
      </c>
      <c r="I187" s="200" t="str">
        <f t="shared" si="2"/>
        <v>CORRECTO</v>
      </c>
      <c r="J187" s="88" t="s">
        <v>3244</v>
      </c>
      <c r="K187" s="121" t="s">
        <v>364</v>
      </c>
      <c r="L187" s="95" t="s">
        <v>227</v>
      </c>
      <c r="M187" s="186">
        <v>45818</v>
      </c>
      <c r="N187" s="123" t="s">
        <v>1514</v>
      </c>
    </row>
    <row r="188" spans="1:17" x14ac:dyDescent="0.3">
      <c r="A188" s="120" t="s">
        <v>341</v>
      </c>
      <c r="B188" s="120" t="s">
        <v>1685</v>
      </c>
      <c r="C188" s="28" t="s">
        <v>135</v>
      </c>
      <c r="D188" s="28" t="str">
        <f>IFERROR(VLOOKUP($C188,CUENTAS[],2,0),"")</f>
        <v>EVENTOS INTERNOS</v>
      </c>
      <c r="E188" s="28" t="str">
        <f>IFERROR(VLOOKUP($C188,CUENTAS[],3,0),"")</f>
        <v>MDE2025-008B</v>
      </c>
      <c r="F188" s="86">
        <v>171.93</v>
      </c>
      <c r="G188" s="129">
        <v>0</v>
      </c>
      <c r="H188" s="132">
        <v>171.93</v>
      </c>
      <c r="I188" s="200" t="str">
        <f t="shared" si="2"/>
        <v>CORRECTO</v>
      </c>
      <c r="J188" s="88" t="s">
        <v>3244</v>
      </c>
      <c r="K188" s="121" t="s">
        <v>364</v>
      </c>
      <c r="L188" s="95" t="s">
        <v>227</v>
      </c>
      <c r="M188" s="186">
        <v>45818</v>
      </c>
      <c r="N188" s="123" t="s">
        <v>1514</v>
      </c>
    </row>
    <row r="189" spans="1:17" x14ac:dyDescent="0.3">
      <c r="A189" s="120" t="s">
        <v>1501</v>
      </c>
      <c r="B189" s="120" t="s">
        <v>1686</v>
      </c>
      <c r="C189" s="28" t="s">
        <v>153</v>
      </c>
      <c r="D189" s="28" t="str">
        <f>IFERROR(VLOOKUP($C189,CUENTAS[],2,0),"")</f>
        <v>GASTOS FIJOS</v>
      </c>
      <c r="E189" s="28" t="str">
        <f>IFERROR(VLOOKUP($C189,CUENTAS[],3,0),"")</f>
        <v>MDE2025-002L</v>
      </c>
      <c r="F189" s="86">
        <v>978.13</v>
      </c>
      <c r="G189" s="129">
        <v>0</v>
      </c>
      <c r="H189" s="132">
        <v>978.13</v>
      </c>
      <c r="I189" s="200" t="str">
        <f t="shared" si="2"/>
        <v>CORRECTO</v>
      </c>
      <c r="J189" s="88" t="s">
        <v>3244</v>
      </c>
      <c r="K189" s="121" t="s">
        <v>364</v>
      </c>
      <c r="L189" s="95" t="s">
        <v>227</v>
      </c>
      <c r="M189" s="186">
        <v>45818</v>
      </c>
      <c r="N189" s="123" t="s">
        <v>1514</v>
      </c>
    </row>
    <row r="190" spans="1:17" x14ac:dyDescent="0.3">
      <c r="A190" s="120" t="s">
        <v>341</v>
      </c>
      <c r="B190" s="120" t="s">
        <v>1687</v>
      </c>
      <c r="C190" s="28" t="s">
        <v>135</v>
      </c>
      <c r="D190" s="28" t="str">
        <f>IFERROR(VLOOKUP($C190,CUENTAS[],2,0),"")</f>
        <v>EVENTOS INTERNOS</v>
      </c>
      <c r="E190" s="28" t="str">
        <f>IFERROR(VLOOKUP($C190,CUENTAS[],3,0),"")</f>
        <v>MDE2025-008B</v>
      </c>
      <c r="F190" s="86">
        <v>130.11000000000001</v>
      </c>
      <c r="G190" s="129">
        <v>0</v>
      </c>
      <c r="H190" s="132">
        <v>130.11000000000001</v>
      </c>
      <c r="I190" s="200" t="str">
        <f t="shared" si="2"/>
        <v>CORRECTO</v>
      </c>
      <c r="J190" s="88" t="s">
        <v>3244</v>
      </c>
      <c r="K190" s="121" t="s">
        <v>364</v>
      </c>
      <c r="L190" s="95" t="s">
        <v>227</v>
      </c>
      <c r="M190" s="186">
        <v>45821</v>
      </c>
      <c r="N190" s="123" t="s">
        <v>368</v>
      </c>
    </row>
    <row r="191" spans="1:17" x14ac:dyDescent="0.3">
      <c r="A191" s="120" t="s">
        <v>929</v>
      </c>
      <c r="B191" s="120" t="s">
        <v>1688</v>
      </c>
      <c r="C191" s="28" t="s">
        <v>153</v>
      </c>
      <c r="D191" s="28" t="str">
        <f>IFERROR(VLOOKUP($C191,CUENTAS[],2,0),"")</f>
        <v>GASTOS FIJOS</v>
      </c>
      <c r="E191" s="28" t="str">
        <f>IFERROR(VLOOKUP($C191,CUENTAS[],3,0),"")</f>
        <v>MDE2025-002L</v>
      </c>
      <c r="F191" s="86">
        <v>23829.34</v>
      </c>
      <c r="G191" s="129">
        <v>0</v>
      </c>
      <c r="H191" s="132">
        <v>23829.34</v>
      </c>
      <c r="I191" s="200" t="str">
        <f t="shared" si="2"/>
        <v>CORRECTO</v>
      </c>
      <c r="J191" s="88" t="s">
        <v>3244</v>
      </c>
      <c r="K191" s="121" t="s">
        <v>364</v>
      </c>
      <c r="L191" s="95" t="s">
        <v>227</v>
      </c>
      <c r="M191" s="186">
        <v>45810</v>
      </c>
      <c r="N191" s="123" t="s">
        <v>371</v>
      </c>
    </row>
    <row r="192" spans="1:17" x14ac:dyDescent="0.3">
      <c r="A192" s="120" t="s">
        <v>929</v>
      </c>
      <c r="B192" s="120" t="s">
        <v>1689</v>
      </c>
      <c r="C192" s="28" t="s">
        <v>153</v>
      </c>
      <c r="D192" s="28" t="str">
        <f>IFERROR(VLOOKUP($C192,CUENTAS[],2,0),"")</f>
        <v>GASTOS FIJOS</v>
      </c>
      <c r="E192" s="28" t="str">
        <f>IFERROR(VLOOKUP($C192,CUENTAS[],3,0),"")</f>
        <v>MDE2025-002L</v>
      </c>
      <c r="F192" s="86">
        <v>19167.73</v>
      </c>
      <c r="G192" s="129">
        <v>0</v>
      </c>
      <c r="H192" s="132">
        <v>19167.73</v>
      </c>
      <c r="I192" s="200" t="str">
        <f t="shared" si="2"/>
        <v>CORRECTO</v>
      </c>
      <c r="J192" s="88" t="s">
        <v>3244</v>
      </c>
      <c r="K192" s="121" t="s">
        <v>364</v>
      </c>
      <c r="L192" s="95" t="s">
        <v>227</v>
      </c>
      <c r="M192" s="186">
        <v>45817</v>
      </c>
      <c r="N192" s="123" t="s">
        <v>371</v>
      </c>
    </row>
    <row r="193" spans="1:14" x14ac:dyDescent="0.3">
      <c r="A193" s="120" t="s">
        <v>929</v>
      </c>
      <c r="B193" s="120" t="s">
        <v>1689</v>
      </c>
      <c r="C193" s="28" t="s">
        <v>135</v>
      </c>
      <c r="D193" s="28" t="str">
        <f>IFERROR(VLOOKUP($C193,CUENTAS[],2,0),"")</f>
        <v>EVENTOS INTERNOS</v>
      </c>
      <c r="E193" s="28" t="str">
        <f>IFERROR(VLOOKUP($C193,CUENTAS[],3,0),"")</f>
        <v>MDE2025-008B</v>
      </c>
      <c r="F193" s="86">
        <v>5133.29</v>
      </c>
      <c r="G193" s="129">
        <v>0</v>
      </c>
      <c r="H193" s="132">
        <v>5133.29</v>
      </c>
      <c r="I193" s="200" t="str">
        <f t="shared" si="2"/>
        <v>CORRECTO</v>
      </c>
      <c r="J193" s="88" t="s">
        <v>3244</v>
      </c>
      <c r="K193" s="121" t="s">
        <v>364</v>
      </c>
      <c r="L193" s="95" t="s">
        <v>227</v>
      </c>
      <c r="M193" s="186">
        <v>45817</v>
      </c>
      <c r="N193" s="123" t="s">
        <v>371</v>
      </c>
    </row>
    <row r="194" spans="1:14" x14ac:dyDescent="0.3">
      <c r="A194" s="120" t="s">
        <v>929</v>
      </c>
      <c r="B194" s="120" t="s">
        <v>1690</v>
      </c>
      <c r="C194" s="28" t="s">
        <v>153</v>
      </c>
      <c r="D194" s="28" t="str">
        <f>IFERROR(VLOOKUP($C194,CUENTAS[],2,0),"")</f>
        <v>GASTOS FIJOS</v>
      </c>
      <c r="E194" s="28" t="str">
        <f>IFERROR(VLOOKUP($C194,CUENTAS[],3,0),"")</f>
        <v>MDE2025-002L</v>
      </c>
      <c r="F194" s="86">
        <v>24940.16</v>
      </c>
      <c r="G194" s="129">
        <v>0</v>
      </c>
      <c r="H194" s="132">
        <v>24940.16</v>
      </c>
      <c r="I194" s="200" t="str">
        <f t="shared" si="2"/>
        <v>CORRECTO</v>
      </c>
      <c r="J194" s="88" t="s">
        <v>3244</v>
      </c>
      <c r="K194" s="121" t="s">
        <v>364</v>
      </c>
      <c r="L194" s="95" t="s">
        <v>227</v>
      </c>
      <c r="M194" s="186">
        <v>45824</v>
      </c>
      <c r="N194" s="123" t="s">
        <v>371</v>
      </c>
    </row>
    <row r="195" spans="1:14" x14ac:dyDescent="0.3">
      <c r="A195" s="120" t="s">
        <v>929</v>
      </c>
      <c r="B195" s="120" t="s">
        <v>1690</v>
      </c>
      <c r="C195" s="28" t="s">
        <v>135</v>
      </c>
      <c r="D195" s="28" t="str">
        <f>IFERROR(VLOOKUP($C195,CUENTAS[],2,0),"")</f>
        <v>EVENTOS INTERNOS</v>
      </c>
      <c r="E195" s="28" t="str">
        <f>IFERROR(VLOOKUP($C195,CUENTAS[],3,0),"")</f>
        <v>MDE2025-008B</v>
      </c>
      <c r="F195" s="86">
        <v>847.34</v>
      </c>
      <c r="G195" s="129">
        <v>0</v>
      </c>
      <c r="H195" s="132">
        <v>847.34</v>
      </c>
      <c r="I195" s="200" t="str">
        <f t="shared" ref="I195:I209" si="3">IFERROR(IF(F195+G195&lt;&gt;H195,"REVISAR","CORRECTO"),"")</f>
        <v>CORRECTO</v>
      </c>
      <c r="J195" s="88" t="s">
        <v>3244</v>
      </c>
      <c r="K195" s="121" t="s">
        <v>364</v>
      </c>
      <c r="L195" s="95" t="s">
        <v>227</v>
      </c>
      <c r="M195" s="186">
        <v>45824</v>
      </c>
      <c r="N195" s="123" t="s">
        <v>371</v>
      </c>
    </row>
    <row r="196" spans="1:14" x14ac:dyDescent="0.3">
      <c r="A196" s="120" t="s">
        <v>929</v>
      </c>
      <c r="B196" s="120" t="s">
        <v>1691</v>
      </c>
      <c r="C196" s="28" t="s">
        <v>153</v>
      </c>
      <c r="D196" s="28" t="str">
        <f>IFERROR(VLOOKUP($C196,CUENTAS[],2,0),"")</f>
        <v>GASTOS FIJOS</v>
      </c>
      <c r="E196" s="28" t="str">
        <f>IFERROR(VLOOKUP($C196,CUENTAS[],3,0),"")</f>
        <v>MDE2025-002L</v>
      </c>
      <c r="F196" s="86">
        <v>22210.94</v>
      </c>
      <c r="G196" s="129">
        <v>0</v>
      </c>
      <c r="H196" s="132">
        <v>22210.94</v>
      </c>
      <c r="I196" s="200" t="str">
        <f t="shared" si="3"/>
        <v>CORRECTO</v>
      </c>
      <c r="J196" s="88" t="s">
        <v>3244</v>
      </c>
      <c r="K196" s="121" t="s">
        <v>364</v>
      </c>
      <c r="L196" s="95" t="s">
        <v>227</v>
      </c>
      <c r="M196" s="186">
        <v>45831</v>
      </c>
      <c r="N196" s="123" t="s">
        <v>371</v>
      </c>
    </row>
    <row r="197" spans="1:14" x14ac:dyDescent="0.3">
      <c r="A197" s="120" t="s">
        <v>929</v>
      </c>
      <c r="B197" s="120" t="s">
        <v>1692</v>
      </c>
      <c r="C197" s="28" t="s">
        <v>153</v>
      </c>
      <c r="D197" s="28" t="str">
        <f>IFERROR(VLOOKUP($C197,CUENTAS[],2,0),"")</f>
        <v>GASTOS FIJOS</v>
      </c>
      <c r="E197" s="28" t="str">
        <f>IFERROR(VLOOKUP($C197,CUENTAS[],3,0),"")</f>
        <v>MDE2025-002L</v>
      </c>
      <c r="F197" s="86">
        <v>24654.81</v>
      </c>
      <c r="G197" s="129">
        <v>0</v>
      </c>
      <c r="H197" s="132">
        <v>24654.81</v>
      </c>
      <c r="I197" s="200" t="str">
        <f t="shared" si="3"/>
        <v>CORRECTO</v>
      </c>
      <c r="J197" s="88" t="s">
        <v>3244</v>
      </c>
      <c r="K197" s="121" t="s">
        <v>364</v>
      </c>
      <c r="L197" s="95" t="s">
        <v>227</v>
      </c>
      <c r="M197" s="186">
        <v>45831</v>
      </c>
      <c r="N197" s="123" t="s">
        <v>371</v>
      </c>
    </row>
    <row r="198" spans="1:14" x14ac:dyDescent="0.3">
      <c r="A198" s="120" t="s">
        <v>929</v>
      </c>
      <c r="B198" s="120" t="s">
        <v>1693</v>
      </c>
      <c r="C198" s="28" t="s">
        <v>178</v>
      </c>
      <c r="D198" s="28" t="str">
        <f>IFERROR(VLOOKUP($C198,CUENTAS[],2,0),"")</f>
        <v>GASTOS FIJOS</v>
      </c>
      <c r="E198" s="28" t="str">
        <f>IFERROR(VLOOKUP($C198,CUENTAS[],3,0),"")</f>
        <v>MDE2025-002O</v>
      </c>
      <c r="F198" s="86">
        <v>69992.570000000007</v>
      </c>
      <c r="G198" s="129">
        <v>0</v>
      </c>
      <c r="H198" s="132">
        <v>69992.570000000007</v>
      </c>
      <c r="I198" s="200" t="str">
        <f t="shared" si="3"/>
        <v>CORRECTO</v>
      </c>
      <c r="J198" s="88" t="s">
        <v>3244</v>
      </c>
      <c r="K198" s="121" t="s">
        <v>364</v>
      </c>
      <c r="L198" s="95" t="s">
        <v>227</v>
      </c>
      <c r="M198" s="186">
        <v>45823</v>
      </c>
      <c r="N198" s="123" t="s">
        <v>371</v>
      </c>
    </row>
    <row r="199" spans="1:14" x14ac:dyDescent="0.3">
      <c r="A199" s="120" t="s">
        <v>929</v>
      </c>
      <c r="B199" s="120" t="s">
        <v>1694</v>
      </c>
      <c r="C199" s="28" t="s">
        <v>178</v>
      </c>
      <c r="D199" s="28" t="str">
        <f>IFERROR(VLOOKUP($C199,CUENTAS[],2,0),"")</f>
        <v>GASTOS FIJOS</v>
      </c>
      <c r="E199" s="28" t="str">
        <f>IFERROR(VLOOKUP($C199,CUENTAS[],3,0),"")</f>
        <v>MDE2025-002O</v>
      </c>
      <c r="F199" s="86">
        <v>166519.43</v>
      </c>
      <c r="G199" s="129">
        <v>0</v>
      </c>
      <c r="H199" s="132">
        <v>166519.43</v>
      </c>
      <c r="I199" s="200" t="str">
        <f t="shared" si="3"/>
        <v>CORRECTO</v>
      </c>
      <c r="J199" s="88" t="s">
        <v>3244</v>
      </c>
      <c r="K199" s="121" t="s">
        <v>364</v>
      </c>
      <c r="L199" s="95" t="s">
        <v>227</v>
      </c>
      <c r="M199" s="186">
        <v>45823</v>
      </c>
      <c r="N199" s="123" t="s">
        <v>371</v>
      </c>
    </row>
    <row r="200" spans="1:14" x14ac:dyDescent="0.3">
      <c r="A200" s="120" t="s">
        <v>929</v>
      </c>
      <c r="B200" s="120" t="s">
        <v>935</v>
      </c>
      <c r="C200" s="28" t="s">
        <v>157</v>
      </c>
      <c r="D200" s="28" t="str">
        <f>IFERROR(VLOOKUP($C200,CUENTAS[],2,0),"")</f>
        <v>GASTOS FIJOS</v>
      </c>
      <c r="E200" s="28" t="str">
        <f>IFERROR(VLOOKUP($C200,CUENTAS[],3,0),"")</f>
        <v>MDE2025-002Q</v>
      </c>
      <c r="F200" s="86">
        <v>-500</v>
      </c>
      <c r="G200" s="129">
        <v>0</v>
      </c>
      <c r="H200" s="132">
        <v>-500</v>
      </c>
      <c r="I200" s="200" t="str">
        <f t="shared" si="3"/>
        <v>CORRECTO</v>
      </c>
      <c r="J200" s="88" t="s">
        <v>3244</v>
      </c>
      <c r="K200" s="121" t="s">
        <v>364</v>
      </c>
      <c r="L200" s="95" t="s">
        <v>227</v>
      </c>
      <c r="M200" s="186">
        <v>45823</v>
      </c>
      <c r="N200" s="123" t="s">
        <v>371</v>
      </c>
    </row>
    <row r="201" spans="1:14" x14ac:dyDescent="0.3">
      <c r="A201" s="120" t="s">
        <v>929</v>
      </c>
      <c r="B201" s="120" t="s">
        <v>940</v>
      </c>
      <c r="C201" s="28" t="s">
        <v>178</v>
      </c>
      <c r="D201" s="28" t="str">
        <f>IFERROR(VLOOKUP($C201,CUENTAS[],2,0),"")</f>
        <v>GASTOS FIJOS</v>
      </c>
      <c r="E201" s="28" t="str">
        <f>IFERROR(VLOOKUP($C201,CUENTAS[],3,0),"")</f>
        <v>MDE2025-002O</v>
      </c>
      <c r="F201" s="86">
        <v>14000</v>
      </c>
      <c r="G201" s="129">
        <v>0</v>
      </c>
      <c r="H201" s="132">
        <v>14000</v>
      </c>
      <c r="I201" s="200" t="str">
        <f t="shared" si="3"/>
        <v>CORRECTO</v>
      </c>
      <c r="J201" s="88" t="s">
        <v>3244</v>
      </c>
      <c r="K201" s="121" t="s">
        <v>364</v>
      </c>
      <c r="L201" s="95" t="s">
        <v>227</v>
      </c>
      <c r="M201" s="186">
        <v>45823</v>
      </c>
      <c r="N201" s="123" t="s">
        <v>371</v>
      </c>
    </row>
    <row r="202" spans="1:14" x14ac:dyDescent="0.3">
      <c r="A202" s="120" t="s">
        <v>929</v>
      </c>
      <c r="B202" s="120" t="s">
        <v>1695</v>
      </c>
      <c r="C202" s="28" t="s">
        <v>178</v>
      </c>
      <c r="D202" s="28" t="str">
        <f>IFERROR(VLOOKUP($C202,CUENTAS[],2,0),"")</f>
        <v>GASTOS FIJOS</v>
      </c>
      <c r="E202" s="28" t="str">
        <f>IFERROR(VLOOKUP($C202,CUENTAS[],3,0),"")</f>
        <v>MDE2025-002O</v>
      </c>
      <c r="F202" s="86">
        <v>65875.360000000001</v>
      </c>
      <c r="G202" s="129">
        <v>0</v>
      </c>
      <c r="H202" s="132">
        <v>65875.360000000001</v>
      </c>
      <c r="I202" s="200" t="str">
        <f t="shared" si="3"/>
        <v>CORRECTO</v>
      </c>
      <c r="J202" s="88" t="s">
        <v>3244</v>
      </c>
      <c r="K202" s="121" t="s">
        <v>364</v>
      </c>
      <c r="L202" s="95" t="s">
        <v>227</v>
      </c>
      <c r="M202" s="186">
        <v>45823</v>
      </c>
      <c r="N202" s="123" t="s">
        <v>371</v>
      </c>
    </row>
    <row r="203" spans="1:14" x14ac:dyDescent="0.3">
      <c r="A203" s="120" t="s">
        <v>929</v>
      </c>
      <c r="B203" s="120" t="s">
        <v>1696</v>
      </c>
      <c r="C203" s="28" t="s">
        <v>178</v>
      </c>
      <c r="D203" s="28" t="str">
        <f>IFERROR(VLOOKUP($C203,CUENTAS[],2,0),"")</f>
        <v>GASTOS FIJOS</v>
      </c>
      <c r="E203" s="28" t="str">
        <f>IFERROR(VLOOKUP($C203,CUENTAS[],3,0),"")</f>
        <v>MDE2025-002O</v>
      </c>
      <c r="F203" s="86">
        <v>167836.64</v>
      </c>
      <c r="G203" s="129">
        <v>0</v>
      </c>
      <c r="H203" s="132">
        <v>167836.64</v>
      </c>
      <c r="I203" s="200" t="str">
        <f t="shared" si="3"/>
        <v>CORRECTO</v>
      </c>
      <c r="J203" s="88" t="s">
        <v>3244</v>
      </c>
      <c r="K203" s="121" t="s">
        <v>364</v>
      </c>
      <c r="L203" s="95" t="s">
        <v>227</v>
      </c>
      <c r="M203" s="186">
        <v>45823</v>
      </c>
      <c r="N203" s="123" t="s">
        <v>371</v>
      </c>
    </row>
    <row r="204" spans="1:14" x14ac:dyDescent="0.3">
      <c r="A204" s="120" t="s">
        <v>929</v>
      </c>
      <c r="B204" s="120" t="s">
        <v>935</v>
      </c>
      <c r="C204" s="28" t="s">
        <v>157</v>
      </c>
      <c r="D204" s="28" t="str">
        <f>IFERROR(VLOOKUP($C204,CUENTAS[],2,0),"")</f>
        <v>GASTOS FIJOS</v>
      </c>
      <c r="E204" s="28" t="str">
        <f>IFERROR(VLOOKUP($C204,CUENTAS[],3,0),"")</f>
        <v>MDE2025-002Q</v>
      </c>
      <c r="F204" s="86">
        <v>-1500</v>
      </c>
      <c r="G204" s="129">
        <v>0</v>
      </c>
      <c r="H204" s="132">
        <v>-1500</v>
      </c>
      <c r="I204" s="200" t="str">
        <f t="shared" si="3"/>
        <v>CORRECTO</v>
      </c>
      <c r="J204" s="88" t="s">
        <v>3244</v>
      </c>
      <c r="K204" s="121" t="s">
        <v>364</v>
      </c>
      <c r="L204" s="95" t="s">
        <v>227</v>
      </c>
      <c r="M204" s="186">
        <v>45823</v>
      </c>
      <c r="N204" s="123" t="s">
        <v>371</v>
      </c>
    </row>
    <row r="205" spans="1:14" x14ac:dyDescent="0.3">
      <c r="A205" s="120" t="s">
        <v>929</v>
      </c>
      <c r="B205" s="120" t="s">
        <v>940</v>
      </c>
      <c r="C205" s="28" t="s">
        <v>178</v>
      </c>
      <c r="D205" s="28" t="str">
        <f>IFERROR(VLOOKUP($C205,CUENTAS[],2,0),"")</f>
        <v>GASTOS FIJOS</v>
      </c>
      <c r="E205" s="28" t="str">
        <f>IFERROR(VLOOKUP($C205,CUENTAS[],3,0),"")</f>
        <v>MDE2025-002O</v>
      </c>
      <c r="F205" s="86">
        <v>3000</v>
      </c>
      <c r="G205" s="129">
        <v>0</v>
      </c>
      <c r="H205" s="132">
        <v>3000</v>
      </c>
      <c r="I205" s="200" t="str">
        <f t="shared" si="3"/>
        <v>CORRECTO</v>
      </c>
      <c r="J205" s="88" t="s">
        <v>3244</v>
      </c>
      <c r="K205" s="121" t="s">
        <v>364</v>
      </c>
      <c r="L205" s="95" t="s">
        <v>227</v>
      </c>
      <c r="M205" s="186">
        <v>45823</v>
      </c>
      <c r="N205" s="123" t="s">
        <v>371</v>
      </c>
    </row>
    <row r="206" spans="1:14" x14ac:dyDescent="0.3">
      <c r="A206" s="120" t="s">
        <v>341</v>
      </c>
      <c r="B206" s="120" t="s">
        <v>1697</v>
      </c>
      <c r="C206" s="28" t="s">
        <v>153</v>
      </c>
      <c r="D206" s="28" t="str">
        <f>IFERROR(VLOOKUP($C206,CUENTAS[],2,0),"")</f>
        <v>GASTOS FIJOS</v>
      </c>
      <c r="E206" s="28" t="str">
        <f>IFERROR(VLOOKUP($C206,CUENTAS[],3,0),"")</f>
        <v>MDE2025-002L</v>
      </c>
      <c r="F206" s="86">
        <v>1473</v>
      </c>
      <c r="G206" s="129">
        <v>0</v>
      </c>
      <c r="H206" s="132">
        <v>1473</v>
      </c>
      <c r="I206" s="200" t="str">
        <f t="shared" si="3"/>
        <v>CORRECTO</v>
      </c>
      <c r="J206" s="88" t="s">
        <v>3244</v>
      </c>
      <c r="K206" s="121" t="s">
        <v>364</v>
      </c>
      <c r="L206" s="95" t="s">
        <v>227</v>
      </c>
      <c r="M206" s="186">
        <v>45811</v>
      </c>
      <c r="N206" s="123" t="s">
        <v>1514</v>
      </c>
    </row>
    <row r="207" spans="1:14" x14ac:dyDescent="0.3">
      <c r="A207" s="120" t="s">
        <v>1501</v>
      </c>
      <c r="B207" s="120" t="s">
        <v>1698</v>
      </c>
      <c r="C207" s="28" t="s">
        <v>153</v>
      </c>
      <c r="D207" s="28" t="str">
        <f>IFERROR(VLOOKUP($C207,CUENTAS[],2,0),"")</f>
        <v>GASTOS FIJOS</v>
      </c>
      <c r="E207" s="28" t="str">
        <f>IFERROR(VLOOKUP($C207,CUENTAS[],3,0),"")</f>
        <v>MDE2025-002L</v>
      </c>
      <c r="F207" s="86">
        <v>139.4</v>
      </c>
      <c r="G207" s="129">
        <v>0</v>
      </c>
      <c r="H207" s="132">
        <v>139.4</v>
      </c>
      <c r="I207" s="200" t="str">
        <f t="shared" si="3"/>
        <v>CORRECTO</v>
      </c>
      <c r="J207" s="88" t="s">
        <v>3244</v>
      </c>
      <c r="K207" s="121" t="s">
        <v>364</v>
      </c>
      <c r="L207" s="95" t="s">
        <v>227</v>
      </c>
      <c r="M207" s="186">
        <v>45811</v>
      </c>
      <c r="N207" s="123" t="s">
        <v>1514</v>
      </c>
    </row>
    <row r="208" spans="1:14" x14ac:dyDescent="0.3">
      <c r="A208" s="120" t="s">
        <v>228</v>
      </c>
      <c r="B208" s="120" t="s">
        <v>1699</v>
      </c>
      <c r="C208" s="28" t="s">
        <v>157</v>
      </c>
      <c r="D208" s="28" t="str">
        <f>IFERROR(VLOOKUP($C208,CUENTAS[],2,0),"")</f>
        <v>GASTOS FIJOS</v>
      </c>
      <c r="E208" s="28" t="str">
        <f>IFERROR(VLOOKUP($C208,CUENTAS[],3,0),"")</f>
        <v>MDE2025-002Q</v>
      </c>
      <c r="F208" s="86">
        <v>1500</v>
      </c>
      <c r="G208" s="129">
        <v>0</v>
      </c>
      <c r="H208" s="132">
        <v>1500</v>
      </c>
      <c r="I208" s="200" t="str">
        <f t="shared" si="3"/>
        <v>CORRECTO</v>
      </c>
      <c r="J208" s="88" t="s">
        <v>3244</v>
      </c>
      <c r="K208" s="121" t="s">
        <v>1423</v>
      </c>
      <c r="L208" s="95" t="s">
        <v>227</v>
      </c>
      <c r="M208" s="186">
        <v>45820</v>
      </c>
      <c r="N208" s="123"/>
    </row>
    <row r="209" spans="1:16" x14ac:dyDescent="0.3">
      <c r="A209" s="120" t="s">
        <v>1700</v>
      </c>
      <c r="B209" s="120" t="s">
        <v>645</v>
      </c>
      <c r="C209" s="28" t="s">
        <v>157</v>
      </c>
      <c r="D209" s="28" t="str">
        <f>IFERROR(VLOOKUP($C209,CUENTAS[],2,0),"")</f>
        <v>GASTOS FIJOS</v>
      </c>
      <c r="E209" s="28" t="str">
        <f>IFERROR(VLOOKUP($C209,CUENTAS[],3,0),"")</f>
        <v>MDE2025-002Q</v>
      </c>
      <c r="F209" s="86">
        <v>6000</v>
      </c>
      <c r="G209" s="129">
        <v>0</v>
      </c>
      <c r="H209" s="132">
        <v>6000</v>
      </c>
      <c r="I209" s="200" t="str">
        <f t="shared" si="3"/>
        <v>CORRECTO</v>
      </c>
      <c r="J209" s="88" t="s">
        <v>3244</v>
      </c>
      <c r="K209" s="121" t="s">
        <v>364</v>
      </c>
      <c r="L209" s="95" t="s">
        <v>227</v>
      </c>
      <c r="M209" s="186">
        <v>45820</v>
      </c>
      <c r="N209" s="123" t="s">
        <v>1701</v>
      </c>
    </row>
    <row r="210" spans="1:16" x14ac:dyDescent="0.3">
      <c r="A210" s="120"/>
      <c r="B210" s="120"/>
      <c r="C210" s="28"/>
      <c r="D210" s="28" t="str">
        <f>IFERROR(VLOOKUP($C210,CUENTAS[],2,0),"")</f>
        <v/>
      </c>
      <c r="E210" s="28" t="str">
        <f>IFERROR(VLOOKUP($C210,CUENTAS[],3,0),"")</f>
        <v/>
      </c>
      <c r="F210" s="86"/>
      <c r="G210" s="129"/>
      <c r="H210" s="132"/>
      <c r="I210" s="132"/>
      <c r="J210" s="88"/>
      <c r="K210" s="121"/>
      <c r="L210" s="95"/>
      <c r="M210" s="186"/>
      <c r="N210" s="123"/>
    </row>
    <row r="211" spans="1:16" x14ac:dyDescent="0.3">
      <c r="A211" s="24"/>
      <c r="B211" s="24"/>
      <c r="C211" s="28"/>
      <c r="D211" s="28" t="str">
        <f>IFERROR(VLOOKUP($C211,CUENTAS[],2,0),"")</f>
        <v/>
      </c>
      <c r="E211" s="28" t="str">
        <f>IFERROR(VLOOKUP($C211,CUENTAS[],3,0),"")</f>
        <v/>
      </c>
      <c r="F211" s="86"/>
      <c r="G211" s="129"/>
      <c r="H211" s="133"/>
      <c r="I211" s="133"/>
      <c r="J211" s="88"/>
      <c r="K211" s="121"/>
      <c r="L211" s="95"/>
      <c r="M211" s="25"/>
      <c r="N211" s="26"/>
    </row>
    <row r="212" spans="1:16" x14ac:dyDescent="0.3">
      <c r="A212" s="24"/>
      <c r="B212" s="24"/>
      <c r="C212" s="28"/>
      <c r="D212" s="28" t="str">
        <f>IFERROR(VLOOKUP($C212,CUENTAS[],2,0),"")</f>
        <v/>
      </c>
      <c r="E212" s="28" t="str">
        <f>IFERROR(VLOOKUP($C212,CUENTAS[],3,0),"")</f>
        <v/>
      </c>
      <c r="F212" s="86"/>
      <c r="G212" s="129"/>
      <c r="H212" s="133"/>
      <c r="I212" s="133"/>
      <c r="J212" s="88"/>
      <c r="K212" s="121"/>
      <c r="L212" s="95"/>
      <c r="M212" s="25"/>
      <c r="N212" s="27"/>
    </row>
    <row r="213" spans="1:16" x14ac:dyDescent="0.3">
      <c r="A213" s="77"/>
      <c r="B213" s="106"/>
      <c r="F213" s="124"/>
      <c r="G213" s="125"/>
      <c r="J213" s="125"/>
      <c r="L213" s="107"/>
      <c r="M213" s="183"/>
      <c r="N213" s="108"/>
    </row>
    <row r="214" spans="1:16" x14ac:dyDescent="0.3">
      <c r="A214" s="77"/>
      <c r="B214" s="106"/>
      <c r="F214" s="124"/>
      <c r="G214" s="125"/>
      <c r="J214" s="125"/>
      <c r="L214" s="107"/>
      <c r="M214" s="183"/>
      <c r="N214" s="108"/>
    </row>
    <row r="215" spans="1:16" ht="13.8" x14ac:dyDescent="0.3">
      <c r="A215" s="77"/>
      <c r="B215" s="106"/>
      <c r="F215" s="124"/>
      <c r="L215" s="107"/>
      <c r="M215" s="183"/>
      <c r="N215" s="4" t="s">
        <v>106</v>
      </c>
      <c r="O215" s="7">
        <f>+SUM(F:F)</f>
        <v>2400596.6199999992</v>
      </c>
    </row>
    <row r="216" spans="1:16" ht="13.8" x14ac:dyDescent="0.3">
      <c r="A216" s="77"/>
      <c r="B216" s="106"/>
      <c r="F216" s="124"/>
      <c r="L216" s="107"/>
      <c r="M216" s="183"/>
      <c r="N216" s="4" t="s">
        <v>107</v>
      </c>
      <c r="O216" s="7">
        <f>+SUM(G:G)</f>
        <v>73188.63</v>
      </c>
    </row>
    <row r="217" spans="1:16" ht="15.6" x14ac:dyDescent="0.3">
      <c r="A217" s="77"/>
      <c r="B217" s="106"/>
      <c r="F217" s="124"/>
      <c r="L217" s="107"/>
      <c r="M217" s="183"/>
      <c r="N217" s="29" t="s">
        <v>149</v>
      </c>
      <c r="O217" s="7">
        <f>+SUM(H:H)</f>
        <v>2473785.25</v>
      </c>
      <c r="P217" s="31">
        <f>O217-O216-O215</f>
        <v>0</v>
      </c>
    </row>
    <row r="218" spans="1:16" x14ac:dyDescent="0.3">
      <c r="A218" s="77"/>
      <c r="B218" s="106"/>
      <c r="F218" s="124"/>
      <c r="L218" s="107"/>
      <c r="M218" s="183"/>
      <c r="N218" s="77"/>
      <c r="O218" s="67" t="str">
        <f>IF(P217&lt;&gt;0,"REVISAR CAPTURA","")</f>
        <v/>
      </c>
    </row>
    <row r="219" spans="1:16" x14ac:dyDescent="0.3">
      <c r="A219" s="77"/>
      <c r="B219" s="106"/>
      <c r="F219" s="124"/>
      <c r="G219" s="125"/>
      <c r="J219" s="125"/>
      <c r="L219" s="107"/>
      <c r="M219" s="183"/>
      <c r="N219" s="108"/>
    </row>
    <row r="220" spans="1:16" x14ac:dyDescent="0.3">
      <c r="A220" s="77"/>
      <c r="B220" s="106"/>
      <c r="F220" s="124"/>
      <c r="G220" s="125"/>
      <c r="J220" s="125"/>
      <c r="L220" s="107"/>
      <c r="M220" s="183"/>
      <c r="N220" s="108"/>
    </row>
    <row r="221" spans="1:16" x14ac:dyDescent="0.3">
      <c r="A221" s="77"/>
      <c r="B221" s="106"/>
      <c r="F221" s="124"/>
      <c r="G221" s="125"/>
      <c r="J221" s="125"/>
      <c r="L221" s="107"/>
      <c r="M221" s="183"/>
      <c r="N221" s="108"/>
    </row>
    <row r="222" spans="1:16" x14ac:dyDescent="0.3">
      <c r="A222" s="77"/>
      <c r="B222" s="106"/>
      <c r="F222" s="124"/>
      <c r="G222" s="125"/>
      <c r="J222" s="125"/>
      <c r="L222" s="107"/>
      <c r="M222" s="183"/>
      <c r="N222" s="108"/>
    </row>
    <row r="223" spans="1:16" x14ac:dyDescent="0.3">
      <c r="A223" s="77"/>
      <c r="B223" s="106"/>
      <c r="F223" s="124"/>
      <c r="G223" s="125"/>
      <c r="J223" s="125"/>
      <c r="L223" s="107"/>
      <c r="M223" s="183"/>
      <c r="N223" s="108"/>
    </row>
    <row r="224" spans="1:16" x14ac:dyDescent="0.3">
      <c r="A224" s="77"/>
      <c r="B224" s="106"/>
      <c r="F224" s="124"/>
      <c r="G224" s="125"/>
      <c r="J224" s="125"/>
      <c r="L224" s="107"/>
      <c r="M224" s="183"/>
      <c r="N224" s="108"/>
    </row>
    <row r="225" spans="1:14" x14ac:dyDescent="0.3">
      <c r="A225" s="77"/>
      <c r="B225" s="106"/>
      <c r="F225" s="124"/>
      <c r="G225" s="125"/>
      <c r="J225" s="125"/>
      <c r="L225" s="107"/>
      <c r="M225" s="183"/>
      <c r="N225" s="108"/>
    </row>
    <row r="226" spans="1:14" x14ac:dyDescent="0.3">
      <c r="A226" s="77"/>
      <c r="B226" s="106"/>
      <c r="F226" s="124"/>
      <c r="G226" s="125"/>
      <c r="J226" s="125"/>
      <c r="L226" s="107"/>
      <c r="M226" s="183"/>
      <c r="N226" s="108"/>
    </row>
    <row r="227" spans="1:14" x14ac:dyDescent="0.3">
      <c r="A227" s="77"/>
      <c r="B227" s="106"/>
      <c r="F227" s="124"/>
      <c r="G227" s="125"/>
      <c r="J227" s="125"/>
      <c r="L227" s="107"/>
      <c r="M227" s="183"/>
      <c r="N227" s="108"/>
    </row>
    <row r="228" spans="1:14" x14ac:dyDescent="0.3">
      <c r="A228" s="77"/>
      <c r="B228" s="106"/>
      <c r="F228" s="124"/>
      <c r="G228" s="125"/>
      <c r="J228" s="125"/>
      <c r="L228" s="107"/>
      <c r="M228" s="183"/>
      <c r="N228" s="108"/>
    </row>
    <row r="229" spans="1:14" x14ac:dyDescent="0.3">
      <c r="A229" s="77"/>
      <c r="B229" s="106"/>
      <c r="F229" s="124"/>
      <c r="G229" s="125"/>
      <c r="J229" s="125"/>
      <c r="L229" s="107"/>
      <c r="M229" s="183"/>
      <c r="N229" s="108"/>
    </row>
    <row r="230" spans="1:14" x14ac:dyDescent="0.3">
      <c r="A230" s="77"/>
      <c r="B230" s="106"/>
      <c r="F230" s="124"/>
      <c r="G230" s="125"/>
      <c r="J230" s="125"/>
      <c r="L230" s="107"/>
      <c r="M230" s="183"/>
      <c r="N230" s="108"/>
    </row>
    <row r="231" spans="1:14" x14ac:dyDescent="0.3">
      <c r="A231" s="77"/>
      <c r="B231" s="106"/>
      <c r="F231" s="124"/>
      <c r="G231" s="125"/>
      <c r="J231" s="125"/>
      <c r="L231" s="107"/>
      <c r="M231" s="183"/>
      <c r="N231" s="108"/>
    </row>
    <row r="232" spans="1:14" x14ac:dyDescent="0.3">
      <c r="A232" s="77"/>
      <c r="B232" s="106"/>
      <c r="F232" s="124"/>
      <c r="G232" s="125"/>
      <c r="J232" s="125"/>
      <c r="L232" s="107"/>
      <c r="M232" s="183"/>
      <c r="N232" s="108"/>
    </row>
    <row r="233" spans="1:14" x14ac:dyDescent="0.3">
      <c r="A233" s="77"/>
      <c r="B233" s="106"/>
      <c r="F233" s="124"/>
      <c r="G233" s="125"/>
      <c r="J233" s="125"/>
      <c r="L233" s="107"/>
      <c r="M233" s="183"/>
      <c r="N233" s="108"/>
    </row>
    <row r="234" spans="1:14" x14ac:dyDescent="0.3">
      <c r="A234" s="77"/>
      <c r="B234" s="106"/>
      <c r="F234" s="124"/>
      <c r="G234" s="125"/>
      <c r="J234" s="125"/>
      <c r="L234" s="107"/>
      <c r="M234" s="183"/>
      <c r="N234" s="108"/>
    </row>
    <row r="235" spans="1:14" x14ac:dyDescent="0.3">
      <c r="A235" s="77"/>
      <c r="B235" s="106"/>
      <c r="F235" s="124"/>
      <c r="G235" s="125"/>
      <c r="J235" s="125"/>
      <c r="L235" s="107"/>
      <c r="M235" s="183"/>
      <c r="N235" s="108"/>
    </row>
    <row r="236" spans="1:14" x14ac:dyDescent="0.3">
      <c r="A236" s="77"/>
      <c r="B236" s="106"/>
      <c r="F236" s="124"/>
      <c r="G236" s="125"/>
      <c r="J236" s="125"/>
      <c r="L236" s="107"/>
      <c r="M236" s="183"/>
      <c r="N236" s="108"/>
    </row>
    <row r="237" spans="1:14" x14ac:dyDescent="0.3">
      <c r="A237" s="77"/>
      <c r="B237" s="106"/>
      <c r="F237" s="124"/>
      <c r="G237" s="125"/>
      <c r="J237" s="125"/>
      <c r="L237" s="107"/>
      <c r="M237" s="183"/>
      <c r="N237" s="108"/>
    </row>
    <row r="238" spans="1:14" x14ac:dyDescent="0.3">
      <c r="A238" s="77"/>
      <c r="B238" s="106"/>
      <c r="F238" s="124"/>
      <c r="G238" s="125"/>
      <c r="J238" s="125"/>
      <c r="L238" s="107"/>
      <c r="M238" s="183"/>
      <c r="N238" s="108"/>
    </row>
    <row r="239" spans="1:14" x14ac:dyDescent="0.3">
      <c r="A239" s="77"/>
      <c r="B239" s="106"/>
      <c r="F239" s="124"/>
      <c r="G239" s="125"/>
      <c r="J239" s="125"/>
      <c r="L239" s="107"/>
      <c r="M239" s="183"/>
      <c r="N239" s="108"/>
    </row>
    <row r="240" spans="1:14" x14ac:dyDescent="0.3">
      <c r="A240" s="77"/>
      <c r="B240" s="106"/>
      <c r="F240" s="124"/>
      <c r="G240" s="125"/>
      <c r="J240" s="125"/>
      <c r="L240" s="107"/>
      <c r="M240" s="183"/>
      <c r="N240" s="108"/>
    </row>
    <row r="241" spans="1:14" x14ac:dyDescent="0.3">
      <c r="A241" s="77"/>
      <c r="B241" s="106"/>
      <c r="F241" s="124"/>
      <c r="G241" s="125"/>
      <c r="J241" s="125"/>
      <c r="L241" s="107"/>
      <c r="M241" s="183"/>
      <c r="N241" s="108"/>
    </row>
    <row r="242" spans="1:14" x14ac:dyDescent="0.3">
      <c r="A242" s="77"/>
      <c r="B242" s="106"/>
      <c r="F242" s="124"/>
      <c r="G242" s="125"/>
      <c r="J242" s="125"/>
      <c r="L242" s="107"/>
      <c r="M242" s="183"/>
      <c r="N242" s="108"/>
    </row>
    <row r="243" spans="1:14" x14ac:dyDescent="0.3">
      <c r="A243" s="77"/>
      <c r="B243" s="106"/>
      <c r="F243" s="124"/>
      <c r="G243" s="125"/>
      <c r="J243" s="125"/>
      <c r="L243" s="107"/>
      <c r="M243" s="183"/>
      <c r="N243" s="108"/>
    </row>
    <row r="244" spans="1:14" x14ac:dyDescent="0.3">
      <c r="A244" s="77"/>
      <c r="B244" s="106"/>
      <c r="F244" s="124"/>
      <c r="G244" s="125"/>
      <c r="J244" s="125"/>
      <c r="L244" s="107"/>
      <c r="M244" s="183"/>
      <c r="N244" s="108"/>
    </row>
    <row r="245" spans="1:14" x14ac:dyDescent="0.3">
      <c r="A245" s="77"/>
      <c r="B245" s="106"/>
      <c r="F245" s="124"/>
      <c r="G245" s="125"/>
      <c r="J245" s="125"/>
      <c r="L245" s="107"/>
      <c r="M245" s="183"/>
      <c r="N245" s="108"/>
    </row>
    <row r="246" spans="1:14" x14ac:dyDescent="0.3">
      <c r="A246" s="77"/>
      <c r="B246" s="106"/>
      <c r="F246" s="124"/>
      <c r="G246" s="125"/>
      <c r="J246" s="125"/>
      <c r="L246" s="107"/>
      <c r="M246" s="183"/>
      <c r="N246" s="108"/>
    </row>
    <row r="247" spans="1:14" x14ac:dyDescent="0.3">
      <c r="A247" s="77"/>
      <c r="B247" s="106"/>
      <c r="F247" s="124"/>
      <c r="G247" s="125"/>
      <c r="J247" s="125"/>
      <c r="L247" s="107"/>
      <c r="M247" s="183"/>
      <c r="N247" s="108"/>
    </row>
    <row r="248" spans="1:14" x14ac:dyDescent="0.3">
      <c r="A248" s="77"/>
      <c r="B248" s="106"/>
      <c r="F248" s="124"/>
      <c r="G248" s="125"/>
      <c r="J248" s="125"/>
      <c r="L248" s="107"/>
      <c r="M248" s="183"/>
      <c r="N248" s="108"/>
    </row>
    <row r="249" spans="1:14" x14ac:dyDescent="0.3">
      <c r="A249" s="77"/>
      <c r="B249" s="106"/>
      <c r="F249" s="124"/>
      <c r="G249" s="125"/>
      <c r="J249" s="125"/>
      <c r="L249" s="107"/>
      <c r="M249" s="183"/>
      <c r="N249" s="108"/>
    </row>
    <row r="250" spans="1:14" x14ac:dyDescent="0.3">
      <c r="A250" s="77"/>
      <c r="B250" s="106"/>
      <c r="F250" s="124"/>
      <c r="G250" s="125"/>
      <c r="J250" s="125"/>
      <c r="L250" s="107"/>
      <c r="M250" s="183"/>
      <c r="N250" s="108"/>
    </row>
    <row r="251" spans="1:14" x14ac:dyDescent="0.3">
      <c r="A251" s="77"/>
      <c r="B251" s="106"/>
      <c r="F251" s="124"/>
      <c r="G251" s="125"/>
      <c r="J251" s="125"/>
      <c r="L251" s="107"/>
      <c r="M251" s="183"/>
      <c r="N251" s="108"/>
    </row>
    <row r="252" spans="1:14" x14ac:dyDescent="0.3">
      <c r="A252" s="77"/>
      <c r="B252" s="106"/>
      <c r="F252" s="124"/>
      <c r="G252" s="125"/>
      <c r="J252" s="125"/>
      <c r="L252" s="107"/>
      <c r="M252" s="183"/>
      <c r="N252" s="108"/>
    </row>
    <row r="253" spans="1:14" x14ac:dyDescent="0.3">
      <c r="A253" s="77"/>
      <c r="B253" s="106"/>
      <c r="F253" s="124"/>
      <c r="G253" s="125"/>
      <c r="J253" s="125"/>
      <c r="L253" s="107"/>
      <c r="M253" s="183"/>
      <c r="N253" s="108"/>
    </row>
    <row r="254" spans="1:14" x14ac:dyDescent="0.3">
      <c r="A254" s="77"/>
      <c r="B254" s="106"/>
      <c r="F254" s="124"/>
      <c r="G254" s="125"/>
      <c r="J254" s="125"/>
      <c r="L254" s="107"/>
      <c r="M254" s="183"/>
      <c r="N254" s="108"/>
    </row>
    <row r="255" spans="1:14" x14ac:dyDescent="0.3">
      <c r="A255" s="77"/>
      <c r="B255" s="106"/>
      <c r="F255" s="124"/>
      <c r="G255" s="125"/>
      <c r="J255" s="125"/>
      <c r="L255" s="107"/>
      <c r="M255" s="183"/>
      <c r="N255" s="108"/>
    </row>
    <row r="256" spans="1:14" x14ac:dyDescent="0.3">
      <c r="A256" s="77"/>
      <c r="B256" s="106"/>
      <c r="F256" s="124"/>
      <c r="G256" s="125"/>
      <c r="J256" s="125"/>
      <c r="L256" s="107"/>
      <c r="M256" s="183"/>
      <c r="N256" s="108"/>
    </row>
    <row r="257" spans="1:14" x14ac:dyDescent="0.3">
      <c r="A257" s="77"/>
      <c r="B257" s="106"/>
      <c r="F257" s="124"/>
      <c r="G257" s="125"/>
      <c r="J257" s="125"/>
      <c r="L257" s="107"/>
      <c r="M257" s="183"/>
      <c r="N257" s="108"/>
    </row>
    <row r="258" spans="1:14" x14ac:dyDescent="0.3">
      <c r="A258" s="77"/>
      <c r="B258" s="106"/>
      <c r="F258" s="124"/>
      <c r="G258" s="125"/>
      <c r="J258" s="125"/>
      <c r="L258" s="107"/>
      <c r="M258" s="183"/>
      <c r="N258" s="108"/>
    </row>
    <row r="259" spans="1:14" x14ac:dyDescent="0.3">
      <c r="A259" s="77"/>
      <c r="B259" s="106"/>
      <c r="F259" s="124"/>
      <c r="G259" s="125"/>
      <c r="J259" s="125"/>
      <c r="L259" s="107"/>
      <c r="M259" s="183"/>
      <c r="N259" s="108"/>
    </row>
    <row r="260" spans="1:14" x14ac:dyDescent="0.3">
      <c r="A260" s="77"/>
      <c r="B260" s="106"/>
      <c r="F260" s="124"/>
      <c r="G260" s="125"/>
      <c r="J260" s="125"/>
      <c r="L260" s="107"/>
      <c r="M260" s="183"/>
      <c r="N260" s="108"/>
    </row>
    <row r="261" spans="1:14" x14ac:dyDescent="0.3">
      <c r="A261" s="77"/>
      <c r="B261" s="106"/>
      <c r="F261" s="124"/>
      <c r="G261" s="125"/>
      <c r="J261" s="125"/>
      <c r="L261" s="107"/>
      <c r="M261" s="183"/>
      <c r="N261" s="108"/>
    </row>
    <row r="262" spans="1:14" x14ac:dyDescent="0.3">
      <c r="A262" s="77"/>
      <c r="B262" s="106"/>
      <c r="F262" s="124"/>
      <c r="G262" s="125"/>
      <c r="J262" s="125"/>
      <c r="L262" s="107"/>
      <c r="M262" s="183"/>
      <c r="N262" s="108"/>
    </row>
    <row r="263" spans="1:14" x14ac:dyDescent="0.3">
      <c r="A263" s="77"/>
      <c r="B263" s="106"/>
      <c r="F263" s="124"/>
      <c r="G263" s="125"/>
      <c r="J263" s="125"/>
      <c r="L263" s="107"/>
      <c r="M263" s="183"/>
      <c r="N263" s="108"/>
    </row>
    <row r="264" spans="1:14" x14ac:dyDescent="0.3">
      <c r="A264" s="77"/>
      <c r="B264" s="106"/>
      <c r="F264" s="124"/>
      <c r="G264" s="125"/>
      <c r="J264" s="125"/>
      <c r="L264" s="107"/>
      <c r="M264" s="183"/>
      <c r="N264" s="108"/>
    </row>
    <row r="265" spans="1:14" x14ac:dyDescent="0.3">
      <c r="A265" s="77"/>
      <c r="B265" s="106"/>
      <c r="F265" s="124"/>
      <c r="G265" s="125"/>
      <c r="J265" s="125"/>
      <c r="L265" s="107"/>
      <c r="M265" s="183"/>
      <c r="N265" s="108"/>
    </row>
    <row r="266" spans="1:14" x14ac:dyDescent="0.3">
      <c r="A266" s="77"/>
      <c r="B266" s="106"/>
      <c r="F266" s="124"/>
      <c r="G266" s="125"/>
      <c r="J266" s="125"/>
      <c r="L266" s="107"/>
      <c r="M266" s="183"/>
      <c r="N266" s="108"/>
    </row>
    <row r="267" spans="1:14" x14ac:dyDescent="0.3">
      <c r="A267" s="77"/>
      <c r="B267" s="106"/>
      <c r="F267" s="124"/>
      <c r="G267" s="125"/>
      <c r="J267" s="125"/>
      <c r="L267" s="107"/>
      <c r="M267" s="183"/>
      <c r="N267" s="108"/>
    </row>
    <row r="268" spans="1:14" x14ac:dyDescent="0.3">
      <c r="A268" s="77"/>
      <c r="B268" s="106"/>
      <c r="F268" s="124"/>
      <c r="G268" s="125"/>
      <c r="J268" s="125"/>
      <c r="L268" s="107"/>
      <c r="M268" s="183"/>
      <c r="N268" s="108"/>
    </row>
    <row r="269" spans="1:14" x14ac:dyDescent="0.3">
      <c r="A269" s="77"/>
      <c r="B269" s="106"/>
      <c r="F269" s="124"/>
      <c r="G269" s="125"/>
      <c r="J269" s="125"/>
      <c r="L269" s="107"/>
      <c r="M269" s="183"/>
      <c r="N269" s="108"/>
    </row>
    <row r="270" spans="1:14" x14ac:dyDescent="0.3">
      <c r="A270" s="77"/>
      <c r="B270" s="106"/>
      <c r="F270" s="124"/>
      <c r="G270" s="125"/>
      <c r="J270" s="125"/>
      <c r="L270" s="107"/>
      <c r="M270" s="183"/>
      <c r="N270" s="108"/>
    </row>
    <row r="271" spans="1:14" x14ac:dyDescent="0.3">
      <c r="A271" s="77"/>
      <c r="B271" s="106"/>
      <c r="F271" s="124"/>
      <c r="G271" s="125"/>
      <c r="J271" s="125"/>
      <c r="L271" s="107"/>
      <c r="M271" s="183"/>
      <c r="N271" s="108"/>
    </row>
    <row r="272" spans="1:14" x14ac:dyDescent="0.3">
      <c r="A272" s="77"/>
      <c r="B272" s="106"/>
      <c r="F272" s="124"/>
      <c r="G272" s="125"/>
      <c r="J272" s="125"/>
      <c r="L272" s="107"/>
      <c r="M272" s="183"/>
      <c r="N272" s="108"/>
    </row>
    <row r="273" spans="1:14" x14ac:dyDescent="0.3">
      <c r="A273" s="77"/>
      <c r="B273" s="106"/>
      <c r="F273" s="124"/>
      <c r="G273" s="125"/>
      <c r="J273" s="125"/>
      <c r="L273" s="107"/>
      <c r="M273" s="183"/>
      <c r="N273" s="108"/>
    </row>
    <row r="274" spans="1:14" x14ac:dyDescent="0.3">
      <c r="A274" s="77"/>
      <c r="B274" s="106"/>
      <c r="F274" s="124"/>
      <c r="G274" s="125"/>
      <c r="J274" s="125"/>
      <c r="L274" s="107"/>
      <c r="M274" s="183"/>
      <c r="N274" s="108"/>
    </row>
    <row r="275" spans="1:14" x14ac:dyDescent="0.3">
      <c r="A275" s="77"/>
      <c r="B275" s="106"/>
      <c r="F275" s="124"/>
      <c r="G275" s="125"/>
      <c r="J275" s="125"/>
      <c r="L275" s="107"/>
      <c r="M275" s="183"/>
      <c r="N275" s="108"/>
    </row>
    <row r="276" spans="1:14" x14ac:dyDescent="0.3">
      <c r="A276" s="77"/>
      <c r="B276" s="106"/>
      <c r="F276" s="124"/>
      <c r="G276" s="125"/>
      <c r="J276" s="125"/>
      <c r="L276" s="107"/>
      <c r="M276" s="183"/>
      <c r="N276" s="108"/>
    </row>
    <row r="277" spans="1:14" x14ac:dyDescent="0.3">
      <c r="A277" s="77"/>
      <c r="B277" s="106"/>
      <c r="F277" s="124"/>
      <c r="G277" s="125"/>
      <c r="J277" s="125"/>
      <c r="L277" s="107"/>
      <c r="M277" s="183"/>
      <c r="N277" s="108"/>
    </row>
    <row r="278" spans="1:14" x14ac:dyDescent="0.3">
      <c r="A278" s="77"/>
      <c r="B278" s="106"/>
      <c r="F278" s="124"/>
      <c r="G278" s="125"/>
      <c r="J278" s="125"/>
      <c r="L278" s="107"/>
      <c r="M278" s="183"/>
      <c r="N278" s="108"/>
    </row>
    <row r="279" spans="1:14" x14ac:dyDescent="0.3">
      <c r="A279" s="77"/>
      <c r="B279" s="106"/>
      <c r="F279" s="124"/>
      <c r="G279" s="125"/>
      <c r="J279" s="125"/>
      <c r="L279" s="107"/>
      <c r="M279" s="183"/>
      <c r="N279" s="108"/>
    </row>
    <row r="280" spans="1:14" x14ac:dyDescent="0.3">
      <c r="A280" s="77"/>
      <c r="B280" s="106"/>
      <c r="F280" s="124"/>
      <c r="G280" s="125"/>
      <c r="J280" s="125"/>
      <c r="L280" s="107"/>
      <c r="M280" s="183"/>
      <c r="N280" s="108"/>
    </row>
    <row r="281" spans="1:14" x14ac:dyDescent="0.3">
      <c r="A281" s="77"/>
      <c r="B281" s="106"/>
      <c r="F281" s="124"/>
      <c r="G281" s="125"/>
      <c r="J281" s="125"/>
      <c r="L281" s="107"/>
      <c r="M281" s="183"/>
      <c r="N281" s="108"/>
    </row>
    <row r="282" spans="1:14" x14ac:dyDescent="0.3">
      <c r="A282" s="77"/>
      <c r="B282" s="106"/>
      <c r="F282" s="124"/>
      <c r="G282" s="125"/>
      <c r="J282" s="125"/>
      <c r="L282" s="107"/>
      <c r="M282" s="183"/>
      <c r="N282" s="108"/>
    </row>
    <row r="283" spans="1:14" x14ac:dyDescent="0.3">
      <c r="A283" s="77"/>
      <c r="B283" s="106"/>
      <c r="F283" s="124"/>
      <c r="G283" s="125"/>
      <c r="J283" s="125"/>
      <c r="L283" s="107"/>
      <c r="M283" s="183"/>
      <c r="N283" s="108"/>
    </row>
    <row r="284" spans="1:14" x14ac:dyDescent="0.3">
      <c r="A284" s="77"/>
      <c r="B284" s="106"/>
      <c r="F284" s="124"/>
      <c r="G284" s="125"/>
      <c r="J284" s="125"/>
      <c r="L284" s="107"/>
      <c r="M284" s="183"/>
      <c r="N284" s="108"/>
    </row>
    <row r="285" spans="1:14" x14ac:dyDescent="0.3">
      <c r="A285" s="77"/>
      <c r="B285" s="106"/>
      <c r="F285" s="124"/>
      <c r="G285" s="125"/>
      <c r="J285" s="125"/>
      <c r="L285" s="107"/>
      <c r="M285" s="183"/>
      <c r="N285" s="108"/>
    </row>
    <row r="286" spans="1:14" x14ac:dyDescent="0.3">
      <c r="A286" s="77"/>
      <c r="B286" s="106"/>
      <c r="F286" s="124"/>
      <c r="G286" s="125"/>
      <c r="J286" s="125"/>
      <c r="L286" s="107"/>
      <c r="M286" s="183"/>
      <c r="N286" s="108"/>
    </row>
    <row r="287" spans="1:14" x14ac:dyDescent="0.3">
      <c r="A287" s="77"/>
      <c r="B287" s="106"/>
      <c r="F287" s="124"/>
      <c r="G287" s="125"/>
      <c r="J287" s="125"/>
      <c r="L287" s="107"/>
      <c r="M287" s="183"/>
      <c r="N287" s="108"/>
    </row>
    <row r="288" spans="1:14" x14ac:dyDescent="0.3">
      <c r="A288" s="77"/>
      <c r="B288" s="106"/>
      <c r="F288" s="124"/>
      <c r="G288" s="125"/>
      <c r="J288" s="125"/>
      <c r="L288" s="107"/>
      <c r="M288" s="183"/>
      <c r="N288" s="108"/>
    </row>
    <row r="289" spans="1:14" x14ac:dyDescent="0.3">
      <c r="A289" s="77"/>
      <c r="B289" s="106"/>
      <c r="F289" s="124"/>
      <c r="G289" s="125"/>
      <c r="J289" s="125"/>
      <c r="L289" s="107"/>
      <c r="M289" s="183"/>
      <c r="N289" s="108"/>
    </row>
    <row r="290" spans="1:14" x14ac:dyDescent="0.3">
      <c r="A290" s="77"/>
      <c r="B290" s="106"/>
      <c r="F290" s="124"/>
      <c r="G290" s="125"/>
      <c r="J290" s="125"/>
      <c r="L290" s="107"/>
      <c r="M290" s="183"/>
      <c r="N290" s="108"/>
    </row>
    <row r="291" spans="1:14" x14ac:dyDescent="0.3">
      <c r="A291" s="77"/>
      <c r="B291" s="106"/>
      <c r="F291" s="124"/>
      <c r="G291" s="125"/>
      <c r="J291" s="125"/>
      <c r="L291" s="107"/>
      <c r="M291" s="183"/>
      <c r="N291" s="108"/>
    </row>
    <row r="292" spans="1:14" x14ac:dyDescent="0.3">
      <c r="A292" s="77"/>
      <c r="B292" s="106"/>
      <c r="F292" s="124"/>
      <c r="G292" s="125"/>
      <c r="J292" s="125"/>
      <c r="L292" s="107"/>
      <c r="M292" s="183"/>
      <c r="N292" s="108"/>
    </row>
    <row r="293" spans="1:14" x14ac:dyDescent="0.3">
      <c r="A293" s="77"/>
      <c r="B293" s="106"/>
      <c r="F293" s="124"/>
      <c r="G293" s="125"/>
      <c r="J293" s="125"/>
      <c r="L293" s="107"/>
      <c r="M293" s="183"/>
      <c r="N293" s="108"/>
    </row>
    <row r="294" spans="1:14" x14ac:dyDescent="0.3">
      <c r="A294" s="77"/>
      <c r="B294" s="106"/>
      <c r="F294" s="124"/>
      <c r="G294" s="125"/>
      <c r="J294" s="125"/>
      <c r="L294" s="107"/>
      <c r="M294" s="183"/>
      <c r="N294" s="108"/>
    </row>
    <row r="295" spans="1:14" x14ac:dyDescent="0.3">
      <c r="A295" s="77"/>
      <c r="B295" s="106"/>
      <c r="F295" s="124"/>
      <c r="G295" s="125"/>
      <c r="J295" s="125"/>
      <c r="L295" s="107"/>
      <c r="M295" s="183"/>
      <c r="N295" s="108"/>
    </row>
    <row r="296" spans="1:14" x14ac:dyDescent="0.3">
      <c r="A296" s="77"/>
      <c r="B296" s="106"/>
      <c r="F296" s="124"/>
      <c r="G296" s="125"/>
      <c r="J296" s="125"/>
      <c r="L296" s="107"/>
      <c r="M296" s="183"/>
      <c r="N296" s="108"/>
    </row>
    <row r="297" spans="1:14" x14ac:dyDescent="0.3">
      <c r="A297" s="77"/>
      <c r="B297" s="106"/>
      <c r="F297" s="124"/>
      <c r="G297" s="125"/>
      <c r="J297" s="125"/>
      <c r="L297" s="107"/>
      <c r="M297" s="183"/>
      <c r="N297" s="108"/>
    </row>
    <row r="298" spans="1:14" x14ac:dyDescent="0.3">
      <c r="A298" s="77"/>
      <c r="B298" s="106"/>
      <c r="F298" s="124"/>
      <c r="G298" s="125"/>
      <c r="J298" s="125"/>
      <c r="L298" s="107"/>
      <c r="M298" s="183"/>
      <c r="N298" s="108"/>
    </row>
    <row r="299" spans="1:14" x14ac:dyDescent="0.3">
      <c r="A299" s="77"/>
      <c r="B299" s="106"/>
      <c r="F299" s="124"/>
      <c r="G299" s="125"/>
      <c r="J299" s="125"/>
      <c r="L299" s="107"/>
      <c r="M299" s="183"/>
      <c r="N299" s="108"/>
    </row>
    <row r="300" spans="1:14" x14ac:dyDescent="0.3">
      <c r="A300" s="77"/>
      <c r="B300" s="106"/>
      <c r="F300" s="124"/>
      <c r="G300" s="125"/>
      <c r="J300" s="125"/>
      <c r="L300" s="107"/>
      <c r="M300" s="183"/>
      <c r="N300" s="108"/>
    </row>
    <row r="301" spans="1:14" x14ac:dyDescent="0.3">
      <c r="A301" s="77"/>
      <c r="B301" s="106"/>
      <c r="F301" s="124"/>
      <c r="G301" s="125"/>
      <c r="J301" s="125"/>
      <c r="L301" s="107"/>
      <c r="M301" s="183"/>
      <c r="N301" s="108"/>
    </row>
    <row r="302" spans="1:14" x14ac:dyDescent="0.3">
      <c r="A302" s="77"/>
      <c r="B302" s="106"/>
      <c r="F302" s="124"/>
      <c r="G302" s="125"/>
      <c r="J302" s="125"/>
      <c r="L302" s="107"/>
      <c r="M302" s="183"/>
      <c r="N302" s="108"/>
    </row>
    <row r="303" spans="1:14" x14ac:dyDescent="0.3">
      <c r="A303" s="77"/>
      <c r="B303" s="106"/>
      <c r="F303" s="124"/>
      <c r="G303" s="125"/>
      <c r="J303" s="125"/>
      <c r="L303" s="107"/>
      <c r="M303" s="183"/>
      <c r="N303" s="108"/>
    </row>
    <row r="304" spans="1:14" x14ac:dyDescent="0.3">
      <c r="A304" s="77"/>
      <c r="B304" s="106"/>
      <c r="F304" s="124"/>
      <c r="G304" s="125"/>
      <c r="J304" s="125"/>
      <c r="L304" s="107"/>
      <c r="M304" s="183"/>
      <c r="N304" s="108"/>
    </row>
    <row r="305" spans="1:14" x14ac:dyDescent="0.3">
      <c r="A305" s="77"/>
      <c r="B305" s="106"/>
      <c r="F305" s="124"/>
      <c r="G305" s="125"/>
      <c r="J305" s="125"/>
      <c r="L305" s="107"/>
      <c r="M305" s="183"/>
      <c r="N305" s="108"/>
    </row>
    <row r="306" spans="1:14" x14ac:dyDescent="0.3">
      <c r="A306" s="77"/>
      <c r="B306" s="106"/>
      <c r="F306" s="124"/>
      <c r="G306" s="125"/>
      <c r="J306" s="125"/>
      <c r="L306" s="107"/>
      <c r="M306" s="183"/>
      <c r="N306" s="108"/>
    </row>
    <row r="307" spans="1:14" x14ac:dyDescent="0.3">
      <c r="A307" s="77"/>
      <c r="B307" s="106"/>
      <c r="F307" s="124"/>
      <c r="G307" s="125"/>
      <c r="J307" s="125"/>
      <c r="L307" s="107"/>
      <c r="M307" s="183"/>
      <c r="N307" s="108"/>
    </row>
    <row r="308" spans="1:14" x14ac:dyDescent="0.3">
      <c r="A308" s="77"/>
      <c r="B308" s="106"/>
      <c r="F308" s="124"/>
      <c r="G308" s="125"/>
      <c r="J308" s="125"/>
      <c r="L308" s="107"/>
      <c r="M308" s="183"/>
      <c r="N308" s="108"/>
    </row>
    <row r="309" spans="1:14" x14ac:dyDescent="0.3">
      <c r="A309" s="77"/>
      <c r="B309" s="106"/>
      <c r="F309" s="124"/>
      <c r="G309" s="125"/>
      <c r="J309" s="125"/>
      <c r="L309" s="107"/>
      <c r="M309" s="183"/>
      <c r="N309" s="108"/>
    </row>
    <row r="310" spans="1:14" x14ac:dyDescent="0.3">
      <c r="A310" s="77"/>
      <c r="B310" s="106"/>
      <c r="F310" s="124"/>
      <c r="G310" s="125"/>
      <c r="J310" s="125"/>
      <c r="L310" s="107"/>
      <c r="M310" s="183"/>
      <c r="N310" s="108"/>
    </row>
    <row r="311" spans="1:14" x14ac:dyDescent="0.3">
      <c r="A311" s="77"/>
      <c r="B311" s="106"/>
      <c r="F311" s="124"/>
      <c r="G311" s="125"/>
      <c r="J311" s="125"/>
      <c r="L311" s="107"/>
      <c r="M311" s="183"/>
      <c r="N311" s="108"/>
    </row>
    <row r="312" spans="1:14" x14ac:dyDescent="0.3">
      <c r="A312" s="77"/>
      <c r="B312" s="106"/>
      <c r="F312" s="124"/>
      <c r="G312" s="125"/>
      <c r="J312" s="125"/>
      <c r="L312" s="107"/>
      <c r="M312" s="183"/>
      <c r="N312" s="108"/>
    </row>
    <row r="313" spans="1:14" x14ac:dyDescent="0.3">
      <c r="A313" s="77"/>
      <c r="B313" s="106"/>
      <c r="F313" s="124"/>
      <c r="G313" s="125"/>
      <c r="J313" s="125"/>
      <c r="L313" s="107"/>
      <c r="M313" s="183"/>
      <c r="N313" s="108"/>
    </row>
    <row r="314" spans="1:14" x14ac:dyDescent="0.3">
      <c r="A314" s="77"/>
      <c r="B314" s="106"/>
      <c r="F314" s="124"/>
      <c r="G314" s="125"/>
      <c r="J314" s="125"/>
      <c r="L314" s="107"/>
      <c r="M314" s="183"/>
      <c r="N314" s="108"/>
    </row>
    <row r="315" spans="1:14" x14ac:dyDescent="0.3">
      <c r="A315" s="77"/>
      <c r="B315" s="106"/>
      <c r="F315" s="124"/>
      <c r="G315" s="125"/>
      <c r="J315" s="125"/>
      <c r="L315" s="107"/>
      <c r="M315" s="183"/>
      <c r="N315" s="108"/>
    </row>
    <row r="316" spans="1:14" x14ac:dyDescent="0.3">
      <c r="A316" s="77"/>
      <c r="B316" s="106"/>
      <c r="F316" s="124"/>
      <c r="G316" s="125"/>
      <c r="J316" s="125"/>
      <c r="L316" s="107"/>
      <c r="M316" s="183"/>
      <c r="N316" s="108"/>
    </row>
    <row r="317" spans="1:14" x14ac:dyDescent="0.3">
      <c r="A317" s="77"/>
      <c r="B317" s="106"/>
      <c r="F317" s="124"/>
      <c r="G317" s="125"/>
      <c r="J317" s="125"/>
      <c r="L317" s="107"/>
      <c r="M317" s="183"/>
      <c r="N317" s="108"/>
    </row>
    <row r="318" spans="1:14" x14ac:dyDescent="0.3">
      <c r="A318" s="77"/>
      <c r="B318" s="106"/>
      <c r="F318" s="124"/>
      <c r="G318" s="125"/>
      <c r="J318" s="125"/>
      <c r="L318" s="107"/>
      <c r="M318" s="183"/>
      <c r="N318" s="108"/>
    </row>
    <row r="319" spans="1:14" x14ac:dyDescent="0.3">
      <c r="A319" s="77"/>
      <c r="B319" s="106"/>
      <c r="F319" s="124"/>
      <c r="G319" s="125"/>
      <c r="J319" s="125"/>
      <c r="L319" s="107"/>
      <c r="M319" s="183"/>
      <c r="N319" s="108"/>
    </row>
    <row r="320" spans="1:14" x14ac:dyDescent="0.3">
      <c r="A320" s="77"/>
      <c r="B320" s="106"/>
      <c r="F320" s="124"/>
      <c r="G320" s="125"/>
      <c r="J320" s="125"/>
      <c r="L320" s="107"/>
      <c r="M320" s="183"/>
      <c r="N320" s="108"/>
    </row>
    <row r="321" spans="1:14" x14ac:dyDescent="0.3">
      <c r="A321" s="77"/>
      <c r="B321" s="106"/>
      <c r="F321" s="124"/>
      <c r="G321" s="125"/>
      <c r="J321" s="125"/>
      <c r="L321" s="107"/>
      <c r="M321" s="183"/>
      <c r="N321" s="108"/>
    </row>
    <row r="322" spans="1:14" x14ac:dyDescent="0.3">
      <c r="A322" s="77"/>
      <c r="B322" s="106"/>
      <c r="F322" s="124"/>
      <c r="G322" s="125"/>
      <c r="J322" s="125"/>
      <c r="L322" s="107"/>
      <c r="M322" s="183"/>
      <c r="N322" s="108"/>
    </row>
    <row r="323" spans="1:14" x14ac:dyDescent="0.3">
      <c r="A323" s="77"/>
      <c r="B323" s="106"/>
      <c r="F323" s="124"/>
      <c r="G323" s="125"/>
      <c r="J323" s="125"/>
      <c r="L323" s="107"/>
      <c r="M323" s="183"/>
      <c r="N323" s="108"/>
    </row>
    <row r="324" spans="1:14" x14ac:dyDescent="0.3">
      <c r="A324" s="77"/>
      <c r="B324" s="106"/>
      <c r="F324" s="124"/>
      <c r="G324" s="125"/>
      <c r="J324" s="125"/>
      <c r="L324" s="107"/>
      <c r="M324" s="183"/>
      <c r="N324" s="108"/>
    </row>
    <row r="325" spans="1:14" x14ac:dyDescent="0.3">
      <c r="A325" s="77"/>
      <c r="B325" s="106"/>
      <c r="F325" s="124"/>
      <c r="G325" s="125"/>
      <c r="J325" s="125"/>
      <c r="L325" s="107"/>
      <c r="M325" s="183"/>
      <c r="N325" s="108"/>
    </row>
    <row r="326" spans="1:14" x14ac:dyDescent="0.3">
      <c r="A326" s="77"/>
      <c r="B326" s="106"/>
      <c r="F326" s="124"/>
      <c r="G326" s="125"/>
      <c r="J326" s="125"/>
      <c r="L326" s="107"/>
      <c r="M326" s="183"/>
      <c r="N326" s="108"/>
    </row>
    <row r="327" spans="1:14" x14ac:dyDescent="0.3">
      <c r="A327" s="77"/>
      <c r="B327" s="106"/>
      <c r="F327" s="124"/>
      <c r="G327" s="125"/>
      <c r="J327" s="125"/>
      <c r="L327" s="107"/>
      <c r="M327" s="183"/>
      <c r="N327" s="108"/>
    </row>
    <row r="328" spans="1:14" x14ac:dyDescent="0.3">
      <c r="A328" s="77"/>
      <c r="B328" s="106"/>
      <c r="F328" s="124"/>
      <c r="G328" s="125"/>
      <c r="J328" s="125"/>
      <c r="L328" s="107"/>
      <c r="M328" s="183"/>
      <c r="N328" s="108"/>
    </row>
    <row r="329" spans="1:14" x14ac:dyDescent="0.3">
      <c r="A329" s="77"/>
      <c r="B329" s="106"/>
      <c r="F329" s="124"/>
      <c r="G329" s="125"/>
      <c r="J329" s="125"/>
      <c r="L329" s="107"/>
      <c r="M329" s="183"/>
      <c r="N329" s="108"/>
    </row>
    <row r="330" spans="1:14" x14ac:dyDescent="0.3">
      <c r="A330" s="77"/>
      <c r="B330" s="106"/>
      <c r="F330" s="124"/>
      <c r="G330" s="125"/>
      <c r="J330" s="125"/>
      <c r="L330" s="107"/>
      <c r="M330" s="183"/>
      <c r="N330" s="108"/>
    </row>
    <row r="331" spans="1:14" x14ac:dyDescent="0.3">
      <c r="A331" s="77"/>
      <c r="B331" s="106"/>
      <c r="F331" s="124"/>
      <c r="G331" s="125"/>
      <c r="J331" s="125"/>
      <c r="L331" s="107"/>
      <c r="M331" s="183"/>
      <c r="N331" s="108"/>
    </row>
    <row r="332" spans="1:14" x14ac:dyDescent="0.3">
      <c r="A332" s="77"/>
      <c r="B332" s="106"/>
      <c r="F332" s="124"/>
      <c r="G332" s="125"/>
      <c r="J332" s="125"/>
      <c r="L332" s="107"/>
      <c r="M332" s="183"/>
      <c r="N332" s="108"/>
    </row>
    <row r="333" spans="1:14" x14ac:dyDescent="0.3">
      <c r="A333" s="77"/>
      <c r="B333" s="106"/>
      <c r="F333" s="124"/>
      <c r="G333" s="125"/>
      <c r="J333" s="125"/>
      <c r="L333" s="107"/>
      <c r="M333" s="183"/>
      <c r="N333" s="108"/>
    </row>
    <row r="334" spans="1:14" x14ac:dyDescent="0.3">
      <c r="A334" s="77"/>
      <c r="B334" s="106"/>
      <c r="F334" s="124"/>
      <c r="G334" s="125"/>
      <c r="J334" s="125"/>
      <c r="L334" s="107"/>
      <c r="M334" s="183"/>
      <c r="N334" s="108"/>
    </row>
    <row r="335" spans="1:14" x14ac:dyDescent="0.3">
      <c r="A335" s="77"/>
      <c r="B335" s="106"/>
      <c r="F335" s="124"/>
      <c r="G335" s="125"/>
      <c r="J335" s="125"/>
      <c r="L335" s="107"/>
      <c r="M335" s="183"/>
      <c r="N335" s="108"/>
    </row>
    <row r="336" spans="1:14" x14ac:dyDescent="0.3">
      <c r="A336" s="77"/>
      <c r="B336" s="106"/>
      <c r="F336" s="124"/>
      <c r="G336" s="125"/>
      <c r="J336" s="125"/>
      <c r="L336" s="107"/>
      <c r="M336" s="183"/>
      <c r="N336" s="108"/>
    </row>
    <row r="337" spans="1:14" x14ac:dyDescent="0.3">
      <c r="A337" s="77"/>
      <c r="B337" s="106"/>
      <c r="F337" s="124"/>
      <c r="G337" s="125"/>
      <c r="J337" s="125"/>
      <c r="L337" s="107"/>
      <c r="M337" s="183"/>
      <c r="N337" s="108"/>
    </row>
    <row r="338" spans="1:14" x14ac:dyDescent="0.3">
      <c r="A338" s="77"/>
      <c r="B338" s="106"/>
      <c r="F338" s="124"/>
      <c r="G338" s="125"/>
      <c r="J338" s="125"/>
      <c r="L338" s="107"/>
      <c r="M338" s="183"/>
      <c r="N338" s="108"/>
    </row>
    <row r="339" spans="1:14" x14ac:dyDescent="0.3">
      <c r="A339" s="77"/>
      <c r="B339" s="106"/>
      <c r="F339" s="124"/>
      <c r="G339" s="125"/>
      <c r="J339" s="125"/>
      <c r="L339" s="107"/>
      <c r="M339" s="183"/>
      <c r="N339" s="108"/>
    </row>
    <row r="340" spans="1:14" x14ac:dyDescent="0.3">
      <c r="A340" s="77"/>
      <c r="B340" s="106"/>
      <c r="F340" s="124"/>
      <c r="G340" s="125"/>
      <c r="J340" s="125"/>
      <c r="L340" s="107"/>
      <c r="M340" s="183"/>
      <c r="N340" s="108"/>
    </row>
    <row r="341" spans="1:14" x14ac:dyDescent="0.3">
      <c r="A341" s="77"/>
      <c r="B341" s="106"/>
      <c r="F341" s="124"/>
      <c r="G341" s="125"/>
      <c r="J341" s="125"/>
      <c r="L341" s="107"/>
      <c r="M341" s="183"/>
      <c r="N341" s="108"/>
    </row>
    <row r="342" spans="1:14" x14ac:dyDescent="0.3">
      <c r="A342" s="77"/>
      <c r="B342" s="106"/>
      <c r="F342" s="124"/>
      <c r="G342" s="125"/>
      <c r="J342" s="125"/>
      <c r="L342" s="107"/>
      <c r="M342" s="183"/>
      <c r="N342" s="108"/>
    </row>
    <row r="343" spans="1:14" x14ac:dyDescent="0.3">
      <c r="A343" s="77"/>
      <c r="B343" s="106"/>
      <c r="F343" s="124"/>
      <c r="G343" s="125"/>
      <c r="J343" s="125"/>
      <c r="L343" s="107"/>
      <c r="M343" s="183"/>
      <c r="N343" s="108"/>
    </row>
    <row r="344" spans="1:14" x14ac:dyDescent="0.3">
      <c r="A344" s="77"/>
      <c r="B344" s="106"/>
      <c r="F344" s="124"/>
      <c r="G344" s="125"/>
      <c r="J344" s="125"/>
      <c r="L344" s="107"/>
      <c r="M344" s="183"/>
      <c r="N344" s="108"/>
    </row>
    <row r="345" spans="1:14" x14ac:dyDescent="0.3">
      <c r="A345" s="77"/>
      <c r="B345" s="106"/>
      <c r="F345" s="124"/>
      <c r="G345" s="125"/>
      <c r="J345" s="125"/>
      <c r="L345" s="107"/>
      <c r="M345" s="183"/>
      <c r="N345" s="108"/>
    </row>
    <row r="346" spans="1:14" x14ac:dyDescent="0.3">
      <c r="A346" s="77"/>
      <c r="B346" s="106"/>
      <c r="F346" s="124"/>
      <c r="G346" s="125"/>
      <c r="J346" s="125"/>
      <c r="L346" s="107"/>
      <c r="M346" s="183"/>
      <c r="N346" s="108"/>
    </row>
    <row r="347" spans="1:14" x14ac:dyDescent="0.3">
      <c r="A347" s="77"/>
      <c r="B347" s="106"/>
      <c r="F347" s="124"/>
      <c r="G347" s="125"/>
      <c r="J347" s="125"/>
      <c r="L347" s="107"/>
      <c r="M347" s="183"/>
      <c r="N347" s="108"/>
    </row>
    <row r="348" spans="1:14" x14ac:dyDescent="0.3">
      <c r="A348" s="77"/>
      <c r="B348" s="106"/>
      <c r="F348" s="124"/>
      <c r="G348" s="125"/>
      <c r="J348" s="125"/>
      <c r="L348" s="107"/>
      <c r="M348" s="183"/>
      <c r="N348" s="108"/>
    </row>
    <row r="349" spans="1:14" x14ac:dyDescent="0.3">
      <c r="A349" s="77"/>
      <c r="B349" s="106"/>
      <c r="F349" s="124"/>
      <c r="G349" s="125"/>
      <c r="J349" s="125"/>
      <c r="L349" s="107"/>
      <c r="M349" s="183"/>
      <c r="N349" s="108"/>
    </row>
    <row r="350" spans="1:14" x14ac:dyDescent="0.3">
      <c r="A350" s="77"/>
      <c r="B350" s="106"/>
      <c r="F350" s="124"/>
      <c r="G350" s="125"/>
      <c r="J350" s="125"/>
      <c r="L350" s="107"/>
      <c r="M350" s="183"/>
      <c r="N350" s="108"/>
    </row>
    <row r="351" spans="1:14" x14ac:dyDescent="0.3">
      <c r="A351" s="77"/>
      <c r="B351" s="106"/>
      <c r="F351" s="124"/>
      <c r="G351" s="125"/>
      <c r="J351" s="125"/>
      <c r="L351" s="107"/>
      <c r="M351" s="183"/>
      <c r="N351" s="108"/>
    </row>
    <row r="352" spans="1:14" x14ac:dyDescent="0.3">
      <c r="A352" s="77"/>
      <c r="B352" s="106"/>
      <c r="F352" s="124"/>
      <c r="G352" s="125"/>
      <c r="J352" s="125"/>
      <c r="L352" s="107"/>
      <c r="M352" s="183"/>
      <c r="N352" s="108"/>
    </row>
    <row r="353" spans="1:14" x14ac:dyDescent="0.3">
      <c r="A353" s="77"/>
      <c r="B353" s="106"/>
      <c r="F353" s="124"/>
      <c r="G353" s="125"/>
      <c r="J353" s="125"/>
      <c r="L353" s="107"/>
      <c r="M353" s="183"/>
      <c r="N353" s="108"/>
    </row>
    <row r="354" spans="1:14" x14ac:dyDescent="0.3">
      <c r="A354" s="77"/>
      <c r="B354" s="106"/>
      <c r="F354" s="124"/>
      <c r="G354" s="125"/>
      <c r="J354" s="125"/>
      <c r="L354" s="107"/>
      <c r="M354" s="183"/>
      <c r="N354" s="108"/>
    </row>
    <row r="355" spans="1:14" x14ac:dyDescent="0.3">
      <c r="A355" s="77"/>
      <c r="B355" s="106"/>
      <c r="F355" s="124"/>
      <c r="G355" s="125"/>
      <c r="J355" s="125"/>
      <c r="L355" s="107"/>
      <c r="M355" s="183"/>
      <c r="N355" s="108"/>
    </row>
    <row r="356" spans="1:14" x14ac:dyDescent="0.3">
      <c r="A356" s="77"/>
      <c r="B356" s="106"/>
      <c r="F356" s="124"/>
      <c r="G356" s="125"/>
      <c r="J356" s="125"/>
      <c r="L356" s="107"/>
      <c r="M356" s="183"/>
      <c r="N356" s="108"/>
    </row>
    <row r="357" spans="1:14" x14ac:dyDescent="0.3">
      <c r="A357" s="77"/>
      <c r="B357" s="106"/>
      <c r="F357" s="124"/>
      <c r="G357" s="125"/>
      <c r="J357" s="125"/>
      <c r="L357" s="107"/>
      <c r="M357" s="183"/>
      <c r="N357" s="108"/>
    </row>
    <row r="358" spans="1:14" x14ac:dyDescent="0.3">
      <c r="A358" s="77"/>
      <c r="B358" s="106"/>
      <c r="F358" s="124"/>
      <c r="G358" s="125"/>
      <c r="J358" s="125"/>
      <c r="L358" s="107"/>
      <c r="M358" s="183"/>
      <c r="N358" s="108"/>
    </row>
    <row r="359" spans="1:14" x14ac:dyDescent="0.3">
      <c r="A359" s="77"/>
      <c r="B359" s="106"/>
      <c r="F359" s="124"/>
      <c r="G359" s="125"/>
      <c r="J359" s="125"/>
      <c r="L359" s="107"/>
      <c r="M359" s="183"/>
      <c r="N359" s="108"/>
    </row>
    <row r="360" spans="1:14" x14ac:dyDescent="0.3">
      <c r="A360" s="77"/>
      <c r="B360" s="106"/>
      <c r="F360" s="124"/>
      <c r="G360" s="125"/>
      <c r="J360" s="125"/>
      <c r="L360" s="107"/>
      <c r="M360" s="183"/>
      <c r="N360" s="108"/>
    </row>
    <row r="361" spans="1:14" x14ac:dyDescent="0.3">
      <c r="A361" s="77"/>
      <c r="B361" s="106"/>
      <c r="F361" s="124"/>
      <c r="G361" s="125"/>
      <c r="J361" s="125"/>
      <c r="L361" s="107"/>
      <c r="M361" s="183"/>
      <c r="N361" s="108"/>
    </row>
    <row r="362" spans="1:14" x14ac:dyDescent="0.3">
      <c r="A362" s="77"/>
      <c r="B362" s="106"/>
      <c r="F362" s="124"/>
      <c r="G362" s="125"/>
      <c r="J362" s="125"/>
      <c r="L362" s="107"/>
      <c r="M362" s="183"/>
      <c r="N362" s="108"/>
    </row>
    <row r="363" spans="1:14" x14ac:dyDescent="0.3">
      <c r="A363" s="77"/>
      <c r="B363" s="106"/>
      <c r="F363" s="124"/>
      <c r="G363" s="125"/>
      <c r="J363" s="125"/>
      <c r="L363" s="107"/>
      <c r="M363" s="183"/>
      <c r="N363" s="108"/>
    </row>
    <row r="364" spans="1:14" x14ac:dyDescent="0.3">
      <c r="A364" s="77"/>
      <c r="B364" s="106"/>
      <c r="F364" s="124"/>
      <c r="G364" s="125"/>
      <c r="J364" s="125"/>
      <c r="L364" s="107"/>
      <c r="M364" s="183"/>
      <c r="N364" s="108"/>
    </row>
    <row r="365" spans="1:14" x14ac:dyDescent="0.3">
      <c r="A365" s="77"/>
      <c r="B365" s="106"/>
      <c r="F365" s="124"/>
      <c r="G365" s="125"/>
      <c r="J365" s="125"/>
      <c r="L365" s="107"/>
      <c r="M365" s="183"/>
      <c r="N365" s="108"/>
    </row>
    <row r="366" spans="1:14" x14ac:dyDescent="0.3">
      <c r="A366" s="77"/>
      <c r="B366" s="106"/>
      <c r="F366" s="124"/>
      <c r="G366" s="125"/>
      <c r="J366" s="125"/>
      <c r="L366" s="107"/>
      <c r="M366" s="183"/>
      <c r="N366" s="108"/>
    </row>
    <row r="367" spans="1:14" x14ac:dyDescent="0.3">
      <c r="A367" s="77"/>
      <c r="B367" s="106"/>
      <c r="F367" s="124"/>
      <c r="G367" s="125"/>
      <c r="J367" s="125"/>
      <c r="L367" s="107"/>
      <c r="M367" s="183"/>
      <c r="N367" s="108"/>
    </row>
    <row r="368" spans="1:14" x14ac:dyDescent="0.3">
      <c r="A368" s="77"/>
      <c r="B368" s="106"/>
      <c r="F368" s="124"/>
      <c r="G368" s="125"/>
      <c r="J368" s="125"/>
      <c r="L368" s="107"/>
      <c r="M368" s="183"/>
      <c r="N368" s="108"/>
    </row>
    <row r="369" spans="1:14" x14ac:dyDescent="0.3">
      <c r="A369" s="77"/>
      <c r="B369" s="106"/>
      <c r="F369" s="124"/>
      <c r="G369" s="125"/>
      <c r="J369" s="125"/>
      <c r="L369" s="107"/>
      <c r="M369" s="183"/>
      <c r="N369" s="108"/>
    </row>
    <row r="370" spans="1:14" x14ac:dyDescent="0.3">
      <c r="A370" s="77"/>
      <c r="B370" s="106"/>
      <c r="F370" s="124"/>
      <c r="G370" s="125"/>
      <c r="J370" s="125"/>
      <c r="L370" s="107"/>
      <c r="M370" s="183"/>
      <c r="N370" s="108"/>
    </row>
    <row r="371" spans="1:14" x14ac:dyDescent="0.3">
      <c r="A371" s="77"/>
      <c r="B371" s="106"/>
      <c r="F371" s="124"/>
      <c r="G371" s="125"/>
      <c r="J371" s="125"/>
      <c r="L371" s="107"/>
      <c r="M371" s="183"/>
      <c r="N371" s="108"/>
    </row>
    <row r="372" spans="1:14" x14ac:dyDescent="0.3">
      <c r="A372" s="77"/>
      <c r="B372" s="106"/>
      <c r="F372" s="124"/>
      <c r="G372" s="125"/>
      <c r="J372" s="125"/>
      <c r="L372" s="107"/>
      <c r="M372" s="183"/>
      <c r="N372" s="108"/>
    </row>
    <row r="373" spans="1:14" x14ac:dyDescent="0.3">
      <c r="A373" s="77"/>
      <c r="B373" s="106"/>
      <c r="F373" s="124"/>
      <c r="G373" s="125"/>
      <c r="J373" s="125"/>
      <c r="L373" s="107"/>
      <c r="M373" s="183"/>
      <c r="N373" s="108"/>
    </row>
    <row r="374" spans="1:14" x14ac:dyDescent="0.3">
      <c r="A374" s="77"/>
      <c r="B374" s="106"/>
      <c r="F374" s="124"/>
      <c r="G374" s="125"/>
      <c r="J374" s="125"/>
      <c r="L374" s="107"/>
      <c r="M374" s="183"/>
      <c r="N374" s="108"/>
    </row>
    <row r="375" spans="1:14" x14ac:dyDescent="0.3">
      <c r="A375" s="77"/>
      <c r="B375" s="106"/>
      <c r="F375" s="124"/>
      <c r="G375" s="125"/>
      <c r="J375" s="125"/>
      <c r="L375" s="107"/>
      <c r="M375" s="183"/>
      <c r="N375" s="108"/>
    </row>
    <row r="376" spans="1:14" x14ac:dyDescent="0.3">
      <c r="A376" s="77"/>
      <c r="B376" s="106"/>
      <c r="F376" s="124"/>
      <c r="G376" s="125"/>
      <c r="J376" s="125"/>
      <c r="L376" s="107"/>
      <c r="M376" s="183"/>
      <c r="N376" s="108"/>
    </row>
    <row r="377" spans="1:14" x14ac:dyDescent="0.3">
      <c r="A377" s="77"/>
      <c r="B377" s="106"/>
      <c r="F377" s="124"/>
      <c r="G377" s="125"/>
      <c r="J377" s="125"/>
      <c r="L377" s="107"/>
      <c r="M377" s="183"/>
      <c r="N377" s="108"/>
    </row>
    <row r="378" spans="1:14" x14ac:dyDescent="0.3">
      <c r="A378" s="77"/>
      <c r="B378" s="106"/>
      <c r="F378" s="124"/>
      <c r="G378" s="125"/>
      <c r="J378" s="125"/>
      <c r="L378" s="107"/>
      <c r="M378" s="183"/>
      <c r="N378" s="108"/>
    </row>
    <row r="379" spans="1:14" x14ac:dyDescent="0.3">
      <c r="A379" s="77"/>
      <c r="B379" s="106"/>
      <c r="F379" s="124"/>
      <c r="G379" s="125"/>
      <c r="J379" s="125"/>
      <c r="L379" s="107"/>
      <c r="M379" s="183"/>
      <c r="N379" s="108"/>
    </row>
    <row r="380" spans="1:14" x14ac:dyDescent="0.3">
      <c r="A380" s="77"/>
      <c r="B380" s="106"/>
      <c r="F380" s="124"/>
      <c r="G380" s="125"/>
      <c r="J380" s="125"/>
      <c r="L380" s="107"/>
      <c r="M380" s="183"/>
      <c r="N380" s="108"/>
    </row>
    <row r="381" spans="1:14" x14ac:dyDescent="0.3">
      <c r="A381" s="77"/>
      <c r="B381" s="106"/>
      <c r="F381" s="124"/>
      <c r="G381" s="125"/>
      <c r="J381" s="125"/>
      <c r="L381" s="107"/>
      <c r="M381" s="183"/>
      <c r="N381" s="108"/>
    </row>
    <row r="382" spans="1:14" x14ac:dyDescent="0.3">
      <c r="A382" s="77"/>
      <c r="B382" s="106"/>
      <c r="F382" s="124"/>
      <c r="G382" s="125"/>
      <c r="J382" s="125"/>
      <c r="L382" s="107"/>
      <c r="M382" s="183"/>
      <c r="N382" s="108"/>
    </row>
    <row r="383" spans="1:14" x14ac:dyDescent="0.3">
      <c r="A383" s="77"/>
      <c r="B383" s="106"/>
      <c r="F383" s="124"/>
      <c r="G383" s="125"/>
      <c r="J383" s="125"/>
      <c r="L383" s="107"/>
      <c r="M383" s="183"/>
      <c r="N383" s="108"/>
    </row>
    <row r="384" spans="1:14" x14ac:dyDescent="0.3">
      <c r="A384" s="77"/>
      <c r="B384" s="106"/>
      <c r="F384" s="124"/>
      <c r="G384" s="125"/>
      <c r="J384" s="125"/>
      <c r="L384" s="107"/>
      <c r="M384" s="183"/>
      <c r="N384" s="108"/>
    </row>
    <row r="385" spans="1:14" x14ac:dyDescent="0.3">
      <c r="A385" s="77"/>
      <c r="B385" s="106"/>
      <c r="F385" s="124"/>
      <c r="G385" s="125"/>
      <c r="J385" s="125"/>
      <c r="L385" s="107"/>
      <c r="M385" s="183"/>
      <c r="N385" s="108"/>
    </row>
    <row r="386" spans="1:14" x14ac:dyDescent="0.3">
      <c r="A386" s="77"/>
      <c r="B386" s="106"/>
      <c r="F386" s="124"/>
      <c r="G386" s="125"/>
      <c r="J386" s="125"/>
      <c r="L386" s="107"/>
      <c r="M386" s="183"/>
      <c r="N386" s="108"/>
    </row>
    <row r="387" spans="1:14" x14ac:dyDescent="0.3">
      <c r="A387" s="77"/>
      <c r="B387" s="106"/>
      <c r="F387" s="124"/>
      <c r="G387" s="125"/>
      <c r="J387" s="125"/>
      <c r="L387" s="107"/>
      <c r="M387" s="183"/>
      <c r="N387" s="108"/>
    </row>
    <row r="388" spans="1:14" x14ac:dyDescent="0.3">
      <c r="A388" s="77"/>
      <c r="B388" s="106"/>
      <c r="F388" s="124"/>
      <c r="G388" s="125"/>
      <c r="J388" s="125"/>
      <c r="L388" s="107"/>
      <c r="M388" s="183"/>
      <c r="N388" s="108"/>
    </row>
    <row r="389" spans="1:14" x14ac:dyDescent="0.3">
      <c r="A389" s="77"/>
      <c r="B389" s="106"/>
      <c r="F389" s="124"/>
      <c r="G389" s="125"/>
      <c r="J389" s="125"/>
      <c r="L389" s="107"/>
      <c r="M389" s="183"/>
      <c r="N389" s="108"/>
    </row>
    <row r="390" spans="1:14" x14ac:dyDescent="0.3">
      <c r="A390" s="77"/>
      <c r="B390" s="106"/>
      <c r="F390" s="124"/>
      <c r="G390" s="125"/>
      <c r="J390" s="125"/>
      <c r="L390" s="107"/>
      <c r="M390" s="183"/>
      <c r="N390" s="108"/>
    </row>
    <row r="391" spans="1:14" x14ac:dyDescent="0.3">
      <c r="A391" s="77"/>
      <c r="B391" s="106"/>
      <c r="F391" s="124"/>
      <c r="G391" s="125"/>
      <c r="J391" s="125"/>
      <c r="L391" s="107"/>
      <c r="M391" s="183"/>
      <c r="N391" s="108"/>
    </row>
    <row r="392" spans="1:14" x14ac:dyDescent="0.3">
      <c r="A392" s="77"/>
      <c r="B392" s="106"/>
      <c r="F392" s="124"/>
      <c r="G392" s="125"/>
      <c r="J392" s="125"/>
      <c r="L392" s="107"/>
      <c r="M392" s="183"/>
      <c r="N392" s="108"/>
    </row>
    <row r="393" spans="1:14" x14ac:dyDescent="0.3">
      <c r="A393" s="77"/>
      <c r="B393" s="106"/>
      <c r="F393" s="124"/>
      <c r="G393" s="125"/>
      <c r="J393" s="125"/>
      <c r="L393" s="107"/>
      <c r="M393" s="183"/>
      <c r="N393" s="108"/>
    </row>
    <row r="394" spans="1:14" x14ac:dyDescent="0.3">
      <c r="A394" s="77"/>
      <c r="B394" s="106"/>
      <c r="F394" s="124"/>
      <c r="G394" s="125"/>
      <c r="J394" s="125"/>
      <c r="L394" s="107"/>
      <c r="M394" s="183"/>
      <c r="N394" s="108"/>
    </row>
    <row r="395" spans="1:14" x14ac:dyDescent="0.3">
      <c r="A395" s="77"/>
      <c r="B395" s="106"/>
      <c r="F395" s="124"/>
      <c r="G395" s="125"/>
      <c r="J395" s="125"/>
      <c r="L395" s="107"/>
      <c r="M395" s="183"/>
      <c r="N395" s="108"/>
    </row>
    <row r="396" spans="1:14" x14ac:dyDescent="0.3">
      <c r="A396" s="77"/>
      <c r="B396" s="106"/>
      <c r="F396" s="124"/>
      <c r="G396" s="125"/>
      <c r="J396" s="125"/>
      <c r="L396" s="107"/>
      <c r="M396" s="183"/>
      <c r="N396" s="108"/>
    </row>
    <row r="397" spans="1:14" x14ac:dyDescent="0.3">
      <c r="A397" s="77"/>
      <c r="B397" s="106"/>
      <c r="F397" s="124"/>
      <c r="G397" s="125"/>
      <c r="J397" s="125"/>
      <c r="L397" s="107"/>
      <c r="M397" s="183"/>
      <c r="N397" s="108"/>
    </row>
    <row r="398" spans="1:14" x14ac:dyDescent="0.3">
      <c r="A398" s="77"/>
      <c r="B398" s="106"/>
      <c r="F398" s="124"/>
      <c r="G398" s="125"/>
      <c r="J398" s="125"/>
      <c r="L398" s="107"/>
      <c r="M398" s="183"/>
      <c r="N398" s="108"/>
    </row>
    <row r="399" spans="1:14" x14ac:dyDescent="0.3">
      <c r="A399" s="77"/>
      <c r="B399" s="106"/>
      <c r="F399" s="124"/>
      <c r="G399" s="125"/>
      <c r="J399" s="125"/>
      <c r="L399" s="107"/>
      <c r="M399" s="183"/>
      <c r="N399" s="108"/>
    </row>
    <row r="400" spans="1:14" x14ac:dyDescent="0.3">
      <c r="A400" s="77"/>
      <c r="B400" s="106"/>
      <c r="F400" s="124"/>
      <c r="G400" s="125"/>
      <c r="J400" s="125"/>
      <c r="L400" s="107"/>
      <c r="M400" s="183"/>
      <c r="N400" s="108"/>
    </row>
    <row r="401" spans="1:14" x14ac:dyDescent="0.3">
      <c r="A401" s="77"/>
      <c r="B401" s="106"/>
      <c r="F401" s="124"/>
      <c r="G401" s="125"/>
      <c r="J401" s="125"/>
      <c r="L401" s="107"/>
      <c r="M401" s="183"/>
      <c r="N401" s="108"/>
    </row>
    <row r="402" spans="1:14" x14ac:dyDescent="0.3">
      <c r="A402" s="77"/>
      <c r="B402" s="106"/>
      <c r="F402" s="124"/>
      <c r="G402" s="125"/>
      <c r="J402" s="125"/>
      <c r="L402" s="107"/>
      <c r="M402" s="183"/>
      <c r="N402" s="108"/>
    </row>
    <row r="403" spans="1:14" x14ac:dyDescent="0.3">
      <c r="A403" s="77"/>
      <c r="B403" s="106"/>
      <c r="F403" s="124"/>
      <c r="G403" s="125"/>
      <c r="J403" s="125"/>
      <c r="L403" s="107"/>
      <c r="M403" s="183"/>
      <c r="N403" s="108"/>
    </row>
    <row r="404" spans="1:14" x14ac:dyDescent="0.3">
      <c r="A404" s="77"/>
      <c r="B404" s="106"/>
      <c r="F404" s="124"/>
      <c r="G404" s="125"/>
      <c r="J404" s="125"/>
      <c r="L404" s="107"/>
      <c r="M404" s="183"/>
      <c r="N404" s="108"/>
    </row>
    <row r="405" spans="1:14" x14ac:dyDescent="0.3">
      <c r="A405" s="77"/>
      <c r="B405" s="106"/>
      <c r="F405" s="124"/>
      <c r="G405" s="125"/>
      <c r="J405" s="125"/>
      <c r="L405" s="107"/>
      <c r="M405" s="183"/>
      <c r="N405" s="108"/>
    </row>
    <row r="406" spans="1:14" x14ac:dyDescent="0.3">
      <c r="A406" s="77"/>
      <c r="B406" s="106"/>
      <c r="F406" s="124"/>
      <c r="G406" s="125"/>
      <c r="J406" s="125"/>
      <c r="L406" s="107"/>
      <c r="M406" s="183"/>
      <c r="N406" s="108"/>
    </row>
    <row r="407" spans="1:14" x14ac:dyDescent="0.3">
      <c r="A407" s="77"/>
      <c r="B407" s="106"/>
      <c r="F407" s="124"/>
      <c r="G407" s="125"/>
      <c r="J407" s="125"/>
      <c r="L407" s="107"/>
      <c r="M407" s="183"/>
      <c r="N407" s="108"/>
    </row>
    <row r="408" spans="1:14" x14ac:dyDescent="0.3">
      <c r="A408" s="77"/>
      <c r="B408" s="106"/>
      <c r="F408" s="124"/>
      <c r="G408" s="125"/>
      <c r="J408" s="125"/>
      <c r="L408" s="107"/>
      <c r="M408" s="183"/>
      <c r="N408" s="108"/>
    </row>
    <row r="409" spans="1:14" x14ac:dyDescent="0.3">
      <c r="A409" s="77"/>
      <c r="B409" s="106"/>
      <c r="F409" s="124"/>
      <c r="G409" s="125"/>
      <c r="J409" s="125"/>
      <c r="L409" s="107"/>
      <c r="M409" s="183"/>
      <c r="N409" s="108"/>
    </row>
    <row r="410" spans="1:14" x14ac:dyDescent="0.3">
      <c r="A410" s="77"/>
      <c r="B410" s="106"/>
      <c r="F410" s="124"/>
      <c r="G410" s="125"/>
      <c r="J410" s="125"/>
      <c r="L410" s="107"/>
      <c r="M410" s="183"/>
      <c r="N410" s="108"/>
    </row>
    <row r="411" spans="1:14" x14ac:dyDescent="0.3">
      <c r="A411" s="77"/>
      <c r="B411" s="106"/>
      <c r="F411" s="124"/>
      <c r="G411" s="125"/>
      <c r="J411" s="125"/>
      <c r="L411" s="107"/>
      <c r="M411" s="183"/>
      <c r="N411" s="108"/>
    </row>
    <row r="412" spans="1:14" x14ac:dyDescent="0.3">
      <c r="A412" s="77"/>
      <c r="B412" s="106"/>
      <c r="F412" s="124"/>
      <c r="G412" s="125"/>
      <c r="J412" s="125"/>
      <c r="L412" s="107"/>
      <c r="M412" s="183"/>
      <c r="N412" s="108"/>
    </row>
    <row r="413" spans="1:14" x14ac:dyDescent="0.3">
      <c r="A413" s="77"/>
      <c r="B413" s="106"/>
      <c r="F413" s="124"/>
      <c r="G413" s="125"/>
      <c r="J413" s="125"/>
      <c r="L413" s="107"/>
      <c r="M413" s="183"/>
      <c r="N413" s="108"/>
    </row>
    <row r="414" spans="1:14" x14ac:dyDescent="0.3">
      <c r="A414" s="77"/>
      <c r="B414" s="106"/>
      <c r="F414" s="124"/>
      <c r="G414" s="125"/>
      <c r="J414" s="125"/>
      <c r="L414" s="107"/>
      <c r="M414" s="183"/>
      <c r="N414" s="108"/>
    </row>
    <row r="415" spans="1:14" x14ac:dyDescent="0.3">
      <c r="A415" s="77"/>
      <c r="B415" s="106"/>
      <c r="F415" s="124"/>
      <c r="G415" s="125"/>
      <c r="J415" s="125"/>
      <c r="L415" s="107"/>
      <c r="M415" s="183"/>
      <c r="N415" s="108"/>
    </row>
    <row r="416" spans="1:14" x14ac:dyDescent="0.3">
      <c r="A416" s="77"/>
      <c r="B416" s="106"/>
      <c r="F416" s="124"/>
      <c r="G416" s="125"/>
      <c r="J416" s="125"/>
      <c r="L416" s="107"/>
      <c r="M416" s="183"/>
      <c r="N416" s="108"/>
    </row>
    <row r="417" spans="1:14" x14ac:dyDescent="0.3">
      <c r="A417" s="77"/>
      <c r="B417" s="106"/>
      <c r="F417" s="124"/>
      <c r="G417" s="125"/>
      <c r="J417" s="125"/>
      <c r="L417" s="107"/>
      <c r="M417" s="183"/>
      <c r="N417" s="108"/>
    </row>
    <row r="418" spans="1:14" x14ac:dyDescent="0.3">
      <c r="A418" s="77"/>
      <c r="B418" s="106"/>
      <c r="F418" s="124"/>
      <c r="G418" s="125"/>
      <c r="J418" s="125"/>
      <c r="L418" s="107"/>
      <c r="M418" s="183"/>
      <c r="N418" s="108"/>
    </row>
    <row r="419" spans="1:14" x14ac:dyDescent="0.3">
      <c r="A419" s="77"/>
      <c r="B419" s="106"/>
      <c r="F419" s="124"/>
      <c r="G419" s="125"/>
      <c r="J419" s="125"/>
      <c r="L419" s="107"/>
      <c r="M419" s="183"/>
      <c r="N419" s="108"/>
    </row>
    <row r="420" spans="1:14" x14ac:dyDescent="0.3">
      <c r="A420" s="77"/>
      <c r="B420" s="106"/>
      <c r="F420" s="124"/>
      <c r="G420" s="125"/>
      <c r="J420" s="125"/>
      <c r="L420" s="107"/>
      <c r="M420" s="183"/>
      <c r="N420" s="108"/>
    </row>
    <row r="421" spans="1:14" x14ac:dyDescent="0.3">
      <c r="A421" s="77"/>
      <c r="B421" s="106"/>
      <c r="F421" s="124"/>
      <c r="G421" s="125"/>
      <c r="J421" s="125"/>
      <c r="L421" s="107"/>
      <c r="M421" s="183"/>
      <c r="N421" s="108"/>
    </row>
    <row r="422" spans="1:14" x14ac:dyDescent="0.3">
      <c r="A422" s="77"/>
      <c r="B422" s="106"/>
      <c r="F422" s="124"/>
      <c r="G422" s="125"/>
      <c r="J422" s="125"/>
      <c r="L422" s="107"/>
      <c r="M422" s="183"/>
      <c r="N422" s="108"/>
    </row>
    <row r="423" spans="1:14" x14ac:dyDescent="0.3">
      <c r="A423" s="77"/>
      <c r="B423" s="106"/>
      <c r="F423" s="124"/>
      <c r="G423" s="125"/>
      <c r="J423" s="125"/>
      <c r="L423" s="107"/>
      <c r="M423" s="183"/>
      <c r="N423" s="108"/>
    </row>
    <row r="424" spans="1:14" x14ac:dyDescent="0.3">
      <c r="A424" s="77"/>
      <c r="B424" s="106"/>
      <c r="F424" s="124"/>
      <c r="G424" s="125"/>
      <c r="J424" s="125"/>
      <c r="L424" s="107"/>
      <c r="M424" s="183"/>
      <c r="N424" s="108"/>
    </row>
    <row r="425" spans="1:14" x14ac:dyDescent="0.3">
      <c r="A425" s="77"/>
      <c r="B425" s="106"/>
      <c r="F425" s="124"/>
      <c r="G425" s="125"/>
      <c r="J425" s="125"/>
      <c r="L425" s="107"/>
      <c r="M425" s="183"/>
      <c r="N425" s="108"/>
    </row>
    <row r="426" spans="1:14" x14ac:dyDescent="0.3">
      <c r="A426" s="77"/>
      <c r="B426" s="106"/>
      <c r="F426" s="124"/>
      <c r="G426" s="125"/>
      <c r="J426" s="125"/>
      <c r="L426" s="107"/>
      <c r="M426" s="183"/>
      <c r="N426" s="108"/>
    </row>
    <row r="427" spans="1:14" x14ac:dyDescent="0.3">
      <c r="A427" s="77"/>
      <c r="B427" s="106"/>
      <c r="F427" s="124"/>
      <c r="G427" s="125"/>
      <c r="J427" s="125"/>
      <c r="L427" s="107"/>
      <c r="M427" s="183"/>
      <c r="N427" s="108"/>
    </row>
    <row r="428" spans="1:14" x14ac:dyDescent="0.3">
      <c r="A428" s="77"/>
      <c r="B428" s="106"/>
      <c r="F428" s="124"/>
      <c r="G428" s="125"/>
      <c r="J428" s="125"/>
      <c r="L428" s="107"/>
      <c r="M428" s="183"/>
      <c r="N428" s="108"/>
    </row>
    <row r="429" spans="1:14" x14ac:dyDescent="0.3">
      <c r="A429" s="77"/>
      <c r="B429" s="106"/>
      <c r="F429" s="124"/>
      <c r="G429" s="125"/>
      <c r="J429" s="125"/>
      <c r="L429" s="107"/>
      <c r="M429" s="183"/>
      <c r="N429" s="108"/>
    </row>
    <row r="430" spans="1:14" x14ac:dyDescent="0.3">
      <c r="A430" s="77"/>
      <c r="B430" s="106"/>
      <c r="F430" s="124"/>
      <c r="G430" s="125"/>
      <c r="J430" s="125"/>
      <c r="L430" s="107"/>
      <c r="M430" s="183"/>
      <c r="N430" s="108"/>
    </row>
    <row r="431" spans="1:14" x14ac:dyDescent="0.3">
      <c r="A431" s="77"/>
      <c r="B431" s="106"/>
      <c r="F431" s="124"/>
      <c r="G431" s="125"/>
      <c r="J431" s="125"/>
      <c r="L431" s="107"/>
      <c r="M431" s="183"/>
      <c r="N431" s="108"/>
    </row>
    <row r="432" spans="1:14" x14ac:dyDescent="0.3">
      <c r="A432" s="77"/>
      <c r="B432" s="106"/>
      <c r="F432" s="124"/>
      <c r="G432" s="125"/>
      <c r="J432" s="125"/>
      <c r="L432" s="107"/>
      <c r="M432" s="183"/>
      <c r="N432" s="108"/>
    </row>
    <row r="433" spans="1:14" x14ac:dyDescent="0.3">
      <c r="A433" s="77"/>
      <c r="B433" s="106"/>
      <c r="F433" s="124"/>
      <c r="G433" s="125"/>
      <c r="J433" s="125"/>
      <c r="L433" s="107"/>
      <c r="M433" s="183"/>
      <c r="N433" s="108"/>
    </row>
    <row r="434" spans="1:14" x14ac:dyDescent="0.3">
      <c r="A434" s="77"/>
      <c r="B434" s="106"/>
      <c r="F434" s="124"/>
      <c r="G434" s="125"/>
      <c r="J434" s="125"/>
      <c r="L434" s="107"/>
      <c r="M434" s="183"/>
      <c r="N434" s="108"/>
    </row>
    <row r="435" spans="1:14" x14ac:dyDescent="0.3">
      <c r="A435" s="77"/>
      <c r="B435" s="106"/>
      <c r="F435" s="124"/>
      <c r="G435" s="125"/>
      <c r="J435" s="125"/>
      <c r="L435" s="107"/>
      <c r="M435" s="183"/>
      <c r="N435" s="108"/>
    </row>
    <row r="436" spans="1:14" x14ac:dyDescent="0.3">
      <c r="A436" s="77"/>
      <c r="B436" s="106"/>
      <c r="F436" s="124"/>
      <c r="G436" s="125"/>
      <c r="J436" s="125"/>
      <c r="L436" s="107"/>
      <c r="M436" s="183"/>
      <c r="N436" s="108"/>
    </row>
    <row r="437" spans="1:14" x14ac:dyDescent="0.3">
      <c r="A437" s="77"/>
      <c r="B437" s="106"/>
      <c r="F437" s="124"/>
      <c r="G437" s="125"/>
      <c r="J437" s="125"/>
      <c r="L437" s="107"/>
      <c r="M437" s="183"/>
      <c r="N437" s="108"/>
    </row>
    <row r="438" spans="1:14" x14ac:dyDescent="0.3">
      <c r="A438" s="77"/>
      <c r="B438" s="106"/>
      <c r="F438" s="124"/>
      <c r="G438" s="125"/>
      <c r="J438" s="125"/>
      <c r="L438" s="107"/>
      <c r="M438" s="183"/>
      <c r="N438" s="108"/>
    </row>
    <row r="439" spans="1:14" x14ac:dyDescent="0.3">
      <c r="A439" s="77"/>
      <c r="B439" s="106"/>
      <c r="F439" s="124"/>
      <c r="G439" s="125"/>
      <c r="J439" s="125"/>
      <c r="L439" s="107"/>
      <c r="M439" s="183"/>
      <c r="N439" s="108"/>
    </row>
    <row r="440" spans="1:14" x14ac:dyDescent="0.3">
      <c r="A440" s="77"/>
      <c r="B440" s="106"/>
      <c r="F440" s="124"/>
      <c r="G440" s="125"/>
      <c r="J440" s="125"/>
      <c r="L440" s="107"/>
      <c r="M440" s="183"/>
      <c r="N440" s="108"/>
    </row>
    <row r="441" spans="1:14" x14ac:dyDescent="0.3">
      <c r="A441" s="77"/>
      <c r="B441" s="106"/>
      <c r="F441" s="124"/>
      <c r="G441" s="125"/>
      <c r="J441" s="125"/>
      <c r="L441" s="107"/>
      <c r="M441" s="183"/>
      <c r="N441" s="108"/>
    </row>
    <row r="442" spans="1:14" x14ac:dyDescent="0.3">
      <c r="A442" s="77"/>
      <c r="B442" s="106"/>
      <c r="F442" s="124"/>
      <c r="G442" s="125"/>
      <c r="J442" s="125"/>
      <c r="L442" s="107"/>
      <c r="M442" s="183"/>
      <c r="N442" s="108"/>
    </row>
    <row r="443" spans="1:14" x14ac:dyDescent="0.3">
      <c r="A443" s="77"/>
      <c r="B443" s="106"/>
      <c r="F443" s="124"/>
      <c r="G443" s="125"/>
      <c r="J443" s="125"/>
      <c r="L443" s="107"/>
      <c r="M443" s="183"/>
      <c r="N443" s="108"/>
    </row>
    <row r="444" spans="1:14" x14ac:dyDescent="0.3">
      <c r="A444" s="77"/>
      <c r="B444" s="106"/>
      <c r="F444" s="124"/>
      <c r="G444" s="125"/>
      <c r="J444" s="125"/>
      <c r="L444" s="107"/>
      <c r="M444" s="183"/>
      <c r="N444" s="108"/>
    </row>
    <row r="445" spans="1:14" x14ac:dyDescent="0.3">
      <c r="A445" s="77"/>
      <c r="B445" s="106"/>
      <c r="F445" s="124"/>
      <c r="G445" s="125"/>
      <c r="J445" s="125"/>
      <c r="L445" s="107"/>
      <c r="M445" s="183"/>
      <c r="N445" s="108"/>
    </row>
    <row r="446" spans="1:14" x14ac:dyDescent="0.3">
      <c r="A446" s="77"/>
      <c r="B446" s="106"/>
      <c r="F446" s="124"/>
      <c r="G446" s="125"/>
      <c r="J446" s="125"/>
      <c r="L446" s="107"/>
      <c r="M446" s="183"/>
      <c r="N446" s="108"/>
    </row>
    <row r="447" spans="1:14" x14ac:dyDescent="0.3">
      <c r="A447" s="77"/>
      <c r="B447" s="106"/>
      <c r="F447" s="124"/>
      <c r="G447" s="125"/>
      <c r="J447" s="125"/>
      <c r="L447" s="107"/>
      <c r="M447" s="183"/>
      <c r="N447" s="108"/>
    </row>
    <row r="448" spans="1:14" x14ac:dyDescent="0.3">
      <c r="A448" s="77"/>
      <c r="B448" s="106"/>
      <c r="F448" s="124"/>
      <c r="G448" s="125"/>
      <c r="J448" s="125"/>
      <c r="L448" s="107"/>
      <c r="M448" s="183"/>
      <c r="N448" s="108"/>
    </row>
    <row r="449" spans="1:14" x14ac:dyDescent="0.3">
      <c r="A449" s="77"/>
      <c r="B449" s="106"/>
      <c r="F449" s="124"/>
      <c r="G449" s="125"/>
      <c r="J449" s="125"/>
      <c r="L449" s="107"/>
      <c r="M449" s="183"/>
      <c r="N449" s="108"/>
    </row>
    <row r="450" spans="1:14" x14ac:dyDescent="0.3">
      <c r="A450" s="77"/>
      <c r="B450" s="106"/>
      <c r="F450" s="124"/>
      <c r="G450" s="125"/>
      <c r="J450" s="125"/>
      <c r="L450" s="107"/>
      <c r="M450" s="183"/>
      <c r="N450" s="108"/>
    </row>
    <row r="451" spans="1:14" x14ac:dyDescent="0.3">
      <c r="A451" s="77"/>
      <c r="B451" s="106"/>
      <c r="F451" s="124"/>
      <c r="G451" s="125"/>
      <c r="J451" s="125"/>
      <c r="L451" s="107"/>
      <c r="M451" s="183"/>
      <c r="N451" s="108"/>
    </row>
    <row r="452" spans="1:14" x14ac:dyDescent="0.3">
      <c r="A452" s="77"/>
      <c r="B452" s="106"/>
      <c r="F452" s="124"/>
      <c r="G452" s="125"/>
      <c r="J452" s="125"/>
      <c r="L452" s="107"/>
      <c r="M452" s="183"/>
      <c r="N452" s="108"/>
    </row>
    <row r="453" spans="1:14" x14ac:dyDescent="0.3">
      <c r="A453" s="77"/>
      <c r="B453" s="106"/>
      <c r="F453" s="124"/>
      <c r="G453" s="125"/>
      <c r="J453" s="125"/>
      <c r="L453" s="107"/>
      <c r="M453" s="183"/>
      <c r="N453" s="108"/>
    </row>
    <row r="454" spans="1:14" x14ac:dyDescent="0.3">
      <c r="A454" s="77"/>
      <c r="B454" s="106"/>
      <c r="F454" s="124"/>
      <c r="G454" s="125"/>
      <c r="J454" s="125"/>
      <c r="L454" s="107"/>
      <c r="M454" s="183"/>
      <c r="N454" s="108"/>
    </row>
    <row r="455" spans="1:14" x14ac:dyDescent="0.3">
      <c r="A455" s="77"/>
      <c r="B455" s="106"/>
      <c r="F455" s="124"/>
      <c r="G455" s="125"/>
      <c r="J455" s="125"/>
      <c r="L455" s="107"/>
      <c r="M455" s="183"/>
      <c r="N455" s="108"/>
    </row>
    <row r="456" spans="1:14" x14ac:dyDescent="0.3">
      <c r="A456" s="77"/>
      <c r="B456" s="106"/>
      <c r="F456" s="124"/>
      <c r="G456" s="125"/>
      <c r="J456" s="125"/>
      <c r="L456" s="107"/>
      <c r="M456" s="183"/>
      <c r="N456" s="108"/>
    </row>
    <row r="457" spans="1:14" x14ac:dyDescent="0.3">
      <c r="A457" s="77"/>
      <c r="B457" s="106"/>
      <c r="F457" s="124"/>
      <c r="G457" s="125"/>
      <c r="J457" s="125"/>
      <c r="L457" s="107"/>
      <c r="M457" s="183"/>
      <c r="N457" s="108"/>
    </row>
    <row r="458" spans="1:14" x14ac:dyDescent="0.3">
      <c r="A458" s="77"/>
      <c r="B458" s="106"/>
      <c r="F458" s="124"/>
      <c r="G458" s="125"/>
      <c r="J458" s="125"/>
      <c r="L458" s="107"/>
      <c r="M458" s="183"/>
      <c r="N458" s="108"/>
    </row>
    <row r="459" spans="1:14" x14ac:dyDescent="0.3">
      <c r="A459" s="77"/>
      <c r="B459" s="106"/>
      <c r="F459" s="124"/>
      <c r="G459" s="125"/>
      <c r="J459" s="125"/>
      <c r="L459" s="107"/>
      <c r="M459" s="183"/>
      <c r="N459" s="108"/>
    </row>
    <row r="460" spans="1:14" x14ac:dyDescent="0.3">
      <c r="A460" s="77"/>
      <c r="B460" s="106"/>
      <c r="F460" s="124"/>
      <c r="G460" s="125"/>
      <c r="J460" s="125"/>
      <c r="L460" s="107"/>
      <c r="M460" s="183"/>
      <c r="N460" s="108"/>
    </row>
    <row r="461" spans="1:14" x14ac:dyDescent="0.3">
      <c r="A461" s="77"/>
      <c r="B461" s="106"/>
      <c r="F461" s="124"/>
      <c r="G461" s="125"/>
      <c r="J461" s="125"/>
      <c r="L461" s="107"/>
      <c r="M461" s="183"/>
      <c r="N461" s="108"/>
    </row>
    <row r="462" spans="1:14" x14ac:dyDescent="0.3">
      <c r="A462" s="77"/>
      <c r="B462" s="106"/>
      <c r="F462" s="124"/>
      <c r="G462" s="125"/>
      <c r="J462" s="125"/>
      <c r="L462" s="107"/>
      <c r="M462" s="183"/>
      <c r="N462" s="108"/>
    </row>
    <row r="463" spans="1:14" x14ac:dyDescent="0.3">
      <c r="A463" s="77"/>
      <c r="B463" s="106"/>
      <c r="F463" s="124"/>
      <c r="G463" s="125"/>
      <c r="J463" s="125"/>
      <c r="L463" s="107"/>
      <c r="M463" s="183"/>
      <c r="N463" s="108"/>
    </row>
    <row r="464" spans="1:14" x14ac:dyDescent="0.3">
      <c r="A464" s="77"/>
      <c r="B464" s="106"/>
      <c r="F464" s="124"/>
      <c r="G464" s="125"/>
      <c r="J464" s="125"/>
      <c r="L464" s="107"/>
      <c r="M464" s="183"/>
      <c r="N464" s="108"/>
    </row>
    <row r="465" spans="1:14" x14ac:dyDescent="0.3">
      <c r="A465" s="77"/>
      <c r="B465" s="106"/>
      <c r="F465" s="124"/>
      <c r="G465" s="125"/>
      <c r="J465" s="125"/>
      <c r="L465" s="107"/>
      <c r="M465" s="183"/>
      <c r="N465" s="108"/>
    </row>
    <row r="466" spans="1:14" x14ac:dyDescent="0.3">
      <c r="A466" s="77"/>
      <c r="B466" s="106"/>
      <c r="F466" s="124"/>
      <c r="G466" s="125"/>
      <c r="J466" s="125"/>
      <c r="L466" s="107"/>
      <c r="M466" s="183"/>
      <c r="N466" s="108"/>
    </row>
    <row r="467" spans="1:14" x14ac:dyDescent="0.3">
      <c r="A467" s="77"/>
      <c r="B467" s="106"/>
      <c r="F467" s="124"/>
      <c r="G467" s="125"/>
      <c r="J467" s="125"/>
      <c r="L467" s="107"/>
      <c r="M467" s="183"/>
      <c r="N467" s="108"/>
    </row>
    <row r="468" spans="1:14" x14ac:dyDescent="0.3">
      <c r="A468" s="77"/>
      <c r="B468" s="106"/>
      <c r="F468" s="124"/>
      <c r="G468" s="125"/>
      <c r="J468" s="125"/>
      <c r="L468" s="107"/>
      <c r="M468" s="183"/>
      <c r="N468" s="108"/>
    </row>
    <row r="469" spans="1:14" x14ac:dyDescent="0.3">
      <c r="A469" s="77"/>
      <c r="B469" s="106"/>
      <c r="F469" s="124"/>
      <c r="G469" s="125"/>
      <c r="J469" s="125"/>
      <c r="L469" s="107"/>
      <c r="M469" s="183"/>
      <c r="N469" s="108"/>
    </row>
    <row r="470" spans="1:14" x14ac:dyDescent="0.3">
      <c r="A470" s="77"/>
      <c r="B470" s="106"/>
      <c r="F470" s="124"/>
      <c r="G470" s="125"/>
      <c r="J470" s="125"/>
      <c r="L470" s="107"/>
      <c r="M470" s="183"/>
      <c r="N470" s="108"/>
    </row>
    <row r="471" spans="1:14" x14ac:dyDescent="0.3">
      <c r="A471" s="77"/>
      <c r="B471" s="106"/>
      <c r="F471" s="124"/>
      <c r="G471" s="125"/>
      <c r="J471" s="125"/>
      <c r="L471" s="107"/>
      <c r="M471" s="183"/>
      <c r="N471" s="108"/>
    </row>
    <row r="472" spans="1:14" x14ac:dyDescent="0.3">
      <c r="A472" s="77"/>
      <c r="B472" s="106"/>
      <c r="F472" s="124"/>
      <c r="G472" s="125"/>
      <c r="J472" s="125"/>
      <c r="L472" s="107"/>
      <c r="M472" s="183"/>
      <c r="N472" s="108"/>
    </row>
    <row r="473" spans="1:14" x14ac:dyDescent="0.3">
      <c r="A473" s="77"/>
      <c r="B473" s="106"/>
      <c r="F473" s="124"/>
      <c r="G473" s="125"/>
      <c r="J473" s="125"/>
      <c r="L473" s="107"/>
      <c r="M473" s="183"/>
      <c r="N473" s="108"/>
    </row>
    <row r="474" spans="1:14" x14ac:dyDescent="0.3">
      <c r="A474" s="77"/>
      <c r="B474" s="106"/>
      <c r="F474" s="124"/>
      <c r="G474" s="125"/>
      <c r="J474" s="125"/>
      <c r="L474" s="107"/>
      <c r="M474" s="183"/>
      <c r="N474" s="108"/>
    </row>
    <row r="475" spans="1:14" x14ac:dyDescent="0.3">
      <c r="A475" s="77"/>
      <c r="B475" s="106"/>
      <c r="F475" s="124"/>
      <c r="G475" s="125"/>
      <c r="J475" s="125"/>
      <c r="L475" s="107"/>
      <c r="M475" s="183"/>
      <c r="N475" s="108"/>
    </row>
    <row r="476" spans="1:14" x14ac:dyDescent="0.3">
      <c r="A476" s="77"/>
      <c r="B476" s="106"/>
      <c r="F476" s="124"/>
      <c r="G476" s="125"/>
      <c r="J476" s="125"/>
      <c r="L476" s="107"/>
      <c r="M476" s="183"/>
      <c r="N476" s="108"/>
    </row>
    <row r="477" spans="1:14" x14ac:dyDescent="0.3">
      <c r="A477" s="77"/>
      <c r="B477" s="106"/>
      <c r="F477" s="124"/>
      <c r="G477" s="125"/>
      <c r="J477" s="125"/>
      <c r="L477" s="107"/>
      <c r="M477" s="183"/>
      <c r="N477" s="108"/>
    </row>
    <row r="478" spans="1:14" x14ac:dyDescent="0.3">
      <c r="A478" s="77"/>
      <c r="B478" s="106"/>
      <c r="F478" s="124"/>
      <c r="G478" s="125"/>
      <c r="J478" s="125"/>
      <c r="L478" s="107"/>
      <c r="M478" s="183"/>
      <c r="N478" s="108"/>
    </row>
    <row r="479" spans="1:14" x14ac:dyDescent="0.3">
      <c r="A479" s="77"/>
      <c r="B479" s="106"/>
      <c r="F479" s="124"/>
      <c r="G479" s="125"/>
      <c r="J479" s="125"/>
      <c r="L479" s="107"/>
      <c r="M479" s="183"/>
      <c r="N479" s="108"/>
    </row>
    <row r="480" spans="1:14" x14ac:dyDescent="0.3">
      <c r="A480" s="77"/>
      <c r="B480" s="106"/>
      <c r="F480" s="124"/>
      <c r="G480" s="125"/>
      <c r="J480" s="125"/>
      <c r="L480" s="107"/>
      <c r="M480" s="183"/>
      <c r="N480" s="108"/>
    </row>
    <row r="481" spans="1:14" x14ac:dyDescent="0.3">
      <c r="A481" s="77"/>
      <c r="B481" s="106"/>
      <c r="F481" s="124"/>
      <c r="G481" s="125"/>
      <c r="J481" s="125"/>
      <c r="L481" s="107"/>
      <c r="M481" s="183"/>
      <c r="N481" s="108"/>
    </row>
    <row r="482" spans="1:14" x14ac:dyDescent="0.3">
      <c r="A482" s="77"/>
      <c r="B482" s="106"/>
      <c r="F482" s="124"/>
      <c r="G482" s="125"/>
      <c r="J482" s="125"/>
      <c r="L482" s="107"/>
      <c r="M482" s="183"/>
      <c r="N482" s="108"/>
    </row>
    <row r="483" spans="1:14" x14ac:dyDescent="0.3">
      <c r="A483" s="77"/>
      <c r="B483" s="106"/>
      <c r="F483" s="124"/>
      <c r="G483" s="125"/>
      <c r="J483" s="125"/>
      <c r="L483" s="107"/>
      <c r="M483" s="183"/>
      <c r="N483" s="108"/>
    </row>
    <row r="484" spans="1:14" x14ac:dyDescent="0.3">
      <c r="A484" s="77"/>
      <c r="B484" s="106"/>
      <c r="F484" s="124"/>
      <c r="G484" s="125"/>
      <c r="J484" s="125"/>
      <c r="L484" s="107"/>
      <c r="M484" s="183"/>
      <c r="N484" s="108"/>
    </row>
    <row r="485" spans="1:14" x14ac:dyDescent="0.3">
      <c r="A485" s="77"/>
      <c r="B485" s="106"/>
      <c r="F485" s="124"/>
      <c r="G485" s="125"/>
      <c r="J485" s="125"/>
      <c r="L485" s="107"/>
      <c r="M485" s="183"/>
      <c r="N485" s="108"/>
    </row>
    <row r="486" spans="1:14" x14ac:dyDescent="0.3">
      <c r="A486" s="77"/>
      <c r="B486" s="106"/>
      <c r="F486" s="124"/>
      <c r="G486" s="125"/>
      <c r="J486" s="125"/>
      <c r="L486" s="107"/>
      <c r="M486" s="183"/>
      <c r="N486" s="108"/>
    </row>
    <row r="487" spans="1:14" x14ac:dyDescent="0.3">
      <c r="A487" s="77"/>
      <c r="B487" s="106"/>
      <c r="F487" s="124"/>
      <c r="G487" s="125"/>
      <c r="J487" s="125"/>
      <c r="L487" s="107"/>
      <c r="M487" s="183"/>
      <c r="N487" s="108"/>
    </row>
    <row r="488" spans="1:14" x14ac:dyDescent="0.3">
      <c r="A488" s="77"/>
      <c r="B488" s="106"/>
      <c r="F488" s="124"/>
      <c r="G488" s="125"/>
      <c r="J488" s="125"/>
      <c r="L488" s="107"/>
      <c r="M488" s="183"/>
      <c r="N488" s="108"/>
    </row>
    <row r="489" spans="1:14" x14ac:dyDescent="0.3">
      <c r="A489" s="77"/>
      <c r="B489" s="106"/>
      <c r="F489" s="124"/>
      <c r="G489" s="125"/>
      <c r="J489" s="125"/>
      <c r="L489" s="107"/>
      <c r="M489" s="183"/>
      <c r="N489" s="108"/>
    </row>
    <row r="490" spans="1:14" x14ac:dyDescent="0.3">
      <c r="A490" s="77"/>
      <c r="B490" s="106"/>
      <c r="F490" s="124"/>
      <c r="G490" s="125"/>
      <c r="J490" s="125"/>
      <c r="L490" s="107"/>
      <c r="M490" s="183"/>
      <c r="N490" s="108"/>
    </row>
    <row r="491" spans="1:14" x14ac:dyDescent="0.3">
      <c r="A491" s="77"/>
      <c r="B491" s="106"/>
      <c r="F491" s="124"/>
      <c r="G491" s="125"/>
      <c r="J491" s="125"/>
      <c r="L491" s="107"/>
      <c r="M491" s="183"/>
      <c r="N491" s="108"/>
    </row>
    <row r="492" spans="1:14" x14ac:dyDescent="0.3">
      <c r="A492" s="77"/>
      <c r="B492" s="106"/>
      <c r="F492" s="124"/>
      <c r="G492" s="125"/>
      <c r="J492" s="125"/>
      <c r="L492" s="107"/>
      <c r="M492" s="183"/>
      <c r="N492" s="108"/>
    </row>
    <row r="493" spans="1:14" x14ac:dyDescent="0.3">
      <c r="A493" s="77"/>
      <c r="B493" s="106"/>
      <c r="F493" s="124"/>
      <c r="G493" s="125"/>
      <c r="J493" s="125"/>
      <c r="L493" s="107"/>
      <c r="M493" s="183"/>
      <c r="N493" s="108"/>
    </row>
    <row r="494" spans="1:14" x14ac:dyDescent="0.3">
      <c r="A494" s="77"/>
      <c r="B494" s="106"/>
      <c r="F494" s="124"/>
      <c r="G494" s="125"/>
      <c r="J494" s="125"/>
      <c r="L494" s="107"/>
      <c r="M494" s="183"/>
      <c r="N494" s="108"/>
    </row>
    <row r="495" spans="1:14" x14ac:dyDescent="0.3">
      <c r="A495" s="77"/>
      <c r="B495" s="106"/>
      <c r="F495" s="124"/>
      <c r="G495" s="125"/>
      <c r="J495" s="125"/>
      <c r="L495" s="107"/>
      <c r="M495" s="183"/>
      <c r="N495" s="108"/>
    </row>
    <row r="496" spans="1:14" x14ac:dyDescent="0.3">
      <c r="A496" s="77"/>
      <c r="B496" s="106"/>
      <c r="F496" s="124"/>
      <c r="G496" s="125"/>
      <c r="J496" s="125"/>
      <c r="L496" s="107"/>
      <c r="M496" s="183"/>
      <c r="N496" s="108"/>
    </row>
    <row r="497" spans="1:14" x14ac:dyDescent="0.3">
      <c r="A497" s="77"/>
      <c r="B497" s="106"/>
      <c r="F497" s="124"/>
      <c r="G497" s="125"/>
      <c r="J497" s="125"/>
      <c r="L497" s="107"/>
      <c r="M497" s="183"/>
      <c r="N497" s="108"/>
    </row>
    <row r="498" spans="1:14" x14ac:dyDescent="0.3">
      <c r="A498" s="77"/>
      <c r="B498" s="106"/>
      <c r="F498" s="124"/>
      <c r="G498" s="125"/>
      <c r="J498" s="125"/>
      <c r="L498" s="107"/>
      <c r="M498" s="183"/>
      <c r="N498" s="108"/>
    </row>
    <row r="499" spans="1:14" x14ac:dyDescent="0.3">
      <c r="A499" s="77"/>
      <c r="B499" s="106"/>
      <c r="F499" s="124"/>
      <c r="G499" s="125"/>
      <c r="J499" s="125"/>
      <c r="L499" s="107"/>
      <c r="M499" s="183"/>
      <c r="N499" s="108"/>
    </row>
    <row r="500" spans="1:14" x14ac:dyDescent="0.3">
      <c r="A500" s="77"/>
      <c r="B500" s="106"/>
      <c r="F500" s="124"/>
      <c r="G500" s="125"/>
      <c r="J500" s="125"/>
      <c r="L500" s="107"/>
      <c r="M500" s="183"/>
      <c r="N500" s="108"/>
    </row>
    <row r="501" spans="1:14" x14ac:dyDescent="0.3">
      <c r="A501" s="77"/>
      <c r="B501" s="106"/>
      <c r="F501" s="124"/>
      <c r="G501" s="125"/>
      <c r="J501" s="125"/>
      <c r="L501" s="107"/>
      <c r="M501" s="183"/>
      <c r="N501" s="108"/>
    </row>
    <row r="502" spans="1:14" x14ac:dyDescent="0.3">
      <c r="A502" s="77"/>
      <c r="B502" s="106"/>
      <c r="F502" s="124"/>
      <c r="G502" s="125"/>
      <c r="J502" s="125"/>
      <c r="L502" s="107"/>
      <c r="M502" s="183"/>
      <c r="N502" s="108"/>
    </row>
    <row r="503" spans="1:14" x14ac:dyDescent="0.3">
      <c r="A503" s="77"/>
      <c r="B503" s="106"/>
      <c r="F503" s="124"/>
      <c r="G503" s="125"/>
      <c r="J503" s="125"/>
      <c r="L503" s="107"/>
      <c r="M503" s="183"/>
      <c r="N503" s="108"/>
    </row>
    <row r="504" spans="1:14" x14ac:dyDescent="0.3">
      <c r="A504" s="77"/>
      <c r="B504" s="106"/>
      <c r="F504" s="124"/>
      <c r="G504" s="125"/>
      <c r="J504" s="125"/>
      <c r="L504" s="107"/>
      <c r="M504" s="183"/>
      <c r="N504" s="108"/>
    </row>
    <row r="505" spans="1:14" x14ac:dyDescent="0.3">
      <c r="A505" s="77"/>
      <c r="B505" s="106"/>
      <c r="F505" s="124"/>
      <c r="G505" s="125"/>
      <c r="J505" s="125"/>
      <c r="L505" s="107"/>
      <c r="M505" s="183"/>
      <c r="N505" s="108"/>
    </row>
    <row r="506" spans="1:14" x14ac:dyDescent="0.3">
      <c r="A506" s="77"/>
      <c r="B506" s="106"/>
      <c r="F506" s="124"/>
      <c r="G506" s="125"/>
      <c r="J506" s="125"/>
      <c r="L506" s="107"/>
      <c r="M506" s="183"/>
      <c r="N506" s="108"/>
    </row>
    <row r="507" spans="1:14" x14ac:dyDescent="0.3">
      <c r="A507" s="77"/>
      <c r="B507" s="106"/>
      <c r="F507" s="124"/>
      <c r="G507" s="125"/>
      <c r="J507" s="125"/>
      <c r="L507" s="107"/>
      <c r="M507" s="183"/>
      <c r="N507" s="108"/>
    </row>
    <row r="508" spans="1:14" x14ac:dyDescent="0.3">
      <c r="A508" s="77"/>
      <c r="B508" s="106"/>
      <c r="F508" s="124"/>
      <c r="G508" s="125"/>
      <c r="J508" s="125"/>
      <c r="L508" s="107"/>
      <c r="M508" s="183"/>
      <c r="N508" s="108"/>
    </row>
    <row r="509" spans="1:14" x14ac:dyDescent="0.3">
      <c r="A509" s="77"/>
      <c r="B509" s="106"/>
      <c r="F509" s="124"/>
      <c r="G509" s="125"/>
      <c r="J509" s="125"/>
      <c r="L509" s="107"/>
      <c r="M509" s="183"/>
      <c r="N509" s="108"/>
    </row>
    <row r="510" spans="1:14" x14ac:dyDescent="0.3">
      <c r="A510" s="77"/>
      <c r="B510" s="106"/>
      <c r="F510" s="124"/>
      <c r="G510" s="125"/>
      <c r="J510" s="125"/>
      <c r="L510" s="107"/>
      <c r="M510" s="183"/>
      <c r="N510" s="108"/>
    </row>
    <row r="511" spans="1:14" x14ac:dyDescent="0.3">
      <c r="A511" s="77"/>
      <c r="B511" s="106"/>
      <c r="F511" s="124"/>
      <c r="G511" s="125"/>
      <c r="J511" s="125"/>
      <c r="L511" s="107"/>
      <c r="M511" s="183"/>
      <c r="N511" s="108"/>
    </row>
    <row r="512" spans="1:14" x14ac:dyDescent="0.3">
      <c r="A512" s="77"/>
      <c r="B512" s="106"/>
      <c r="F512" s="124"/>
      <c r="G512" s="125"/>
      <c r="J512" s="125"/>
      <c r="L512" s="107"/>
      <c r="M512" s="183"/>
      <c r="N512" s="108"/>
    </row>
    <row r="513" spans="1:14" x14ac:dyDescent="0.3">
      <c r="A513" s="77"/>
      <c r="B513" s="106"/>
      <c r="F513" s="124"/>
      <c r="G513" s="125"/>
      <c r="J513" s="125"/>
      <c r="L513" s="107"/>
      <c r="M513" s="183"/>
      <c r="N513" s="108"/>
    </row>
    <row r="514" spans="1:14" x14ac:dyDescent="0.3">
      <c r="A514" s="77"/>
      <c r="B514" s="106"/>
      <c r="F514" s="124"/>
      <c r="G514" s="125"/>
      <c r="J514" s="125"/>
      <c r="L514" s="107"/>
      <c r="M514" s="183"/>
      <c r="N514" s="108"/>
    </row>
    <row r="515" spans="1:14" x14ac:dyDescent="0.3">
      <c r="A515" s="77"/>
      <c r="B515" s="106"/>
      <c r="F515" s="124"/>
      <c r="G515" s="125"/>
      <c r="J515" s="125"/>
      <c r="L515" s="107"/>
      <c r="M515" s="183"/>
      <c r="N515" s="108"/>
    </row>
    <row r="516" spans="1:14" x14ac:dyDescent="0.3">
      <c r="A516" s="77"/>
      <c r="B516" s="106"/>
      <c r="F516" s="124"/>
      <c r="G516" s="125"/>
      <c r="J516" s="125"/>
      <c r="L516" s="107"/>
      <c r="M516" s="183"/>
      <c r="N516" s="108"/>
    </row>
    <row r="517" spans="1:14" x14ac:dyDescent="0.3">
      <c r="A517" s="77"/>
      <c r="B517" s="106"/>
      <c r="F517" s="124"/>
      <c r="G517" s="125"/>
      <c r="J517" s="125"/>
      <c r="L517" s="107"/>
      <c r="M517" s="183"/>
      <c r="N517" s="108"/>
    </row>
    <row r="518" spans="1:14" x14ac:dyDescent="0.3">
      <c r="A518" s="77"/>
      <c r="B518" s="106"/>
      <c r="F518" s="124"/>
      <c r="G518" s="125"/>
      <c r="J518" s="125"/>
      <c r="L518" s="107"/>
      <c r="M518" s="183"/>
      <c r="N518" s="108"/>
    </row>
    <row r="519" spans="1:14" x14ac:dyDescent="0.3">
      <c r="A519" s="77"/>
      <c r="B519" s="106"/>
      <c r="F519" s="124"/>
      <c r="G519" s="125"/>
      <c r="J519" s="125"/>
      <c r="L519" s="107"/>
      <c r="M519" s="183"/>
      <c r="N519" s="108"/>
    </row>
    <row r="520" spans="1:14" x14ac:dyDescent="0.3">
      <c r="A520" s="77"/>
      <c r="B520" s="106"/>
      <c r="F520" s="124"/>
      <c r="G520" s="125"/>
      <c r="J520" s="125"/>
      <c r="L520" s="107"/>
      <c r="M520" s="183"/>
      <c r="N520" s="108"/>
    </row>
    <row r="521" spans="1:14" x14ac:dyDescent="0.3">
      <c r="A521" s="77"/>
      <c r="B521" s="106"/>
      <c r="F521" s="124"/>
      <c r="G521" s="125"/>
      <c r="J521" s="125"/>
      <c r="L521" s="107"/>
      <c r="M521" s="183"/>
      <c r="N521" s="108"/>
    </row>
    <row r="522" spans="1:14" x14ac:dyDescent="0.3">
      <c r="A522" s="77"/>
      <c r="B522" s="106"/>
      <c r="F522" s="124"/>
      <c r="G522" s="125"/>
      <c r="J522" s="125"/>
      <c r="L522" s="107"/>
      <c r="M522" s="183"/>
      <c r="N522" s="108"/>
    </row>
    <row r="523" spans="1:14" x14ac:dyDescent="0.3">
      <c r="A523" s="77"/>
      <c r="B523" s="106"/>
      <c r="F523" s="124"/>
      <c r="G523" s="125"/>
      <c r="J523" s="125"/>
      <c r="L523" s="107"/>
      <c r="M523" s="183"/>
      <c r="N523" s="108"/>
    </row>
    <row r="524" spans="1:14" x14ac:dyDescent="0.3">
      <c r="A524" s="77"/>
      <c r="B524" s="106"/>
      <c r="F524" s="124"/>
      <c r="G524" s="125"/>
      <c r="J524" s="125"/>
      <c r="L524" s="107"/>
      <c r="M524" s="183"/>
      <c r="N524" s="108"/>
    </row>
    <row r="525" spans="1:14" x14ac:dyDescent="0.3">
      <c r="A525" s="77"/>
      <c r="B525" s="106"/>
      <c r="F525" s="124"/>
      <c r="G525" s="125"/>
      <c r="J525" s="125"/>
      <c r="L525" s="107"/>
      <c r="M525" s="183"/>
      <c r="N525" s="108"/>
    </row>
    <row r="526" spans="1:14" x14ac:dyDescent="0.3">
      <c r="A526" s="77"/>
      <c r="B526" s="106"/>
      <c r="F526" s="124"/>
      <c r="G526" s="125"/>
      <c r="J526" s="125"/>
      <c r="L526" s="107"/>
      <c r="M526" s="183"/>
      <c r="N526" s="108"/>
    </row>
    <row r="527" spans="1:14" x14ac:dyDescent="0.3">
      <c r="A527" s="77"/>
      <c r="B527" s="106"/>
      <c r="F527" s="124"/>
      <c r="G527" s="125"/>
      <c r="J527" s="125"/>
      <c r="L527" s="107"/>
      <c r="M527" s="183"/>
      <c r="N527" s="108"/>
    </row>
    <row r="528" spans="1:14" x14ac:dyDescent="0.3">
      <c r="A528" s="77"/>
      <c r="B528" s="106"/>
      <c r="F528" s="124"/>
      <c r="G528" s="125"/>
      <c r="J528" s="125"/>
      <c r="L528" s="107"/>
      <c r="M528" s="183"/>
      <c r="N528" s="108"/>
    </row>
    <row r="529" spans="1:14" x14ac:dyDescent="0.3">
      <c r="A529" s="77"/>
      <c r="B529" s="106"/>
      <c r="F529" s="124"/>
      <c r="G529" s="125"/>
      <c r="J529" s="125"/>
      <c r="L529" s="107"/>
      <c r="M529" s="183"/>
      <c r="N529" s="108"/>
    </row>
    <row r="530" spans="1:14" x14ac:dyDescent="0.3">
      <c r="A530" s="77"/>
      <c r="B530" s="106"/>
      <c r="F530" s="124"/>
      <c r="G530" s="125"/>
      <c r="J530" s="125"/>
      <c r="L530" s="107"/>
      <c r="M530" s="183"/>
      <c r="N530" s="108"/>
    </row>
    <row r="531" spans="1:14" x14ac:dyDescent="0.3">
      <c r="A531" s="77"/>
      <c r="B531" s="106"/>
      <c r="F531" s="124"/>
      <c r="G531" s="125"/>
      <c r="J531" s="125"/>
      <c r="L531" s="107"/>
      <c r="M531" s="183"/>
      <c r="N531" s="108"/>
    </row>
    <row r="532" spans="1:14" x14ac:dyDescent="0.3">
      <c r="A532" s="77"/>
      <c r="B532" s="106"/>
      <c r="F532" s="124"/>
      <c r="G532" s="125"/>
      <c r="J532" s="125"/>
      <c r="L532" s="107"/>
      <c r="M532" s="183"/>
      <c r="N532" s="108"/>
    </row>
    <row r="533" spans="1:14" x14ac:dyDescent="0.3">
      <c r="A533" s="77"/>
      <c r="B533" s="106"/>
      <c r="F533" s="124"/>
      <c r="G533" s="125"/>
      <c r="J533" s="125"/>
      <c r="L533" s="107"/>
      <c r="M533" s="183"/>
      <c r="N533" s="108"/>
    </row>
    <row r="534" spans="1:14" x14ac:dyDescent="0.3">
      <c r="A534" s="77"/>
      <c r="B534" s="106"/>
      <c r="F534" s="124"/>
      <c r="G534" s="125"/>
      <c r="J534" s="125"/>
      <c r="L534" s="107"/>
      <c r="M534" s="183"/>
      <c r="N534" s="108"/>
    </row>
    <row r="535" spans="1:14" x14ac:dyDescent="0.3">
      <c r="A535" s="77"/>
      <c r="B535" s="106"/>
      <c r="F535" s="124"/>
      <c r="G535" s="125"/>
      <c r="J535" s="125"/>
      <c r="L535" s="107"/>
      <c r="M535" s="183"/>
      <c r="N535" s="108"/>
    </row>
    <row r="536" spans="1:14" x14ac:dyDescent="0.3">
      <c r="A536" s="77"/>
      <c r="B536" s="106"/>
      <c r="F536" s="124"/>
      <c r="G536" s="125"/>
      <c r="J536" s="125"/>
      <c r="L536" s="107"/>
      <c r="M536" s="183"/>
      <c r="N536" s="108"/>
    </row>
    <row r="537" spans="1:14" x14ac:dyDescent="0.3">
      <c r="A537" s="77"/>
      <c r="B537" s="106"/>
      <c r="F537" s="124"/>
      <c r="G537" s="125"/>
      <c r="J537" s="125"/>
      <c r="L537" s="107"/>
      <c r="M537" s="183"/>
      <c r="N537" s="108"/>
    </row>
    <row r="538" spans="1:14" x14ac:dyDescent="0.3">
      <c r="A538" s="77"/>
      <c r="B538" s="106"/>
      <c r="F538" s="124"/>
      <c r="G538" s="125"/>
      <c r="J538" s="125"/>
      <c r="L538" s="107"/>
      <c r="M538" s="183"/>
      <c r="N538" s="108"/>
    </row>
    <row r="539" spans="1:14" x14ac:dyDescent="0.3">
      <c r="A539" s="77"/>
      <c r="B539" s="106"/>
      <c r="F539" s="124"/>
      <c r="G539" s="125"/>
      <c r="J539" s="125"/>
      <c r="L539" s="107"/>
      <c r="M539" s="183"/>
      <c r="N539" s="108"/>
    </row>
    <row r="540" spans="1:14" x14ac:dyDescent="0.3">
      <c r="A540" s="77"/>
      <c r="B540" s="106"/>
      <c r="F540" s="124"/>
      <c r="G540" s="125"/>
      <c r="J540" s="125"/>
      <c r="L540" s="107"/>
      <c r="M540" s="183"/>
      <c r="N540" s="108"/>
    </row>
    <row r="541" spans="1:14" x14ac:dyDescent="0.3">
      <c r="A541" s="77"/>
      <c r="B541" s="106"/>
      <c r="F541" s="124"/>
      <c r="G541" s="125"/>
      <c r="J541" s="125"/>
      <c r="L541" s="107"/>
      <c r="M541" s="183"/>
      <c r="N541" s="108"/>
    </row>
    <row r="542" spans="1:14" x14ac:dyDescent="0.3">
      <c r="A542" s="77"/>
      <c r="B542" s="106"/>
      <c r="F542" s="124"/>
      <c r="G542" s="125"/>
      <c r="J542" s="125"/>
      <c r="L542" s="107"/>
      <c r="M542" s="183"/>
      <c r="N542" s="108"/>
    </row>
    <row r="543" spans="1:14" x14ac:dyDescent="0.3">
      <c r="A543" s="77"/>
      <c r="B543" s="106"/>
      <c r="F543" s="124"/>
      <c r="G543" s="125"/>
      <c r="J543" s="125"/>
      <c r="L543" s="107"/>
      <c r="M543" s="183"/>
      <c r="N543" s="108"/>
    </row>
    <row r="544" spans="1:14" x14ac:dyDescent="0.3">
      <c r="A544" s="77"/>
      <c r="B544" s="106"/>
      <c r="F544" s="124"/>
      <c r="G544" s="125"/>
      <c r="J544" s="125"/>
      <c r="L544" s="107"/>
      <c r="M544" s="183"/>
      <c r="N544" s="108"/>
    </row>
    <row r="545" spans="1:14" x14ac:dyDescent="0.3">
      <c r="A545" s="77"/>
      <c r="B545" s="106"/>
      <c r="F545" s="124"/>
      <c r="G545" s="125"/>
      <c r="J545" s="125"/>
      <c r="L545" s="107"/>
      <c r="M545" s="183"/>
      <c r="N545" s="108"/>
    </row>
    <row r="546" spans="1:14" x14ac:dyDescent="0.3">
      <c r="A546" s="77"/>
      <c r="B546" s="106"/>
      <c r="F546" s="124"/>
      <c r="G546" s="125"/>
      <c r="J546" s="125"/>
      <c r="L546" s="107"/>
      <c r="M546" s="183"/>
      <c r="N546" s="108"/>
    </row>
    <row r="547" spans="1:14" x14ac:dyDescent="0.3">
      <c r="A547" s="77"/>
      <c r="B547" s="106"/>
      <c r="F547" s="124"/>
      <c r="G547" s="125"/>
      <c r="J547" s="125"/>
      <c r="L547" s="107"/>
      <c r="M547" s="183"/>
      <c r="N547" s="108"/>
    </row>
    <row r="548" spans="1:14" x14ac:dyDescent="0.3">
      <c r="A548" s="77"/>
      <c r="B548" s="106"/>
      <c r="F548" s="124"/>
      <c r="G548" s="125"/>
      <c r="J548" s="125"/>
      <c r="L548" s="107"/>
      <c r="M548" s="183"/>
      <c r="N548" s="108"/>
    </row>
    <row r="549" spans="1:14" x14ac:dyDescent="0.3">
      <c r="A549" s="77"/>
      <c r="B549" s="106"/>
      <c r="F549" s="124"/>
      <c r="G549" s="125"/>
      <c r="J549" s="125"/>
      <c r="L549" s="107"/>
      <c r="M549" s="183"/>
      <c r="N549" s="108"/>
    </row>
    <row r="550" spans="1:14" x14ac:dyDescent="0.3">
      <c r="A550" s="77"/>
      <c r="B550" s="106"/>
      <c r="F550" s="124"/>
      <c r="G550" s="125"/>
      <c r="J550" s="125"/>
      <c r="L550" s="107"/>
      <c r="M550" s="183"/>
      <c r="N550" s="108"/>
    </row>
    <row r="551" spans="1:14" x14ac:dyDescent="0.3">
      <c r="A551" s="77"/>
      <c r="B551" s="106"/>
      <c r="F551" s="124"/>
      <c r="G551" s="125"/>
      <c r="J551" s="125"/>
      <c r="L551" s="107"/>
      <c r="M551" s="183"/>
      <c r="N551" s="108"/>
    </row>
    <row r="552" spans="1:14" x14ac:dyDescent="0.3">
      <c r="A552" s="77"/>
      <c r="B552" s="106"/>
      <c r="F552" s="124"/>
      <c r="G552" s="125"/>
      <c r="J552" s="125"/>
      <c r="L552" s="107"/>
      <c r="M552" s="183"/>
      <c r="N552" s="108"/>
    </row>
    <row r="553" spans="1:14" x14ac:dyDescent="0.3">
      <c r="A553" s="77"/>
      <c r="B553" s="106"/>
      <c r="F553" s="124"/>
      <c r="G553" s="125"/>
      <c r="J553" s="125"/>
      <c r="L553" s="107"/>
      <c r="M553" s="183"/>
      <c r="N553" s="108"/>
    </row>
    <row r="554" spans="1:14" x14ac:dyDescent="0.3">
      <c r="A554" s="77"/>
      <c r="B554" s="106"/>
      <c r="F554" s="124"/>
      <c r="G554" s="125"/>
      <c r="J554" s="125"/>
      <c r="L554" s="107"/>
      <c r="M554" s="183"/>
      <c r="N554" s="108"/>
    </row>
    <row r="555" spans="1:14" x14ac:dyDescent="0.3">
      <c r="A555" s="77"/>
      <c r="B555" s="106"/>
      <c r="F555" s="124"/>
      <c r="G555" s="125"/>
      <c r="J555" s="125"/>
      <c r="L555" s="107"/>
      <c r="M555" s="183"/>
      <c r="N555" s="108"/>
    </row>
    <row r="556" spans="1:14" x14ac:dyDescent="0.3">
      <c r="A556" s="77"/>
      <c r="B556" s="106"/>
      <c r="F556" s="124"/>
      <c r="G556" s="125"/>
      <c r="J556" s="125"/>
      <c r="L556" s="107"/>
      <c r="M556" s="183"/>
      <c r="N556" s="108"/>
    </row>
    <row r="557" spans="1:14" x14ac:dyDescent="0.3">
      <c r="A557" s="77"/>
      <c r="B557" s="106"/>
      <c r="F557" s="124"/>
      <c r="G557" s="125"/>
      <c r="J557" s="125"/>
      <c r="L557" s="107"/>
      <c r="M557" s="183"/>
      <c r="N557" s="108"/>
    </row>
    <row r="558" spans="1:14" x14ac:dyDescent="0.3">
      <c r="A558" s="77"/>
      <c r="B558" s="106"/>
      <c r="F558" s="124"/>
      <c r="G558" s="125"/>
      <c r="J558" s="125"/>
      <c r="L558" s="107"/>
      <c r="M558" s="183"/>
      <c r="N558" s="108"/>
    </row>
    <row r="559" spans="1:14" x14ac:dyDescent="0.3">
      <c r="A559" s="77"/>
      <c r="B559" s="106"/>
      <c r="F559" s="124"/>
      <c r="G559" s="125"/>
      <c r="J559" s="125"/>
      <c r="L559" s="107"/>
      <c r="M559" s="183"/>
      <c r="N559" s="108"/>
    </row>
    <row r="560" spans="1:14" x14ac:dyDescent="0.3">
      <c r="A560" s="77"/>
      <c r="B560" s="106"/>
      <c r="F560" s="124"/>
      <c r="G560" s="125"/>
      <c r="J560" s="125"/>
      <c r="L560" s="107"/>
      <c r="M560" s="183"/>
      <c r="N560" s="108"/>
    </row>
    <row r="561" spans="1:14" x14ac:dyDescent="0.3">
      <c r="A561" s="77"/>
      <c r="B561" s="106"/>
      <c r="F561" s="124"/>
      <c r="G561" s="125"/>
      <c r="J561" s="125"/>
      <c r="L561" s="107"/>
      <c r="M561" s="183"/>
      <c r="N561" s="108"/>
    </row>
    <row r="562" spans="1:14" x14ac:dyDescent="0.3">
      <c r="A562" s="77"/>
      <c r="B562" s="106"/>
      <c r="F562" s="124"/>
      <c r="G562" s="125"/>
      <c r="J562" s="125"/>
      <c r="L562" s="107"/>
      <c r="M562" s="183"/>
      <c r="N562" s="108"/>
    </row>
    <row r="563" spans="1:14" x14ac:dyDescent="0.3">
      <c r="A563" s="77"/>
      <c r="B563" s="106"/>
      <c r="F563" s="124"/>
      <c r="G563" s="125"/>
      <c r="J563" s="125"/>
      <c r="L563" s="107"/>
      <c r="M563" s="183"/>
      <c r="N563" s="108"/>
    </row>
    <row r="564" spans="1:14" x14ac:dyDescent="0.3">
      <c r="A564" s="77"/>
      <c r="B564" s="106"/>
      <c r="F564" s="124"/>
      <c r="G564" s="125"/>
      <c r="J564" s="125"/>
      <c r="L564" s="107"/>
      <c r="M564" s="183"/>
      <c r="N564" s="108"/>
    </row>
    <row r="565" spans="1:14" x14ac:dyDescent="0.3">
      <c r="A565" s="77"/>
      <c r="B565" s="106"/>
      <c r="F565" s="124"/>
      <c r="G565" s="125"/>
      <c r="J565" s="125"/>
      <c r="L565" s="107"/>
      <c r="M565" s="183"/>
      <c r="N565" s="108"/>
    </row>
    <row r="566" spans="1:14" x14ac:dyDescent="0.3">
      <c r="A566" s="77"/>
      <c r="B566" s="106"/>
      <c r="F566" s="124"/>
      <c r="G566" s="125"/>
      <c r="J566" s="125"/>
      <c r="L566" s="107"/>
      <c r="M566" s="183"/>
      <c r="N566" s="108"/>
    </row>
    <row r="567" spans="1:14" x14ac:dyDescent="0.3">
      <c r="A567" s="77"/>
      <c r="B567" s="106"/>
      <c r="F567" s="124"/>
      <c r="G567" s="125"/>
      <c r="J567" s="125"/>
      <c r="L567" s="107"/>
      <c r="M567" s="183"/>
      <c r="N567" s="108"/>
    </row>
    <row r="568" spans="1:14" x14ac:dyDescent="0.3">
      <c r="A568" s="77"/>
      <c r="B568" s="106"/>
      <c r="F568" s="124"/>
      <c r="G568" s="125"/>
      <c r="J568" s="125"/>
      <c r="L568" s="107"/>
      <c r="M568" s="183"/>
      <c r="N568" s="108"/>
    </row>
    <row r="569" spans="1:14" x14ac:dyDescent="0.3">
      <c r="A569" s="77"/>
      <c r="B569" s="106"/>
      <c r="F569" s="124"/>
      <c r="G569" s="125"/>
      <c r="J569" s="125"/>
      <c r="L569" s="107"/>
      <c r="M569" s="183"/>
      <c r="N569" s="108"/>
    </row>
    <row r="570" spans="1:14" x14ac:dyDescent="0.3">
      <c r="A570" s="77"/>
      <c r="B570" s="106"/>
      <c r="F570" s="124"/>
      <c r="G570" s="125"/>
      <c r="J570" s="125"/>
      <c r="L570" s="107"/>
      <c r="M570" s="183"/>
      <c r="N570" s="108"/>
    </row>
    <row r="571" spans="1:14" x14ac:dyDescent="0.3">
      <c r="A571" s="77"/>
      <c r="B571" s="106"/>
      <c r="F571" s="124"/>
      <c r="G571" s="125"/>
      <c r="J571" s="125"/>
      <c r="L571" s="107"/>
      <c r="M571" s="183"/>
      <c r="N571" s="108"/>
    </row>
    <row r="572" spans="1:14" x14ac:dyDescent="0.3">
      <c r="A572" s="77"/>
      <c r="B572" s="106"/>
      <c r="F572" s="124"/>
      <c r="G572" s="125"/>
      <c r="J572" s="125"/>
      <c r="L572" s="107"/>
      <c r="M572" s="183"/>
      <c r="N572" s="108"/>
    </row>
    <row r="573" spans="1:14" x14ac:dyDescent="0.3">
      <c r="A573" s="77"/>
      <c r="B573" s="106"/>
      <c r="F573" s="124"/>
      <c r="G573" s="125"/>
      <c r="J573" s="125"/>
      <c r="L573" s="107"/>
      <c r="M573" s="183"/>
      <c r="N573" s="108"/>
    </row>
    <row r="574" spans="1:14" x14ac:dyDescent="0.3">
      <c r="A574" s="77"/>
      <c r="B574" s="106"/>
      <c r="F574" s="124"/>
      <c r="G574" s="125"/>
      <c r="J574" s="125"/>
      <c r="L574" s="107"/>
      <c r="M574" s="183"/>
      <c r="N574" s="108"/>
    </row>
    <row r="575" spans="1:14" x14ac:dyDescent="0.3">
      <c r="A575" s="77"/>
      <c r="B575" s="106"/>
      <c r="F575" s="124"/>
      <c r="G575" s="125"/>
      <c r="J575" s="125"/>
      <c r="L575" s="107"/>
      <c r="M575" s="183"/>
      <c r="N575" s="108"/>
    </row>
    <row r="576" spans="1:14" x14ac:dyDescent="0.3">
      <c r="A576" s="77"/>
      <c r="B576" s="106"/>
      <c r="F576" s="124"/>
      <c r="G576" s="125"/>
      <c r="J576" s="125"/>
      <c r="L576" s="107"/>
      <c r="M576" s="183"/>
      <c r="N576" s="108"/>
    </row>
    <row r="577" spans="1:14" x14ac:dyDescent="0.3">
      <c r="A577" s="77"/>
      <c r="B577" s="106"/>
      <c r="F577" s="124"/>
      <c r="G577" s="125"/>
      <c r="J577" s="125"/>
      <c r="L577" s="107"/>
      <c r="M577" s="183"/>
      <c r="N577" s="108"/>
    </row>
    <row r="578" spans="1:14" x14ac:dyDescent="0.3">
      <c r="A578" s="77"/>
      <c r="B578" s="106"/>
      <c r="F578" s="124"/>
      <c r="G578" s="125"/>
      <c r="J578" s="125"/>
      <c r="L578" s="107"/>
      <c r="M578" s="183"/>
      <c r="N578" s="108"/>
    </row>
    <row r="579" spans="1:14" x14ac:dyDescent="0.3">
      <c r="A579" s="77"/>
      <c r="B579" s="106"/>
      <c r="F579" s="124"/>
      <c r="G579" s="125"/>
      <c r="J579" s="125"/>
      <c r="L579" s="107"/>
      <c r="M579" s="183"/>
      <c r="N579" s="108"/>
    </row>
    <row r="580" spans="1:14" x14ac:dyDescent="0.3">
      <c r="A580" s="77"/>
      <c r="B580" s="106"/>
      <c r="F580" s="124"/>
      <c r="G580" s="125"/>
      <c r="J580" s="125"/>
      <c r="L580" s="107"/>
      <c r="M580" s="183"/>
      <c r="N580" s="108"/>
    </row>
    <row r="581" spans="1:14" x14ac:dyDescent="0.3">
      <c r="A581" s="77"/>
      <c r="B581" s="106"/>
      <c r="F581" s="124"/>
      <c r="G581" s="125"/>
      <c r="J581" s="125"/>
      <c r="L581" s="107"/>
      <c r="M581" s="183"/>
      <c r="N581" s="108"/>
    </row>
    <row r="582" spans="1:14" x14ac:dyDescent="0.3">
      <c r="A582" s="77"/>
      <c r="B582" s="106"/>
      <c r="F582" s="124"/>
      <c r="G582" s="125"/>
      <c r="J582" s="125"/>
      <c r="L582" s="107"/>
      <c r="M582" s="183"/>
      <c r="N582" s="108"/>
    </row>
    <row r="583" spans="1:14" x14ac:dyDescent="0.3">
      <c r="A583" s="77"/>
      <c r="B583" s="106"/>
      <c r="F583" s="124"/>
      <c r="G583" s="125"/>
      <c r="J583" s="125"/>
      <c r="L583" s="107"/>
      <c r="M583" s="183"/>
      <c r="N583" s="108"/>
    </row>
    <row r="584" spans="1:14" x14ac:dyDescent="0.3">
      <c r="A584" s="77"/>
      <c r="B584" s="106"/>
      <c r="F584" s="124"/>
      <c r="G584" s="125"/>
      <c r="J584" s="125"/>
      <c r="L584" s="107"/>
      <c r="M584" s="183"/>
      <c r="N584" s="108"/>
    </row>
    <row r="585" spans="1:14" x14ac:dyDescent="0.3">
      <c r="A585" s="77"/>
      <c r="B585" s="106"/>
      <c r="F585" s="124"/>
      <c r="G585" s="125"/>
      <c r="J585" s="125"/>
      <c r="L585" s="107"/>
      <c r="M585" s="183"/>
      <c r="N585" s="108"/>
    </row>
    <row r="586" spans="1:14" x14ac:dyDescent="0.3">
      <c r="A586" s="77"/>
      <c r="B586" s="106"/>
      <c r="F586" s="124"/>
      <c r="G586" s="125"/>
      <c r="J586" s="125"/>
      <c r="L586" s="107"/>
      <c r="M586" s="183"/>
      <c r="N586" s="108"/>
    </row>
    <row r="587" spans="1:14" x14ac:dyDescent="0.3">
      <c r="A587" s="77"/>
      <c r="B587" s="106"/>
      <c r="F587" s="124"/>
      <c r="G587" s="125"/>
      <c r="J587" s="125"/>
      <c r="L587" s="107"/>
      <c r="M587" s="183"/>
      <c r="N587" s="108"/>
    </row>
    <row r="588" spans="1:14" x14ac:dyDescent="0.3">
      <c r="A588" s="77"/>
      <c r="B588" s="106"/>
      <c r="F588" s="124"/>
      <c r="G588" s="125"/>
      <c r="J588" s="125"/>
      <c r="L588" s="107"/>
      <c r="M588" s="183"/>
      <c r="N588" s="108"/>
    </row>
    <row r="589" spans="1:14" x14ac:dyDescent="0.3">
      <c r="A589" s="77"/>
      <c r="B589" s="106"/>
      <c r="F589" s="124"/>
      <c r="G589" s="125"/>
      <c r="J589" s="125"/>
      <c r="L589" s="107"/>
      <c r="M589" s="183"/>
      <c r="N589" s="108"/>
    </row>
    <row r="590" spans="1:14" x14ac:dyDescent="0.3">
      <c r="A590" s="77"/>
      <c r="B590" s="106"/>
      <c r="F590" s="124"/>
      <c r="G590" s="125"/>
      <c r="J590" s="125"/>
      <c r="L590" s="107"/>
      <c r="M590" s="183"/>
      <c r="N590" s="108"/>
    </row>
    <row r="591" spans="1:14" x14ac:dyDescent="0.3">
      <c r="A591" s="77"/>
      <c r="B591" s="106"/>
      <c r="F591" s="124"/>
      <c r="G591" s="125"/>
      <c r="J591" s="125"/>
      <c r="L591" s="107"/>
      <c r="M591" s="183"/>
      <c r="N591" s="108"/>
    </row>
    <row r="592" spans="1:14" x14ac:dyDescent="0.3">
      <c r="A592" s="77"/>
      <c r="B592" s="106"/>
      <c r="F592" s="124"/>
      <c r="G592" s="125"/>
      <c r="J592" s="125"/>
      <c r="L592" s="107"/>
      <c r="M592" s="183"/>
      <c r="N592" s="108"/>
    </row>
    <row r="593" spans="1:14" x14ac:dyDescent="0.3">
      <c r="A593" s="77"/>
      <c r="B593" s="106"/>
      <c r="F593" s="124"/>
      <c r="G593" s="125"/>
      <c r="J593" s="125"/>
      <c r="L593" s="107"/>
      <c r="M593" s="183"/>
      <c r="N593" s="108"/>
    </row>
    <row r="594" spans="1:14" x14ac:dyDescent="0.3">
      <c r="A594" s="77"/>
      <c r="B594" s="106"/>
      <c r="F594" s="124"/>
      <c r="G594" s="125"/>
      <c r="J594" s="125"/>
      <c r="L594" s="107"/>
      <c r="M594" s="183"/>
      <c r="N594" s="108"/>
    </row>
    <row r="595" spans="1:14" x14ac:dyDescent="0.3">
      <c r="A595" s="77"/>
      <c r="B595" s="106"/>
      <c r="F595" s="124"/>
      <c r="G595" s="125"/>
      <c r="J595" s="125"/>
      <c r="L595" s="107"/>
      <c r="M595" s="183"/>
      <c r="N595" s="108"/>
    </row>
    <row r="596" spans="1:14" x14ac:dyDescent="0.3">
      <c r="A596" s="77"/>
      <c r="B596" s="106"/>
      <c r="F596" s="124"/>
      <c r="G596" s="125"/>
      <c r="J596" s="125"/>
      <c r="L596" s="107"/>
      <c r="M596" s="183"/>
      <c r="N596" s="108"/>
    </row>
    <row r="597" spans="1:14" x14ac:dyDescent="0.3">
      <c r="A597" s="77"/>
      <c r="B597" s="106"/>
      <c r="F597" s="124"/>
      <c r="G597" s="125"/>
      <c r="J597" s="125"/>
      <c r="L597" s="107"/>
      <c r="M597" s="183"/>
      <c r="N597" s="108"/>
    </row>
    <row r="598" spans="1:14" x14ac:dyDescent="0.3">
      <c r="A598" s="77"/>
      <c r="B598" s="106"/>
      <c r="F598" s="124"/>
      <c r="G598" s="125"/>
      <c r="J598" s="125"/>
      <c r="L598" s="107"/>
      <c r="M598" s="183"/>
      <c r="N598" s="108"/>
    </row>
    <row r="599" spans="1:14" x14ac:dyDescent="0.3">
      <c r="A599" s="77"/>
      <c r="B599" s="106"/>
      <c r="F599" s="124"/>
      <c r="G599" s="125"/>
      <c r="J599" s="125"/>
      <c r="L599" s="107"/>
      <c r="M599" s="183"/>
      <c r="N599" s="108"/>
    </row>
    <row r="600" spans="1:14" x14ac:dyDescent="0.3">
      <c r="A600" s="77"/>
      <c r="B600" s="106"/>
      <c r="F600" s="124"/>
      <c r="G600" s="125"/>
      <c r="J600" s="125"/>
      <c r="L600" s="107"/>
      <c r="M600" s="183"/>
      <c r="N600" s="108"/>
    </row>
    <row r="601" spans="1:14" x14ac:dyDescent="0.3">
      <c r="A601" s="77"/>
      <c r="B601" s="106"/>
      <c r="F601" s="124"/>
      <c r="G601" s="125"/>
      <c r="J601" s="125"/>
      <c r="L601" s="107"/>
      <c r="M601" s="183"/>
      <c r="N601" s="108"/>
    </row>
    <row r="602" spans="1:14" x14ac:dyDescent="0.3">
      <c r="A602" s="77"/>
      <c r="B602" s="106"/>
      <c r="F602" s="124"/>
      <c r="G602" s="125"/>
      <c r="J602" s="125"/>
      <c r="L602" s="107"/>
      <c r="M602" s="183"/>
      <c r="N602" s="108"/>
    </row>
    <row r="603" spans="1:14" x14ac:dyDescent="0.3">
      <c r="A603" s="77"/>
      <c r="B603" s="106"/>
      <c r="F603" s="124"/>
      <c r="G603" s="125"/>
      <c r="J603" s="125"/>
      <c r="L603" s="107"/>
      <c r="M603" s="183"/>
      <c r="N603" s="108"/>
    </row>
    <row r="604" spans="1:14" x14ac:dyDescent="0.3">
      <c r="A604" s="77"/>
      <c r="B604" s="106"/>
      <c r="F604" s="124"/>
      <c r="G604" s="125"/>
      <c r="J604" s="125"/>
      <c r="L604" s="107"/>
      <c r="M604" s="183"/>
      <c r="N604" s="108"/>
    </row>
    <row r="605" spans="1:14" x14ac:dyDescent="0.3">
      <c r="A605" s="77"/>
      <c r="B605" s="106"/>
      <c r="F605" s="124"/>
      <c r="G605" s="125"/>
      <c r="J605" s="125"/>
      <c r="L605" s="107"/>
      <c r="M605" s="183"/>
      <c r="N605" s="108"/>
    </row>
    <row r="606" spans="1:14" x14ac:dyDescent="0.3">
      <c r="A606" s="77"/>
      <c r="B606" s="106"/>
      <c r="F606" s="124"/>
      <c r="G606" s="125"/>
      <c r="J606" s="125"/>
      <c r="L606" s="107"/>
      <c r="M606" s="183"/>
      <c r="N606" s="108"/>
    </row>
    <row r="607" spans="1:14" x14ac:dyDescent="0.3">
      <c r="A607" s="77"/>
      <c r="B607" s="106"/>
      <c r="F607" s="124"/>
      <c r="G607" s="125"/>
      <c r="J607" s="125"/>
      <c r="L607" s="107"/>
      <c r="M607" s="183"/>
      <c r="N607" s="108"/>
    </row>
    <row r="608" spans="1:14" x14ac:dyDescent="0.3">
      <c r="A608" s="77"/>
      <c r="B608" s="106"/>
      <c r="F608" s="124"/>
      <c r="G608" s="125"/>
      <c r="J608" s="125"/>
      <c r="L608" s="107"/>
      <c r="M608" s="183"/>
      <c r="N608" s="108"/>
    </row>
    <row r="609" spans="1:14" x14ac:dyDescent="0.3">
      <c r="A609" s="77"/>
      <c r="B609" s="106"/>
      <c r="F609" s="124"/>
      <c r="G609" s="125"/>
      <c r="J609" s="125"/>
      <c r="L609" s="107"/>
      <c r="M609" s="183"/>
      <c r="N609" s="108"/>
    </row>
    <row r="610" spans="1:14" x14ac:dyDescent="0.3">
      <c r="A610" s="77"/>
      <c r="B610" s="106"/>
      <c r="F610" s="124"/>
      <c r="G610" s="125"/>
      <c r="J610" s="125"/>
      <c r="L610" s="107"/>
      <c r="M610" s="183"/>
      <c r="N610" s="108"/>
    </row>
    <row r="611" spans="1:14" x14ac:dyDescent="0.3">
      <c r="A611" s="77"/>
      <c r="B611" s="106"/>
      <c r="F611" s="124"/>
      <c r="G611" s="125"/>
      <c r="J611" s="125"/>
      <c r="L611" s="107"/>
      <c r="M611" s="183"/>
      <c r="N611" s="108"/>
    </row>
    <row r="612" spans="1:14" x14ac:dyDescent="0.3">
      <c r="A612" s="77"/>
      <c r="B612" s="106"/>
      <c r="F612" s="124"/>
      <c r="G612" s="125"/>
      <c r="J612" s="125"/>
      <c r="L612" s="107"/>
      <c r="M612" s="183"/>
      <c r="N612" s="108"/>
    </row>
    <row r="613" spans="1:14" x14ac:dyDescent="0.3">
      <c r="A613" s="77"/>
      <c r="B613" s="106"/>
      <c r="F613" s="124"/>
      <c r="G613" s="125"/>
      <c r="J613" s="125"/>
      <c r="L613" s="107"/>
      <c r="M613" s="183"/>
      <c r="N613" s="108"/>
    </row>
    <row r="614" spans="1:14" x14ac:dyDescent="0.3">
      <c r="A614" s="77"/>
      <c r="B614" s="106"/>
      <c r="F614" s="124"/>
      <c r="G614" s="125"/>
      <c r="J614" s="125"/>
      <c r="L614" s="107"/>
      <c r="M614" s="183"/>
      <c r="N614" s="108"/>
    </row>
    <row r="615" spans="1:14" x14ac:dyDescent="0.3">
      <c r="A615" s="77"/>
      <c r="B615" s="106"/>
      <c r="F615" s="124"/>
      <c r="G615" s="125"/>
      <c r="J615" s="125"/>
      <c r="L615" s="107"/>
      <c r="M615" s="183"/>
      <c r="N615" s="108"/>
    </row>
    <row r="616" spans="1:14" x14ac:dyDescent="0.3">
      <c r="A616" s="77"/>
      <c r="B616" s="106"/>
      <c r="F616" s="124"/>
      <c r="G616" s="125"/>
      <c r="J616" s="125"/>
      <c r="L616" s="107"/>
      <c r="M616" s="183"/>
      <c r="N616" s="108"/>
    </row>
    <row r="617" spans="1:14" x14ac:dyDescent="0.3">
      <c r="A617" s="77"/>
      <c r="B617" s="106"/>
      <c r="F617" s="124"/>
      <c r="G617" s="125"/>
      <c r="J617" s="125"/>
      <c r="L617" s="107"/>
      <c r="M617" s="183"/>
      <c r="N617" s="108"/>
    </row>
    <row r="618" spans="1:14" x14ac:dyDescent="0.3">
      <c r="A618" s="77"/>
      <c r="B618" s="106"/>
      <c r="F618" s="124"/>
      <c r="G618" s="125"/>
      <c r="J618" s="125"/>
      <c r="L618" s="107"/>
      <c r="M618" s="183"/>
      <c r="N618" s="108"/>
    </row>
    <row r="619" spans="1:14" x14ac:dyDescent="0.3">
      <c r="A619" s="77"/>
      <c r="B619" s="106"/>
      <c r="F619" s="124"/>
      <c r="G619" s="125"/>
      <c r="J619" s="125"/>
      <c r="L619" s="107"/>
      <c r="M619" s="183"/>
      <c r="N619" s="108"/>
    </row>
    <row r="620" spans="1:14" x14ac:dyDescent="0.3">
      <c r="A620" s="77"/>
      <c r="B620" s="106"/>
      <c r="F620" s="124"/>
      <c r="G620" s="125"/>
      <c r="J620" s="125"/>
      <c r="L620" s="107"/>
      <c r="M620" s="183"/>
      <c r="N620" s="108"/>
    </row>
    <row r="621" spans="1:14" x14ac:dyDescent="0.3">
      <c r="A621" s="77"/>
      <c r="B621" s="106"/>
      <c r="F621" s="124"/>
      <c r="G621" s="125"/>
      <c r="J621" s="125"/>
      <c r="L621" s="107"/>
      <c r="M621" s="183"/>
      <c r="N621" s="108"/>
    </row>
    <row r="622" spans="1:14" x14ac:dyDescent="0.3">
      <c r="A622" s="77"/>
      <c r="B622" s="106"/>
      <c r="F622" s="124"/>
      <c r="G622" s="125"/>
      <c r="J622" s="125"/>
      <c r="L622" s="107"/>
      <c r="M622" s="183"/>
      <c r="N622" s="108"/>
    </row>
    <row r="623" spans="1:14" x14ac:dyDescent="0.3">
      <c r="A623" s="77"/>
      <c r="B623" s="106"/>
      <c r="F623" s="124"/>
      <c r="G623" s="125"/>
      <c r="J623" s="125"/>
      <c r="L623" s="107"/>
      <c r="M623" s="183"/>
      <c r="N623" s="108"/>
    </row>
    <row r="624" spans="1:14" x14ac:dyDescent="0.3">
      <c r="A624" s="77"/>
      <c r="B624" s="106"/>
      <c r="F624" s="124"/>
      <c r="G624" s="125"/>
      <c r="J624" s="125"/>
      <c r="L624" s="107"/>
      <c r="M624" s="183"/>
      <c r="N624" s="108"/>
    </row>
    <row r="625" spans="1:14" x14ac:dyDescent="0.3">
      <c r="A625" s="77"/>
      <c r="B625" s="106"/>
      <c r="F625" s="124"/>
      <c r="G625" s="125"/>
      <c r="J625" s="125"/>
      <c r="L625" s="107"/>
      <c r="M625" s="183"/>
      <c r="N625" s="108"/>
    </row>
    <row r="626" spans="1:14" x14ac:dyDescent="0.3">
      <c r="A626" s="77"/>
      <c r="B626" s="106"/>
      <c r="F626" s="124"/>
      <c r="G626" s="125"/>
      <c r="J626" s="125"/>
      <c r="L626" s="107"/>
      <c r="M626" s="183"/>
      <c r="N626" s="108"/>
    </row>
    <row r="627" spans="1:14" x14ac:dyDescent="0.3">
      <c r="A627" s="77"/>
      <c r="B627" s="106"/>
      <c r="F627" s="124"/>
      <c r="G627" s="125"/>
      <c r="J627" s="125"/>
      <c r="L627" s="107"/>
      <c r="M627" s="183"/>
      <c r="N627" s="108"/>
    </row>
    <row r="628" spans="1:14" x14ac:dyDescent="0.3">
      <c r="A628" s="77"/>
      <c r="B628" s="106"/>
      <c r="F628" s="124"/>
      <c r="G628" s="125"/>
      <c r="J628" s="125"/>
      <c r="L628" s="107"/>
      <c r="M628" s="183"/>
      <c r="N628" s="108"/>
    </row>
    <row r="629" spans="1:14" x14ac:dyDescent="0.3">
      <c r="A629" s="77"/>
      <c r="B629" s="106"/>
      <c r="F629" s="124"/>
      <c r="G629" s="125"/>
      <c r="J629" s="125"/>
      <c r="L629" s="107"/>
      <c r="M629" s="183"/>
      <c r="N629" s="108"/>
    </row>
    <row r="630" spans="1:14" x14ac:dyDescent="0.3">
      <c r="A630" s="77"/>
      <c r="B630" s="106"/>
      <c r="F630" s="124"/>
      <c r="G630" s="125"/>
      <c r="J630" s="125"/>
      <c r="L630" s="107"/>
      <c r="M630" s="183"/>
      <c r="N630" s="108"/>
    </row>
    <row r="631" spans="1:14" x14ac:dyDescent="0.3">
      <c r="A631" s="77"/>
      <c r="B631" s="106"/>
      <c r="F631" s="124"/>
      <c r="G631" s="125"/>
      <c r="J631" s="125"/>
      <c r="L631" s="107"/>
      <c r="M631" s="183"/>
      <c r="N631" s="108"/>
    </row>
    <row r="632" spans="1:14" x14ac:dyDescent="0.3">
      <c r="A632" s="77"/>
      <c r="B632" s="106"/>
      <c r="F632" s="124"/>
      <c r="G632" s="125"/>
      <c r="J632" s="125"/>
      <c r="L632" s="107"/>
      <c r="M632" s="183"/>
      <c r="N632" s="108"/>
    </row>
    <row r="633" spans="1:14" x14ac:dyDescent="0.3">
      <c r="A633" s="77"/>
      <c r="B633" s="106"/>
      <c r="F633" s="124"/>
      <c r="G633" s="125"/>
      <c r="J633" s="125"/>
      <c r="L633" s="107"/>
      <c r="M633" s="183"/>
      <c r="N633" s="108"/>
    </row>
    <row r="634" spans="1:14" x14ac:dyDescent="0.3">
      <c r="A634" s="77"/>
      <c r="B634" s="106"/>
      <c r="F634" s="124"/>
      <c r="G634" s="125"/>
      <c r="J634" s="125"/>
      <c r="L634" s="107"/>
      <c r="M634" s="183"/>
      <c r="N634" s="108"/>
    </row>
    <row r="635" spans="1:14" x14ac:dyDescent="0.3">
      <c r="A635" s="77"/>
      <c r="B635" s="106"/>
      <c r="F635" s="124"/>
      <c r="G635" s="125"/>
      <c r="J635" s="125"/>
      <c r="L635" s="107"/>
      <c r="M635" s="183"/>
      <c r="N635" s="108"/>
    </row>
    <row r="636" spans="1:14" x14ac:dyDescent="0.3">
      <c r="A636" s="77"/>
      <c r="B636" s="106"/>
      <c r="F636" s="124"/>
      <c r="G636" s="125"/>
      <c r="J636" s="125"/>
      <c r="L636" s="107"/>
      <c r="M636" s="183"/>
      <c r="N636" s="108"/>
    </row>
    <row r="637" spans="1:14" x14ac:dyDescent="0.3">
      <c r="A637" s="77"/>
      <c r="B637" s="106"/>
      <c r="F637" s="124"/>
      <c r="G637" s="125"/>
      <c r="J637" s="125"/>
      <c r="L637" s="107"/>
      <c r="M637" s="183"/>
      <c r="N637" s="108"/>
    </row>
    <row r="638" spans="1:14" x14ac:dyDescent="0.3">
      <c r="A638" s="77"/>
      <c r="B638" s="106"/>
      <c r="F638" s="124"/>
      <c r="G638" s="125"/>
      <c r="J638" s="125"/>
      <c r="L638" s="107"/>
      <c r="M638" s="183"/>
      <c r="N638" s="108"/>
    </row>
    <row r="639" spans="1:14" x14ac:dyDescent="0.3">
      <c r="A639" s="77"/>
      <c r="B639" s="106"/>
      <c r="F639" s="124"/>
      <c r="G639" s="125"/>
      <c r="J639" s="125"/>
      <c r="L639" s="107"/>
      <c r="M639" s="183"/>
      <c r="N639" s="108"/>
    </row>
    <row r="640" spans="1:14" x14ac:dyDescent="0.3">
      <c r="A640" s="77"/>
      <c r="B640" s="106"/>
      <c r="F640" s="124"/>
      <c r="G640" s="125"/>
      <c r="J640" s="125"/>
      <c r="L640" s="107"/>
      <c r="M640" s="183"/>
      <c r="N640" s="108"/>
    </row>
    <row r="641" spans="1:14" x14ac:dyDescent="0.3">
      <c r="A641" s="77"/>
      <c r="B641" s="106"/>
      <c r="F641" s="124"/>
      <c r="G641" s="125"/>
      <c r="J641" s="125"/>
      <c r="L641" s="107"/>
      <c r="M641" s="183"/>
      <c r="N641" s="108"/>
    </row>
    <row r="642" spans="1:14" x14ac:dyDescent="0.3">
      <c r="A642" s="77"/>
      <c r="B642" s="106"/>
      <c r="F642" s="124"/>
      <c r="G642" s="125"/>
      <c r="J642" s="125"/>
      <c r="L642" s="107"/>
      <c r="M642" s="183"/>
      <c r="N642" s="108"/>
    </row>
    <row r="643" spans="1:14" x14ac:dyDescent="0.3">
      <c r="A643" s="77"/>
      <c r="B643" s="106"/>
      <c r="F643" s="124"/>
      <c r="G643" s="125"/>
      <c r="J643" s="125"/>
      <c r="L643" s="107"/>
      <c r="M643" s="183"/>
      <c r="N643" s="108"/>
    </row>
    <row r="644" spans="1:14" x14ac:dyDescent="0.3">
      <c r="A644" s="77"/>
      <c r="B644" s="106"/>
      <c r="F644" s="124"/>
      <c r="G644" s="125"/>
      <c r="J644" s="125"/>
      <c r="L644" s="107"/>
      <c r="M644" s="183"/>
      <c r="N644" s="108"/>
    </row>
    <row r="645" spans="1:14" x14ac:dyDescent="0.3">
      <c r="A645" s="77"/>
      <c r="B645" s="106"/>
      <c r="F645" s="124"/>
      <c r="G645" s="125"/>
      <c r="J645" s="125"/>
      <c r="L645" s="107"/>
      <c r="M645" s="183"/>
      <c r="N645" s="108"/>
    </row>
    <row r="646" spans="1:14" x14ac:dyDescent="0.3">
      <c r="A646" s="77"/>
      <c r="B646" s="106"/>
      <c r="F646" s="124"/>
      <c r="G646" s="125"/>
      <c r="J646" s="125"/>
      <c r="L646" s="107"/>
      <c r="M646" s="183"/>
      <c r="N646" s="108"/>
    </row>
    <row r="647" spans="1:14" x14ac:dyDescent="0.3">
      <c r="A647" s="77"/>
      <c r="B647" s="106"/>
      <c r="F647" s="124"/>
      <c r="G647" s="125"/>
      <c r="J647" s="125"/>
      <c r="L647" s="107"/>
      <c r="M647" s="183"/>
      <c r="N647" s="108"/>
    </row>
    <row r="648" spans="1:14" x14ac:dyDescent="0.3">
      <c r="A648" s="77"/>
      <c r="B648" s="106"/>
      <c r="F648" s="124"/>
      <c r="G648" s="125"/>
      <c r="J648" s="125"/>
      <c r="L648" s="107"/>
      <c r="M648" s="183"/>
      <c r="N648" s="108"/>
    </row>
    <row r="649" spans="1:14" x14ac:dyDescent="0.3">
      <c r="A649" s="77"/>
      <c r="B649" s="106"/>
      <c r="F649" s="124"/>
      <c r="G649" s="125"/>
      <c r="J649" s="125"/>
      <c r="L649" s="107"/>
      <c r="M649" s="183"/>
      <c r="N649" s="108"/>
    </row>
    <row r="650" spans="1:14" x14ac:dyDescent="0.3">
      <c r="A650" s="77"/>
      <c r="B650" s="106"/>
      <c r="F650" s="124"/>
      <c r="G650" s="125"/>
      <c r="J650" s="125"/>
      <c r="L650" s="107"/>
      <c r="M650" s="183"/>
      <c r="N650" s="108"/>
    </row>
    <row r="651" spans="1:14" x14ac:dyDescent="0.3">
      <c r="A651" s="77"/>
      <c r="B651" s="106"/>
      <c r="F651" s="124"/>
      <c r="G651" s="125"/>
      <c r="J651" s="125"/>
      <c r="L651" s="107"/>
      <c r="M651" s="183"/>
      <c r="N651" s="108"/>
    </row>
    <row r="652" spans="1:14" x14ac:dyDescent="0.3">
      <c r="A652" s="77"/>
      <c r="B652" s="106"/>
      <c r="F652" s="124"/>
      <c r="G652" s="125"/>
      <c r="J652" s="125"/>
      <c r="L652" s="107"/>
      <c r="M652" s="183"/>
      <c r="N652" s="108"/>
    </row>
    <row r="653" spans="1:14" x14ac:dyDescent="0.3">
      <c r="A653" s="77"/>
      <c r="B653" s="106"/>
      <c r="F653" s="124"/>
      <c r="G653" s="125"/>
      <c r="J653" s="125"/>
      <c r="L653" s="107"/>
      <c r="M653" s="183"/>
      <c r="N653" s="108"/>
    </row>
    <row r="654" spans="1:14" x14ac:dyDescent="0.3">
      <c r="A654" s="77"/>
      <c r="B654" s="106"/>
      <c r="F654" s="124"/>
      <c r="G654" s="125"/>
      <c r="J654" s="125"/>
      <c r="L654" s="107"/>
      <c r="M654" s="183"/>
      <c r="N654" s="108"/>
    </row>
    <row r="655" spans="1:14" x14ac:dyDescent="0.3">
      <c r="A655" s="77"/>
      <c r="B655" s="106"/>
      <c r="F655" s="124"/>
      <c r="G655" s="125"/>
      <c r="J655" s="125"/>
      <c r="L655" s="107"/>
      <c r="M655" s="183"/>
      <c r="N655" s="108"/>
    </row>
    <row r="656" spans="1:14" x14ac:dyDescent="0.3">
      <c r="A656" s="77"/>
      <c r="B656" s="106"/>
      <c r="F656" s="124"/>
      <c r="G656" s="125"/>
      <c r="J656" s="125"/>
      <c r="L656" s="107"/>
      <c r="M656" s="183"/>
      <c r="N656" s="108"/>
    </row>
    <row r="657" spans="1:14" x14ac:dyDescent="0.3">
      <c r="A657" s="77"/>
      <c r="B657" s="106"/>
      <c r="F657" s="124"/>
      <c r="G657" s="125"/>
      <c r="J657" s="125"/>
      <c r="L657" s="107"/>
      <c r="M657" s="183"/>
      <c r="N657" s="108"/>
    </row>
    <row r="658" spans="1:14" x14ac:dyDescent="0.3">
      <c r="A658" s="77"/>
      <c r="B658" s="106"/>
      <c r="F658" s="124"/>
      <c r="G658" s="125"/>
      <c r="J658" s="125"/>
      <c r="L658" s="107"/>
      <c r="M658" s="183"/>
      <c r="N658" s="108"/>
    </row>
    <row r="659" spans="1:14" x14ac:dyDescent="0.3">
      <c r="A659" s="77"/>
      <c r="B659" s="106"/>
      <c r="F659" s="124"/>
      <c r="G659" s="125"/>
      <c r="J659" s="125"/>
      <c r="L659" s="107"/>
      <c r="M659" s="183"/>
      <c r="N659" s="108"/>
    </row>
    <row r="660" spans="1:14" x14ac:dyDescent="0.3">
      <c r="A660" s="77"/>
      <c r="B660" s="106"/>
      <c r="F660" s="124"/>
      <c r="G660" s="125"/>
      <c r="J660" s="125"/>
      <c r="L660" s="107"/>
      <c r="M660" s="183"/>
      <c r="N660" s="108"/>
    </row>
    <row r="661" spans="1:14" x14ac:dyDescent="0.3">
      <c r="A661" s="77"/>
      <c r="B661" s="106"/>
      <c r="F661" s="124"/>
      <c r="G661" s="125"/>
      <c r="J661" s="125"/>
      <c r="L661" s="107"/>
      <c r="M661" s="183"/>
      <c r="N661" s="108"/>
    </row>
    <row r="662" spans="1:14" x14ac:dyDescent="0.3">
      <c r="A662" s="77"/>
      <c r="B662" s="106"/>
      <c r="F662" s="124"/>
      <c r="G662" s="125"/>
      <c r="J662" s="125"/>
      <c r="L662" s="107"/>
      <c r="M662" s="183"/>
      <c r="N662" s="108"/>
    </row>
    <row r="663" spans="1:14" x14ac:dyDescent="0.3">
      <c r="A663" s="77"/>
      <c r="B663" s="106"/>
      <c r="F663" s="124"/>
      <c r="G663" s="125"/>
      <c r="J663" s="125"/>
      <c r="L663" s="107"/>
      <c r="M663" s="183"/>
      <c r="N663" s="108"/>
    </row>
    <row r="664" spans="1:14" x14ac:dyDescent="0.3">
      <c r="A664" s="77"/>
      <c r="B664" s="106"/>
      <c r="F664" s="124"/>
      <c r="G664" s="125"/>
      <c r="J664" s="125"/>
      <c r="L664" s="107"/>
      <c r="M664" s="183"/>
      <c r="N664" s="108"/>
    </row>
    <row r="665" spans="1:14" x14ac:dyDescent="0.3">
      <c r="A665" s="77"/>
      <c r="B665" s="106"/>
      <c r="F665" s="124"/>
      <c r="G665" s="125"/>
      <c r="J665" s="125"/>
      <c r="L665" s="107"/>
      <c r="M665" s="183"/>
      <c r="N665" s="108"/>
    </row>
    <row r="666" spans="1:14" x14ac:dyDescent="0.3">
      <c r="A666" s="77"/>
      <c r="B666" s="106"/>
      <c r="F666" s="124"/>
      <c r="G666" s="125"/>
      <c r="J666" s="125"/>
      <c r="L666" s="107"/>
      <c r="M666" s="183"/>
      <c r="N666" s="108"/>
    </row>
    <row r="667" spans="1:14" x14ac:dyDescent="0.3">
      <c r="A667" s="77"/>
      <c r="B667" s="106"/>
      <c r="F667" s="124"/>
      <c r="G667" s="125"/>
      <c r="J667" s="125"/>
      <c r="L667" s="107"/>
      <c r="M667" s="183"/>
      <c r="N667" s="108"/>
    </row>
    <row r="668" spans="1:14" x14ac:dyDescent="0.3">
      <c r="A668" s="77"/>
      <c r="B668" s="106"/>
      <c r="F668" s="124"/>
      <c r="G668" s="125"/>
      <c r="J668" s="125"/>
      <c r="L668" s="107"/>
      <c r="M668" s="183"/>
      <c r="N668" s="108"/>
    </row>
    <row r="669" spans="1:14" x14ac:dyDescent="0.3">
      <c r="A669" s="77"/>
      <c r="B669" s="106"/>
      <c r="F669" s="124"/>
      <c r="G669" s="125"/>
      <c r="J669" s="125"/>
      <c r="L669" s="107"/>
      <c r="M669" s="183"/>
      <c r="N669" s="108"/>
    </row>
    <row r="670" spans="1:14" x14ac:dyDescent="0.3">
      <c r="A670" s="77"/>
      <c r="B670" s="106"/>
      <c r="F670" s="124"/>
      <c r="G670" s="125"/>
      <c r="J670" s="125"/>
      <c r="L670" s="107"/>
      <c r="M670" s="183"/>
      <c r="N670" s="108"/>
    </row>
    <row r="671" spans="1:14" x14ac:dyDescent="0.3">
      <c r="A671" s="77"/>
      <c r="B671" s="106"/>
      <c r="F671" s="124"/>
      <c r="G671" s="125"/>
      <c r="J671" s="125"/>
      <c r="L671" s="107"/>
      <c r="M671" s="183"/>
      <c r="N671" s="108"/>
    </row>
    <row r="672" spans="1:14" x14ac:dyDescent="0.3">
      <c r="A672" s="77"/>
      <c r="B672" s="106"/>
      <c r="F672" s="124"/>
      <c r="G672" s="125"/>
      <c r="J672" s="125"/>
      <c r="L672" s="107"/>
      <c r="M672" s="183"/>
      <c r="N672" s="108"/>
    </row>
    <row r="673" spans="1:14" x14ac:dyDescent="0.3">
      <c r="A673" s="77"/>
      <c r="B673" s="106"/>
      <c r="F673" s="124"/>
      <c r="G673" s="125"/>
      <c r="J673" s="125"/>
      <c r="L673" s="107"/>
      <c r="M673" s="183"/>
      <c r="N673" s="108"/>
    </row>
    <row r="674" spans="1:14" x14ac:dyDescent="0.3">
      <c r="A674" s="77"/>
      <c r="B674" s="106"/>
      <c r="F674" s="124"/>
      <c r="G674" s="125"/>
      <c r="J674" s="125"/>
      <c r="L674" s="107"/>
      <c r="M674" s="183"/>
      <c r="N674" s="108"/>
    </row>
    <row r="675" spans="1:14" x14ac:dyDescent="0.3">
      <c r="A675" s="77"/>
      <c r="B675" s="106"/>
      <c r="F675" s="124"/>
      <c r="G675" s="125"/>
      <c r="J675" s="125"/>
      <c r="L675" s="107"/>
      <c r="M675" s="183"/>
      <c r="N675" s="108"/>
    </row>
    <row r="676" spans="1:14" x14ac:dyDescent="0.3">
      <c r="A676" s="77"/>
      <c r="B676" s="106"/>
      <c r="F676" s="124"/>
      <c r="G676" s="125"/>
      <c r="J676" s="125"/>
      <c r="L676" s="107"/>
      <c r="M676" s="183"/>
      <c r="N676" s="108"/>
    </row>
    <row r="677" spans="1:14" x14ac:dyDescent="0.3">
      <c r="A677" s="77"/>
      <c r="B677" s="106"/>
      <c r="F677" s="124"/>
      <c r="G677" s="125"/>
      <c r="J677" s="125"/>
      <c r="L677" s="107"/>
      <c r="M677" s="183"/>
      <c r="N677" s="108"/>
    </row>
    <row r="678" spans="1:14" x14ac:dyDescent="0.3">
      <c r="A678" s="77"/>
      <c r="B678" s="106"/>
      <c r="F678" s="124"/>
      <c r="G678" s="125"/>
      <c r="J678" s="125"/>
      <c r="L678" s="107"/>
      <c r="M678" s="183"/>
      <c r="N678" s="108"/>
    </row>
    <row r="679" spans="1:14" x14ac:dyDescent="0.3">
      <c r="A679" s="77"/>
      <c r="B679" s="106"/>
      <c r="F679" s="124"/>
      <c r="G679" s="125"/>
      <c r="J679" s="125"/>
      <c r="L679" s="107"/>
      <c r="M679" s="183"/>
      <c r="N679" s="108"/>
    </row>
    <row r="680" spans="1:14" x14ac:dyDescent="0.3">
      <c r="A680" s="77"/>
      <c r="B680" s="106"/>
      <c r="F680" s="124"/>
      <c r="G680" s="125"/>
      <c r="J680" s="125"/>
      <c r="L680" s="107"/>
      <c r="M680" s="183"/>
      <c r="N680" s="108"/>
    </row>
    <row r="681" spans="1:14" x14ac:dyDescent="0.3">
      <c r="A681" s="77"/>
      <c r="B681" s="106"/>
      <c r="F681" s="124"/>
      <c r="G681" s="125"/>
      <c r="J681" s="125"/>
      <c r="L681" s="107"/>
      <c r="M681" s="183"/>
      <c r="N681" s="108"/>
    </row>
    <row r="682" spans="1:14" x14ac:dyDescent="0.3">
      <c r="A682" s="77"/>
      <c r="B682" s="106"/>
      <c r="F682" s="124"/>
      <c r="G682" s="125"/>
      <c r="J682" s="125"/>
      <c r="L682" s="107"/>
      <c r="M682" s="183"/>
      <c r="N682" s="108"/>
    </row>
    <row r="683" spans="1:14" x14ac:dyDescent="0.3">
      <c r="A683" s="77"/>
      <c r="B683" s="106"/>
      <c r="F683" s="124"/>
      <c r="G683" s="125"/>
      <c r="J683" s="125"/>
      <c r="L683" s="107"/>
      <c r="M683" s="183"/>
      <c r="N683" s="108"/>
    </row>
    <row r="684" spans="1:14" x14ac:dyDescent="0.3">
      <c r="A684" s="77"/>
      <c r="B684" s="106"/>
      <c r="F684" s="124"/>
      <c r="G684" s="125"/>
      <c r="J684" s="125"/>
      <c r="L684" s="107"/>
      <c r="M684" s="183"/>
      <c r="N684" s="108"/>
    </row>
    <row r="685" spans="1:14" x14ac:dyDescent="0.3">
      <c r="A685" s="77"/>
      <c r="B685" s="106"/>
      <c r="F685" s="124"/>
      <c r="G685" s="125"/>
      <c r="J685" s="125"/>
      <c r="L685" s="107"/>
      <c r="M685" s="183"/>
      <c r="N685" s="108"/>
    </row>
  </sheetData>
  <conditionalFormatting sqref="I2:I209">
    <cfRule type="cellIs" dxfId="34" priority="1" operator="equal">
      <formula>"REVISAR"</formula>
    </cfRule>
    <cfRule type="cellIs" dxfId="33" priority="2" operator="equal">
      <formula>"CORRECTO"</formula>
    </cfRule>
  </conditionalFormatting>
  <conditionalFormatting sqref="L2:L212">
    <cfRule type="cellIs" dxfId="32" priority="3" operator="equal">
      <formula>"APROBADO"</formula>
    </cfRule>
    <cfRule type="cellIs" dxfId="31" priority="4" operator="equal">
      <formula>"PENDIENTE"</formula>
    </cfRule>
    <cfRule type="cellIs" dxfId="30" priority="5" operator="equal">
      <formula>"PAGADO"</formula>
    </cfRule>
  </conditionalFormatting>
  <dataValidations count="1">
    <dataValidation type="list" allowBlank="1" showErrorMessage="1" sqref="L2:L212" xr:uid="{9113951C-708A-466B-8AC0-EAAE53E15ACC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487318C-CB89-404B-9602-2EC7C858E0D3}">
          <x14:formula1>
            <xm:f>'CUENTAS'!$A$2:$A$59</xm:f>
          </x14:formula1>
          <xm:sqref>C2:C212</xm:sqref>
        </x14:dataValidation>
        <x14:dataValidation type="list" allowBlank="1" showInputMessage="1" showErrorMessage="1" xr:uid="{4480563F-DF0B-45F1-9120-FC8030D721DE}">
          <x14:formula1>
            <xm:f>'CUENTAS'!$G$2:$G$8</xm:f>
          </x14:formula1>
          <xm:sqref>J2:J212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AE77-CA62-429C-ADD2-10AC39D375C6}">
  <sheetPr>
    <tabColor theme="1" tint="4.9989318521683403E-2"/>
  </sheetPr>
  <dimension ref="A1:R719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4.4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6.5546875" style="83" customWidth="1"/>
    <col min="6" max="7" width="17.109375" style="83" customWidth="1"/>
    <col min="8" max="8" width="17.109375" style="97" customWidth="1"/>
    <col min="9" max="9" width="17.33203125" style="97" customWidth="1"/>
    <col min="10" max="10" width="29.44140625" style="83" bestFit="1" customWidth="1"/>
    <col min="11" max="11" width="14.77734375" style="98" customWidth="1"/>
    <col min="12" max="12" width="11.21875" style="99" bestFit="1" customWidth="1"/>
    <col min="13" max="13" width="12.6640625" style="182"/>
    <col min="14" max="14" width="23.554687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77" customFormat="1" ht="23.4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81" t="s">
        <v>104</v>
      </c>
      <c r="N1" s="12" t="s">
        <v>105</v>
      </c>
    </row>
    <row r="2" spans="1:17" x14ac:dyDescent="0.3">
      <c r="A2" s="16" t="s">
        <v>275</v>
      </c>
      <c r="B2" s="16" t="s">
        <v>1869</v>
      </c>
      <c r="C2" s="28" t="s">
        <v>121</v>
      </c>
      <c r="D2" s="28" t="str">
        <f>IFERROR(VLOOKUP($C2,CUENTAS[],2,0),"")</f>
        <v>GASTOS FIJOS</v>
      </c>
      <c r="E2" s="28" t="str">
        <f>IFERROR(VLOOKUP($C2,CUENTAS[],3,0),"")</f>
        <v>MDE2025-002K</v>
      </c>
      <c r="F2" s="86">
        <v>15525</v>
      </c>
      <c r="G2" s="86">
        <v>2484</v>
      </c>
      <c r="H2" s="74">
        <v>18009</v>
      </c>
      <c r="I2" s="200" t="str">
        <f>IFERROR(IF(F2+G2&lt;&gt;H2,"REVISAR","CORRECTO"),"")</f>
        <v>CORRECTO</v>
      </c>
      <c r="J2" s="88" t="s">
        <v>3244</v>
      </c>
      <c r="K2" s="69" t="s">
        <v>363</v>
      </c>
      <c r="L2" s="84" t="s">
        <v>227</v>
      </c>
      <c r="M2" s="135">
        <v>45839</v>
      </c>
      <c r="N2" s="75" t="s">
        <v>1942</v>
      </c>
      <c r="P2" s="89"/>
      <c r="Q2" s="89"/>
    </row>
    <row r="3" spans="1:17" x14ac:dyDescent="0.3">
      <c r="A3" s="16" t="s">
        <v>250</v>
      </c>
      <c r="B3" s="16" t="s">
        <v>1142</v>
      </c>
      <c r="C3" s="28" t="s">
        <v>110</v>
      </c>
      <c r="D3" s="28" t="str">
        <f>IFERROR(VLOOKUP($C3,CUENTAS[],2,0),"")</f>
        <v>GASTOS FIJOS</v>
      </c>
      <c r="E3" s="28" t="str">
        <f>IFERROR(VLOOKUP($C3,CUENTAS[],3,0),"")</f>
        <v>MDE2025-002D</v>
      </c>
      <c r="F3" s="86">
        <v>80000</v>
      </c>
      <c r="G3" s="86">
        <v>0</v>
      </c>
      <c r="H3" s="74">
        <v>80000</v>
      </c>
      <c r="I3" s="200" t="str">
        <f t="shared" ref="I3:I66" si="0">IFERROR(IF(F3+G3&lt;&gt;H3,"REVISAR","CORRECTO"),"")</f>
        <v>CORRECTO</v>
      </c>
      <c r="J3" s="88" t="s">
        <v>3244</v>
      </c>
      <c r="K3" s="69" t="s">
        <v>363</v>
      </c>
      <c r="L3" s="84" t="s">
        <v>227</v>
      </c>
      <c r="M3" s="135">
        <v>45839</v>
      </c>
      <c r="N3" s="75" t="s">
        <v>371</v>
      </c>
      <c r="P3" s="89"/>
      <c r="Q3" s="89"/>
    </row>
    <row r="4" spans="1:17" x14ac:dyDescent="0.3">
      <c r="A4" s="16" t="s">
        <v>541</v>
      </c>
      <c r="B4" s="16" t="s">
        <v>1870</v>
      </c>
      <c r="C4" s="28" t="s">
        <v>159</v>
      </c>
      <c r="D4" s="28" t="str">
        <f>IFERROR(VLOOKUP($C4,CUENTAS[],2,0),"")</f>
        <v>GASTOS VARIOS</v>
      </c>
      <c r="E4" s="28" t="str">
        <f>IFERROR(VLOOKUP($C4,CUENTAS[],3,0),"")</f>
        <v>MDE2025-003A</v>
      </c>
      <c r="F4" s="86">
        <v>2287</v>
      </c>
      <c r="G4" s="86">
        <v>365.92</v>
      </c>
      <c r="H4" s="74">
        <v>2652.92</v>
      </c>
      <c r="I4" s="200" t="str">
        <f t="shared" si="0"/>
        <v>CORRECTO</v>
      </c>
      <c r="J4" s="88" t="s">
        <v>3244</v>
      </c>
      <c r="K4" s="69" t="s">
        <v>1943</v>
      </c>
      <c r="L4" s="84" t="s">
        <v>227</v>
      </c>
      <c r="M4" s="135">
        <v>45839</v>
      </c>
      <c r="N4" s="75" t="s">
        <v>1944</v>
      </c>
      <c r="P4" s="89"/>
      <c r="Q4" s="89"/>
    </row>
    <row r="5" spans="1:17" x14ac:dyDescent="0.3">
      <c r="A5" s="16" t="s">
        <v>232</v>
      </c>
      <c r="B5" s="16" t="s">
        <v>1871</v>
      </c>
      <c r="C5" s="28" t="s">
        <v>224</v>
      </c>
      <c r="D5" s="28" t="str">
        <f>IFERROR(VLOOKUP($C5,CUENTAS[],2,0),"")</f>
        <v>MATERIALES</v>
      </c>
      <c r="E5" s="28" t="str">
        <f>IFERROR(VLOOKUP($C5,CUENTAS[],3,0),"")</f>
        <v>MDE2025-004</v>
      </c>
      <c r="F5" s="86">
        <v>32140.69</v>
      </c>
      <c r="G5" s="86">
        <v>5142.5</v>
      </c>
      <c r="H5" s="74">
        <v>37283.19</v>
      </c>
      <c r="I5" s="200" t="str">
        <f t="shared" si="0"/>
        <v>CORRECTO</v>
      </c>
      <c r="J5" s="88" t="s">
        <v>3244</v>
      </c>
      <c r="K5" s="69" t="s">
        <v>407</v>
      </c>
      <c r="L5" s="84" t="s">
        <v>227</v>
      </c>
      <c r="M5" s="136">
        <v>45839</v>
      </c>
      <c r="N5" s="75" t="s">
        <v>1945</v>
      </c>
      <c r="P5" s="89"/>
      <c r="Q5" s="89"/>
    </row>
    <row r="6" spans="1:17" x14ac:dyDescent="0.3">
      <c r="A6" s="16" t="s">
        <v>341</v>
      </c>
      <c r="B6" s="16" t="s">
        <v>1872</v>
      </c>
      <c r="C6" s="28" t="s">
        <v>109</v>
      </c>
      <c r="D6" s="28" t="str">
        <f>IFERROR(VLOOKUP($C6,CUENTAS[],2,0),"")</f>
        <v>LOGÍSTICA</v>
      </c>
      <c r="E6" s="28" t="str">
        <f>IFERROR(VLOOKUP($C6,CUENTAS[],3,0),"")</f>
        <v>MDE2025-006A</v>
      </c>
      <c r="F6" s="86">
        <v>400</v>
      </c>
      <c r="G6" s="86">
        <v>0</v>
      </c>
      <c r="H6" s="74">
        <v>400</v>
      </c>
      <c r="I6" s="200" t="str">
        <f t="shared" si="0"/>
        <v>CORRECTO</v>
      </c>
      <c r="J6" s="88" t="s">
        <v>3244</v>
      </c>
      <c r="K6" s="69" t="s">
        <v>363</v>
      </c>
      <c r="L6" s="84" t="s">
        <v>227</v>
      </c>
      <c r="M6" s="135">
        <v>45839</v>
      </c>
      <c r="N6" s="75" t="s">
        <v>368</v>
      </c>
      <c r="P6" s="89"/>
      <c r="Q6" s="89"/>
    </row>
    <row r="7" spans="1:17" x14ac:dyDescent="0.3">
      <c r="A7" s="16" t="s">
        <v>1873</v>
      </c>
      <c r="B7" s="16" t="s">
        <v>1874</v>
      </c>
      <c r="C7" s="28" t="s">
        <v>224</v>
      </c>
      <c r="D7" s="28" t="str">
        <f>IFERROR(VLOOKUP($C7,CUENTAS[],2,0),"")</f>
        <v>MATERIALES</v>
      </c>
      <c r="E7" s="28" t="str">
        <f>IFERROR(VLOOKUP($C7,CUENTAS[],3,0),"")</f>
        <v>MDE2025-004</v>
      </c>
      <c r="F7" s="86">
        <v>3793.11</v>
      </c>
      <c r="G7" s="86">
        <v>606.89</v>
      </c>
      <c r="H7" s="74">
        <v>4400</v>
      </c>
      <c r="I7" s="200" t="str">
        <f t="shared" si="0"/>
        <v>CORRECTO</v>
      </c>
      <c r="J7" s="88" t="s">
        <v>3244</v>
      </c>
      <c r="K7" s="69" t="s">
        <v>363</v>
      </c>
      <c r="L7" s="84" t="s">
        <v>227</v>
      </c>
      <c r="M7" s="135">
        <v>45839</v>
      </c>
      <c r="N7" s="75" t="s">
        <v>1946</v>
      </c>
      <c r="P7" s="89"/>
      <c r="Q7" s="89"/>
    </row>
    <row r="8" spans="1:17" x14ac:dyDescent="0.3">
      <c r="A8" s="16" t="s">
        <v>1144</v>
      </c>
      <c r="B8" s="16" t="s">
        <v>1875</v>
      </c>
      <c r="C8" s="28" t="s">
        <v>224</v>
      </c>
      <c r="D8" s="28" t="str">
        <f>IFERROR(VLOOKUP($C8,CUENTAS[],2,0),"")</f>
        <v>MATERIALES</v>
      </c>
      <c r="E8" s="28" t="str">
        <f>IFERROR(VLOOKUP($C8,CUENTAS[],3,0),"")</f>
        <v>MDE2025-004</v>
      </c>
      <c r="F8" s="86">
        <v>34435.599999999999</v>
      </c>
      <c r="G8" s="86">
        <v>5509.7</v>
      </c>
      <c r="H8" s="74">
        <v>39945.300000000003</v>
      </c>
      <c r="I8" s="200" t="str">
        <f t="shared" si="0"/>
        <v>CORRECTO</v>
      </c>
      <c r="J8" s="88" t="s">
        <v>3244</v>
      </c>
      <c r="K8" s="69" t="s">
        <v>1943</v>
      </c>
      <c r="L8" s="84" t="s">
        <v>227</v>
      </c>
      <c r="M8" s="135">
        <v>45840</v>
      </c>
      <c r="N8" s="75" t="s">
        <v>1947</v>
      </c>
      <c r="P8" s="89"/>
      <c r="Q8" s="89"/>
    </row>
    <row r="9" spans="1:17" x14ac:dyDescent="0.3">
      <c r="A9" s="16" t="s">
        <v>341</v>
      </c>
      <c r="B9" s="16" t="s">
        <v>1876</v>
      </c>
      <c r="C9" s="28" t="s">
        <v>109</v>
      </c>
      <c r="D9" s="28" t="str">
        <f>IFERROR(VLOOKUP($C9,CUENTAS[],2,0),"")</f>
        <v>LOGÍSTICA</v>
      </c>
      <c r="E9" s="28" t="str">
        <f>IFERROR(VLOOKUP($C9,CUENTAS[],3,0),"")</f>
        <v>MDE2025-006A</v>
      </c>
      <c r="F9" s="86">
        <v>5362.8</v>
      </c>
      <c r="G9" s="86">
        <v>0</v>
      </c>
      <c r="H9" s="74">
        <v>5362.8</v>
      </c>
      <c r="I9" s="200" t="str">
        <f t="shared" si="0"/>
        <v>CORRECTO</v>
      </c>
      <c r="J9" s="88" t="s">
        <v>3244</v>
      </c>
      <c r="K9" s="69" t="s">
        <v>363</v>
      </c>
      <c r="L9" s="84" t="s">
        <v>227</v>
      </c>
      <c r="M9" s="136">
        <v>45840</v>
      </c>
      <c r="N9" s="75" t="s">
        <v>387</v>
      </c>
      <c r="P9" s="89"/>
      <c r="Q9" s="89"/>
    </row>
    <row r="10" spans="1:17" x14ac:dyDescent="0.3">
      <c r="A10" s="16" t="s">
        <v>1378</v>
      </c>
      <c r="B10" s="16" t="s">
        <v>1877</v>
      </c>
      <c r="C10" s="28" t="s">
        <v>224</v>
      </c>
      <c r="D10" s="28" t="str">
        <f>IFERROR(VLOOKUP($C10,CUENTAS[],2,0),"")</f>
        <v>MATERIALES</v>
      </c>
      <c r="E10" s="28" t="str">
        <f>IFERROR(VLOOKUP($C10,CUENTAS[],3,0),"")</f>
        <v>MDE2025-004</v>
      </c>
      <c r="F10" s="86">
        <v>4698.76</v>
      </c>
      <c r="G10" s="86">
        <v>751.24</v>
      </c>
      <c r="H10" s="74">
        <v>5450</v>
      </c>
      <c r="I10" s="200" t="str">
        <f t="shared" si="0"/>
        <v>CORRECTO</v>
      </c>
      <c r="J10" s="88" t="s">
        <v>3244</v>
      </c>
      <c r="K10" s="69" t="s">
        <v>1943</v>
      </c>
      <c r="L10" s="84" t="s">
        <v>227</v>
      </c>
      <c r="M10" s="136">
        <v>45840</v>
      </c>
      <c r="N10" s="75" t="s">
        <v>1948</v>
      </c>
      <c r="P10" s="89"/>
      <c r="Q10" s="89"/>
    </row>
    <row r="11" spans="1:17" x14ac:dyDescent="0.3">
      <c r="A11" s="16" t="s">
        <v>1607</v>
      </c>
      <c r="B11" s="16" t="s">
        <v>1878</v>
      </c>
      <c r="C11" s="28" t="s">
        <v>224</v>
      </c>
      <c r="D11" s="28" t="str">
        <f>IFERROR(VLOOKUP($C11,CUENTAS[],2,0),"")</f>
        <v>MATERIALES</v>
      </c>
      <c r="E11" s="28" t="str">
        <f>IFERROR(VLOOKUP($C11,CUENTAS[],3,0),"")</f>
        <v>MDE2025-004</v>
      </c>
      <c r="F11" s="86">
        <v>12960</v>
      </c>
      <c r="G11" s="86">
        <v>2073.6</v>
      </c>
      <c r="H11" s="74">
        <v>15033.6</v>
      </c>
      <c r="I11" s="200" t="str">
        <f t="shared" si="0"/>
        <v>CORRECTO</v>
      </c>
      <c r="J11" s="88" t="s">
        <v>3244</v>
      </c>
      <c r="K11" s="69" t="s">
        <v>1943</v>
      </c>
      <c r="L11" s="84" t="s">
        <v>227</v>
      </c>
      <c r="M11" s="135">
        <v>45840</v>
      </c>
      <c r="N11" s="75" t="s">
        <v>1949</v>
      </c>
      <c r="P11" s="89"/>
      <c r="Q11" s="89"/>
    </row>
    <row r="12" spans="1:17" x14ac:dyDescent="0.3">
      <c r="A12" s="16" t="s">
        <v>1879</v>
      </c>
      <c r="B12" s="16" t="s">
        <v>1880</v>
      </c>
      <c r="C12" s="28" t="s">
        <v>172</v>
      </c>
      <c r="D12" s="28" t="str">
        <f>IFERROR(VLOOKUP($C12,CUENTAS[],2,0),"")</f>
        <v>MANTENIMIENTO</v>
      </c>
      <c r="E12" s="28" t="str">
        <f>IFERROR(VLOOKUP($C12,CUENTAS[],3,0),"")</f>
        <v>MDE2025-009C</v>
      </c>
      <c r="F12" s="86">
        <v>18111.11</v>
      </c>
      <c r="G12" s="86">
        <v>2897.89</v>
      </c>
      <c r="H12" s="74">
        <v>21009</v>
      </c>
      <c r="I12" s="200" t="str">
        <f t="shared" si="0"/>
        <v>CORRECTO</v>
      </c>
      <c r="J12" s="88" t="s">
        <v>3244</v>
      </c>
      <c r="K12" s="69" t="s">
        <v>1423</v>
      </c>
      <c r="L12" s="84" t="s">
        <v>227</v>
      </c>
      <c r="M12" s="135">
        <v>45840</v>
      </c>
      <c r="N12" s="75">
        <v>6040049563</v>
      </c>
      <c r="P12" s="89"/>
      <c r="Q12" s="89"/>
    </row>
    <row r="13" spans="1:17" x14ac:dyDescent="0.3">
      <c r="A13" s="16" t="s">
        <v>1879</v>
      </c>
      <c r="B13" s="16" t="s">
        <v>1881</v>
      </c>
      <c r="C13" s="28" t="s">
        <v>172</v>
      </c>
      <c r="D13" s="28" t="str">
        <f>IFERROR(VLOOKUP($C13,CUENTAS[],2,0),"")</f>
        <v>MANTENIMIENTO</v>
      </c>
      <c r="E13" s="28" t="str">
        <f>IFERROR(VLOOKUP($C13,CUENTAS[],3,0),"")</f>
        <v>MDE2025-009C</v>
      </c>
      <c r="F13" s="86">
        <v>27196.46</v>
      </c>
      <c r="G13" s="86">
        <v>4351.54</v>
      </c>
      <c r="H13" s="74">
        <v>31548</v>
      </c>
      <c r="I13" s="200" t="str">
        <f t="shared" si="0"/>
        <v>CORRECTO</v>
      </c>
      <c r="J13" s="88" t="s">
        <v>3244</v>
      </c>
      <c r="K13" s="69" t="s">
        <v>1423</v>
      </c>
      <c r="L13" s="84" t="s">
        <v>227</v>
      </c>
      <c r="M13" s="135">
        <v>45840</v>
      </c>
      <c r="N13" s="75">
        <v>6040049564</v>
      </c>
      <c r="P13" s="89"/>
      <c r="Q13" s="89"/>
    </row>
    <row r="14" spans="1:17" x14ac:dyDescent="0.3">
      <c r="A14" s="16" t="s">
        <v>228</v>
      </c>
      <c r="B14" s="16" t="s">
        <v>1882</v>
      </c>
      <c r="C14" s="28" t="s">
        <v>224</v>
      </c>
      <c r="D14" s="28" t="str">
        <f>IFERROR(VLOOKUP($C14,CUENTAS[],2,0),"")</f>
        <v>MATERIALES</v>
      </c>
      <c r="E14" s="28" t="str">
        <f>IFERROR(VLOOKUP($C14,CUENTAS[],3,0),"")</f>
        <v>MDE2025-004</v>
      </c>
      <c r="F14" s="86">
        <v>68450</v>
      </c>
      <c r="G14" s="86">
        <v>10952</v>
      </c>
      <c r="H14" s="74">
        <v>79402</v>
      </c>
      <c r="I14" s="200" t="str">
        <f t="shared" si="0"/>
        <v>CORRECTO</v>
      </c>
      <c r="J14" s="88" t="s">
        <v>3244</v>
      </c>
      <c r="K14" s="69" t="s">
        <v>1943</v>
      </c>
      <c r="L14" s="84" t="s">
        <v>227</v>
      </c>
      <c r="M14" s="135">
        <v>45840</v>
      </c>
      <c r="N14" s="75" t="s">
        <v>1950</v>
      </c>
      <c r="P14" s="89"/>
      <c r="Q14" s="89"/>
    </row>
    <row r="15" spans="1:17" x14ac:dyDescent="0.3">
      <c r="A15" s="16" t="s">
        <v>1066</v>
      </c>
      <c r="B15" s="16" t="s">
        <v>1883</v>
      </c>
      <c r="C15" s="28" t="s">
        <v>159</v>
      </c>
      <c r="D15" s="28" t="str">
        <f>IFERROR(VLOOKUP($C15,CUENTAS[],2,0),"")</f>
        <v>GASTOS VARIOS</v>
      </c>
      <c r="E15" s="28" t="str">
        <f>IFERROR(VLOOKUP($C15,CUENTAS[],3,0),"")</f>
        <v>MDE2025-003A</v>
      </c>
      <c r="F15" s="86">
        <v>5021.5600000000004</v>
      </c>
      <c r="G15" s="86">
        <v>803.44</v>
      </c>
      <c r="H15" s="74">
        <v>5825</v>
      </c>
      <c r="I15" s="200" t="str">
        <f t="shared" si="0"/>
        <v>CORRECTO</v>
      </c>
      <c r="J15" s="88" t="s">
        <v>3244</v>
      </c>
      <c r="K15" s="69" t="s">
        <v>1943</v>
      </c>
      <c r="L15" s="84" t="s">
        <v>227</v>
      </c>
      <c r="M15" s="135">
        <v>45842</v>
      </c>
      <c r="N15" s="75" t="s">
        <v>1951</v>
      </c>
      <c r="P15" s="89"/>
      <c r="Q15" s="89"/>
    </row>
    <row r="16" spans="1:17" x14ac:dyDescent="0.3">
      <c r="A16" s="16" t="s">
        <v>1068</v>
      </c>
      <c r="B16" s="16" t="s">
        <v>1884</v>
      </c>
      <c r="C16" s="28" t="s">
        <v>177</v>
      </c>
      <c r="D16" s="28" t="str">
        <f>IFERROR(VLOOKUP($C16,CUENTAS[],2,0),"")</f>
        <v>GASTOS FIJOS</v>
      </c>
      <c r="E16" s="28" t="str">
        <f>IFERROR(VLOOKUP($C16,CUENTAS[],3,0),"")</f>
        <v>MDE2025-002A</v>
      </c>
      <c r="F16" s="86">
        <v>3500</v>
      </c>
      <c r="G16" s="86">
        <v>0</v>
      </c>
      <c r="H16" s="74">
        <v>3500</v>
      </c>
      <c r="I16" s="200" t="str">
        <f t="shared" si="0"/>
        <v>CORRECTO</v>
      </c>
      <c r="J16" s="88" t="s">
        <v>3244</v>
      </c>
      <c r="K16" s="69" t="s">
        <v>363</v>
      </c>
      <c r="L16" s="84" t="s">
        <v>227</v>
      </c>
      <c r="M16" s="135">
        <v>45842</v>
      </c>
      <c r="N16" s="75" t="s">
        <v>371</v>
      </c>
      <c r="P16" s="89"/>
      <c r="Q16" s="89"/>
    </row>
    <row r="17" spans="1:17" x14ac:dyDescent="0.3">
      <c r="A17" s="16" t="s">
        <v>230</v>
      </c>
      <c r="B17" s="16" t="s">
        <v>1885</v>
      </c>
      <c r="C17" s="28" t="s">
        <v>224</v>
      </c>
      <c r="D17" s="28" t="str">
        <f>IFERROR(VLOOKUP($C17,CUENTAS[],2,0),"")</f>
        <v>MATERIALES</v>
      </c>
      <c r="E17" s="28" t="str">
        <f>IFERROR(VLOOKUP($C17,CUENTAS[],3,0),"")</f>
        <v>MDE2025-004</v>
      </c>
      <c r="F17" s="86">
        <v>7327.59</v>
      </c>
      <c r="G17" s="86">
        <v>1172.4100000000001</v>
      </c>
      <c r="H17" s="74">
        <v>8500</v>
      </c>
      <c r="I17" s="200" t="str">
        <f t="shared" si="0"/>
        <v>CORRECTO</v>
      </c>
      <c r="J17" s="88" t="s">
        <v>3244</v>
      </c>
      <c r="K17" s="69" t="s">
        <v>363</v>
      </c>
      <c r="L17" s="84" t="s">
        <v>227</v>
      </c>
      <c r="M17" s="135">
        <v>45842</v>
      </c>
      <c r="N17" s="75" t="s">
        <v>1952</v>
      </c>
      <c r="P17" s="89"/>
      <c r="Q17" s="89"/>
    </row>
    <row r="18" spans="1:17" x14ac:dyDescent="0.3">
      <c r="A18" s="16" t="s">
        <v>1886</v>
      </c>
      <c r="B18" s="16" t="s">
        <v>1887</v>
      </c>
      <c r="C18" s="28" t="s">
        <v>109</v>
      </c>
      <c r="D18" s="28" t="str">
        <f>IFERROR(VLOOKUP($C18,CUENTAS[],2,0),"")</f>
        <v>LOGÍSTICA</v>
      </c>
      <c r="E18" s="28" t="str">
        <f>IFERROR(VLOOKUP($C18,CUENTAS[],3,0),"")</f>
        <v>MDE2025-006A</v>
      </c>
      <c r="F18" s="86">
        <v>10000</v>
      </c>
      <c r="G18" s="86">
        <v>0</v>
      </c>
      <c r="H18" s="74">
        <v>10000</v>
      </c>
      <c r="I18" s="200" t="str">
        <f t="shared" si="0"/>
        <v>CORRECTO</v>
      </c>
      <c r="J18" s="88" t="s">
        <v>3244</v>
      </c>
      <c r="K18" s="69" t="s">
        <v>360</v>
      </c>
      <c r="L18" s="84" t="s">
        <v>227</v>
      </c>
      <c r="M18" s="135">
        <v>45842</v>
      </c>
      <c r="N18" s="75" t="s">
        <v>371</v>
      </c>
      <c r="P18" s="89"/>
      <c r="Q18" s="89"/>
    </row>
    <row r="19" spans="1:17" x14ac:dyDescent="0.3">
      <c r="A19" s="16" t="s">
        <v>562</v>
      </c>
      <c r="B19" s="16" t="s">
        <v>1888</v>
      </c>
      <c r="C19" s="28" t="s">
        <v>201</v>
      </c>
      <c r="D19" s="28" t="str">
        <f>IFERROR(VLOOKUP($C19,CUENTAS[],2,0),"")</f>
        <v>ACTIVOS FIJOS</v>
      </c>
      <c r="E19" s="28" t="str">
        <f>IFERROR(VLOOKUP($C19,CUENTAS[],3,0),"")</f>
        <v>MDE2025-007I</v>
      </c>
      <c r="F19" s="86">
        <v>12600</v>
      </c>
      <c r="G19" s="86">
        <v>0</v>
      </c>
      <c r="H19" s="74">
        <v>12600</v>
      </c>
      <c r="I19" s="200" t="str">
        <f t="shared" si="0"/>
        <v>CORRECTO</v>
      </c>
      <c r="J19" s="88" t="s">
        <v>3244</v>
      </c>
      <c r="K19" s="69" t="s">
        <v>360</v>
      </c>
      <c r="L19" s="84" t="s">
        <v>227</v>
      </c>
      <c r="M19" s="135">
        <v>45842</v>
      </c>
      <c r="N19" s="75" t="s">
        <v>371</v>
      </c>
      <c r="P19" s="89"/>
      <c r="Q19" s="89"/>
    </row>
    <row r="20" spans="1:17" x14ac:dyDescent="0.3">
      <c r="A20" s="16" t="s">
        <v>1622</v>
      </c>
      <c r="B20" s="16" t="s">
        <v>1889</v>
      </c>
      <c r="C20" s="28" t="s">
        <v>224</v>
      </c>
      <c r="D20" s="28" t="str">
        <f>IFERROR(VLOOKUP($C20,CUENTAS[],2,0),"")</f>
        <v>MATERIALES</v>
      </c>
      <c r="E20" s="28" t="str">
        <f>IFERROR(VLOOKUP($C20,CUENTAS[],3,0),"")</f>
        <v>MDE2025-004</v>
      </c>
      <c r="F20" s="86">
        <v>11983.9</v>
      </c>
      <c r="G20" s="86">
        <v>1917.42</v>
      </c>
      <c r="H20" s="74">
        <v>13901.32</v>
      </c>
      <c r="I20" s="200" t="str">
        <f t="shared" si="0"/>
        <v>CORRECTO</v>
      </c>
      <c r="J20" s="88" t="s">
        <v>3244</v>
      </c>
      <c r="K20" s="69" t="s">
        <v>1943</v>
      </c>
      <c r="L20" s="84" t="s">
        <v>227</v>
      </c>
      <c r="M20" s="135">
        <v>45842</v>
      </c>
      <c r="N20" s="75" t="s">
        <v>1953</v>
      </c>
      <c r="P20" s="89"/>
      <c r="Q20" s="89"/>
    </row>
    <row r="21" spans="1:17" x14ac:dyDescent="0.3">
      <c r="A21" s="16" t="s">
        <v>228</v>
      </c>
      <c r="B21" s="16" t="s">
        <v>1890</v>
      </c>
      <c r="C21" s="28" t="s">
        <v>201</v>
      </c>
      <c r="D21" s="28" t="str">
        <f>IFERROR(VLOOKUP($C21,CUENTAS[],2,0),"")</f>
        <v>ACTIVOS FIJOS</v>
      </c>
      <c r="E21" s="28" t="str">
        <f>IFERROR(VLOOKUP($C21,CUENTAS[],3,0),"")</f>
        <v>MDE2025-007I</v>
      </c>
      <c r="F21" s="86">
        <v>2450</v>
      </c>
      <c r="G21" s="86">
        <v>0</v>
      </c>
      <c r="H21" s="74">
        <v>2450</v>
      </c>
      <c r="I21" s="200" t="str">
        <f t="shared" si="0"/>
        <v>CORRECTO</v>
      </c>
      <c r="J21" s="88" t="s">
        <v>3244</v>
      </c>
      <c r="K21" s="69" t="s">
        <v>363</v>
      </c>
      <c r="L21" s="84" t="s">
        <v>227</v>
      </c>
      <c r="M21" s="135">
        <v>45842</v>
      </c>
      <c r="N21" s="75" t="s">
        <v>368</v>
      </c>
      <c r="P21" s="89"/>
      <c r="Q21" s="89"/>
    </row>
    <row r="22" spans="1:17" x14ac:dyDescent="0.3">
      <c r="A22" s="16" t="s">
        <v>228</v>
      </c>
      <c r="B22" s="16" t="s">
        <v>1891</v>
      </c>
      <c r="C22" s="28" t="s">
        <v>123</v>
      </c>
      <c r="D22" s="28" t="str">
        <f>IFERROR(VLOOKUP($C22,CUENTAS[],2,0),"")</f>
        <v>ACTIVOS FIJOS</v>
      </c>
      <c r="E22" s="28" t="str">
        <f>IFERROR(VLOOKUP($C22,CUENTAS[],3,0),"")</f>
        <v>MDE2025-007C</v>
      </c>
      <c r="F22" s="86">
        <v>5065</v>
      </c>
      <c r="G22" s="86">
        <v>0</v>
      </c>
      <c r="H22" s="74">
        <v>5065</v>
      </c>
      <c r="I22" s="200" t="str">
        <f t="shared" si="0"/>
        <v>CORRECTO</v>
      </c>
      <c r="J22" s="88" t="s">
        <v>3244</v>
      </c>
      <c r="K22" s="69" t="s">
        <v>363</v>
      </c>
      <c r="L22" s="84" t="s">
        <v>227</v>
      </c>
      <c r="M22" s="135">
        <v>45842</v>
      </c>
      <c r="N22" s="75" t="s">
        <v>368</v>
      </c>
      <c r="P22" s="89"/>
      <c r="Q22" s="89"/>
    </row>
    <row r="23" spans="1:17" x14ac:dyDescent="0.3">
      <c r="A23" s="16" t="s">
        <v>228</v>
      </c>
      <c r="B23" s="16" t="s">
        <v>1892</v>
      </c>
      <c r="C23" s="28" t="s">
        <v>224</v>
      </c>
      <c r="D23" s="28" t="str">
        <f>IFERROR(VLOOKUP($C23,CUENTAS[],2,0),"")</f>
        <v>MATERIALES</v>
      </c>
      <c r="E23" s="28" t="str">
        <f>IFERROR(VLOOKUP($C23,CUENTAS[],3,0),"")</f>
        <v>MDE2025-004</v>
      </c>
      <c r="F23" s="86">
        <v>6435.26</v>
      </c>
      <c r="G23" s="86">
        <v>0</v>
      </c>
      <c r="H23" s="74">
        <v>6435.26</v>
      </c>
      <c r="I23" s="200" t="str">
        <f t="shared" si="0"/>
        <v>CORRECTO</v>
      </c>
      <c r="J23" s="88" t="s">
        <v>3244</v>
      </c>
      <c r="K23" s="69" t="s">
        <v>1954</v>
      </c>
      <c r="L23" s="84" t="s">
        <v>227</v>
      </c>
      <c r="M23" s="135">
        <v>45842</v>
      </c>
      <c r="N23" s="75" t="s">
        <v>368</v>
      </c>
      <c r="P23" s="89"/>
      <c r="Q23" s="89"/>
    </row>
    <row r="24" spans="1:17" x14ac:dyDescent="0.3">
      <c r="A24" s="16" t="s">
        <v>228</v>
      </c>
      <c r="B24" s="16" t="s">
        <v>1893</v>
      </c>
      <c r="C24" s="28" t="s">
        <v>168</v>
      </c>
      <c r="D24" s="28" t="str">
        <f>IFERROR(VLOOKUP($C24,CUENTAS[],2,0),"")</f>
        <v>ACTIVOS FIJOS</v>
      </c>
      <c r="E24" s="28" t="str">
        <f>IFERROR(VLOOKUP($C24,CUENTAS[],3,0),"")</f>
        <v>MDE2025-007B</v>
      </c>
      <c r="F24" s="86">
        <v>31034.49</v>
      </c>
      <c r="G24" s="86">
        <v>4965.51</v>
      </c>
      <c r="H24" s="74">
        <v>36000</v>
      </c>
      <c r="I24" s="200" t="str">
        <f t="shared" si="0"/>
        <v>CORRECTO</v>
      </c>
      <c r="J24" s="88" t="s">
        <v>3244</v>
      </c>
      <c r="K24" s="69" t="s">
        <v>360</v>
      </c>
      <c r="L24" s="84" t="s">
        <v>227</v>
      </c>
      <c r="M24" s="135">
        <v>45842</v>
      </c>
      <c r="N24" s="75" t="s">
        <v>368</v>
      </c>
      <c r="P24" s="89"/>
      <c r="Q24" s="89"/>
    </row>
    <row r="25" spans="1:17" x14ac:dyDescent="0.3">
      <c r="A25" s="16" t="s">
        <v>1109</v>
      </c>
      <c r="B25" s="16" t="s">
        <v>1894</v>
      </c>
      <c r="C25" s="28" t="s">
        <v>224</v>
      </c>
      <c r="D25" s="28" t="str">
        <f>IFERROR(VLOOKUP($C25,CUENTAS[],2,0),"")</f>
        <v>MATERIALES</v>
      </c>
      <c r="E25" s="28" t="str">
        <f>IFERROR(VLOOKUP($C25,CUENTAS[],3,0),"")</f>
        <v>MDE2025-004</v>
      </c>
      <c r="F25" s="86">
        <v>4982.2</v>
      </c>
      <c r="G25" s="86">
        <v>797.15</v>
      </c>
      <c r="H25" s="74">
        <v>5779.35</v>
      </c>
      <c r="I25" s="200" t="str">
        <f t="shared" si="0"/>
        <v>CORRECTO</v>
      </c>
      <c r="J25" s="88" t="s">
        <v>3244</v>
      </c>
      <c r="K25" s="69" t="s">
        <v>1943</v>
      </c>
      <c r="L25" s="84" t="s">
        <v>227</v>
      </c>
      <c r="M25" s="135">
        <v>45845</v>
      </c>
      <c r="N25" s="75" t="s">
        <v>1955</v>
      </c>
      <c r="P25" s="89"/>
      <c r="Q25" s="89"/>
    </row>
    <row r="26" spans="1:17" x14ac:dyDescent="0.3">
      <c r="A26" s="16" t="s">
        <v>1109</v>
      </c>
      <c r="B26" s="16" t="s">
        <v>1895</v>
      </c>
      <c r="C26" s="28" t="s">
        <v>224</v>
      </c>
      <c r="D26" s="28" t="str">
        <f>IFERROR(VLOOKUP($C26,CUENTAS[],2,0),"")</f>
        <v>MATERIALES</v>
      </c>
      <c r="E26" s="28" t="str">
        <f>IFERROR(VLOOKUP($C26,CUENTAS[],3,0),"")</f>
        <v>MDE2025-004</v>
      </c>
      <c r="F26" s="86">
        <v>44408.95</v>
      </c>
      <c r="G26" s="86">
        <v>7105.63</v>
      </c>
      <c r="H26" s="74">
        <v>51514.58</v>
      </c>
      <c r="I26" s="200" t="str">
        <f t="shared" si="0"/>
        <v>CORRECTO</v>
      </c>
      <c r="J26" s="88" t="s">
        <v>3244</v>
      </c>
      <c r="K26" s="69" t="s">
        <v>1943</v>
      </c>
      <c r="L26" s="84" t="s">
        <v>227</v>
      </c>
      <c r="M26" s="135">
        <v>45845</v>
      </c>
      <c r="N26" s="75" t="s">
        <v>1956</v>
      </c>
      <c r="P26" s="89"/>
      <c r="Q26" s="89"/>
    </row>
    <row r="27" spans="1:17" x14ac:dyDescent="0.3">
      <c r="A27" s="16" t="s">
        <v>1109</v>
      </c>
      <c r="B27" s="16" t="s">
        <v>1896</v>
      </c>
      <c r="C27" s="28" t="s">
        <v>224</v>
      </c>
      <c r="D27" s="28" t="str">
        <f>IFERROR(VLOOKUP($C27,CUENTAS[],2,0),"")</f>
        <v>MATERIALES</v>
      </c>
      <c r="E27" s="28" t="str">
        <f>IFERROR(VLOOKUP($C27,CUENTAS[],3,0),"")</f>
        <v>MDE2025-004</v>
      </c>
      <c r="F27" s="86">
        <v>28636.79</v>
      </c>
      <c r="G27" s="86">
        <v>4581.8900000000003</v>
      </c>
      <c r="H27" s="74">
        <v>33218.68</v>
      </c>
      <c r="I27" s="200" t="str">
        <f t="shared" si="0"/>
        <v>CORRECTO</v>
      </c>
      <c r="J27" s="88" t="s">
        <v>3244</v>
      </c>
      <c r="K27" s="69" t="s">
        <v>1943</v>
      </c>
      <c r="L27" s="84" t="s">
        <v>227</v>
      </c>
      <c r="M27" s="135">
        <v>45845</v>
      </c>
      <c r="N27" s="75" t="s">
        <v>1957</v>
      </c>
      <c r="P27" s="89"/>
      <c r="Q27" s="89"/>
    </row>
    <row r="28" spans="1:17" x14ac:dyDescent="0.3">
      <c r="A28" s="16" t="s">
        <v>232</v>
      </c>
      <c r="B28" s="16" t="s">
        <v>1897</v>
      </c>
      <c r="C28" s="28" t="s">
        <v>224</v>
      </c>
      <c r="D28" s="28" t="str">
        <f>IFERROR(VLOOKUP($C28,CUENTAS[],2,0),"")</f>
        <v>MATERIALES</v>
      </c>
      <c r="E28" s="28" t="str">
        <f>IFERROR(VLOOKUP($C28,CUENTAS[],3,0),"")</f>
        <v>MDE2025-004</v>
      </c>
      <c r="F28" s="86">
        <v>72911.69</v>
      </c>
      <c r="G28" s="86">
        <v>11662.87</v>
      </c>
      <c r="H28" s="74">
        <v>84574.56</v>
      </c>
      <c r="I28" s="200" t="str">
        <f t="shared" si="0"/>
        <v>CORRECTO</v>
      </c>
      <c r="J28" s="88" t="s">
        <v>3244</v>
      </c>
      <c r="K28" s="69" t="s">
        <v>1943</v>
      </c>
      <c r="L28" s="84" t="s">
        <v>227</v>
      </c>
      <c r="M28" s="135">
        <v>45846</v>
      </c>
      <c r="N28" s="75" t="s">
        <v>1981</v>
      </c>
      <c r="P28" s="89"/>
      <c r="Q28" s="89"/>
    </row>
    <row r="29" spans="1:17" x14ac:dyDescent="0.3">
      <c r="A29" s="16" t="s">
        <v>666</v>
      </c>
      <c r="B29" s="16" t="s">
        <v>1898</v>
      </c>
      <c r="C29" s="28" t="s">
        <v>224</v>
      </c>
      <c r="D29" s="28" t="str">
        <f>IFERROR(VLOOKUP($C29,CUENTAS[],2,0),"")</f>
        <v>MATERIALES</v>
      </c>
      <c r="E29" s="28" t="str">
        <f>IFERROR(VLOOKUP($C29,CUENTAS[],3,0),"")</f>
        <v>MDE2025-004</v>
      </c>
      <c r="F29" s="86">
        <v>5603.45</v>
      </c>
      <c r="G29" s="86">
        <v>896.55</v>
      </c>
      <c r="H29" s="74">
        <v>6500</v>
      </c>
      <c r="I29" s="200" t="str">
        <f t="shared" si="0"/>
        <v>CORRECTO</v>
      </c>
      <c r="J29" s="88" t="s">
        <v>3244</v>
      </c>
      <c r="K29" s="69" t="s">
        <v>1943</v>
      </c>
      <c r="L29" s="84" t="s">
        <v>227</v>
      </c>
      <c r="M29" s="136">
        <v>45846</v>
      </c>
      <c r="N29" s="75" t="s">
        <v>1958</v>
      </c>
      <c r="P29" s="89"/>
      <c r="Q29" s="89"/>
    </row>
    <row r="30" spans="1:17" x14ac:dyDescent="0.3">
      <c r="A30" s="16" t="s">
        <v>230</v>
      </c>
      <c r="B30" s="16" t="s">
        <v>1899</v>
      </c>
      <c r="C30" s="28" t="s">
        <v>201</v>
      </c>
      <c r="D30" s="28" t="str">
        <f>IFERROR(VLOOKUP($C30,CUENTAS[],2,0),"")</f>
        <v>ACTIVOS FIJOS</v>
      </c>
      <c r="E30" s="28" t="str">
        <f>IFERROR(VLOOKUP($C30,CUENTAS[],3,0),"")</f>
        <v>MDE2025-007I</v>
      </c>
      <c r="F30" s="86">
        <v>978.45</v>
      </c>
      <c r="G30" s="86">
        <v>156.55000000000001</v>
      </c>
      <c r="H30" s="74">
        <v>1135</v>
      </c>
      <c r="I30" s="200" t="str">
        <f t="shared" si="0"/>
        <v>CORRECTO</v>
      </c>
      <c r="J30" s="88" t="s">
        <v>3244</v>
      </c>
      <c r="K30" s="69" t="s">
        <v>1943</v>
      </c>
      <c r="L30" s="84" t="s">
        <v>227</v>
      </c>
      <c r="M30" s="136">
        <v>45848</v>
      </c>
      <c r="N30" s="75" t="s">
        <v>1959</v>
      </c>
      <c r="P30" s="89"/>
      <c r="Q30" s="89"/>
    </row>
    <row r="31" spans="1:17" x14ac:dyDescent="0.3">
      <c r="A31" s="16" t="s">
        <v>230</v>
      </c>
      <c r="B31" s="16" t="s">
        <v>1900</v>
      </c>
      <c r="C31" s="28" t="s">
        <v>201</v>
      </c>
      <c r="D31" s="28" t="str">
        <f>IFERROR(VLOOKUP($C31,CUENTAS[],2,0),"")</f>
        <v>ACTIVOS FIJOS</v>
      </c>
      <c r="E31" s="28" t="str">
        <f>IFERROR(VLOOKUP($C31,CUENTAS[],3,0),"")</f>
        <v>MDE2025-007I</v>
      </c>
      <c r="F31" s="86">
        <v>4137.9399999999996</v>
      </c>
      <c r="G31" s="86">
        <v>662.06</v>
      </c>
      <c r="H31" s="74">
        <v>4800</v>
      </c>
      <c r="I31" s="200" t="str">
        <f t="shared" si="0"/>
        <v>CORRECTO</v>
      </c>
      <c r="J31" s="88" t="s">
        <v>3244</v>
      </c>
      <c r="K31" s="69" t="s">
        <v>1943</v>
      </c>
      <c r="L31" s="84" t="s">
        <v>227</v>
      </c>
      <c r="M31" s="135">
        <v>45848</v>
      </c>
      <c r="N31" s="75" t="s">
        <v>1960</v>
      </c>
      <c r="P31" s="89"/>
      <c r="Q31" s="89"/>
    </row>
    <row r="32" spans="1:17" x14ac:dyDescent="0.3">
      <c r="A32" s="16" t="s">
        <v>230</v>
      </c>
      <c r="B32" s="16" t="s">
        <v>1901</v>
      </c>
      <c r="C32" s="28" t="s">
        <v>223</v>
      </c>
      <c r="D32" s="28" t="str">
        <f>IFERROR(VLOOKUP($C32,CUENTAS[],2,0),"")</f>
        <v>MANTENIMIENTO</v>
      </c>
      <c r="E32" s="28" t="str">
        <f>IFERROR(VLOOKUP($C32,CUENTAS[],3,0),"")</f>
        <v>MDE2025-009B</v>
      </c>
      <c r="F32" s="86">
        <v>4310.34</v>
      </c>
      <c r="G32" s="86">
        <v>689.66</v>
      </c>
      <c r="H32" s="74">
        <v>5000</v>
      </c>
      <c r="I32" s="200" t="str">
        <f t="shared" si="0"/>
        <v>CORRECTO</v>
      </c>
      <c r="J32" s="88" t="s">
        <v>3244</v>
      </c>
      <c r="K32" s="69" t="s">
        <v>1943</v>
      </c>
      <c r="L32" s="84" t="s">
        <v>227</v>
      </c>
      <c r="M32" s="135">
        <v>45848</v>
      </c>
      <c r="N32" s="75" t="s">
        <v>1961</v>
      </c>
      <c r="P32" s="89"/>
      <c r="Q32" s="89"/>
    </row>
    <row r="33" spans="1:17" x14ac:dyDescent="0.3">
      <c r="A33" s="16" t="s">
        <v>1902</v>
      </c>
      <c r="B33" s="16" t="s">
        <v>1903</v>
      </c>
      <c r="C33" s="28" t="s">
        <v>113</v>
      </c>
      <c r="D33" s="28" t="str">
        <f>IFERROR(VLOOKUP($C33,CUENTAS[],2,0),"")</f>
        <v>GASTOS VARIOS</v>
      </c>
      <c r="E33" s="28" t="str">
        <f>IFERROR(VLOOKUP($C33,CUENTAS[],3,0),"")</f>
        <v>MDE2025-003B</v>
      </c>
      <c r="F33" s="86">
        <v>3879.32</v>
      </c>
      <c r="G33" s="86">
        <v>620.67999999999995</v>
      </c>
      <c r="H33" s="74">
        <v>4500</v>
      </c>
      <c r="I33" s="200" t="str">
        <f t="shared" si="0"/>
        <v>CORRECTO</v>
      </c>
      <c r="J33" s="88" t="s">
        <v>3244</v>
      </c>
      <c r="K33" s="69" t="s">
        <v>1962</v>
      </c>
      <c r="L33" s="84" t="s">
        <v>227</v>
      </c>
      <c r="M33" s="135">
        <v>45848</v>
      </c>
      <c r="N33" s="75" t="s">
        <v>389</v>
      </c>
      <c r="P33" s="89"/>
      <c r="Q33" s="89"/>
    </row>
    <row r="34" spans="1:17" x14ac:dyDescent="0.3">
      <c r="A34" s="16" t="s">
        <v>1904</v>
      </c>
      <c r="B34" s="16" t="s">
        <v>1905</v>
      </c>
      <c r="C34" s="28" t="s">
        <v>109</v>
      </c>
      <c r="D34" s="28" t="str">
        <f>IFERROR(VLOOKUP($C34,CUENTAS[],2,0),"")</f>
        <v>LOGÍSTICA</v>
      </c>
      <c r="E34" s="28" t="str">
        <f>IFERROR(VLOOKUP($C34,CUENTAS[],3,0),"")</f>
        <v>MDE2025-006A</v>
      </c>
      <c r="F34" s="86">
        <v>19610.68</v>
      </c>
      <c r="G34" s="86">
        <v>3137.85</v>
      </c>
      <c r="H34" s="74">
        <v>22748.53</v>
      </c>
      <c r="I34" s="200" t="str">
        <f t="shared" si="0"/>
        <v>CORRECTO</v>
      </c>
      <c r="J34" s="88" t="s">
        <v>3244</v>
      </c>
      <c r="K34" s="69" t="s">
        <v>362</v>
      </c>
      <c r="L34" s="84" t="s">
        <v>227</v>
      </c>
      <c r="M34" s="135">
        <v>45848</v>
      </c>
      <c r="N34" s="75" t="s">
        <v>1963</v>
      </c>
      <c r="P34" s="89"/>
      <c r="Q34" s="89"/>
    </row>
    <row r="35" spans="1:17" x14ac:dyDescent="0.3">
      <c r="A35" s="16" t="s">
        <v>283</v>
      </c>
      <c r="B35" s="16">
        <v>2575107</v>
      </c>
      <c r="C35" s="28" t="s">
        <v>120</v>
      </c>
      <c r="D35" s="28" t="str">
        <f>IFERROR(VLOOKUP($C35,CUENTAS[],2,0),"")</f>
        <v>TOKA</v>
      </c>
      <c r="E35" s="28" t="str">
        <f>IFERROR(VLOOKUP($C35,CUENTAS[],3,0),"")</f>
        <v>TOK2025-001C</v>
      </c>
      <c r="F35" s="86">
        <v>348</v>
      </c>
      <c r="G35" s="86">
        <v>0</v>
      </c>
      <c r="H35" s="74">
        <v>348</v>
      </c>
      <c r="I35" s="200" t="str">
        <f t="shared" si="0"/>
        <v>CORRECTO</v>
      </c>
      <c r="J35" s="88" t="s">
        <v>3244</v>
      </c>
      <c r="K35" s="69" t="s">
        <v>363</v>
      </c>
      <c r="L35" s="84" t="s">
        <v>227</v>
      </c>
      <c r="M35" s="135">
        <v>45849</v>
      </c>
      <c r="N35" s="75" t="s">
        <v>570</v>
      </c>
      <c r="P35" s="89"/>
      <c r="Q35" s="89"/>
    </row>
    <row r="36" spans="1:17" x14ac:dyDescent="0.3">
      <c r="A36" s="16" t="s">
        <v>1607</v>
      </c>
      <c r="B36" s="16" t="s">
        <v>1906</v>
      </c>
      <c r="C36" s="28" t="s">
        <v>224</v>
      </c>
      <c r="D36" s="28" t="str">
        <f>IFERROR(VLOOKUP($C36,CUENTAS[],2,0),"")</f>
        <v>MATERIALES</v>
      </c>
      <c r="E36" s="28" t="str">
        <f>IFERROR(VLOOKUP($C36,CUENTAS[],3,0),"")</f>
        <v>MDE2025-004</v>
      </c>
      <c r="F36" s="86">
        <v>1950</v>
      </c>
      <c r="G36" s="86">
        <v>312</v>
      </c>
      <c r="H36" s="74">
        <v>2262</v>
      </c>
      <c r="I36" s="200" t="str">
        <f t="shared" si="0"/>
        <v>CORRECTO</v>
      </c>
      <c r="J36" s="88" t="s">
        <v>3244</v>
      </c>
      <c r="K36" s="69" t="s">
        <v>1943</v>
      </c>
      <c r="L36" s="84" t="s">
        <v>227</v>
      </c>
      <c r="M36" s="135">
        <v>45848</v>
      </c>
      <c r="N36" s="75" t="s">
        <v>1964</v>
      </c>
      <c r="P36" s="89"/>
      <c r="Q36" s="89"/>
    </row>
    <row r="37" spans="1:17" x14ac:dyDescent="0.3">
      <c r="A37" s="16" t="s">
        <v>281</v>
      </c>
      <c r="B37" s="16" t="s">
        <v>1907</v>
      </c>
      <c r="C37" s="28" t="s">
        <v>128</v>
      </c>
      <c r="D37" s="28" t="str">
        <f>IFERROR(VLOOKUP($C37,CUENTAS[],2,0),"")</f>
        <v>GASTOS FIJOS</v>
      </c>
      <c r="E37" s="28" t="str">
        <f>IFERROR(VLOOKUP($C37,CUENTAS[],3,0),"")</f>
        <v>MDE2025-002I</v>
      </c>
      <c r="F37" s="86">
        <v>8000</v>
      </c>
      <c r="G37" s="86">
        <v>0</v>
      </c>
      <c r="H37" s="74">
        <v>8000</v>
      </c>
      <c r="I37" s="200" t="str">
        <f t="shared" si="0"/>
        <v>CORRECTO</v>
      </c>
      <c r="J37" s="88" t="s">
        <v>3244</v>
      </c>
      <c r="K37" s="69" t="s">
        <v>363</v>
      </c>
      <c r="L37" s="84" t="s">
        <v>227</v>
      </c>
      <c r="M37" s="135">
        <v>45848</v>
      </c>
      <c r="N37" s="75" t="s">
        <v>371</v>
      </c>
      <c r="P37" s="89"/>
      <c r="Q37" s="89"/>
    </row>
    <row r="38" spans="1:17" x14ac:dyDescent="0.3">
      <c r="A38" s="16" t="s">
        <v>310</v>
      </c>
      <c r="B38" s="16" t="s">
        <v>1908</v>
      </c>
      <c r="C38" s="28" t="s">
        <v>113</v>
      </c>
      <c r="D38" s="28" t="str">
        <f>IFERROR(VLOOKUP($C38,CUENTAS[],2,0),"")</f>
        <v>GASTOS VARIOS</v>
      </c>
      <c r="E38" s="28" t="str">
        <f>IFERROR(VLOOKUP($C38,CUENTAS[],3,0),"")</f>
        <v>MDE2025-003B</v>
      </c>
      <c r="F38" s="86">
        <v>689.66</v>
      </c>
      <c r="G38" s="86">
        <v>110.35</v>
      </c>
      <c r="H38" s="74">
        <v>800.01</v>
      </c>
      <c r="I38" s="200" t="str">
        <f t="shared" si="0"/>
        <v>CORRECTO</v>
      </c>
      <c r="J38" s="88" t="s">
        <v>3244</v>
      </c>
      <c r="K38" s="69" t="s">
        <v>1943</v>
      </c>
      <c r="L38" s="84" t="s">
        <v>227</v>
      </c>
      <c r="M38" s="136">
        <v>45848</v>
      </c>
      <c r="N38" s="75" t="s">
        <v>1982</v>
      </c>
      <c r="P38" s="89"/>
      <c r="Q38" s="89"/>
    </row>
    <row r="39" spans="1:17" x14ac:dyDescent="0.3">
      <c r="A39" s="16" t="s">
        <v>341</v>
      </c>
      <c r="B39" s="16" t="s">
        <v>1909</v>
      </c>
      <c r="C39" s="28" t="s">
        <v>224</v>
      </c>
      <c r="D39" s="28" t="str">
        <f>IFERROR(VLOOKUP($C39,CUENTAS[],2,0),"")</f>
        <v>MATERIALES</v>
      </c>
      <c r="E39" s="28" t="str">
        <f>IFERROR(VLOOKUP($C39,CUENTAS[],3,0),"")</f>
        <v>MDE2025-004</v>
      </c>
      <c r="F39" s="86">
        <v>950</v>
      </c>
      <c r="G39" s="86">
        <v>0</v>
      </c>
      <c r="H39" s="74">
        <v>950</v>
      </c>
      <c r="I39" s="200" t="str">
        <f t="shared" si="0"/>
        <v>CORRECTO</v>
      </c>
      <c r="J39" s="88" t="s">
        <v>3244</v>
      </c>
      <c r="K39" s="69" t="s">
        <v>362</v>
      </c>
      <c r="L39" s="84" t="s">
        <v>227</v>
      </c>
      <c r="M39" s="135">
        <v>45848</v>
      </c>
      <c r="N39" s="75" t="s">
        <v>368</v>
      </c>
      <c r="P39" s="89"/>
      <c r="Q39" s="89"/>
    </row>
    <row r="40" spans="1:17" x14ac:dyDescent="0.3">
      <c r="A40" s="16" t="s">
        <v>1109</v>
      </c>
      <c r="B40" s="16" t="s">
        <v>1910</v>
      </c>
      <c r="C40" s="28" t="s">
        <v>224</v>
      </c>
      <c r="D40" s="28" t="str">
        <f>IFERROR(VLOOKUP($C40,CUENTAS[],2,0),"")</f>
        <v>MATERIALES</v>
      </c>
      <c r="E40" s="28" t="str">
        <f>IFERROR(VLOOKUP($C40,CUENTAS[],3,0),"")</f>
        <v>MDE2025-004</v>
      </c>
      <c r="F40" s="86">
        <v>2987.74</v>
      </c>
      <c r="G40" s="86">
        <v>478.04</v>
      </c>
      <c r="H40" s="74">
        <v>3465.78</v>
      </c>
      <c r="I40" s="200" t="str">
        <f t="shared" si="0"/>
        <v>CORRECTO</v>
      </c>
      <c r="J40" s="88" t="s">
        <v>3244</v>
      </c>
      <c r="K40" s="69" t="s">
        <v>357</v>
      </c>
      <c r="L40" s="84" t="s">
        <v>227</v>
      </c>
      <c r="M40" s="137">
        <v>45848</v>
      </c>
      <c r="N40" s="75" t="s">
        <v>1965</v>
      </c>
      <c r="P40" s="89"/>
      <c r="Q40" s="89"/>
    </row>
    <row r="41" spans="1:17" x14ac:dyDescent="0.3">
      <c r="A41" s="16" t="s">
        <v>228</v>
      </c>
      <c r="B41" s="16" t="s">
        <v>1911</v>
      </c>
      <c r="C41" s="28" t="s">
        <v>19</v>
      </c>
      <c r="D41" s="28" t="str">
        <f>IFERROR(VLOOKUP($C41,CUENTAS[],2,0),"")</f>
        <v>DISEÑOS</v>
      </c>
      <c r="E41" s="28" t="str">
        <f>IFERROR(VLOOKUP($C41,CUENTAS[],3,0),"")</f>
        <v>MDE2025-001</v>
      </c>
      <c r="F41" s="86">
        <v>17000</v>
      </c>
      <c r="G41" s="86">
        <v>0</v>
      </c>
      <c r="H41" s="74">
        <v>17000</v>
      </c>
      <c r="I41" s="200" t="str">
        <f t="shared" si="0"/>
        <v>CORRECTO</v>
      </c>
      <c r="J41" s="88" t="s">
        <v>3244</v>
      </c>
      <c r="K41" s="69" t="s">
        <v>360</v>
      </c>
      <c r="L41" s="84" t="s">
        <v>227</v>
      </c>
      <c r="M41" s="137">
        <v>45848</v>
      </c>
      <c r="N41" s="75" t="s">
        <v>368</v>
      </c>
      <c r="P41" s="89"/>
      <c r="Q41" s="89"/>
    </row>
    <row r="42" spans="1:17" x14ac:dyDescent="0.3">
      <c r="A42" s="16" t="s">
        <v>763</v>
      </c>
      <c r="B42" s="16" t="s">
        <v>1912</v>
      </c>
      <c r="C42" s="28" t="s">
        <v>224</v>
      </c>
      <c r="D42" s="28" t="str">
        <f>IFERROR(VLOOKUP($C42,CUENTAS[],2,0),"")</f>
        <v>MATERIALES</v>
      </c>
      <c r="E42" s="28" t="str">
        <f>IFERROR(VLOOKUP($C42,CUENTAS[],3,0),"")</f>
        <v>MDE2025-004</v>
      </c>
      <c r="F42" s="86">
        <v>9478.76</v>
      </c>
      <c r="G42" s="86">
        <v>1516.6</v>
      </c>
      <c r="H42" s="74">
        <v>10995.36</v>
      </c>
      <c r="I42" s="200" t="str">
        <f t="shared" si="0"/>
        <v>CORRECTO</v>
      </c>
      <c r="J42" s="88" t="s">
        <v>3244</v>
      </c>
      <c r="K42" s="69" t="s">
        <v>363</v>
      </c>
      <c r="L42" s="84" t="s">
        <v>227</v>
      </c>
      <c r="M42" s="135">
        <v>45853</v>
      </c>
      <c r="N42" s="75" t="s">
        <v>1966</v>
      </c>
      <c r="P42" s="89"/>
      <c r="Q42" s="89"/>
    </row>
    <row r="43" spans="1:17" x14ac:dyDescent="0.3">
      <c r="A43" s="16" t="s">
        <v>666</v>
      </c>
      <c r="B43" s="16" t="s">
        <v>1913</v>
      </c>
      <c r="C43" s="28" t="s">
        <v>224</v>
      </c>
      <c r="D43" s="28" t="str">
        <f>IFERROR(VLOOKUP($C43,CUENTAS[],2,0),"")</f>
        <v>MATERIALES</v>
      </c>
      <c r="E43" s="28" t="str">
        <f>IFERROR(VLOOKUP($C43,CUENTAS[],3,0),"")</f>
        <v>MDE2025-004</v>
      </c>
      <c r="F43" s="86">
        <v>2365.52</v>
      </c>
      <c r="G43" s="86">
        <v>378.48</v>
      </c>
      <c r="H43" s="74">
        <v>2744</v>
      </c>
      <c r="I43" s="200" t="str">
        <f t="shared" si="0"/>
        <v>CORRECTO</v>
      </c>
      <c r="J43" s="88" t="s">
        <v>3244</v>
      </c>
      <c r="K43" s="69" t="s">
        <v>1943</v>
      </c>
      <c r="L43" s="84" t="s">
        <v>227</v>
      </c>
      <c r="M43" s="135">
        <v>45853</v>
      </c>
      <c r="N43" s="75" t="s">
        <v>1967</v>
      </c>
      <c r="P43" s="89"/>
      <c r="Q43" s="89"/>
    </row>
    <row r="44" spans="1:17" x14ac:dyDescent="0.3">
      <c r="A44" s="16" t="s">
        <v>1914</v>
      </c>
      <c r="B44" s="16" t="s">
        <v>1915</v>
      </c>
      <c r="C44" s="28" t="s">
        <v>224</v>
      </c>
      <c r="D44" s="28" t="str">
        <f>IFERROR(VLOOKUP($C44,CUENTAS[],2,0),"")</f>
        <v>MATERIALES</v>
      </c>
      <c r="E44" s="28" t="str">
        <f>IFERROR(VLOOKUP($C44,CUENTAS[],3,0),"")</f>
        <v>MDE2025-004</v>
      </c>
      <c r="F44" s="86">
        <v>6075.87</v>
      </c>
      <c r="G44" s="86">
        <v>972.13</v>
      </c>
      <c r="H44" s="74">
        <v>7048</v>
      </c>
      <c r="I44" s="200" t="str">
        <f t="shared" si="0"/>
        <v>CORRECTO</v>
      </c>
      <c r="J44" s="88" t="s">
        <v>3244</v>
      </c>
      <c r="K44" s="69" t="s">
        <v>1943</v>
      </c>
      <c r="L44" s="84" t="s">
        <v>227</v>
      </c>
      <c r="M44" s="135">
        <v>45853</v>
      </c>
      <c r="N44" s="75" t="s">
        <v>1968</v>
      </c>
      <c r="P44" s="89"/>
      <c r="Q44" s="89"/>
    </row>
    <row r="45" spans="1:17" x14ac:dyDescent="0.3">
      <c r="A45" s="16" t="s">
        <v>275</v>
      </c>
      <c r="B45" s="16" t="s">
        <v>1916</v>
      </c>
      <c r="C45" s="28" t="s">
        <v>121</v>
      </c>
      <c r="D45" s="28" t="str">
        <f>IFERROR(VLOOKUP($C45,CUENTAS[],2,0),"")</f>
        <v>GASTOS FIJOS</v>
      </c>
      <c r="E45" s="28" t="str">
        <f>IFERROR(VLOOKUP($C45,CUENTAS[],3,0),"")</f>
        <v>MDE2025-002K</v>
      </c>
      <c r="F45" s="86">
        <v>15525</v>
      </c>
      <c r="G45" s="86">
        <v>2484</v>
      </c>
      <c r="H45" s="74">
        <v>18009</v>
      </c>
      <c r="I45" s="200" t="str">
        <f t="shared" si="0"/>
        <v>CORRECTO</v>
      </c>
      <c r="J45" s="88" t="s">
        <v>3244</v>
      </c>
      <c r="K45" s="69" t="s">
        <v>1954</v>
      </c>
      <c r="L45" s="84" t="s">
        <v>227</v>
      </c>
      <c r="M45" s="135">
        <v>45853</v>
      </c>
      <c r="N45" s="75" t="s">
        <v>1969</v>
      </c>
      <c r="P45" s="89"/>
      <c r="Q45" s="89"/>
    </row>
    <row r="46" spans="1:17" x14ac:dyDescent="0.3">
      <c r="A46" s="16" t="s">
        <v>1917</v>
      </c>
      <c r="B46" s="16" t="s">
        <v>1918</v>
      </c>
      <c r="C46" s="28" t="s">
        <v>109</v>
      </c>
      <c r="D46" s="28" t="str">
        <f>IFERROR(VLOOKUP($C46,CUENTAS[],2,0),"")</f>
        <v>LOGÍSTICA</v>
      </c>
      <c r="E46" s="28" t="str">
        <f>IFERROR(VLOOKUP($C46,CUENTAS[],3,0),"")</f>
        <v>MDE2025-006A</v>
      </c>
      <c r="F46" s="86">
        <v>2000</v>
      </c>
      <c r="G46" s="86">
        <v>0</v>
      </c>
      <c r="H46" s="74">
        <v>2000</v>
      </c>
      <c r="I46" s="200" t="str">
        <f t="shared" si="0"/>
        <v>CORRECTO</v>
      </c>
      <c r="J46" s="88" t="s">
        <v>3244</v>
      </c>
      <c r="K46" s="69" t="s">
        <v>362</v>
      </c>
      <c r="L46" s="84" t="s">
        <v>227</v>
      </c>
      <c r="M46" s="135">
        <v>45853</v>
      </c>
      <c r="N46" s="75" t="s">
        <v>368</v>
      </c>
      <c r="P46" s="89"/>
      <c r="Q46" s="89"/>
    </row>
    <row r="47" spans="1:17" x14ac:dyDescent="0.3">
      <c r="A47" s="16" t="s">
        <v>1371</v>
      </c>
      <c r="B47" s="16" t="s">
        <v>1372</v>
      </c>
      <c r="C47" s="28" t="s">
        <v>156</v>
      </c>
      <c r="D47" s="28" t="str">
        <f>IFERROR(VLOOKUP($C47,CUENTAS[],2,0),"")</f>
        <v>GASTOS FIJOS</v>
      </c>
      <c r="E47" s="28" t="str">
        <f>IFERROR(VLOOKUP($C47,CUENTAS[],3,0),"")</f>
        <v>MDE2025-002P</v>
      </c>
      <c r="F47" s="86">
        <v>8150</v>
      </c>
      <c r="G47" s="86">
        <v>0</v>
      </c>
      <c r="H47" s="74">
        <v>8150</v>
      </c>
      <c r="I47" s="200" t="str">
        <f t="shared" si="0"/>
        <v>CORRECTO</v>
      </c>
      <c r="J47" s="88" t="s">
        <v>3244</v>
      </c>
      <c r="K47" s="69" t="s">
        <v>364</v>
      </c>
      <c r="L47" s="84" t="s">
        <v>227</v>
      </c>
      <c r="M47" s="135">
        <v>45853</v>
      </c>
      <c r="N47" s="75" t="s">
        <v>371</v>
      </c>
      <c r="P47" s="89"/>
      <c r="Q47" s="89"/>
    </row>
    <row r="48" spans="1:17" x14ac:dyDescent="0.3">
      <c r="A48" s="16" t="s">
        <v>232</v>
      </c>
      <c r="B48" s="16" t="s">
        <v>1919</v>
      </c>
      <c r="C48" s="28" t="s">
        <v>224</v>
      </c>
      <c r="D48" s="28" t="str">
        <f>IFERROR(VLOOKUP($C48,CUENTAS[],2,0),"")</f>
        <v>MATERIALES</v>
      </c>
      <c r="E48" s="28" t="str">
        <f>IFERROR(VLOOKUP($C48,CUENTAS[],3,0),"")</f>
        <v>MDE2025-004</v>
      </c>
      <c r="F48" s="86">
        <v>19520.689999999999</v>
      </c>
      <c r="G48" s="86">
        <v>3123.31</v>
      </c>
      <c r="H48" s="74">
        <v>22644</v>
      </c>
      <c r="I48" s="200" t="str">
        <f t="shared" si="0"/>
        <v>CORRECTO</v>
      </c>
      <c r="J48" s="88" t="s">
        <v>3244</v>
      </c>
      <c r="K48" s="69" t="s">
        <v>1943</v>
      </c>
      <c r="L48" s="84" t="s">
        <v>227</v>
      </c>
      <c r="M48" s="135">
        <v>45855</v>
      </c>
      <c r="N48" s="75" t="s">
        <v>1970</v>
      </c>
      <c r="P48" s="89"/>
      <c r="Q48" s="89"/>
    </row>
    <row r="49" spans="1:17" x14ac:dyDescent="0.3">
      <c r="A49" s="16" t="s">
        <v>666</v>
      </c>
      <c r="B49" s="16" t="s">
        <v>1920</v>
      </c>
      <c r="C49" s="28" t="s">
        <v>224</v>
      </c>
      <c r="D49" s="28" t="str">
        <f>IFERROR(VLOOKUP($C49,CUENTAS[],2,0),"")</f>
        <v>MATERIALES</v>
      </c>
      <c r="E49" s="28" t="str">
        <f>IFERROR(VLOOKUP($C49,CUENTAS[],3,0),"")</f>
        <v>MDE2025-004</v>
      </c>
      <c r="F49" s="86">
        <v>6340.52</v>
      </c>
      <c r="G49" s="86">
        <v>1014.48</v>
      </c>
      <c r="H49" s="74">
        <v>7355</v>
      </c>
      <c r="I49" s="200" t="str">
        <f t="shared" si="0"/>
        <v>CORRECTO</v>
      </c>
      <c r="J49" s="88" t="s">
        <v>3244</v>
      </c>
      <c r="K49" s="69" t="s">
        <v>980</v>
      </c>
      <c r="L49" s="84" t="s">
        <v>227</v>
      </c>
      <c r="M49" s="135">
        <v>45855</v>
      </c>
      <c r="N49" s="75" t="s">
        <v>1971</v>
      </c>
      <c r="P49" s="89"/>
      <c r="Q49" s="89"/>
    </row>
    <row r="50" spans="1:17" x14ac:dyDescent="0.3">
      <c r="A50" s="16" t="s">
        <v>1921</v>
      </c>
      <c r="B50" s="16" t="s">
        <v>1922</v>
      </c>
      <c r="C50" s="28" t="s">
        <v>224</v>
      </c>
      <c r="D50" s="28" t="str">
        <f>IFERROR(VLOOKUP($C50,CUENTAS[],2,0),"")</f>
        <v>MATERIALES</v>
      </c>
      <c r="E50" s="28" t="str">
        <f>IFERROR(VLOOKUP($C50,CUENTAS[],3,0),"")</f>
        <v>MDE2025-004</v>
      </c>
      <c r="F50" s="86">
        <v>59395.68</v>
      </c>
      <c r="G50" s="86">
        <v>9503.32</v>
      </c>
      <c r="H50" s="74">
        <v>68899</v>
      </c>
      <c r="I50" s="200" t="str">
        <f t="shared" si="0"/>
        <v>CORRECTO</v>
      </c>
      <c r="J50" s="88" t="s">
        <v>3244</v>
      </c>
      <c r="K50" s="69" t="s">
        <v>406</v>
      </c>
      <c r="L50" s="84" t="s">
        <v>227</v>
      </c>
      <c r="M50" s="135">
        <v>45855</v>
      </c>
      <c r="N50" s="75" t="s">
        <v>1972</v>
      </c>
      <c r="P50" s="89"/>
      <c r="Q50" s="89"/>
    </row>
    <row r="51" spans="1:17" x14ac:dyDescent="0.3">
      <c r="A51" s="16" t="s">
        <v>228</v>
      </c>
      <c r="B51" s="16" t="s">
        <v>1923</v>
      </c>
      <c r="C51" s="28" t="s">
        <v>201</v>
      </c>
      <c r="D51" s="28" t="str">
        <f>IFERROR(VLOOKUP($C51,CUENTAS[],2,0),"")</f>
        <v>ACTIVOS FIJOS</v>
      </c>
      <c r="E51" s="28" t="str">
        <f>IFERROR(VLOOKUP($C51,CUENTAS[],3,0),"")</f>
        <v>MDE2025-007I</v>
      </c>
      <c r="F51" s="86">
        <v>3000</v>
      </c>
      <c r="G51" s="86">
        <v>0</v>
      </c>
      <c r="H51" s="74">
        <v>3000</v>
      </c>
      <c r="I51" s="200" t="str">
        <f t="shared" si="0"/>
        <v>CORRECTO</v>
      </c>
      <c r="J51" s="88" t="s">
        <v>3244</v>
      </c>
      <c r="K51" s="69" t="s">
        <v>360</v>
      </c>
      <c r="L51" s="84" t="s">
        <v>227</v>
      </c>
      <c r="M51" s="136">
        <v>45855</v>
      </c>
      <c r="N51" s="75" t="s">
        <v>368</v>
      </c>
      <c r="P51" s="89"/>
      <c r="Q51" s="89"/>
    </row>
    <row r="52" spans="1:17" x14ac:dyDescent="0.3">
      <c r="A52" s="16" t="s">
        <v>228</v>
      </c>
      <c r="B52" s="16" t="s">
        <v>1924</v>
      </c>
      <c r="C52" s="28" t="s">
        <v>109</v>
      </c>
      <c r="D52" s="28" t="str">
        <f>IFERROR(VLOOKUP($C52,CUENTAS[],2,0),"")</f>
        <v>LOGÍSTICA</v>
      </c>
      <c r="E52" s="28" t="str">
        <f>IFERROR(VLOOKUP($C52,CUENTAS[],3,0),"")</f>
        <v>MDE2025-006A</v>
      </c>
      <c r="F52" s="86">
        <v>5000</v>
      </c>
      <c r="G52" s="86">
        <v>0</v>
      </c>
      <c r="H52" s="74">
        <v>5000</v>
      </c>
      <c r="I52" s="200" t="str">
        <f t="shared" si="0"/>
        <v>CORRECTO</v>
      </c>
      <c r="J52" s="88" t="s">
        <v>3244</v>
      </c>
      <c r="K52" s="69" t="s">
        <v>360</v>
      </c>
      <c r="L52" s="84" t="s">
        <v>227</v>
      </c>
      <c r="M52" s="135">
        <v>45855</v>
      </c>
      <c r="N52" s="75" t="s">
        <v>368</v>
      </c>
      <c r="P52" s="89"/>
      <c r="Q52" s="89"/>
    </row>
    <row r="53" spans="1:17" x14ac:dyDescent="0.3">
      <c r="A53" s="16" t="s">
        <v>1925</v>
      </c>
      <c r="B53" s="16" t="s">
        <v>1926</v>
      </c>
      <c r="C53" s="28" t="s">
        <v>142</v>
      </c>
      <c r="D53" s="28" t="str">
        <f>IFERROR(VLOOKUP($C53,CUENTAS[],2,0),"")</f>
        <v>ACTIVOS FIJOS</v>
      </c>
      <c r="E53" s="28" t="str">
        <f>IFERROR(VLOOKUP($C53,CUENTAS[],3,0),"")</f>
        <v>MDE2025-007G</v>
      </c>
      <c r="F53" s="86">
        <v>4623.38</v>
      </c>
      <c r="G53" s="86">
        <v>0</v>
      </c>
      <c r="H53" s="74">
        <v>4623.38</v>
      </c>
      <c r="I53" s="200" t="str">
        <f t="shared" si="0"/>
        <v>CORRECTO</v>
      </c>
      <c r="J53" s="88" t="s">
        <v>3244</v>
      </c>
      <c r="K53" s="69" t="s">
        <v>1973</v>
      </c>
      <c r="L53" s="84" t="s">
        <v>227</v>
      </c>
      <c r="M53" s="135">
        <v>45856</v>
      </c>
      <c r="N53" s="75" t="s">
        <v>368</v>
      </c>
      <c r="P53" s="89"/>
      <c r="Q53" s="89"/>
    </row>
    <row r="54" spans="1:17" x14ac:dyDescent="0.3">
      <c r="A54" s="16" t="s">
        <v>666</v>
      </c>
      <c r="B54" s="16" t="s">
        <v>1927</v>
      </c>
      <c r="C54" s="28" t="s">
        <v>224</v>
      </c>
      <c r="D54" s="28" t="str">
        <f>IFERROR(VLOOKUP($C54,CUENTAS[],2,0),"")</f>
        <v>MATERIALES</v>
      </c>
      <c r="E54" s="28" t="str">
        <f>IFERROR(VLOOKUP($C54,CUENTAS[],3,0),"")</f>
        <v>MDE2025-004</v>
      </c>
      <c r="F54" s="86">
        <v>12122.25</v>
      </c>
      <c r="G54" s="86">
        <v>1939.55</v>
      </c>
      <c r="H54" s="74">
        <v>14061.8</v>
      </c>
      <c r="I54" s="200" t="str">
        <f t="shared" si="0"/>
        <v>CORRECTO</v>
      </c>
      <c r="J54" s="88" t="s">
        <v>3244</v>
      </c>
      <c r="K54" s="69" t="s">
        <v>363</v>
      </c>
      <c r="L54" s="84" t="s">
        <v>227</v>
      </c>
      <c r="M54" s="135">
        <v>45856</v>
      </c>
      <c r="N54" s="75" t="s">
        <v>1974</v>
      </c>
      <c r="P54" s="89"/>
      <c r="Q54" s="89"/>
    </row>
    <row r="55" spans="1:17" x14ac:dyDescent="0.3">
      <c r="A55" s="16" t="s">
        <v>763</v>
      </c>
      <c r="B55" s="16" t="s">
        <v>1928</v>
      </c>
      <c r="C55" s="28" t="s">
        <v>159</v>
      </c>
      <c r="D55" s="28" t="str">
        <f>IFERROR(VLOOKUP($C55,CUENTAS[],2,0),"")</f>
        <v>GASTOS VARIOS</v>
      </c>
      <c r="E55" s="28" t="str">
        <f>IFERROR(VLOOKUP($C55,CUENTAS[],3,0),"")</f>
        <v>MDE2025-003A</v>
      </c>
      <c r="F55" s="86">
        <v>1759.25</v>
      </c>
      <c r="G55" s="86">
        <v>0</v>
      </c>
      <c r="H55" s="74">
        <v>1759.25</v>
      </c>
      <c r="I55" s="200" t="str">
        <f t="shared" si="0"/>
        <v>CORRECTO</v>
      </c>
      <c r="J55" s="88" t="s">
        <v>3244</v>
      </c>
      <c r="K55" s="69" t="s">
        <v>1954</v>
      </c>
      <c r="L55" s="84" t="s">
        <v>227</v>
      </c>
      <c r="M55" s="135">
        <v>45860</v>
      </c>
      <c r="N55" s="75" t="s">
        <v>1975</v>
      </c>
      <c r="P55" s="89"/>
      <c r="Q55" s="89"/>
    </row>
    <row r="56" spans="1:17" x14ac:dyDescent="0.3">
      <c r="A56" s="16" t="s">
        <v>666</v>
      </c>
      <c r="B56" s="16" t="s">
        <v>1929</v>
      </c>
      <c r="C56" s="28" t="s">
        <v>224</v>
      </c>
      <c r="D56" s="28" t="str">
        <f>IFERROR(VLOOKUP($C56,CUENTAS[],2,0),"")</f>
        <v>MATERIALES</v>
      </c>
      <c r="E56" s="28" t="str">
        <f>IFERROR(VLOOKUP($C56,CUENTAS[],3,0),"")</f>
        <v>MDE2025-004</v>
      </c>
      <c r="F56" s="86">
        <v>7110.35</v>
      </c>
      <c r="G56" s="86">
        <v>1137.6500000000001</v>
      </c>
      <c r="H56" s="74">
        <v>8248</v>
      </c>
      <c r="I56" s="200" t="str">
        <f t="shared" si="0"/>
        <v>CORRECTO</v>
      </c>
      <c r="J56" s="88" t="s">
        <v>3244</v>
      </c>
      <c r="K56" s="69" t="s">
        <v>980</v>
      </c>
      <c r="L56" s="84" t="s">
        <v>227</v>
      </c>
      <c r="M56" s="135">
        <v>45860</v>
      </c>
      <c r="N56" s="75" t="s">
        <v>1983</v>
      </c>
      <c r="P56" s="89"/>
      <c r="Q56" s="89"/>
    </row>
    <row r="57" spans="1:17" x14ac:dyDescent="0.3">
      <c r="A57" s="16" t="s">
        <v>1930</v>
      </c>
      <c r="B57" s="16" t="s">
        <v>1931</v>
      </c>
      <c r="C57" s="28" t="s">
        <v>224</v>
      </c>
      <c r="D57" s="28" t="str">
        <f>IFERROR(VLOOKUP($C57,CUENTAS[],2,0),"")</f>
        <v>MATERIALES</v>
      </c>
      <c r="E57" s="28" t="str">
        <f>IFERROR(VLOOKUP($C57,CUENTAS[],3,0),"")</f>
        <v>MDE2025-004</v>
      </c>
      <c r="F57" s="86">
        <v>7100</v>
      </c>
      <c r="G57" s="86">
        <v>1136</v>
      </c>
      <c r="H57" s="74">
        <v>8236</v>
      </c>
      <c r="I57" s="200" t="str">
        <f t="shared" si="0"/>
        <v>CORRECTO</v>
      </c>
      <c r="J57" s="88" t="s">
        <v>3244</v>
      </c>
      <c r="K57" s="69" t="s">
        <v>980</v>
      </c>
      <c r="L57" s="84" t="s">
        <v>227</v>
      </c>
      <c r="M57" s="135">
        <v>45860</v>
      </c>
      <c r="N57" s="75" t="s">
        <v>1976</v>
      </c>
      <c r="P57" s="89"/>
      <c r="Q57" s="89"/>
    </row>
    <row r="58" spans="1:17" x14ac:dyDescent="0.3">
      <c r="A58" s="16" t="s">
        <v>1932</v>
      </c>
      <c r="B58" s="16" t="s">
        <v>1933</v>
      </c>
      <c r="C58" s="28" t="s">
        <v>109</v>
      </c>
      <c r="D58" s="28" t="str">
        <f>IFERROR(VLOOKUP($C58,CUENTAS[],2,0),"")</f>
        <v>LOGÍSTICA</v>
      </c>
      <c r="E58" s="28" t="str">
        <f>IFERROR(VLOOKUP($C58,CUENTAS[],3,0),"")</f>
        <v>MDE2025-006A</v>
      </c>
      <c r="F58" s="86">
        <v>2500</v>
      </c>
      <c r="G58" s="86">
        <v>0</v>
      </c>
      <c r="H58" s="74">
        <v>2500</v>
      </c>
      <c r="I58" s="200" t="str">
        <f t="shared" si="0"/>
        <v>CORRECTO</v>
      </c>
      <c r="J58" s="88" t="s">
        <v>3244</v>
      </c>
      <c r="K58" s="69" t="s">
        <v>362</v>
      </c>
      <c r="L58" s="84" t="s">
        <v>227</v>
      </c>
      <c r="M58" s="135">
        <v>45860</v>
      </c>
      <c r="N58" s="75" t="s">
        <v>1977</v>
      </c>
      <c r="P58" s="89"/>
      <c r="Q58" s="89"/>
    </row>
    <row r="59" spans="1:17" x14ac:dyDescent="0.3">
      <c r="A59" s="16" t="s">
        <v>1378</v>
      </c>
      <c r="B59" s="16" t="s">
        <v>1934</v>
      </c>
      <c r="C59" s="28" t="s">
        <v>224</v>
      </c>
      <c r="D59" s="28" t="str">
        <f>IFERROR(VLOOKUP($C59,CUENTAS[],2,0),"")</f>
        <v>MATERIALES</v>
      </c>
      <c r="E59" s="28" t="str">
        <f>IFERROR(VLOOKUP($C59,CUENTAS[],3,0),"")</f>
        <v>MDE2025-004</v>
      </c>
      <c r="F59" s="86">
        <v>13586.21</v>
      </c>
      <c r="G59" s="86">
        <v>2173.79</v>
      </c>
      <c r="H59" s="74">
        <v>15760</v>
      </c>
      <c r="I59" s="200" t="str">
        <f t="shared" si="0"/>
        <v>CORRECTO</v>
      </c>
      <c r="J59" s="88" t="s">
        <v>3244</v>
      </c>
      <c r="K59" s="69" t="s">
        <v>980</v>
      </c>
      <c r="L59" s="84" t="s">
        <v>227</v>
      </c>
      <c r="M59" s="135">
        <v>45860</v>
      </c>
      <c r="N59" s="75" t="s">
        <v>1984</v>
      </c>
      <c r="P59" s="89"/>
      <c r="Q59" s="89"/>
    </row>
    <row r="60" spans="1:17" x14ac:dyDescent="0.3">
      <c r="A60" s="16" t="s">
        <v>232</v>
      </c>
      <c r="B60" s="16" t="s">
        <v>1935</v>
      </c>
      <c r="C60" s="28" t="s">
        <v>224</v>
      </c>
      <c r="D60" s="28" t="str">
        <f>IFERROR(VLOOKUP($C60,CUENTAS[],2,0),"")</f>
        <v>MATERIALES</v>
      </c>
      <c r="E60" s="28" t="str">
        <f>IFERROR(VLOOKUP($C60,CUENTAS[],3,0),"")</f>
        <v>MDE2025-004</v>
      </c>
      <c r="F60" s="86">
        <v>22047.49</v>
      </c>
      <c r="G60" s="86">
        <v>3527.55</v>
      </c>
      <c r="H60" s="74">
        <v>25575.040000000001</v>
      </c>
      <c r="I60" s="200" t="str">
        <f t="shared" si="0"/>
        <v>CORRECTO</v>
      </c>
      <c r="J60" s="88" t="s">
        <v>3244</v>
      </c>
      <c r="K60" s="69" t="s">
        <v>980</v>
      </c>
      <c r="L60" s="84" t="s">
        <v>227</v>
      </c>
      <c r="M60" s="135">
        <v>45860</v>
      </c>
      <c r="N60" s="75" t="s">
        <v>1978</v>
      </c>
      <c r="P60" s="89"/>
      <c r="Q60" s="89"/>
    </row>
    <row r="61" spans="1:17" x14ac:dyDescent="0.3">
      <c r="A61" s="16" t="s">
        <v>666</v>
      </c>
      <c r="B61" s="16" t="s">
        <v>1936</v>
      </c>
      <c r="C61" s="28" t="s">
        <v>224</v>
      </c>
      <c r="D61" s="28" t="str">
        <f>IFERROR(VLOOKUP($C61,CUENTAS[],2,0),"")</f>
        <v>MATERIALES</v>
      </c>
      <c r="E61" s="28" t="str">
        <f>IFERROR(VLOOKUP($C61,CUENTAS[],3,0),"")</f>
        <v>MDE2025-004</v>
      </c>
      <c r="F61" s="86">
        <v>1146.56</v>
      </c>
      <c r="G61" s="86">
        <v>183.84</v>
      </c>
      <c r="H61" s="74">
        <v>1330.4</v>
      </c>
      <c r="I61" s="200" t="str">
        <f t="shared" si="0"/>
        <v>CORRECTO</v>
      </c>
      <c r="J61" s="88" t="s">
        <v>3244</v>
      </c>
      <c r="K61" s="69" t="s">
        <v>980</v>
      </c>
      <c r="L61" s="84" t="s">
        <v>227</v>
      </c>
      <c r="M61" s="148">
        <v>45862</v>
      </c>
      <c r="N61" s="75" t="s">
        <v>1983</v>
      </c>
      <c r="P61" s="89"/>
      <c r="Q61" s="89"/>
    </row>
    <row r="62" spans="1:17" x14ac:dyDescent="0.3">
      <c r="A62" s="16" t="s">
        <v>1937</v>
      </c>
      <c r="B62" s="16" t="s">
        <v>1938</v>
      </c>
      <c r="C62" s="28" t="s">
        <v>224</v>
      </c>
      <c r="D62" s="28" t="str">
        <f>IFERROR(VLOOKUP($C62,CUENTAS[],2,0),"")</f>
        <v>MATERIALES</v>
      </c>
      <c r="E62" s="28" t="str">
        <f>IFERROR(VLOOKUP($C62,CUENTAS[],3,0),"")</f>
        <v>MDE2025-004</v>
      </c>
      <c r="F62" s="86">
        <v>7718.42</v>
      </c>
      <c r="G62" s="86">
        <v>1234.94</v>
      </c>
      <c r="H62" s="74">
        <v>8953.36</v>
      </c>
      <c r="I62" s="200" t="str">
        <f t="shared" si="0"/>
        <v>CORRECTO</v>
      </c>
      <c r="J62" s="88" t="s">
        <v>3244</v>
      </c>
      <c r="K62" s="69" t="s">
        <v>357</v>
      </c>
      <c r="L62" s="84" t="s">
        <v>227</v>
      </c>
      <c r="M62" s="136">
        <v>45862</v>
      </c>
      <c r="N62" s="75" t="s">
        <v>1979</v>
      </c>
      <c r="P62" s="89"/>
      <c r="Q62" s="89"/>
    </row>
    <row r="63" spans="1:17" x14ac:dyDescent="0.3">
      <c r="A63" s="16" t="s">
        <v>250</v>
      </c>
      <c r="B63" s="16" t="s">
        <v>1939</v>
      </c>
      <c r="C63" s="28" t="s">
        <v>224</v>
      </c>
      <c r="D63" s="28" t="str">
        <f>IFERROR(VLOOKUP($C63,CUENTAS[],2,0),"")</f>
        <v>MATERIALES</v>
      </c>
      <c r="E63" s="28" t="str">
        <f>IFERROR(VLOOKUP($C63,CUENTAS[],3,0),"")</f>
        <v>MDE2025-004</v>
      </c>
      <c r="F63" s="86">
        <v>80000</v>
      </c>
      <c r="G63" s="86">
        <v>0</v>
      </c>
      <c r="H63" s="74">
        <v>80000</v>
      </c>
      <c r="I63" s="200" t="str">
        <f t="shared" si="0"/>
        <v>CORRECTO</v>
      </c>
      <c r="J63" s="88" t="s">
        <v>3244</v>
      </c>
      <c r="K63" s="69" t="s">
        <v>363</v>
      </c>
      <c r="L63" s="84" t="s">
        <v>227</v>
      </c>
      <c r="M63" s="135">
        <v>45863</v>
      </c>
      <c r="N63" s="75" t="s">
        <v>371</v>
      </c>
      <c r="P63" s="89"/>
      <c r="Q63" s="89"/>
    </row>
    <row r="64" spans="1:17" x14ac:dyDescent="0.3">
      <c r="A64" s="16" t="s">
        <v>666</v>
      </c>
      <c r="B64" s="16" t="s">
        <v>1940</v>
      </c>
      <c r="C64" s="28" t="s">
        <v>224</v>
      </c>
      <c r="D64" s="28" t="str">
        <f>IFERROR(VLOOKUP($C64,CUENTAS[],2,0),"")</f>
        <v>MATERIALES</v>
      </c>
      <c r="E64" s="28" t="str">
        <f>IFERROR(VLOOKUP($C64,CUENTAS[],3,0),"")</f>
        <v>MDE2025-004</v>
      </c>
      <c r="F64" s="86">
        <v>25401.21</v>
      </c>
      <c r="G64" s="86">
        <v>4064.19</v>
      </c>
      <c r="H64" s="74">
        <v>29465.4</v>
      </c>
      <c r="I64" s="200" t="str">
        <f t="shared" si="0"/>
        <v>CORRECTO</v>
      </c>
      <c r="J64" s="88" t="s">
        <v>3244</v>
      </c>
      <c r="K64" s="69" t="s">
        <v>980</v>
      </c>
      <c r="L64" s="84" t="s">
        <v>227</v>
      </c>
      <c r="M64" s="135">
        <v>45867</v>
      </c>
      <c r="N64" s="75" t="s">
        <v>1985</v>
      </c>
      <c r="P64" s="89"/>
      <c r="Q64" s="89"/>
    </row>
    <row r="65" spans="1:17" x14ac:dyDescent="0.3">
      <c r="A65" s="16" t="s">
        <v>232</v>
      </c>
      <c r="B65" s="16" t="s">
        <v>1941</v>
      </c>
      <c r="C65" s="28" t="s">
        <v>224</v>
      </c>
      <c r="D65" s="28" t="str">
        <f>IFERROR(VLOOKUP($C65,CUENTAS[],2,0),"")</f>
        <v>MATERIALES</v>
      </c>
      <c r="E65" s="28" t="str">
        <f>IFERROR(VLOOKUP($C65,CUENTAS[],3,0),"")</f>
        <v>MDE2025-004</v>
      </c>
      <c r="F65" s="86">
        <v>6360.45</v>
      </c>
      <c r="G65" s="86">
        <v>1017.67</v>
      </c>
      <c r="H65" s="74">
        <v>7378.12</v>
      </c>
      <c r="I65" s="200" t="str">
        <f t="shared" si="0"/>
        <v>CORRECTO</v>
      </c>
      <c r="J65" s="88" t="s">
        <v>3244</v>
      </c>
      <c r="K65" s="69" t="s">
        <v>980</v>
      </c>
      <c r="L65" s="84" t="s">
        <v>227</v>
      </c>
      <c r="M65" s="135">
        <v>45867</v>
      </c>
      <c r="N65" s="75" t="s">
        <v>1980</v>
      </c>
      <c r="P65" s="89"/>
      <c r="Q65" s="89"/>
    </row>
    <row r="66" spans="1:17" x14ac:dyDescent="0.3">
      <c r="A66" s="16" t="s">
        <v>1371</v>
      </c>
      <c r="B66" s="16" t="s">
        <v>1372</v>
      </c>
      <c r="C66" s="28" t="s">
        <v>156</v>
      </c>
      <c r="D66" s="28" t="str">
        <f>IFERROR(VLOOKUP($C66,CUENTAS[],2,0),"")</f>
        <v>GASTOS FIJOS</v>
      </c>
      <c r="E66" s="28" t="str">
        <f>IFERROR(VLOOKUP($C66,CUENTAS[],3,0),"")</f>
        <v>MDE2025-002P</v>
      </c>
      <c r="F66" s="86">
        <v>8150</v>
      </c>
      <c r="G66" s="86">
        <v>0</v>
      </c>
      <c r="H66" s="74">
        <v>8150</v>
      </c>
      <c r="I66" s="200" t="str">
        <f t="shared" si="0"/>
        <v>CORRECTO</v>
      </c>
      <c r="J66" s="88" t="s">
        <v>3244</v>
      </c>
      <c r="K66" s="69" t="s">
        <v>364</v>
      </c>
      <c r="L66" s="84" t="s">
        <v>227</v>
      </c>
      <c r="M66" s="135">
        <v>45867</v>
      </c>
      <c r="N66" s="75" t="s">
        <v>371</v>
      </c>
      <c r="P66" s="89"/>
      <c r="Q66" s="89"/>
    </row>
    <row r="67" spans="1:17" x14ac:dyDescent="0.3">
      <c r="A67" s="16" t="s">
        <v>963</v>
      </c>
      <c r="B67" s="16" t="s">
        <v>2163</v>
      </c>
      <c r="C67" s="28" t="s">
        <v>223</v>
      </c>
      <c r="D67" s="28" t="str">
        <f>IFERROR(VLOOKUP($C67,CUENTAS[],2,0),"")</f>
        <v>MANTENIMIENTO</v>
      </c>
      <c r="E67" s="28" t="str">
        <f>IFERROR(VLOOKUP($C67,CUENTAS[],3,0),"")</f>
        <v>MDE2025-009B</v>
      </c>
      <c r="F67" s="86">
        <v>189.98</v>
      </c>
      <c r="G67" s="86">
        <v>0</v>
      </c>
      <c r="H67" s="74">
        <v>189.98</v>
      </c>
      <c r="I67" s="200" t="str">
        <f t="shared" ref="I67:I130" si="1">IFERROR(IF(F67+G67&lt;&gt;H67,"REVISAR","CORRECTO"),"")</f>
        <v>CORRECTO</v>
      </c>
      <c r="J67" s="88" t="s">
        <v>963</v>
      </c>
      <c r="K67" s="69" t="s">
        <v>980</v>
      </c>
      <c r="L67" s="84"/>
      <c r="M67" s="135">
        <v>45849</v>
      </c>
      <c r="N67" s="75"/>
      <c r="P67" s="89"/>
      <c r="Q67" s="89"/>
    </row>
    <row r="68" spans="1:17" x14ac:dyDescent="0.3">
      <c r="A68" s="16" t="s">
        <v>963</v>
      </c>
      <c r="B68" s="16" t="s">
        <v>2163</v>
      </c>
      <c r="C68" s="28" t="s">
        <v>223</v>
      </c>
      <c r="D68" s="28" t="str">
        <f>IFERROR(VLOOKUP($C68,CUENTAS[],2,0),"")</f>
        <v>MANTENIMIENTO</v>
      </c>
      <c r="E68" s="28" t="str">
        <f>IFERROR(VLOOKUP($C68,CUENTAS[],3,0),"")</f>
        <v>MDE2025-009B</v>
      </c>
      <c r="F68" s="86">
        <v>189.98</v>
      </c>
      <c r="G68" s="86">
        <v>0</v>
      </c>
      <c r="H68" s="74">
        <v>189.98</v>
      </c>
      <c r="I68" s="200" t="str">
        <f t="shared" si="1"/>
        <v>CORRECTO</v>
      </c>
      <c r="J68" s="88" t="s">
        <v>963</v>
      </c>
      <c r="K68" s="69" t="s">
        <v>980</v>
      </c>
      <c r="L68" s="84"/>
      <c r="M68" s="135">
        <v>45849</v>
      </c>
      <c r="N68" s="75"/>
      <c r="P68" s="89"/>
      <c r="Q68" s="89"/>
    </row>
    <row r="69" spans="1:17" x14ac:dyDescent="0.3">
      <c r="A69" s="16" t="s">
        <v>963</v>
      </c>
      <c r="B69" s="16" t="s">
        <v>2164</v>
      </c>
      <c r="C69" s="28" t="s">
        <v>223</v>
      </c>
      <c r="D69" s="28" t="str">
        <f>IFERROR(VLOOKUP($C69,CUENTAS[],2,0),"")</f>
        <v>MANTENIMIENTO</v>
      </c>
      <c r="E69" s="28" t="str">
        <f>IFERROR(VLOOKUP($C69,CUENTAS[],3,0),"")</f>
        <v>MDE2025-009B</v>
      </c>
      <c r="F69" s="86">
        <v>156</v>
      </c>
      <c r="G69" s="86">
        <v>0</v>
      </c>
      <c r="H69" s="74">
        <v>156</v>
      </c>
      <c r="I69" s="200" t="str">
        <f t="shared" si="1"/>
        <v>CORRECTO</v>
      </c>
      <c r="J69" s="88" t="s">
        <v>963</v>
      </c>
      <c r="K69" s="69" t="s">
        <v>980</v>
      </c>
      <c r="L69" s="84"/>
      <c r="M69" s="135" t="s">
        <v>2192</v>
      </c>
      <c r="N69" s="75"/>
      <c r="P69" s="89"/>
      <c r="Q69" s="89"/>
    </row>
    <row r="70" spans="1:17" x14ac:dyDescent="0.3">
      <c r="A70" s="16" t="s">
        <v>963</v>
      </c>
      <c r="B70" s="16" t="s">
        <v>2165</v>
      </c>
      <c r="C70" s="28" t="s">
        <v>223</v>
      </c>
      <c r="D70" s="28" t="str">
        <f>IFERROR(VLOOKUP($C70,CUENTAS[],2,0),"")</f>
        <v>MANTENIMIENTO</v>
      </c>
      <c r="E70" s="28" t="str">
        <f>IFERROR(VLOOKUP($C70,CUENTAS[],3,0),"")</f>
        <v>MDE2025-009B</v>
      </c>
      <c r="F70" s="86">
        <v>3633.7</v>
      </c>
      <c r="G70" s="86">
        <v>0</v>
      </c>
      <c r="H70" s="74">
        <v>3633.7</v>
      </c>
      <c r="I70" s="200" t="str">
        <f t="shared" si="1"/>
        <v>CORRECTO</v>
      </c>
      <c r="J70" s="88" t="s">
        <v>963</v>
      </c>
      <c r="K70" s="69" t="s">
        <v>980</v>
      </c>
      <c r="L70" s="84"/>
      <c r="M70" s="135">
        <v>45849</v>
      </c>
      <c r="N70" s="75"/>
      <c r="P70" s="89"/>
      <c r="Q70" s="89"/>
    </row>
    <row r="71" spans="1:17" x14ac:dyDescent="0.3">
      <c r="A71" s="16" t="s">
        <v>963</v>
      </c>
      <c r="B71" s="16" t="s">
        <v>2166</v>
      </c>
      <c r="C71" s="28" t="s">
        <v>223</v>
      </c>
      <c r="D71" s="28" t="str">
        <f>IFERROR(VLOOKUP($C71,CUENTAS[],2,0),"")</f>
        <v>MANTENIMIENTO</v>
      </c>
      <c r="E71" s="28" t="str">
        <f>IFERROR(VLOOKUP($C71,CUENTAS[],3,0),"")</f>
        <v>MDE2025-009B</v>
      </c>
      <c r="F71" s="86">
        <v>284</v>
      </c>
      <c r="G71" s="86">
        <v>0</v>
      </c>
      <c r="H71" s="74">
        <v>284</v>
      </c>
      <c r="I71" s="200" t="str">
        <f t="shared" si="1"/>
        <v>CORRECTO</v>
      </c>
      <c r="J71" s="88" t="s">
        <v>963</v>
      </c>
      <c r="K71" s="69" t="s">
        <v>980</v>
      </c>
      <c r="L71" s="84"/>
      <c r="M71" s="136" t="s">
        <v>2193</v>
      </c>
      <c r="N71" s="75"/>
      <c r="P71" s="89"/>
      <c r="Q71" s="89"/>
    </row>
    <row r="72" spans="1:17" x14ac:dyDescent="0.3">
      <c r="A72" s="16" t="s">
        <v>963</v>
      </c>
      <c r="B72" s="16" t="s">
        <v>2167</v>
      </c>
      <c r="C72" s="28" t="s">
        <v>223</v>
      </c>
      <c r="D72" s="28" t="str">
        <f>IFERROR(VLOOKUP($C72,CUENTAS[],2,0),"")</f>
        <v>MANTENIMIENTO</v>
      </c>
      <c r="E72" s="28" t="str">
        <f>IFERROR(VLOOKUP($C72,CUENTAS[],3,0),"")</f>
        <v>MDE2025-009B</v>
      </c>
      <c r="F72" s="86">
        <v>27</v>
      </c>
      <c r="G72" s="86">
        <v>0</v>
      </c>
      <c r="H72" s="74">
        <v>27</v>
      </c>
      <c r="I72" s="200" t="str">
        <f t="shared" si="1"/>
        <v>CORRECTO</v>
      </c>
      <c r="J72" s="88" t="s">
        <v>963</v>
      </c>
      <c r="K72" s="69" t="s">
        <v>980</v>
      </c>
      <c r="L72" s="84"/>
      <c r="M72" s="135">
        <v>45856</v>
      </c>
      <c r="N72" s="75"/>
      <c r="P72" s="89"/>
      <c r="Q72" s="89"/>
    </row>
    <row r="73" spans="1:17" x14ac:dyDescent="0.3">
      <c r="A73" s="16" t="s">
        <v>963</v>
      </c>
      <c r="B73" s="16" t="s">
        <v>2168</v>
      </c>
      <c r="C73" s="28" t="s">
        <v>223</v>
      </c>
      <c r="D73" s="28" t="str">
        <f>IFERROR(VLOOKUP($C73,CUENTAS[],2,0),"")</f>
        <v>MANTENIMIENTO</v>
      </c>
      <c r="E73" s="28" t="str">
        <f>IFERROR(VLOOKUP($C73,CUENTAS[],3,0),"")</f>
        <v>MDE2025-009B</v>
      </c>
      <c r="F73" s="86">
        <v>7220</v>
      </c>
      <c r="G73" s="86">
        <v>0</v>
      </c>
      <c r="H73" s="74">
        <v>7220</v>
      </c>
      <c r="I73" s="200" t="str">
        <f t="shared" si="1"/>
        <v>CORRECTO</v>
      </c>
      <c r="J73" s="88" t="s">
        <v>963</v>
      </c>
      <c r="K73" s="69" t="s">
        <v>980</v>
      </c>
      <c r="L73" s="84"/>
      <c r="M73" s="135" t="s">
        <v>2194</v>
      </c>
      <c r="N73" s="75"/>
      <c r="P73" s="89"/>
      <c r="Q73" s="89"/>
    </row>
    <row r="74" spans="1:17" x14ac:dyDescent="0.3">
      <c r="A74" s="16" t="s">
        <v>963</v>
      </c>
      <c r="B74" s="16" t="s">
        <v>2169</v>
      </c>
      <c r="C74" s="28" t="s">
        <v>223</v>
      </c>
      <c r="D74" s="28" t="str">
        <f>IFERROR(VLOOKUP($C74,CUENTAS[],2,0),"")</f>
        <v>MANTENIMIENTO</v>
      </c>
      <c r="E74" s="28" t="str">
        <f>IFERROR(VLOOKUP($C74,CUENTAS[],3,0),"")</f>
        <v>MDE2025-009B</v>
      </c>
      <c r="F74" s="86">
        <v>48</v>
      </c>
      <c r="G74" s="86">
        <v>0</v>
      </c>
      <c r="H74" s="74">
        <v>48</v>
      </c>
      <c r="I74" s="200" t="str">
        <f t="shared" si="1"/>
        <v>CORRECTO</v>
      </c>
      <c r="J74" s="88" t="s">
        <v>963</v>
      </c>
      <c r="K74" s="69" t="s">
        <v>980</v>
      </c>
      <c r="L74" s="84"/>
      <c r="M74" s="135">
        <v>45855</v>
      </c>
      <c r="N74" s="75"/>
      <c r="P74" s="89"/>
      <c r="Q74" s="89"/>
    </row>
    <row r="75" spans="1:17" x14ac:dyDescent="0.3">
      <c r="A75" s="16" t="s">
        <v>963</v>
      </c>
      <c r="B75" s="16" t="s">
        <v>2170</v>
      </c>
      <c r="C75" s="28" t="s">
        <v>223</v>
      </c>
      <c r="D75" s="28" t="str">
        <f>IFERROR(VLOOKUP($C75,CUENTAS[],2,0),"")</f>
        <v>MANTENIMIENTO</v>
      </c>
      <c r="E75" s="28" t="str">
        <f>IFERROR(VLOOKUP($C75,CUENTAS[],3,0),"")</f>
        <v>MDE2025-009B</v>
      </c>
      <c r="F75" s="86">
        <v>13</v>
      </c>
      <c r="G75" s="86">
        <v>0</v>
      </c>
      <c r="H75" s="74">
        <v>13</v>
      </c>
      <c r="I75" s="200" t="str">
        <f t="shared" si="1"/>
        <v>CORRECTO</v>
      </c>
      <c r="J75" s="88" t="s">
        <v>963</v>
      </c>
      <c r="K75" s="69" t="s">
        <v>980</v>
      </c>
      <c r="L75" s="84"/>
      <c r="M75" s="135">
        <v>45855</v>
      </c>
      <c r="N75" s="75"/>
      <c r="P75" s="89"/>
      <c r="Q75" s="89"/>
    </row>
    <row r="76" spans="1:17" x14ac:dyDescent="0.3">
      <c r="A76" s="16" t="s">
        <v>963</v>
      </c>
      <c r="B76" s="16" t="s">
        <v>1849</v>
      </c>
      <c r="C76" s="28" t="s">
        <v>223</v>
      </c>
      <c r="D76" s="28" t="str">
        <f>IFERROR(VLOOKUP($C76,CUENTAS[],2,0),"")</f>
        <v>MANTENIMIENTO</v>
      </c>
      <c r="E76" s="28" t="str">
        <f>IFERROR(VLOOKUP($C76,CUENTAS[],3,0),"")</f>
        <v>MDE2025-009B</v>
      </c>
      <c r="F76" s="86">
        <v>176</v>
      </c>
      <c r="G76" s="86">
        <v>0</v>
      </c>
      <c r="H76" s="74">
        <v>176</v>
      </c>
      <c r="I76" s="200" t="str">
        <f t="shared" si="1"/>
        <v>CORRECTO</v>
      </c>
      <c r="J76" s="88" t="s">
        <v>963</v>
      </c>
      <c r="K76" s="69" t="s">
        <v>980</v>
      </c>
      <c r="L76" s="84"/>
      <c r="M76" s="135" t="s">
        <v>2195</v>
      </c>
      <c r="N76" s="75"/>
      <c r="P76" s="89"/>
      <c r="Q76" s="89"/>
    </row>
    <row r="77" spans="1:17" x14ac:dyDescent="0.3">
      <c r="A77" s="16" t="s">
        <v>963</v>
      </c>
      <c r="B77" s="16" t="s">
        <v>2171</v>
      </c>
      <c r="C77" s="28" t="s">
        <v>223</v>
      </c>
      <c r="D77" s="28" t="str">
        <f>IFERROR(VLOOKUP($C77,CUENTAS[],2,0),"")</f>
        <v>MANTENIMIENTO</v>
      </c>
      <c r="E77" s="28" t="str">
        <f>IFERROR(VLOOKUP($C77,CUENTAS[],3,0),"")</f>
        <v>MDE2025-009B</v>
      </c>
      <c r="F77" s="86">
        <v>729</v>
      </c>
      <c r="G77" s="86">
        <v>0</v>
      </c>
      <c r="H77" s="74">
        <v>729</v>
      </c>
      <c r="I77" s="200" t="str">
        <f t="shared" si="1"/>
        <v>CORRECTO</v>
      </c>
      <c r="J77" s="88" t="s">
        <v>963</v>
      </c>
      <c r="K77" s="69" t="s">
        <v>980</v>
      </c>
      <c r="L77" s="84"/>
      <c r="M77" s="136" t="s">
        <v>2195</v>
      </c>
      <c r="N77" s="75"/>
      <c r="P77" s="89"/>
      <c r="Q77" s="89"/>
    </row>
    <row r="78" spans="1:17" x14ac:dyDescent="0.3">
      <c r="A78" s="16" t="s">
        <v>963</v>
      </c>
      <c r="B78" s="16" t="s">
        <v>2172</v>
      </c>
      <c r="C78" s="28" t="s">
        <v>223</v>
      </c>
      <c r="D78" s="28" t="str">
        <f>IFERROR(VLOOKUP($C78,CUENTAS[],2,0),"")</f>
        <v>MANTENIMIENTO</v>
      </c>
      <c r="E78" s="28" t="str">
        <f>IFERROR(VLOOKUP($C78,CUENTAS[],3,0),"")</f>
        <v>MDE2025-009B</v>
      </c>
      <c r="F78" s="86">
        <v>729</v>
      </c>
      <c r="G78" s="86">
        <v>0</v>
      </c>
      <c r="H78" s="74">
        <v>729</v>
      </c>
      <c r="I78" s="200" t="str">
        <f t="shared" si="1"/>
        <v>CORRECTO</v>
      </c>
      <c r="J78" s="88" t="s">
        <v>963</v>
      </c>
      <c r="K78" s="69" t="s">
        <v>980</v>
      </c>
      <c r="L78" s="84"/>
      <c r="M78" s="135" t="s">
        <v>2195</v>
      </c>
      <c r="N78" s="75"/>
      <c r="P78" s="89"/>
      <c r="Q78" s="89"/>
    </row>
    <row r="79" spans="1:17" x14ac:dyDescent="0.3">
      <c r="A79" s="16" t="s">
        <v>963</v>
      </c>
      <c r="B79" s="16" t="s">
        <v>2173</v>
      </c>
      <c r="C79" s="28" t="s">
        <v>223</v>
      </c>
      <c r="D79" s="28" t="str">
        <f>IFERROR(VLOOKUP($C79,CUENTAS[],2,0),"")</f>
        <v>MANTENIMIENTO</v>
      </c>
      <c r="E79" s="28" t="str">
        <f>IFERROR(VLOOKUP($C79,CUENTAS[],3,0),"")</f>
        <v>MDE2025-009B</v>
      </c>
      <c r="F79" s="86">
        <v>729</v>
      </c>
      <c r="G79" s="86">
        <v>0</v>
      </c>
      <c r="H79" s="74">
        <v>729</v>
      </c>
      <c r="I79" s="200" t="str">
        <f t="shared" si="1"/>
        <v>CORRECTO</v>
      </c>
      <c r="J79" s="88" t="s">
        <v>963</v>
      </c>
      <c r="K79" s="69" t="s">
        <v>980</v>
      </c>
      <c r="L79" s="84"/>
      <c r="M79" s="135" t="s">
        <v>2195</v>
      </c>
      <c r="N79" s="75"/>
      <c r="P79" s="89"/>
      <c r="Q79" s="89"/>
    </row>
    <row r="80" spans="1:17" x14ac:dyDescent="0.3">
      <c r="A80" s="16" t="s">
        <v>963</v>
      </c>
      <c r="B80" s="16" t="s">
        <v>2174</v>
      </c>
      <c r="C80" s="28" t="s">
        <v>223</v>
      </c>
      <c r="D80" s="28" t="str">
        <f>IFERROR(VLOOKUP($C80,CUENTAS[],2,0),"")</f>
        <v>MANTENIMIENTO</v>
      </c>
      <c r="E80" s="28" t="str">
        <f>IFERROR(VLOOKUP($C80,CUENTAS[],3,0),"")</f>
        <v>MDE2025-009B</v>
      </c>
      <c r="F80" s="86">
        <v>240</v>
      </c>
      <c r="G80" s="86">
        <v>0</v>
      </c>
      <c r="H80" s="74">
        <v>240</v>
      </c>
      <c r="I80" s="200" t="str">
        <f t="shared" si="1"/>
        <v>CORRECTO</v>
      </c>
      <c r="J80" s="88" t="s">
        <v>963</v>
      </c>
      <c r="K80" s="69" t="s">
        <v>980</v>
      </c>
      <c r="L80" s="84"/>
      <c r="M80" s="135" t="s">
        <v>2195</v>
      </c>
      <c r="N80" s="75"/>
      <c r="P80" s="89"/>
      <c r="Q80" s="89"/>
    </row>
    <row r="81" spans="1:17" x14ac:dyDescent="0.3">
      <c r="A81" s="16" t="s">
        <v>963</v>
      </c>
      <c r="B81" s="16" t="s">
        <v>2175</v>
      </c>
      <c r="C81" s="28" t="s">
        <v>223</v>
      </c>
      <c r="D81" s="28" t="str">
        <f>IFERROR(VLOOKUP($C81,CUENTAS[],2,0),"")</f>
        <v>MANTENIMIENTO</v>
      </c>
      <c r="E81" s="28" t="str">
        <f>IFERROR(VLOOKUP($C81,CUENTAS[],3,0),"")</f>
        <v>MDE2025-009B</v>
      </c>
      <c r="F81" s="86">
        <v>168.5</v>
      </c>
      <c r="G81" s="86">
        <v>0</v>
      </c>
      <c r="H81" s="74">
        <v>168.5</v>
      </c>
      <c r="I81" s="200" t="str">
        <f t="shared" si="1"/>
        <v>CORRECTO</v>
      </c>
      <c r="J81" s="88" t="s">
        <v>963</v>
      </c>
      <c r="K81" s="69" t="s">
        <v>980</v>
      </c>
      <c r="L81" s="84"/>
      <c r="M81" s="135" t="s">
        <v>2195</v>
      </c>
      <c r="N81" s="75"/>
      <c r="P81" s="89"/>
      <c r="Q81" s="89"/>
    </row>
    <row r="82" spans="1:17" x14ac:dyDescent="0.3">
      <c r="A82" s="16" t="s">
        <v>963</v>
      </c>
      <c r="B82" s="16" t="s">
        <v>2176</v>
      </c>
      <c r="C82" s="28" t="s">
        <v>223</v>
      </c>
      <c r="D82" s="28" t="str">
        <f>IFERROR(VLOOKUP($C82,CUENTAS[],2,0),"")</f>
        <v>MANTENIMIENTO</v>
      </c>
      <c r="E82" s="28" t="str">
        <f>IFERROR(VLOOKUP($C82,CUENTAS[],3,0),"")</f>
        <v>MDE2025-009B</v>
      </c>
      <c r="F82" s="86">
        <v>156</v>
      </c>
      <c r="G82" s="86">
        <v>0</v>
      </c>
      <c r="H82" s="74">
        <v>156</v>
      </c>
      <c r="I82" s="200" t="str">
        <f t="shared" si="1"/>
        <v>CORRECTO</v>
      </c>
      <c r="J82" s="88" t="s">
        <v>963</v>
      </c>
      <c r="K82" s="69" t="s">
        <v>980</v>
      </c>
      <c r="L82" s="84"/>
      <c r="M82" s="135" t="s">
        <v>2195</v>
      </c>
      <c r="N82" s="75"/>
      <c r="P82" s="89"/>
      <c r="Q82" s="89"/>
    </row>
    <row r="83" spans="1:17" x14ac:dyDescent="0.3">
      <c r="A83" s="16" t="s">
        <v>963</v>
      </c>
      <c r="B83" s="16" t="s">
        <v>2177</v>
      </c>
      <c r="C83" s="28" t="s">
        <v>223</v>
      </c>
      <c r="D83" s="28" t="str">
        <f>IFERROR(VLOOKUP($C83,CUENTAS[],2,0),"")</f>
        <v>MANTENIMIENTO</v>
      </c>
      <c r="E83" s="28" t="str">
        <f>IFERROR(VLOOKUP($C83,CUENTAS[],3,0),"")</f>
        <v>MDE2025-009B</v>
      </c>
      <c r="F83" s="86">
        <v>87</v>
      </c>
      <c r="G83" s="86">
        <v>0</v>
      </c>
      <c r="H83" s="74">
        <v>87</v>
      </c>
      <c r="I83" s="200" t="str">
        <f t="shared" si="1"/>
        <v>CORRECTO</v>
      </c>
      <c r="J83" s="88" t="s">
        <v>963</v>
      </c>
      <c r="K83" s="69" t="s">
        <v>980</v>
      </c>
      <c r="L83" s="84"/>
      <c r="M83" s="139" t="s">
        <v>2195</v>
      </c>
      <c r="N83" s="75"/>
      <c r="P83" s="89"/>
      <c r="Q83" s="89"/>
    </row>
    <row r="84" spans="1:17" x14ac:dyDescent="0.3">
      <c r="A84" s="16" t="s">
        <v>963</v>
      </c>
      <c r="B84" s="16" t="s">
        <v>2178</v>
      </c>
      <c r="C84" s="28" t="s">
        <v>223</v>
      </c>
      <c r="D84" s="28" t="str">
        <f>IFERROR(VLOOKUP($C84,CUENTAS[],2,0),"")</f>
        <v>MANTENIMIENTO</v>
      </c>
      <c r="E84" s="28" t="str">
        <f>IFERROR(VLOOKUP($C84,CUENTAS[],3,0),"")</f>
        <v>MDE2025-009B</v>
      </c>
      <c r="F84" s="86">
        <v>139</v>
      </c>
      <c r="G84" s="86">
        <v>0</v>
      </c>
      <c r="H84" s="74">
        <v>139</v>
      </c>
      <c r="I84" s="200" t="str">
        <f t="shared" si="1"/>
        <v>CORRECTO</v>
      </c>
      <c r="J84" s="88" t="s">
        <v>963</v>
      </c>
      <c r="K84" s="69" t="s">
        <v>980</v>
      </c>
      <c r="L84" s="84"/>
      <c r="M84" s="139" t="s">
        <v>2195</v>
      </c>
      <c r="N84" s="75"/>
      <c r="P84" s="89"/>
      <c r="Q84" s="89"/>
    </row>
    <row r="85" spans="1:17" x14ac:dyDescent="0.3">
      <c r="A85" s="16" t="s">
        <v>963</v>
      </c>
      <c r="B85" s="16" t="s">
        <v>2179</v>
      </c>
      <c r="C85" s="28" t="s">
        <v>223</v>
      </c>
      <c r="D85" s="28" t="str">
        <f>IFERROR(VLOOKUP($C85,CUENTAS[],2,0),"")</f>
        <v>MANTENIMIENTO</v>
      </c>
      <c r="E85" s="28" t="str">
        <f>IFERROR(VLOOKUP($C85,CUENTAS[],3,0),"")</f>
        <v>MDE2025-009B</v>
      </c>
      <c r="F85" s="86">
        <v>57</v>
      </c>
      <c r="G85" s="86">
        <v>0</v>
      </c>
      <c r="H85" s="74">
        <v>57</v>
      </c>
      <c r="I85" s="200" t="str">
        <f t="shared" si="1"/>
        <v>CORRECTO</v>
      </c>
      <c r="J85" s="88" t="s">
        <v>963</v>
      </c>
      <c r="K85" s="69" t="s">
        <v>980</v>
      </c>
      <c r="L85" s="84"/>
      <c r="M85" s="137" t="s">
        <v>2195</v>
      </c>
      <c r="N85" s="75"/>
      <c r="P85" s="89"/>
      <c r="Q85" s="89"/>
    </row>
    <row r="86" spans="1:17" x14ac:dyDescent="0.3">
      <c r="A86" s="16" t="s">
        <v>963</v>
      </c>
      <c r="B86" s="16" t="s">
        <v>2180</v>
      </c>
      <c r="C86" s="28" t="s">
        <v>223</v>
      </c>
      <c r="D86" s="28" t="str">
        <f>IFERROR(VLOOKUP($C86,CUENTAS[],2,0),"")</f>
        <v>MANTENIMIENTO</v>
      </c>
      <c r="E86" s="28" t="str">
        <f>IFERROR(VLOOKUP($C86,CUENTAS[],3,0),"")</f>
        <v>MDE2025-009B</v>
      </c>
      <c r="F86" s="86">
        <v>344.5</v>
      </c>
      <c r="G86" s="86">
        <v>0</v>
      </c>
      <c r="H86" s="74">
        <v>344.5</v>
      </c>
      <c r="I86" s="200" t="str">
        <f t="shared" si="1"/>
        <v>CORRECTO</v>
      </c>
      <c r="J86" s="88" t="s">
        <v>963</v>
      </c>
      <c r="K86" s="69" t="s">
        <v>980</v>
      </c>
      <c r="L86" s="84"/>
      <c r="M86" s="140" t="s">
        <v>2195</v>
      </c>
      <c r="N86" s="75"/>
      <c r="P86" s="89"/>
      <c r="Q86" s="89"/>
    </row>
    <row r="87" spans="1:17" x14ac:dyDescent="0.3">
      <c r="A87" s="16" t="s">
        <v>963</v>
      </c>
      <c r="B87" s="16" t="s">
        <v>2181</v>
      </c>
      <c r="C87" s="28" t="s">
        <v>223</v>
      </c>
      <c r="D87" s="28" t="str">
        <f>IFERROR(VLOOKUP($C87,CUENTAS[],2,0),"")</f>
        <v>MANTENIMIENTO</v>
      </c>
      <c r="E87" s="28" t="str">
        <f>IFERROR(VLOOKUP($C87,CUENTAS[],3,0),"")</f>
        <v>MDE2025-009B</v>
      </c>
      <c r="F87" s="86">
        <v>137</v>
      </c>
      <c r="G87" s="86">
        <v>0</v>
      </c>
      <c r="H87" s="74">
        <v>137</v>
      </c>
      <c r="I87" s="200" t="str">
        <f t="shared" si="1"/>
        <v>CORRECTO</v>
      </c>
      <c r="J87" s="88" t="s">
        <v>963</v>
      </c>
      <c r="K87" s="69" t="s">
        <v>980</v>
      </c>
      <c r="L87" s="84"/>
      <c r="M87" s="137" t="s">
        <v>2195</v>
      </c>
      <c r="N87" s="75"/>
      <c r="P87" s="89"/>
      <c r="Q87" s="89"/>
    </row>
    <row r="88" spans="1:17" x14ac:dyDescent="0.3">
      <c r="A88" s="16" t="s">
        <v>963</v>
      </c>
      <c r="B88" s="16" t="s">
        <v>2182</v>
      </c>
      <c r="C88" s="28" t="s">
        <v>223</v>
      </c>
      <c r="D88" s="28" t="str">
        <f>IFERROR(VLOOKUP($C88,CUENTAS[],2,0),"")</f>
        <v>MANTENIMIENTO</v>
      </c>
      <c r="E88" s="28" t="str">
        <f>IFERROR(VLOOKUP($C88,CUENTAS[],3,0),"")</f>
        <v>MDE2025-009B</v>
      </c>
      <c r="F88" s="86">
        <v>510.5</v>
      </c>
      <c r="G88" s="86">
        <v>0</v>
      </c>
      <c r="H88" s="74">
        <v>510.5</v>
      </c>
      <c r="I88" s="200" t="str">
        <f t="shared" si="1"/>
        <v>CORRECTO</v>
      </c>
      <c r="J88" s="88" t="s">
        <v>963</v>
      </c>
      <c r="K88" s="69" t="s">
        <v>980</v>
      </c>
      <c r="L88" s="84"/>
      <c r="M88" s="139" t="s">
        <v>2195</v>
      </c>
      <c r="N88" s="75"/>
      <c r="P88" s="89"/>
      <c r="Q88" s="89"/>
    </row>
    <row r="89" spans="1:17" x14ac:dyDescent="0.3">
      <c r="A89" s="16" t="s">
        <v>963</v>
      </c>
      <c r="B89" s="16" t="s">
        <v>2183</v>
      </c>
      <c r="C89" s="28" t="s">
        <v>223</v>
      </c>
      <c r="D89" s="28" t="str">
        <f>IFERROR(VLOOKUP($C89,CUENTAS[],2,0),"")</f>
        <v>MANTENIMIENTO</v>
      </c>
      <c r="E89" s="28" t="str">
        <f>IFERROR(VLOOKUP($C89,CUENTAS[],3,0),"")</f>
        <v>MDE2025-009B</v>
      </c>
      <c r="F89" s="86">
        <v>71.8</v>
      </c>
      <c r="G89" s="86">
        <v>0</v>
      </c>
      <c r="H89" s="74">
        <v>71.8</v>
      </c>
      <c r="I89" s="200" t="str">
        <f t="shared" si="1"/>
        <v>CORRECTO</v>
      </c>
      <c r="J89" s="88" t="s">
        <v>963</v>
      </c>
      <c r="K89" s="69" t="s">
        <v>980</v>
      </c>
      <c r="L89" s="84"/>
      <c r="M89" s="139" t="s">
        <v>2195</v>
      </c>
      <c r="N89" s="75"/>
      <c r="P89" s="89"/>
      <c r="Q89" s="89"/>
    </row>
    <row r="90" spans="1:17" x14ac:dyDescent="0.3">
      <c r="A90" s="16" t="s">
        <v>963</v>
      </c>
      <c r="B90" s="16" t="s">
        <v>2184</v>
      </c>
      <c r="C90" s="28" t="s">
        <v>223</v>
      </c>
      <c r="D90" s="28" t="str">
        <f>IFERROR(VLOOKUP($C90,CUENTAS[],2,0),"")</f>
        <v>MANTENIMIENTO</v>
      </c>
      <c r="E90" s="28" t="str">
        <f>IFERROR(VLOOKUP($C90,CUENTAS[],3,0),"")</f>
        <v>MDE2025-009B</v>
      </c>
      <c r="F90" s="86">
        <v>2455</v>
      </c>
      <c r="G90" s="86">
        <v>0</v>
      </c>
      <c r="H90" s="74">
        <v>2455</v>
      </c>
      <c r="I90" s="200" t="str">
        <f t="shared" si="1"/>
        <v>CORRECTO</v>
      </c>
      <c r="J90" s="88" t="s">
        <v>963</v>
      </c>
      <c r="K90" s="69" t="s">
        <v>980</v>
      </c>
      <c r="L90" s="84"/>
      <c r="M90" s="139" t="s">
        <v>2195</v>
      </c>
      <c r="N90" s="75"/>
      <c r="P90" s="89"/>
      <c r="Q90" s="89"/>
    </row>
    <row r="91" spans="1:17" x14ac:dyDescent="0.3">
      <c r="A91" s="16" t="s">
        <v>963</v>
      </c>
      <c r="B91" s="16" t="s">
        <v>2185</v>
      </c>
      <c r="C91" s="28" t="s">
        <v>223</v>
      </c>
      <c r="D91" s="28" t="str">
        <f>IFERROR(VLOOKUP($C91,CUENTAS[],2,0),"")</f>
        <v>MANTENIMIENTO</v>
      </c>
      <c r="E91" s="28" t="str">
        <f>IFERROR(VLOOKUP($C91,CUENTAS[],3,0),"")</f>
        <v>MDE2025-009B</v>
      </c>
      <c r="F91" s="86">
        <v>272</v>
      </c>
      <c r="G91" s="86">
        <v>0</v>
      </c>
      <c r="H91" s="74">
        <v>272</v>
      </c>
      <c r="I91" s="200" t="str">
        <f t="shared" si="1"/>
        <v>CORRECTO</v>
      </c>
      <c r="J91" s="88" t="s">
        <v>963</v>
      </c>
      <c r="K91" s="69" t="s">
        <v>980</v>
      </c>
      <c r="L91" s="84"/>
      <c r="M91" s="139" t="s">
        <v>2195</v>
      </c>
      <c r="N91" s="75"/>
      <c r="P91" s="89"/>
      <c r="Q91" s="89"/>
    </row>
    <row r="92" spans="1:17" x14ac:dyDescent="0.3">
      <c r="A92" s="16" t="s">
        <v>963</v>
      </c>
      <c r="B92" s="16" t="s">
        <v>2186</v>
      </c>
      <c r="C92" s="28" t="s">
        <v>223</v>
      </c>
      <c r="D92" s="28" t="str">
        <f>IFERROR(VLOOKUP($C92,CUENTAS[],2,0),"")</f>
        <v>MANTENIMIENTO</v>
      </c>
      <c r="E92" s="28" t="str">
        <f>IFERROR(VLOOKUP($C92,CUENTAS[],3,0),"")</f>
        <v>MDE2025-009B</v>
      </c>
      <c r="F92" s="86">
        <v>27</v>
      </c>
      <c r="G92" s="86">
        <v>0</v>
      </c>
      <c r="H92" s="74">
        <v>27</v>
      </c>
      <c r="I92" s="200" t="str">
        <f t="shared" si="1"/>
        <v>CORRECTO</v>
      </c>
      <c r="J92" s="88" t="s">
        <v>963</v>
      </c>
      <c r="K92" s="69" t="s">
        <v>980</v>
      </c>
      <c r="L92" s="84"/>
      <c r="M92" s="139" t="s">
        <v>2195</v>
      </c>
      <c r="N92" s="75"/>
      <c r="P92" s="89"/>
      <c r="Q92" s="89"/>
    </row>
    <row r="93" spans="1:17" x14ac:dyDescent="0.3">
      <c r="A93" s="16" t="s">
        <v>963</v>
      </c>
      <c r="B93" s="16" t="s">
        <v>2187</v>
      </c>
      <c r="C93" s="28" t="s">
        <v>223</v>
      </c>
      <c r="D93" s="28" t="str">
        <f>IFERROR(VLOOKUP($C93,CUENTAS[],2,0),"")</f>
        <v>MANTENIMIENTO</v>
      </c>
      <c r="E93" s="28" t="str">
        <f>IFERROR(VLOOKUP($C93,CUENTAS[],3,0),"")</f>
        <v>MDE2025-009B</v>
      </c>
      <c r="F93" s="86">
        <v>59.5</v>
      </c>
      <c r="G93" s="86">
        <v>0</v>
      </c>
      <c r="H93" s="74">
        <v>59.5</v>
      </c>
      <c r="I93" s="200" t="str">
        <f t="shared" si="1"/>
        <v>CORRECTO</v>
      </c>
      <c r="J93" s="88" t="s">
        <v>963</v>
      </c>
      <c r="K93" s="69" t="s">
        <v>980</v>
      </c>
      <c r="L93" s="84"/>
      <c r="M93" s="139" t="s">
        <v>2195</v>
      </c>
      <c r="N93" s="75"/>
      <c r="P93" s="89"/>
      <c r="Q93" s="89"/>
    </row>
    <row r="94" spans="1:17" x14ac:dyDescent="0.3">
      <c r="A94" s="16" t="s">
        <v>963</v>
      </c>
      <c r="B94" s="16" t="s">
        <v>2188</v>
      </c>
      <c r="C94" s="28" t="s">
        <v>223</v>
      </c>
      <c r="D94" s="28" t="str">
        <f>IFERROR(VLOOKUP($C94,CUENTAS[],2,0),"")</f>
        <v>MANTENIMIENTO</v>
      </c>
      <c r="E94" s="28" t="str">
        <f>IFERROR(VLOOKUP($C94,CUENTAS[],3,0),"")</f>
        <v>MDE2025-009B</v>
      </c>
      <c r="F94" s="86">
        <v>149</v>
      </c>
      <c r="G94" s="86">
        <v>0</v>
      </c>
      <c r="H94" s="74">
        <v>149</v>
      </c>
      <c r="I94" s="200" t="str">
        <f t="shared" si="1"/>
        <v>CORRECTO</v>
      </c>
      <c r="J94" s="88" t="s">
        <v>963</v>
      </c>
      <c r="K94" s="69" t="s">
        <v>980</v>
      </c>
      <c r="L94" s="84"/>
      <c r="M94" s="139" t="s">
        <v>2195</v>
      </c>
      <c r="N94" s="75"/>
      <c r="P94" s="89"/>
      <c r="Q94" s="89"/>
    </row>
    <row r="95" spans="1:17" x14ac:dyDescent="0.3">
      <c r="A95" s="16" t="s">
        <v>963</v>
      </c>
      <c r="B95" s="16" t="s">
        <v>2189</v>
      </c>
      <c r="C95" s="28" t="s">
        <v>223</v>
      </c>
      <c r="D95" s="28" t="str">
        <f>IFERROR(VLOOKUP($C95,CUENTAS[],2,0),"")</f>
        <v>MANTENIMIENTO</v>
      </c>
      <c r="E95" s="28" t="str">
        <f>IFERROR(VLOOKUP($C95,CUENTAS[],3,0),"")</f>
        <v>MDE2025-009B</v>
      </c>
      <c r="F95" s="86">
        <v>258</v>
      </c>
      <c r="G95" s="86">
        <v>0</v>
      </c>
      <c r="H95" s="74">
        <v>258</v>
      </c>
      <c r="I95" s="200" t="str">
        <f t="shared" si="1"/>
        <v>CORRECTO</v>
      </c>
      <c r="J95" s="88" t="s">
        <v>963</v>
      </c>
      <c r="K95" s="69" t="s">
        <v>980</v>
      </c>
      <c r="L95" s="84"/>
      <c r="M95" s="139" t="s">
        <v>2195</v>
      </c>
      <c r="N95" s="75"/>
      <c r="P95" s="89"/>
      <c r="Q95" s="89"/>
    </row>
    <row r="96" spans="1:17" x14ac:dyDescent="0.3">
      <c r="A96" s="16" t="s">
        <v>963</v>
      </c>
      <c r="B96" s="16" t="s">
        <v>2190</v>
      </c>
      <c r="C96" s="28" t="s">
        <v>223</v>
      </c>
      <c r="D96" s="28" t="str">
        <f>IFERROR(VLOOKUP($C96,CUENTAS[],2,0),"")</f>
        <v>MANTENIMIENTO</v>
      </c>
      <c r="E96" s="28" t="str">
        <f>IFERROR(VLOOKUP($C96,CUENTAS[],3,0),"")</f>
        <v>MDE2025-009B</v>
      </c>
      <c r="F96" s="86">
        <v>61</v>
      </c>
      <c r="G96" s="86">
        <v>0</v>
      </c>
      <c r="H96" s="74">
        <v>61</v>
      </c>
      <c r="I96" s="200" t="str">
        <f t="shared" si="1"/>
        <v>CORRECTO</v>
      </c>
      <c r="J96" s="88" t="s">
        <v>963</v>
      </c>
      <c r="K96" s="69" t="s">
        <v>980</v>
      </c>
      <c r="L96" s="84"/>
      <c r="M96" s="139" t="s">
        <v>2195</v>
      </c>
      <c r="N96" s="75"/>
      <c r="P96" s="89"/>
      <c r="Q96" s="89"/>
    </row>
    <row r="97" spans="1:17" x14ac:dyDescent="0.3">
      <c r="A97" s="16" t="s">
        <v>963</v>
      </c>
      <c r="B97" s="16" t="s">
        <v>2174</v>
      </c>
      <c r="C97" s="28" t="s">
        <v>223</v>
      </c>
      <c r="D97" s="28" t="str">
        <f>IFERROR(VLOOKUP($C97,CUENTAS[],2,0),"")</f>
        <v>MANTENIMIENTO</v>
      </c>
      <c r="E97" s="28" t="str">
        <f>IFERROR(VLOOKUP($C97,CUENTAS[],3,0),"")</f>
        <v>MDE2025-009B</v>
      </c>
      <c r="F97" s="86">
        <v>174</v>
      </c>
      <c r="G97" s="86">
        <v>0</v>
      </c>
      <c r="H97" s="74">
        <v>174</v>
      </c>
      <c r="I97" s="200" t="str">
        <f t="shared" si="1"/>
        <v>CORRECTO</v>
      </c>
      <c r="J97" s="88" t="s">
        <v>963</v>
      </c>
      <c r="K97" s="69" t="s">
        <v>980</v>
      </c>
      <c r="L97" s="84"/>
      <c r="M97" s="139" t="s">
        <v>2195</v>
      </c>
      <c r="N97" s="75"/>
      <c r="P97" s="89"/>
      <c r="Q97" s="89"/>
    </row>
    <row r="98" spans="1:17" x14ac:dyDescent="0.3">
      <c r="A98" s="16" t="s">
        <v>963</v>
      </c>
      <c r="B98" s="16" t="s">
        <v>1849</v>
      </c>
      <c r="C98" s="28" t="s">
        <v>223</v>
      </c>
      <c r="D98" s="28" t="str">
        <f>IFERROR(VLOOKUP($C98,CUENTAS[],2,0),"")</f>
        <v>MANTENIMIENTO</v>
      </c>
      <c r="E98" s="28" t="str">
        <f>IFERROR(VLOOKUP($C98,CUENTAS[],3,0),"")</f>
        <v>MDE2025-009B</v>
      </c>
      <c r="F98" s="86">
        <v>29.5</v>
      </c>
      <c r="G98" s="86">
        <v>0</v>
      </c>
      <c r="H98" s="74">
        <v>29.5</v>
      </c>
      <c r="I98" s="200" t="str">
        <f t="shared" si="1"/>
        <v>CORRECTO</v>
      </c>
      <c r="J98" s="88" t="s">
        <v>963</v>
      </c>
      <c r="K98" s="69" t="s">
        <v>980</v>
      </c>
      <c r="L98" s="84"/>
      <c r="M98" s="137" t="s">
        <v>2195</v>
      </c>
      <c r="N98" s="75"/>
      <c r="P98" s="89"/>
      <c r="Q98" s="89"/>
    </row>
    <row r="99" spans="1:17" x14ac:dyDescent="0.3">
      <c r="A99" s="16" t="s">
        <v>963</v>
      </c>
      <c r="B99" s="16" t="s">
        <v>2191</v>
      </c>
      <c r="C99" s="28" t="s">
        <v>223</v>
      </c>
      <c r="D99" s="28" t="str">
        <f>IFERROR(VLOOKUP($C99,CUENTAS[],2,0),"")</f>
        <v>MANTENIMIENTO</v>
      </c>
      <c r="E99" s="28" t="str">
        <f>IFERROR(VLOOKUP($C99,CUENTAS[],3,0),"")</f>
        <v>MDE2025-009B</v>
      </c>
      <c r="F99" s="86">
        <v>36</v>
      </c>
      <c r="G99" s="86">
        <v>0</v>
      </c>
      <c r="H99" s="74">
        <v>36</v>
      </c>
      <c r="I99" s="200" t="str">
        <f t="shared" si="1"/>
        <v>CORRECTO</v>
      </c>
      <c r="J99" s="88" t="s">
        <v>963</v>
      </c>
      <c r="K99" s="69" t="s">
        <v>980</v>
      </c>
      <c r="L99" s="84"/>
      <c r="M99" s="137" t="s">
        <v>2195</v>
      </c>
      <c r="N99" s="75"/>
      <c r="P99" s="89"/>
      <c r="Q99" s="89"/>
    </row>
    <row r="100" spans="1:17" x14ac:dyDescent="0.3">
      <c r="A100" s="16" t="s">
        <v>2196</v>
      </c>
      <c r="B100" s="16" t="s">
        <v>2197</v>
      </c>
      <c r="C100" s="28" t="s">
        <v>167</v>
      </c>
      <c r="D100" s="28" t="str">
        <f>IFERROR(VLOOKUP($C100,CUENTAS[],2,0),"")</f>
        <v>LOGÍSTICA</v>
      </c>
      <c r="E100" s="28" t="str">
        <f>IFERROR(VLOOKUP($C100,CUENTAS[],3,0),"")</f>
        <v>MDE2025-006D</v>
      </c>
      <c r="F100" s="86">
        <v>1534.76</v>
      </c>
      <c r="G100" s="86">
        <v>245.56</v>
      </c>
      <c r="H100" s="74">
        <v>1780.32</v>
      </c>
      <c r="I100" s="200" t="str">
        <f t="shared" si="1"/>
        <v>CORRECTO</v>
      </c>
      <c r="J100" s="88" t="s">
        <v>2614</v>
      </c>
      <c r="K100" s="69" t="s">
        <v>360</v>
      </c>
      <c r="L100" s="84" t="s">
        <v>227</v>
      </c>
      <c r="M100" s="137">
        <v>45840</v>
      </c>
      <c r="N100" s="75" t="s">
        <v>2204</v>
      </c>
      <c r="P100" s="89"/>
      <c r="Q100" s="89"/>
    </row>
    <row r="101" spans="1:17" x14ac:dyDescent="0.3">
      <c r="A101" s="16" t="s">
        <v>2196</v>
      </c>
      <c r="B101" s="16" t="s">
        <v>2198</v>
      </c>
      <c r="C101" s="28" t="s">
        <v>167</v>
      </c>
      <c r="D101" s="28" t="str">
        <f>IFERROR(VLOOKUP($C101,CUENTAS[],2,0),"")</f>
        <v>LOGÍSTICA</v>
      </c>
      <c r="E101" s="28" t="str">
        <f>IFERROR(VLOOKUP($C101,CUENTAS[],3,0),"")</f>
        <v>MDE2025-006D</v>
      </c>
      <c r="F101" s="86">
        <v>2127.59</v>
      </c>
      <c r="G101" s="86">
        <v>340.41</v>
      </c>
      <c r="H101" s="74">
        <v>2468</v>
      </c>
      <c r="I101" s="200" t="str">
        <f t="shared" si="1"/>
        <v>CORRECTO</v>
      </c>
      <c r="J101" s="88" t="s">
        <v>2614</v>
      </c>
      <c r="K101" s="69" t="s">
        <v>360</v>
      </c>
      <c r="L101" s="84" t="s">
        <v>227</v>
      </c>
      <c r="M101" s="137">
        <v>45849</v>
      </c>
      <c r="N101" s="75" t="s">
        <v>2201</v>
      </c>
      <c r="P101" s="89"/>
      <c r="Q101" s="89"/>
    </row>
    <row r="102" spans="1:17" x14ac:dyDescent="0.3">
      <c r="A102" s="16" t="s">
        <v>2196</v>
      </c>
      <c r="B102" s="16" t="s">
        <v>2199</v>
      </c>
      <c r="C102" s="28" t="s">
        <v>167</v>
      </c>
      <c r="D102" s="28" t="str">
        <f>IFERROR(VLOOKUP($C102,CUENTAS[],2,0),"")</f>
        <v>LOGÍSTICA</v>
      </c>
      <c r="E102" s="28" t="str">
        <f>IFERROR(VLOOKUP($C102,CUENTAS[],3,0),"")</f>
        <v>MDE2025-006D</v>
      </c>
      <c r="F102" s="86">
        <v>1570.69</v>
      </c>
      <c r="G102" s="86">
        <v>251.31</v>
      </c>
      <c r="H102" s="74">
        <v>1822</v>
      </c>
      <c r="I102" s="200" t="str">
        <f t="shared" si="1"/>
        <v>CORRECTO</v>
      </c>
      <c r="J102" s="88" t="s">
        <v>2614</v>
      </c>
      <c r="K102" s="69" t="s">
        <v>360</v>
      </c>
      <c r="L102" s="84" t="s">
        <v>227</v>
      </c>
      <c r="M102" s="137">
        <v>45861</v>
      </c>
      <c r="N102" s="75" t="s">
        <v>2202</v>
      </c>
      <c r="P102" s="89"/>
      <c r="Q102" s="89"/>
    </row>
    <row r="103" spans="1:17" x14ac:dyDescent="0.3">
      <c r="A103" s="16" t="s">
        <v>2196</v>
      </c>
      <c r="B103" s="16" t="s">
        <v>2200</v>
      </c>
      <c r="C103" s="28" t="s">
        <v>167</v>
      </c>
      <c r="D103" s="28" t="str">
        <f>IFERROR(VLOOKUP($C103,CUENTAS[],2,0),"")</f>
        <v>LOGÍSTICA</v>
      </c>
      <c r="E103" s="28" t="str">
        <f>IFERROR(VLOOKUP($C103,CUENTAS[],3,0),"")</f>
        <v>MDE2025-006D</v>
      </c>
      <c r="F103" s="86">
        <v>2622.31</v>
      </c>
      <c r="G103" s="86">
        <v>419.57</v>
      </c>
      <c r="H103" s="74">
        <v>3041.88</v>
      </c>
      <c r="I103" s="200" t="str">
        <f t="shared" si="1"/>
        <v>CORRECTO</v>
      </c>
      <c r="J103" s="88" t="s">
        <v>2614</v>
      </c>
      <c r="K103" s="69" t="s">
        <v>360</v>
      </c>
      <c r="L103" s="84" t="s">
        <v>227</v>
      </c>
      <c r="M103" s="137">
        <v>45875</v>
      </c>
      <c r="N103" s="75" t="s">
        <v>2203</v>
      </c>
      <c r="P103" s="89"/>
      <c r="Q103" s="89"/>
    </row>
    <row r="104" spans="1:17" x14ac:dyDescent="0.3">
      <c r="A104" s="5" t="s">
        <v>228</v>
      </c>
      <c r="B104" s="100" t="s">
        <v>1574</v>
      </c>
      <c r="C104" s="28" t="s">
        <v>168</v>
      </c>
      <c r="D104" s="28" t="str">
        <f>IFERROR(VLOOKUP($C104,CUENTAS[],2,0),"")</f>
        <v>ACTIVOS FIJOS</v>
      </c>
      <c r="E104" s="28" t="str">
        <f>IFERROR(VLOOKUP($C104,CUENTAS[],3,0),"")</f>
        <v>MDE2025-007B</v>
      </c>
      <c r="F104" s="144">
        <v>8999.67</v>
      </c>
      <c r="G104" s="144">
        <v>0</v>
      </c>
      <c r="H104" s="128">
        <v>8999.67</v>
      </c>
      <c r="I104" s="200" t="str">
        <f t="shared" si="1"/>
        <v>CORRECTO</v>
      </c>
      <c r="J104" s="88" t="s">
        <v>133</v>
      </c>
      <c r="K104" s="141" t="s">
        <v>360</v>
      </c>
      <c r="L104" s="142" t="s">
        <v>227</v>
      </c>
      <c r="M104" s="139">
        <v>45868</v>
      </c>
      <c r="N104" s="143"/>
      <c r="P104" s="89"/>
      <c r="Q104" s="89"/>
    </row>
    <row r="105" spans="1:17" x14ac:dyDescent="0.3">
      <c r="A105" s="5" t="s">
        <v>228</v>
      </c>
      <c r="B105" s="100" t="s">
        <v>1007</v>
      </c>
      <c r="C105" s="28" t="s">
        <v>168</v>
      </c>
      <c r="D105" s="28" t="str">
        <f>IFERROR(VLOOKUP($C105,CUENTAS[],2,0),"")</f>
        <v>ACTIVOS FIJOS</v>
      </c>
      <c r="E105" s="28" t="str">
        <f>IFERROR(VLOOKUP($C105,CUENTAS[],3,0),"")</f>
        <v>MDE2025-007B</v>
      </c>
      <c r="F105" s="144">
        <v>7649.67</v>
      </c>
      <c r="G105" s="144">
        <v>0</v>
      </c>
      <c r="H105" s="128">
        <v>7649.67</v>
      </c>
      <c r="I105" s="200" t="str">
        <f t="shared" si="1"/>
        <v>CORRECTO</v>
      </c>
      <c r="J105" s="88" t="s">
        <v>133</v>
      </c>
      <c r="K105" s="141" t="s">
        <v>360</v>
      </c>
      <c r="L105" s="142" t="s">
        <v>227</v>
      </c>
      <c r="M105" s="139">
        <v>45868</v>
      </c>
      <c r="N105" s="143"/>
      <c r="P105" s="89"/>
      <c r="Q105" s="89"/>
    </row>
    <row r="106" spans="1:17" x14ac:dyDescent="0.3">
      <c r="A106" s="21" t="s">
        <v>228</v>
      </c>
      <c r="B106" s="104" t="s">
        <v>1860</v>
      </c>
      <c r="C106" s="28" t="s">
        <v>134</v>
      </c>
      <c r="D106" s="28" t="str">
        <f>IFERROR(VLOOKUP($C106,CUENTAS[],2,0),"")</f>
        <v>GASTOS FIJOS</v>
      </c>
      <c r="E106" s="28" t="str">
        <f>IFERROR(VLOOKUP($C106,CUENTAS[],3,0),"")</f>
        <v>MDE2025-002J</v>
      </c>
      <c r="F106" s="144">
        <v>2299</v>
      </c>
      <c r="G106" s="144">
        <v>0</v>
      </c>
      <c r="H106" s="128">
        <v>2299</v>
      </c>
      <c r="I106" s="200" t="str">
        <f t="shared" si="1"/>
        <v>CORRECTO</v>
      </c>
      <c r="J106" s="88" t="s">
        <v>133</v>
      </c>
      <c r="K106" s="141" t="s">
        <v>361</v>
      </c>
      <c r="L106" s="142" t="s">
        <v>227</v>
      </c>
      <c r="M106" s="139">
        <v>45868</v>
      </c>
      <c r="N106" s="146"/>
      <c r="P106" s="89"/>
      <c r="Q106" s="89"/>
    </row>
    <row r="107" spans="1:17" x14ac:dyDescent="0.3">
      <c r="A107" s="21" t="s">
        <v>228</v>
      </c>
      <c r="B107" s="104" t="s">
        <v>998</v>
      </c>
      <c r="C107" s="28" t="s">
        <v>134</v>
      </c>
      <c r="D107" s="28" t="str">
        <f>IFERROR(VLOOKUP($C107,CUENTAS[],2,0),"")</f>
        <v>GASTOS FIJOS</v>
      </c>
      <c r="E107" s="28" t="str">
        <f>IFERROR(VLOOKUP($C107,CUENTAS[],3,0),"")</f>
        <v>MDE2025-002J</v>
      </c>
      <c r="F107" s="144">
        <v>555.9</v>
      </c>
      <c r="G107" s="144">
        <v>0</v>
      </c>
      <c r="H107" s="128">
        <v>555.9</v>
      </c>
      <c r="I107" s="200" t="str">
        <f t="shared" si="1"/>
        <v>CORRECTO</v>
      </c>
      <c r="J107" s="88" t="s">
        <v>133</v>
      </c>
      <c r="K107" s="141" t="s">
        <v>2210</v>
      </c>
      <c r="L107" s="142" t="s">
        <v>227</v>
      </c>
      <c r="M107" s="139">
        <v>45868</v>
      </c>
      <c r="N107" s="146"/>
      <c r="P107" s="89"/>
      <c r="Q107" s="89"/>
    </row>
    <row r="108" spans="1:17" x14ac:dyDescent="0.3">
      <c r="A108" s="21" t="s">
        <v>228</v>
      </c>
      <c r="B108" s="104" t="s">
        <v>1861</v>
      </c>
      <c r="C108" s="28" t="s">
        <v>141</v>
      </c>
      <c r="D108" s="28" t="str">
        <f>IFERROR(VLOOKUP($C108,CUENTAS[],2,0),"")</f>
        <v>GASTOS VARIOS</v>
      </c>
      <c r="E108" s="28" t="str">
        <f>IFERROR(VLOOKUP($C108,CUENTAS[],3,0),"")</f>
        <v>MDE2025-003L</v>
      </c>
      <c r="F108" s="144">
        <v>149</v>
      </c>
      <c r="G108" s="144">
        <v>0</v>
      </c>
      <c r="H108" s="128">
        <v>149</v>
      </c>
      <c r="I108" s="200" t="str">
        <f t="shared" si="1"/>
        <v>CORRECTO</v>
      </c>
      <c r="J108" s="88" t="s">
        <v>133</v>
      </c>
      <c r="K108" s="141" t="s">
        <v>1278</v>
      </c>
      <c r="L108" s="142" t="s">
        <v>227</v>
      </c>
      <c r="M108" s="139">
        <v>45868</v>
      </c>
      <c r="N108" s="146"/>
      <c r="P108" s="89"/>
      <c r="Q108" s="89"/>
    </row>
    <row r="109" spans="1:17" x14ac:dyDescent="0.3">
      <c r="A109" s="21" t="s">
        <v>228</v>
      </c>
      <c r="B109" s="104" t="s">
        <v>1000</v>
      </c>
      <c r="C109" s="28" t="s">
        <v>224</v>
      </c>
      <c r="D109" s="28" t="str">
        <f>IFERROR(VLOOKUP($C109,CUENTAS[],2,0),"")</f>
        <v>MATERIALES</v>
      </c>
      <c r="E109" s="28" t="str">
        <f>IFERROR(VLOOKUP($C109,CUENTAS[],3,0),"")</f>
        <v>MDE2025-004</v>
      </c>
      <c r="F109" s="144">
        <v>1669.01</v>
      </c>
      <c r="G109" s="144">
        <v>0</v>
      </c>
      <c r="H109" s="128">
        <v>1669.01</v>
      </c>
      <c r="I109" s="200" t="str">
        <f t="shared" si="1"/>
        <v>CORRECTO</v>
      </c>
      <c r="J109" s="88" t="s">
        <v>133</v>
      </c>
      <c r="K109" s="141" t="s">
        <v>1278</v>
      </c>
      <c r="L109" s="142" t="s">
        <v>227</v>
      </c>
      <c r="M109" s="139">
        <v>45868</v>
      </c>
      <c r="N109" s="146"/>
      <c r="P109" s="89"/>
      <c r="Q109" s="89"/>
    </row>
    <row r="110" spans="1:17" x14ac:dyDescent="0.3">
      <c r="A110" s="21" t="s">
        <v>228</v>
      </c>
      <c r="B110" s="104" t="s">
        <v>1578</v>
      </c>
      <c r="C110" s="28" t="s">
        <v>134</v>
      </c>
      <c r="D110" s="28" t="str">
        <f>IFERROR(VLOOKUP($C110,CUENTAS[],2,0),"")</f>
        <v>GASTOS FIJOS</v>
      </c>
      <c r="E110" s="28" t="str">
        <f>IFERROR(VLOOKUP($C110,CUENTAS[],3,0),"")</f>
        <v>MDE2025-002J</v>
      </c>
      <c r="F110" s="144">
        <v>441</v>
      </c>
      <c r="G110" s="144">
        <v>0</v>
      </c>
      <c r="H110" s="128">
        <v>441</v>
      </c>
      <c r="I110" s="200" t="str">
        <f t="shared" si="1"/>
        <v>CORRECTO</v>
      </c>
      <c r="J110" s="88" t="s">
        <v>133</v>
      </c>
      <c r="K110" s="141" t="s">
        <v>361</v>
      </c>
      <c r="L110" s="142" t="s">
        <v>227</v>
      </c>
      <c r="M110" s="139">
        <v>45868</v>
      </c>
      <c r="N110" s="146"/>
      <c r="P110" s="89"/>
      <c r="Q110" s="89"/>
    </row>
    <row r="111" spans="1:17" x14ac:dyDescent="0.3">
      <c r="A111" s="21" t="s">
        <v>1004</v>
      </c>
      <c r="B111" s="104" t="s">
        <v>2205</v>
      </c>
      <c r="C111" s="28" t="s">
        <v>151</v>
      </c>
      <c r="D111" s="28" t="str">
        <f>IFERROR(VLOOKUP($C111,CUENTAS[],2,0),"")</f>
        <v>GASTOS FIJOS</v>
      </c>
      <c r="E111" s="28" t="str">
        <f>IFERROR(VLOOKUP($C111,CUENTAS[],3,0),"")</f>
        <v>MDE2025-002F</v>
      </c>
      <c r="F111" s="144">
        <v>6730</v>
      </c>
      <c r="G111" s="144">
        <v>0</v>
      </c>
      <c r="H111" s="128">
        <v>6730</v>
      </c>
      <c r="I111" s="200" t="str">
        <f t="shared" si="1"/>
        <v>CORRECTO</v>
      </c>
      <c r="J111" s="88" t="s">
        <v>133</v>
      </c>
      <c r="K111" s="141" t="s">
        <v>1278</v>
      </c>
      <c r="L111" s="142" t="s">
        <v>227</v>
      </c>
      <c r="M111" s="139">
        <v>45868</v>
      </c>
      <c r="N111" s="146"/>
      <c r="P111" s="89"/>
      <c r="Q111" s="89"/>
    </row>
    <row r="112" spans="1:17" x14ac:dyDescent="0.3">
      <c r="A112" s="21" t="s">
        <v>1004</v>
      </c>
      <c r="B112" s="104" t="s">
        <v>1577</v>
      </c>
      <c r="C112" s="28" t="s">
        <v>134</v>
      </c>
      <c r="D112" s="28" t="str">
        <f>IFERROR(VLOOKUP($C112,CUENTAS[],2,0),"")</f>
        <v>GASTOS FIJOS</v>
      </c>
      <c r="E112" s="28" t="str">
        <f>IFERROR(VLOOKUP($C112,CUENTAS[],3,0),"")</f>
        <v>MDE2025-002J</v>
      </c>
      <c r="F112" s="144">
        <v>2299</v>
      </c>
      <c r="G112" s="144">
        <v>0</v>
      </c>
      <c r="H112" s="128">
        <v>2299</v>
      </c>
      <c r="I112" s="200" t="str">
        <f t="shared" si="1"/>
        <v>CORRECTO</v>
      </c>
      <c r="J112" s="88" t="s">
        <v>133</v>
      </c>
      <c r="K112" s="141" t="s">
        <v>367</v>
      </c>
      <c r="L112" s="142" t="s">
        <v>227</v>
      </c>
      <c r="M112" s="139">
        <v>45868</v>
      </c>
      <c r="N112" s="146"/>
      <c r="P112" s="89"/>
      <c r="Q112" s="89"/>
    </row>
    <row r="113" spans="1:17" x14ac:dyDescent="0.3">
      <c r="A113" s="21" t="s">
        <v>1004</v>
      </c>
      <c r="B113" s="104" t="s">
        <v>2206</v>
      </c>
      <c r="C113" s="28" t="s">
        <v>141</v>
      </c>
      <c r="D113" s="28" t="str">
        <f>IFERROR(VLOOKUP($C113,CUENTAS[],2,0),"")</f>
        <v>GASTOS VARIOS</v>
      </c>
      <c r="E113" s="28" t="str">
        <f>IFERROR(VLOOKUP($C113,CUENTAS[],3,0),"")</f>
        <v>MDE2025-003L</v>
      </c>
      <c r="F113" s="144">
        <v>5935</v>
      </c>
      <c r="G113" s="144">
        <v>0</v>
      </c>
      <c r="H113" s="128">
        <v>5935</v>
      </c>
      <c r="I113" s="200" t="str">
        <f t="shared" si="1"/>
        <v>CORRECTO</v>
      </c>
      <c r="J113" s="88" t="s">
        <v>133</v>
      </c>
      <c r="K113" s="141" t="s">
        <v>1277</v>
      </c>
      <c r="L113" s="142" t="s">
        <v>227</v>
      </c>
      <c r="M113" s="139">
        <v>45868</v>
      </c>
      <c r="N113" s="143"/>
      <c r="P113" s="89"/>
      <c r="Q113" s="89"/>
    </row>
    <row r="114" spans="1:17" x14ac:dyDescent="0.3">
      <c r="A114" s="21" t="s">
        <v>1004</v>
      </c>
      <c r="B114" s="104" t="s">
        <v>2207</v>
      </c>
      <c r="C114" s="28" t="s">
        <v>141</v>
      </c>
      <c r="D114" s="28" t="str">
        <f>IFERROR(VLOOKUP($C114,CUENTAS[],2,0),"")</f>
        <v>GASTOS VARIOS</v>
      </c>
      <c r="E114" s="28" t="str">
        <f>IFERROR(VLOOKUP($C114,CUENTAS[],3,0),"")</f>
        <v>MDE2025-003L</v>
      </c>
      <c r="F114" s="144">
        <v>498.8</v>
      </c>
      <c r="G114" s="144">
        <v>0</v>
      </c>
      <c r="H114" s="128">
        <v>498.8</v>
      </c>
      <c r="I114" s="200" t="str">
        <f t="shared" si="1"/>
        <v>CORRECTO</v>
      </c>
      <c r="J114" s="88" t="s">
        <v>133</v>
      </c>
      <c r="K114" s="141" t="s">
        <v>1277</v>
      </c>
      <c r="L114" s="142" t="s">
        <v>227</v>
      </c>
      <c r="M114" s="139">
        <v>45868</v>
      </c>
      <c r="N114" s="143"/>
      <c r="P114" s="89"/>
      <c r="Q114" s="89"/>
    </row>
    <row r="115" spans="1:17" x14ac:dyDescent="0.3">
      <c r="A115" s="21" t="s">
        <v>1004</v>
      </c>
      <c r="B115" s="104" t="s">
        <v>2207</v>
      </c>
      <c r="C115" s="28" t="s">
        <v>141</v>
      </c>
      <c r="D115" s="28" t="str">
        <f>IFERROR(VLOOKUP($C115,CUENTAS[],2,0),"")</f>
        <v>GASTOS VARIOS</v>
      </c>
      <c r="E115" s="28" t="str">
        <f>IFERROR(VLOOKUP($C115,CUENTAS[],3,0),"")</f>
        <v>MDE2025-003L</v>
      </c>
      <c r="F115" s="144">
        <v>6072</v>
      </c>
      <c r="G115" s="144">
        <v>0</v>
      </c>
      <c r="H115" s="128">
        <v>6072</v>
      </c>
      <c r="I115" s="200" t="str">
        <f t="shared" si="1"/>
        <v>CORRECTO</v>
      </c>
      <c r="J115" s="88" t="s">
        <v>133</v>
      </c>
      <c r="K115" s="141" t="s">
        <v>1277</v>
      </c>
      <c r="L115" s="142" t="s">
        <v>227</v>
      </c>
      <c r="M115" s="139">
        <v>45868</v>
      </c>
      <c r="N115" s="146"/>
      <c r="P115" s="89"/>
      <c r="Q115" s="89"/>
    </row>
    <row r="116" spans="1:17" x14ac:dyDescent="0.3">
      <c r="A116" s="21" t="s">
        <v>1004</v>
      </c>
      <c r="B116" s="104" t="s">
        <v>2208</v>
      </c>
      <c r="C116" s="28" t="s">
        <v>141</v>
      </c>
      <c r="D116" s="28" t="str">
        <f>IFERROR(VLOOKUP($C116,CUENTAS[],2,0),"")</f>
        <v>GASTOS VARIOS</v>
      </c>
      <c r="E116" s="28" t="str">
        <f>IFERROR(VLOOKUP($C116,CUENTAS[],3,0),"")</f>
        <v>MDE2025-003L</v>
      </c>
      <c r="F116" s="144">
        <v>240</v>
      </c>
      <c r="G116" s="144">
        <v>0</v>
      </c>
      <c r="H116" s="128">
        <v>240</v>
      </c>
      <c r="I116" s="200" t="str">
        <f t="shared" si="1"/>
        <v>CORRECTO</v>
      </c>
      <c r="J116" s="88" t="s">
        <v>133</v>
      </c>
      <c r="K116" s="141" t="s">
        <v>1277</v>
      </c>
      <c r="L116" s="142" t="s">
        <v>227</v>
      </c>
      <c r="M116" s="139">
        <v>45868</v>
      </c>
      <c r="N116" s="146"/>
      <c r="P116" s="89"/>
      <c r="Q116" s="89"/>
    </row>
    <row r="117" spans="1:17" x14ac:dyDescent="0.3">
      <c r="A117" s="21" t="s">
        <v>1004</v>
      </c>
      <c r="B117" s="104" t="s">
        <v>2209</v>
      </c>
      <c r="C117" s="28" t="s">
        <v>141</v>
      </c>
      <c r="D117" s="28" t="str">
        <f>IFERROR(VLOOKUP($C117,CUENTAS[],2,0),"")</f>
        <v>GASTOS VARIOS</v>
      </c>
      <c r="E117" s="28" t="str">
        <f>IFERROR(VLOOKUP($C117,CUENTAS[],3,0),"")</f>
        <v>MDE2025-003L</v>
      </c>
      <c r="F117" s="144">
        <v>10380.6</v>
      </c>
      <c r="G117" s="144">
        <v>0</v>
      </c>
      <c r="H117" s="128">
        <v>10380.6</v>
      </c>
      <c r="I117" s="200" t="str">
        <f t="shared" si="1"/>
        <v>CORRECTO</v>
      </c>
      <c r="J117" s="88" t="s">
        <v>133</v>
      </c>
      <c r="K117" s="141" t="s">
        <v>1278</v>
      </c>
      <c r="L117" s="142" t="s">
        <v>227</v>
      </c>
      <c r="M117" s="139">
        <v>45870</v>
      </c>
      <c r="N117" s="143"/>
      <c r="P117" s="89"/>
      <c r="Q117" s="89"/>
    </row>
    <row r="118" spans="1:17" x14ac:dyDescent="0.3">
      <c r="A118" s="6" t="s">
        <v>2211</v>
      </c>
      <c r="B118" s="109" t="s">
        <v>2212</v>
      </c>
      <c r="C118" s="28" t="s">
        <v>117</v>
      </c>
      <c r="D118" s="28" t="str">
        <f>IFERROR(VLOOKUP($C118,CUENTAS[],2,0),"")</f>
        <v>GASTOS VARIOS</v>
      </c>
      <c r="E118" s="28" t="str">
        <f>IFERROR(VLOOKUP($C118,CUENTAS[],3,0),"")</f>
        <v>MDE2025-003D</v>
      </c>
      <c r="F118" s="86">
        <v>500</v>
      </c>
      <c r="G118" s="129">
        <v>0</v>
      </c>
      <c r="H118" s="126">
        <v>500</v>
      </c>
      <c r="I118" s="200" t="str">
        <f t="shared" si="1"/>
        <v>CORRECTO</v>
      </c>
      <c r="J118" s="201" t="s">
        <v>3246</v>
      </c>
      <c r="K118" s="101" t="s">
        <v>362</v>
      </c>
      <c r="L118" s="95" t="s">
        <v>227</v>
      </c>
      <c r="M118" s="184">
        <v>45839</v>
      </c>
      <c r="N118" s="8" t="s">
        <v>2223</v>
      </c>
      <c r="P118" s="89"/>
      <c r="Q118" s="89"/>
    </row>
    <row r="119" spans="1:17" x14ac:dyDescent="0.3">
      <c r="A119" s="6" t="s">
        <v>2213</v>
      </c>
      <c r="B119" s="109" t="s">
        <v>2214</v>
      </c>
      <c r="C119" s="28" t="s">
        <v>117</v>
      </c>
      <c r="D119" s="28" t="str">
        <f>IFERROR(VLOOKUP($C119,CUENTAS[],2,0),"")</f>
        <v>GASTOS VARIOS</v>
      </c>
      <c r="E119" s="28" t="str">
        <f>IFERROR(VLOOKUP($C119,CUENTAS[],3,0),"")</f>
        <v>MDE2025-003D</v>
      </c>
      <c r="F119" s="86">
        <v>729.91</v>
      </c>
      <c r="G119" s="129">
        <v>113.49</v>
      </c>
      <c r="H119" s="126">
        <v>843.4</v>
      </c>
      <c r="I119" s="200" t="str">
        <f t="shared" si="1"/>
        <v>CORRECTO</v>
      </c>
      <c r="J119" s="201" t="s">
        <v>3246</v>
      </c>
      <c r="K119" s="101" t="s">
        <v>362</v>
      </c>
      <c r="L119" s="95" t="s">
        <v>227</v>
      </c>
      <c r="M119" s="184">
        <v>45843</v>
      </c>
      <c r="N119" s="8" t="s">
        <v>2224</v>
      </c>
      <c r="P119" s="89"/>
      <c r="Q119" s="89"/>
    </row>
    <row r="120" spans="1:17" x14ac:dyDescent="0.3">
      <c r="A120" s="6" t="s">
        <v>2215</v>
      </c>
      <c r="B120" s="109" t="s">
        <v>2214</v>
      </c>
      <c r="C120" s="28" t="s">
        <v>117</v>
      </c>
      <c r="D120" s="28" t="str">
        <f>IFERROR(VLOOKUP($C120,CUENTAS[],2,0),"")</f>
        <v>GASTOS VARIOS</v>
      </c>
      <c r="E120" s="28" t="str">
        <f>IFERROR(VLOOKUP($C120,CUENTAS[],3,0),"")</f>
        <v>MDE2025-003D</v>
      </c>
      <c r="F120" s="86">
        <v>674.57</v>
      </c>
      <c r="G120" s="129">
        <v>104.84</v>
      </c>
      <c r="H120" s="126">
        <v>779.41</v>
      </c>
      <c r="I120" s="200" t="str">
        <f t="shared" si="1"/>
        <v>CORRECTO</v>
      </c>
      <c r="J120" s="201" t="s">
        <v>3246</v>
      </c>
      <c r="K120" s="101" t="s">
        <v>362</v>
      </c>
      <c r="L120" s="95" t="s">
        <v>227</v>
      </c>
      <c r="M120" s="184">
        <v>45843</v>
      </c>
      <c r="N120" s="8" t="s">
        <v>2225</v>
      </c>
      <c r="P120" s="89"/>
      <c r="Q120" s="89"/>
    </row>
    <row r="121" spans="1:17" x14ac:dyDescent="0.3">
      <c r="A121" s="6" t="s">
        <v>2216</v>
      </c>
      <c r="B121" s="109" t="s">
        <v>2214</v>
      </c>
      <c r="C121" s="28" t="s">
        <v>117</v>
      </c>
      <c r="D121" s="28" t="str">
        <f>IFERROR(VLOOKUP($C121,CUENTAS[],2,0),"")</f>
        <v>GASTOS VARIOS</v>
      </c>
      <c r="E121" s="28" t="str">
        <f>IFERROR(VLOOKUP($C121,CUENTAS[],3,0),"")</f>
        <v>MDE2025-003D</v>
      </c>
      <c r="F121" s="86">
        <v>1427.81</v>
      </c>
      <c r="G121" s="129">
        <v>0</v>
      </c>
      <c r="H121" s="126">
        <v>1427.81</v>
      </c>
      <c r="I121" s="200" t="str">
        <f t="shared" si="1"/>
        <v>CORRECTO</v>
      </c>
      <c r="J121" s="201" t="s">
        <v>3245</v>
      </c>
      <c r="K121" s="101" t="s">
        <v>360</v>
      </c>
      <c r="L121" s="95" t="s">
        <v>227</v>
      </c>
      <c r="M121" s="184">
        <v>45848</v>
      </c>
      <c r="N121" s="8" t="s">
        <v>371</v>
      </c>
      <c r="P121" s="89"/>
      <c r="Q121" s="89"/>
    </row>
    <row r="122" spans="1:17" x14ac:dyDescent="0.3">
      <c r="A122" s="6" t="s">
        <v>2217</v>
      </c>
      <c r="B122" s="109" t="s">
        <v>2218</v>
      </c>
      <c r="C122" s="28" t="s">
        <v>117</v>
      </c>
      <c r="D122" s="28" t="str">
        <f>IFERROR(VLOOKUP($C122,CUENTAS[],2,0),"")</f>
        <v>GASTOS VARIOS</v>
      </c>
      <c r="E122" s="28" t="str">
        <f>IFERROR(VLOOKUP($C122,CUENTAS[],3,0),"")</f>
        <v>MDE2025-003D</v>
      </c>
      <c r="F122" s="86">
        <v>173.09</v>
      </c>
      <c r="G122" s="129">
        <v>26.91</v>
      </c>
      <c r="H122" s="126">
        <v>200</v>
      </c>
      <c r="I122" s="200" t="str">
        <f t="shared" si="1"/>
        <v>CORRECTO</v>
      </c>
      <c r="J122" s="201" t="s">
        <v>3245</v>
      </c>
      <c r="K122" s="101" t="s">
        <v>362</v>
      </c>
      <c r="L122" s="95" t="s">
        <v>227</v>
      </c>
      <c r="M122" s="184">
        <v>45854</v>
      </c>
      <c r="N122" s="8" t="s">
        <v>2226</v>
      </c>
      <c r="P122" s="89"/>
      <c r="Q122" s="89"/>
    </row>
    <row r="123" spans="1:17" x14ac:dyDescent="0.3">
      <c r="A123" s="6" t="s">
        <v>2219</v>
      </c>
      <c r="B123" s="109" t="s">
        <v>2218</v>
      </c>
      <c r="C123" s="28" t="s">
        <v>117</v>
      </c>
      <c r="D123" s="28" t="str">
        <f>IFERROR(VLOOKUP($C123,CUENTAS[],2,0),"")</f>
        <v>GASTOS VARIOS</v>
      </c>
      <c r="E123" s="28" t="str">
        <f>IFERROR(VLOOKUP($C123,CUENTAS[],3,0),"")</f>
        <v>MDE2025-003D</v>
      </c>
      <c r="F123" s="86">
        <v>200</v>
      </c>
      <c r="G123" s="129">
        <v>0</v>
      </c>
      <c r="H123" s="126">
        <v>200</v>
      </c>
      <c r="I123" s="200" t="str">
        <f t="shared" si="1"/>
        <v>CORRECTO</v>
      </c>
      <c r="J123" s="201" t="s">
        <v>3245</v>
      </c>
      <c r="K123" s="101" t="s">
        <v>362</v>
      </c>
      <c r="L123" s="95" t="s">
        <v>227</v>
      </c>
      <c r="M123" s="184">
        <v>45854</v>
      </c>
      <c r="N123" s="8" t="s">
        <v>2227</v>
      </c>
      <c r="P123" s="89"/>
      <c r="Q123" s="89"/>
    </row>
    <row r="124" spans="1:17" x14ac:dyDescent="0.3">
      <c r="A124" s="6" t="s">
        <v>2217</v>
      </c>
      <c r="B124" s="109" t="s">
        <v>2218</v>
      </c>
      <c r="C124" s="28" t="s">
        <v>117</v>
      </c>
      <c r="D124" s="28" t="str">
        <f>IFERROR(VLOOKUP($C124,CUENTAS[],2,0),"")</f>
        <v>GASTOS VARIOS</v>
      </c>
      <c r="E124" s="28" t="str">
        <f>IFERROR(VLOOKUP($C124,CUENTAS[],3,0),"")</f>
        <v>MDE2025-003D</v>
      </c>
      <c r="F124" s="86">
        <v>259.64</v>
      </c>
      <c r="G124" s="129">
        <v>40.36</v>
      </c>
      <c r="H124" s="126">
        <v>300</v>
      </c>
      <c r="I124" s="200" t="str">
        <f t="shared" si="1"/>
        <v>CORRECTO</v>
      </c>
      <c r="J124" s="201" t="s">
        <v>3245</v>
      </c>
      <c r="K124" s="101" t="s">
        <v>362</v>
      </c>
      <c r="L124" s="95" t="s">
        <v>227</v>
      </c>
      <c r="M124" s="184">
        <v>45854</v>
      </c>
      <c r="N124" s="8" t="s">
        <v>2228</v>
      </c>
      <c r="P124" s="89"/>
      <c r="Q124" s="89"/>
    </row>
    <row r="125" spans="1:17" x14ac:dyDescent="0.3">
      <c r="A125" s="6" t="s">
        <v>2220</v>
      </c>
      <c r="B125" s="109" t="s">
        <v>2221</v>
      </c>
      <c r="C125" s="28" t="s">
        <v>117</v>
      </c>
      <c r="D125" s="28" t="str">
        <f>IFERROR(VLOOKUP($C125,CUENTAS[],2,0),"")</f>
        <v>GASTOS VARIOS</v>
      </c>
      <c r="E125" s="28" t="str">
        <f>IFERROR(VLOOKUP($C125,CUENTAS[],3,0),"")</f>
        <v>MDE2025-003D</v>
      </c>
      <c r="F125" s="86">
        <v>259.63</v>
      </c>
      <c r="G125" s="129">
        <v>40.369999999999997</v>
      </c>
      <c r="H125" s="126">
        <v>300</v>
      </c>
      <c r="I125" s="200" t="str">
        <f t="shared" si="1"/>
        <v>CORRECTO</v>
      </c>
      <c r="J125" s="201" t="s">
        <v>3245</v>
      </c>
      <c r="K125" s="101" t="s">
        <v>362</v>
      </c>
      <c r="L125" s="95" t="s">
        <v>227</v>
      </c>
      <c r="M125" s="184">
        <v>45859</v>
      </c>
      <c r="N125" s="8" t="s">
        <v>2229</v>
      </c>
      <c r="P125" s="89"/>
      <c r="Q125" s="89"/>
    </row>
    <row r="126" spans="1:17" x14ac:dyDescent="0.3">
      <c r="A126" s="6" t="s">
        <v>1028</v>
      </c>
      <c r="B126" s="109" t="s">
        <v>2218</v>
      </c>
      <c r="C126" s="28" t="s">
        <v>117</v>
      </c>
      <c r="D126" s="28" t="str">
        <f>IFERROR(VLOOKUP($C126,CUENTAS[],2,0),"")</f>
        <v>GASTOS VARIOS</v>
      </c>
      <c r="E126" s="28" t="str">
        <f>IFERROR(VLOOKUP($C126,CUENTAS[],3,0),"")</f>
        <v>MDE2025-003D</v>
      </c>
      <c r="F126" s="86">
        <v>346.15</v>
      </c>
      <c r="G126" s="129">
        <v>53.85</v>
      </c>
      <c r="H126" s="126">
        <v>400</v>
      </c>
      <c r="I126" s="200" t="str">
        <f t="shared" si="1"/>
        <v>CORRECTO</v>
      </c>
      <c r="J126" s="201" t="s">
        <v>3245</v>
      </c>
      <c r="K126" s="101" t="s">
        <v>2230</v>
      </c>
      <c r="L126" s="95" t="s">
        <v>227</v>
      </c>
      <c r="M126" s="184">
        <v>45863</v>
      </c>
      <c r="N126" s="8" t="s">
        <v>2231</v>
      </c>
      <c r="P126" s="89"/>
      <c r="Q126" s="89"/>
    </row>
    <row r="127" spans="1:17" x14ac:dyDescent="0.3">
      <c r="A127" s="6" t="s">
        <v>421</v>
      </c>
      <c r="B127" s="109" t="s">
        <v>2222</v>
      </c>
      <c r="C127" s="28" t="s">
        <v>117</v>
      </c>
      <c r="D127" s="28" t="str">
        <f>IFERROR(VLOOKUP($C127,CUENTAS[],2,0),"")</f>
        <v>GASTOS VARIOS</v>
      </c>
      <c r="E127" s="28" t="str">
        <f>IFERROR(VLOOKUP($C127,CUENTAS[],3,0),"")</f>
        <v>MDE2025-003D</v>
      </c>
      <c r="F127" s="86">
        <v>519.21</v>
      </c>
      <c r="G127" s="129">
        <v>80.790000000000006</v>
      </c>
      <c r="H127" s="126">
        <v>600</v>
      </c>
      <c r="I127" s="200" t="str">
        <f t="shared" si="1"/>
        <v>CORRECTO</v>
      </c>
      <c r="J127" s="201" t="s">
        <v>3245</v>
      </c>
      <c r="K127" s="101" t="s">
        <v>2230</v>
      </c>
      <c r="L127" s="95" t="s">
        <v>227</v>
      </c>
      <c r="M127" s="184">
        <v>45868</v>
      </c>
      <c r="N127" s="8" t="s">
        <v>2232</v>
      </c>
      <c r="P127" s="89"/>
      <c r="Q127" s="89"/>
    </row>
    <row r="128" spans="1:17" ht="14.25" customHeight="1" x14ac:dyDescent="0.3">
      <c r="A128" s="115" t="s">
        <v>175</v>
      </c>
      <c r="B128" s="115" t="s">
        <v>2007</v>
      </c>
      <c r="C128" s="28" t="s">
        <v>114</v>
      </c>
      <c r="D128" s="28" t="str">
        <f>IFERROR(VLOOKUP($C128,CUENTAS[],2,0),"")</f>
        <v>GASTOS FIJOS</v>
      </c>
      <c r="E128" s="28" t="str">
        <f>IFERROR(VLOOKUP($C128,CUENTAS[],3,0),"")</f>
        <v>MDE2025-002G</v>
      </c>
      <c r="F128" s="86">
        <v>520</v>
      </c>
      <c r="G128" s="129">
        <v>83.2</v>
      </c>
      <c r="H128" s="130">
        <v>603.20000000000005</v>
      </c>
      <c r="I128" s="200" t="str">
        <f t="shared" si="1"/>
        <v>CORRECTO</v>
      </c>
      <c r="J128" s="88" t="s">
        <v>3247</v>
      </c>
      <c r="K128" s="116" t="s">
        <v>363</v>
      </c>
      <c r="L128" s="95" t="s">
        <v>227</v>
      </c>
      <c r="M128" s="159">
        <v>45839</v>
      </c>
      <c r="N128" s="118" t="s">
        <v>371</v>
      </c>
      <c r="P128" s="89"/>
      <c r="Q128" s="89"/>
    </row>
    <row r="129" spans="1:17" ht="14.25" customHeight="1" x14ac:dyDescent="0.3">
      <c r="A129" s="115" t="s">
        <v>1724</v>
      </c>
      <c r="B129" s="115" t="s">
        <v>2008</v>
      </c>
      <c r="C129" s="28" t="s">
        <v>224</v>
      </c>
      <c r="D129" s="28" t="str">
        <f>IFERROR(VLOOKUP($C129,CUENTAS[],2,0),"")</f>
        <v>MATERIALES</v>
      </c>
      <c r="E129" s="28" t="str">
        <f>IFERROR(VLOOKUP($C129,CUENTAS[],3,0),"")</f>
        <v>MDE2025-004</v>
      </c>
      <c r="F129" s="86">
        <v>1857.81</v>
      </c>
      <c r="G129" s="129">
        <v>297.25</v>
      </c>
      <c r="H129" s="131">
        <v>2155.06</v>
      </c>
      <c r="I129" s="200" t="str">
        <f t="shared" si="1"/>
        <v>CORRECTO</v>
      </c>
      <c r="J129" s="88" t="s">
        <v>1522</v>
      </c>
      <c r="K129" s="116" t="s">
        <v>1943</v>
      </c>
      <c r="L129" s="95" t="s">
        <v>227</v>
      </c>
      <c r="M129" s="159">
        <v>45840</v>
      </c>
      <c r="N129" s="22" t="s">
        <v>2100</v>
      </c>
      <c r="P129" s="89"/>
      <c r="Q129" s="89"/>
    </row>
    <row r="130" spans="1:17" ht="14.25" customHeight="1" x14ac:dyDescent="0.3">
      <c r="A130" s="115" t="s">
        <v>283</v>
      </c>
      <c r="B130" s="115">
        <v>2567465</v>
      </c>
      <c r="C130" s="28" t="s">
        <v>120</v>
      </c>
      <c r="D130" s="28" t="str">
        <f>IFERROR(VLOOKUP($C130,CUENTAS[],2,0),"")</f>
        <v>TOKA</v>
      </c>
      <c r="E130" s="28" t="str">
        <f>IFERROR(VLOOKUP($C130,CUENTAS[],3,0),"")</f>
        <v>TOK2025-001C</v>
      </c>
      <c r="F130" s="86">
        <v>232</v>
      </c>
      <c r="G130" s="129">
        <v>0</v>
      </c>
      <c r="H130" s="131">
        <v>232</v>
      </c>
      <c r="I130" s="200" t="str">
        <f t="shared" si="1"/>
        <v>CORRECTO</v>
      </c>
      <c r="J130" s="88" t="s">
        <v>2614</v>
      </c>
      <c r="K130" s="116" t="s">
        <v>363</v>
      </c>
      <c r="L130" s="95" t="s">
        <v>227</v>
      </c>
      <c r="M130" s="159">
        <v>45840</v>
      </c>
      <c r="N130" s="22" t="s">
        <v>570</v>
      </c>
      <c r="P130" s="89"/>
      <c r="Q130" s="89"/>
    </row>
    <row r="131" spans="1:17" ht="14.25" customHeight="1" x14ac:dyDescent="0.3">
      <c r="A131" s="115" t="s">
        <v>2009</v>
      </c>
      <c r="B131" s="115" t="s">
        <v>1375</v>
      </c>
      <c r="C131" s="28" t="s">
        <v>167</v>
      </c>
      <c r="D131" s="28" t="str">
        <f>IFERROR(VLOOKUP($C131,CUENTAS[],2,0),"")</f>
        <v>LOGÍSTICA</v>
      </c>
      <c r="E131" s="28" t="str">
        <f>IFERROR(VLOOKUP($C131,CUENTAS[],3,0),"")</f>
        <v>MDE2025-006D</v>
      </c>
      <c r="F131" s="86">
        <v>25000</v>
      </c>
      <c r="G131" s="129">
        <v>0</v>
      </c>
      <c r="H131" s="131">
        <v>25000</v>
      </c>
      <c r="I131" s="200" t="str">
        <f t="shared" ref="I131:I194" si="2">IFERROR(IF(F131+G131&lt;&gt;H131,"REVISAR","CORRECTO"),"")</f>
        <v>CORRECTO</v>
      </c>
      <c r="J131" s="88" t="s">
        <v>2614</v>
      </c>
      <c r="K131" s="116" t="s">
        <v>363</v>
      </c>
      <c r="L131" s="95" t="s">
        <v>227</v>
      </c>
      <c r="M131" s="159">
        <v>45840</v>
      </c>
      <c r="N131" s="22" t="s">
        <v>410</v>
      </c>
      <c r="P131" s="89"/>
      <c r="Q131" s="89"/>
    </row>
    <row r="132" spans="1:17" ht="14.25" customHeight="1" x14ac:dyDescent="0.3">
      <c r="A132" s="115" t="s">
        <v>2010</v>
      </c>
      <c r="B132" s="115" t="s">
        <v>2011</v>
      </c>
      <c r="C132" s="28" t="s">
        <v>109</v>
      </c>
      <c r="D132" s="28" t="str">
        <f>IFERROR(VLOOKUP($C132,CUENTAS[],2,0),"")</f>
        <v>LOGÍSTICA</v>
      </c>
      <c r="E132" s="28" t="str">
        <f>IFERROR(VLOOKUP($C132,CUENTAS[],3,0),"")</f>
        <v>MDE2025-006A</v>
      </c>
      <c r="F132" s="86">
        <v>2200</v>
      </c>
      <c r="G132" s="129">
        <v>352</v>
      </c>
      <c r="H132" s="131">
        <v>2552</v>
      </c>
      <c r="I132" s="200" t="str">
        <f t="shared" si="2"/>
        <v>CORRECTO</v>
      </c>
      <c r="J132" s="88" t="s">
        <v>1522</v>
      </c>
      <c r="K132" s="116" t="s">
        <v>362</v>
      </c>
      <c r="L132" s="95" t="s">
        <v>227</v>
      </c>
      <c r="M132" s="159">
        <v>45841</v>
      </c>
      <c r="N132" s="22" t="s">
        <v>2101</v>
      </c>
      <c r="P132" s="89"/>
      <c r="Q132" s="89"/>
    </row>
    <row r="133" spans="1:17" ht="14.25" customHeight="1" x14ac:dyDescent="0.3">
      <c r="A133" s="115" t="s">
        <v>2010</v>
      </c>
      <c r="B133" s="115" t="s">
        <v>2012</v>
      </c>
      <c r="C133" s="28" t="s">
        <v>109</v>
      </c>
      <c r="D133" s="28" t="str">
        <f>IFERROR(VLOOKUP($C133,CUENTAS[],2,0),"")</f>
        <v>LOGÍSTICA</v>
      </c>
      <c r="E133" s="28" t="str">
        <f>IFERROR(VLOOKUP($C133,CUENTAS[],3,0),"")</f>
        <v>MDE2025-006A</v>
      </c>
      <c r="F133" s="86">
        <v>9384.83</v>
      </c>
      <c r="G133" s="129">
        <v>1501.57</v>
      </c>
      <c r="H133" s="131">
        <v>10886.4</v>
      </c>
      <c r="I133" s="200" t="str">
        <f t="shared" si="2"/>
        <v>CORRECTO</v>
      </c>
      <c r="J133" s="88" t="s">
        <v>1522</v>
      </c>
      <c r="K133" s="116" t="s">
        <v>362</v>
      </c>
      <c r="L133" s="95" t="s">
        <v>227</v>
      </c>
      <c r="M133" s="159">
        <v>45841</v>
      </c>
      <c r="N133" s="22" t="s">
        <v>2102</v>
      </c>
      <c r="P133" s="89"/>
      <c r="Q133" s="89"/>
    </row>
    <row r="134" spans="1:17" ht="14.25" customHeight="1" x14ac:dyDescent="0.3">
      <c r="A134" s="115" t="s">
        <v>2013</v>
      </c>
      <c r="B134" s="115" t="s">
        <v>2014</v>
      </c>
      <c r="C134" s="28" t="s">
        <v>224</v>
      </c>
      <c r="D134" s="28" t="str">
        <f>IFERROR(VLOOKUP($C134,CUENTAS[],2,0),"")</f>
        <v>MATERIALES</v>
      </c>
      <c r="E134" s="28" t="str">
        <f>IFERROR(VLOOKUP($C134,CUENTAS[],3,0),"")</f>
        <v>MDE2025-004</v>
      </c>
      <c r="F134" s="86">
        <v>5082.92</v>
      </c>
      <c r="G134" s="129">
        <v>813.27</v>
      </c>
      <c r="H134" s="131">
        <v>5896.19</v>
      </c>
      <c r="I134" s="200" t="str">
        <f t="shared" si="2"/>
        <v>CORRECTO</v>
      </c>
      <c r="J134" s="88" t="s">
        <v>1522</v>
      </c>
      <c r="K134" s="116" t="s">
        <v>360</v>
      </c>
      <c r="L134" s="95" t="s">
        <v>227</v>
      </c>
      <c r="M134" s="159">
        <v>45841</v>
      </c>
      <c r="N134" s="22" t="s">
        <v>2103</v>
      </c>
      <c r="P134" s="89"/>
      <c r="Q134" s="89"/>
    </row>
    <row r="135" spans="1:17" ht="14.25" customHeight="1" x14ac:dyDescent="0.3">
      <c r="A135" s="115" t="s">
        <v>1724</v>
      </c>
      <c r="B135" s="115" t="s">
        <v>2008</v>
      </c>
      <c r="C135" s="28" t="s">
        <v>224</v>
      </c>
      <c r="D135" s="28" t="str">
        <f>IFERROR(VLOOKUP($C135,CUENTAS[],2,0),"")</f>
        <v>MATERIALES</v>
      </c>
      <c r="E135" s="28" t="str">
        <f>IFERROR(VLOOKUP($C135,CUENTAS[],3,0),"")</f>
        <v>MDE2025-004</v>
      </c>
      <c r="F135" s="86">
        <v>1961.01</v>
      </c>
      <c r="G135" s="129">
        <v>313.76</v>
      </c>
      <c r="H135" s="131">
        <v>2274.77</v>
      </c>
      <c r="I135" s="200" t="str">
        <f t="shared" si="2"/>
        <v>CORRECTO</v>
      </c>
      <c r="J135" s="88" t="s">
        <v>1522</v>
      </c>
      <c r="K135" s="116" t="s">
        <v>1943</v>
      </c>
      <c r="L135" s="95" t="s">
        <v>227</v>
      </c>
      <c r="M135" s="159">
        <v>45841</v>
      </c>
      <c r="N135" s="22" t="s">
        <v>2104</v>
      </c>
      <c r="P135" s="89"/>
      <c r="Q135" s="89"/>
    </row>
    <row r="136" spans="1:17" ht="14.25" customHeight="1" x14ac:dyDescent="0.3">
      <c r="A136" s="115" t="s">
        <v>2015</v>
      </c>
      <c r="B136" s="115" t="s">
        <v>2016</v>
      </c>
      <c r="C136" s="28" t="s">
        <v>159</v>
      </c>
      <c r="D136" s="28" t="str">
        <f>IFERROR(VLOOKUP($C136,CUENTAS[],2,0),"")</f>
        <v>GASTOS VARIOS</v>
      </c>
      <c r="E136" s="28" t="str">
        <f>IFERROR(VLOOKUP($C136,CUENTAS[],3,0),"")</f>
        <v>MDE2025-003A</v>
      </c>
      <c r="F136" s="86">
        <v>891.4</v>
      </c>
      <c r="G136" s="129">
        <v>142.63</v>
      </c>
      <c r="H136" s="131">
        <v>1034.03</v>
      </c>
      <c r="I136" s="200" t="str">
        <f t="shared" si="2"/>
        <v>CORRECTO</v>
      </c>
      <c r="J136" s="88" t="s">
        <v>1522</v>
      </c>
      <c r="K136" s="116" t="s">
        <v>357</v>
      </c>
      <c r="L136" s="95" t="s">
        <v>227</v>
      </c>
      <c r="M136" s="159">
        <v>45841</v>
      </c>
      <c r="N136" s="22" t="s">
        <v>2105</v>
      </c>
      <c r="P136" s="89"/>
      <c r="Q136" s="89"/>
    </row>
    <row r="137" spans="1:17" ht="14.25" customHeight="1" x14ac:dyDescent="0.3">
      <c r="A137" s="115" t="s">
        <v>2017</v>
      </c>
      <c r="B137" s="115" t="s">
        <v>2018</v>
      </c>
      <c r="C137" s="28" t="s">
        <v>224</v>
      </c>
      <c r="D137" s="28" t="str">
        <f>IFERROR(VLOOKUP($C137,CUENTAS[],2,0),"")</f>
        <v>MATERIALES</v>
      </c>
      <c r="E137" s="28" t="str">
        <f>IFERROR(VLOOKUP($C137,CUENTAS[],3,0),"")</f>
        <v>MDE2025-004</v>
      </c>
      <c r="F137" s="86">
        <v>474.14</v>
      </c>
      <c r="G137" s="129">
        <v>75.86</v>
      </c>
      <c r="H137" s="131">
        <v>550</v>
      </c>
      <c r="I137" s="200" t="str">
        <f t="shared" si="2"/>
        <v>CORRECTO</v>
      </c>
      <c r="J137" s="88" t="s">
        <v>1522</v>
      </c>
      <c r="K137" s="116" t="s">
        <v>1943</v>
      </c>
      <c r="L137" s="95" t="s">
        <v>227</v>
      </c>
      <c r="M137" s="159">
        <v>45841</v>
      </c>
      <c r="N137" s="22" t="s">
        <v>2106</v>
      </c>
      <c r="P137" s="89"/>
      <c r="Q137" s="89"/>
    </row>
    <row r="138" spans="1:17" ht="14.25" customHeight="1" x14ac:dyDescent="0.3">
      <c r="A138" s="115" t="s">
        <v>2019</v>
      </c>
      <c r="B138" s="115" t="s">
        <v>2020</v>
      </c>
      <c r="C138" s="28" t="s">
        <v>224</v>
      </c>
      <c r="D138" s="28" t="str">
        <f>IFERROR(VLOOKUP($C138,CUENTAS[],2,0),"")</f>
        <v>MATERIALES</v>
      </c>
      <c r="E138" s="28" t="str">
        <f>IFERROR(VLOOKUP($C138,CUENTAS[],3,0),"")</f>
        <v>MDE2025-004</v>
      </c>
      <c r="F138" s="86">
        <v>837</v>
      </c>
      <c r="G138" s="129">
        <v>0</v>
      </c>
      <c r="H138" s="131">
        <v>837</v>
      </c>
      <c r="I138" s="200" t="str">
        <f t="shared" si="2"/>
        <v>CORRECTO</v>
      </c>
      <c r="J138" s="88" t="s">
        <v>1522</v>
      </c>
      <c r="K138" s="116" t="s">
        <v>1943</v>
      </c>
      <c r="L138" s="95" t="s">
        <v>227</v>
      </c>
      <c r="M138" s="159">
        <v>45841</v>
      </c>
      <c r="N138" s="22" t="s">
        <v>2107</v>
      </c>
      <c r="P138" s="89"/>
      <c r="Q138" s="89"/>
    </row>
    <row r="139" spans="1:17" ht="14.25" customHeight="1" x14ac:dyDescent="0.3">
      <c r="A139" s="115" t="s">
        <v>885</v>
      </c>
      <c r="B139" s="115" t="s">
        <v>2021</v>
      </c>
      <c r="C139" s="28" t="s">
        <v>224</v>
      </c>
      <c r="D139" s="28" t="str">
        <f>IFERROR(VLOOKUP($C139,CUENTAS[],2,0),"")</f>
        <v>MATERIALES</v>
      </c>
      <c r="E139" s="28" t="str">
        <f>IFERROR(VLOOKUP($C139,CUENTAS[],3,0),"")</f>
        <v>MDE2025-004</v>
      </c>
      <c r="F139" s="86">
        <v>258.62</v>
      </c>
      <c r="G139" s="129">
        <v>41.38</v>
      </c>
      <c r="H139" s="131">
        <v>300</v>
      </c>
      <c r="I139" s="200" t="str">
        <f t="shared" si="2"/>
        <v>CORRECTO</v>
      </c>
      <c r="J139" s="88" t="s">
        <v>1522</v>
      </c>
      <c r="K139" s="116" t="s">
        <v>1943</v>
      </c>
      <c r="L139" s="95" t="s">
        <v>227</v>
      </c>
      <c r="M139" s="159">
        <v>45842</v>
      </c>
      <c r="N139" s="22" t="s">
        <v>2108</v>
      </c>
      <c r="P139" s="89"/>
      <c r="Q139" s="89"/>
    </row>
    <row r="140" spans="1:17" ht="14.25" customHeight="1" x14ac:dyDescent="0.3">
      <c r="A140" s="115" t="s">
        <v>236</v>
      </c>
      <c r="B140" s="115" t="s">
        <v>1088</v>
      </c>
      <c r="C140" s="28" t="s">
        <v>201</v>
      </c>
      <c r="D140" s="28" t="str">
        <f>IFERROR(VLOOKUP($C140,CUENTAS[],2,0),"")</f>
        <v>ACTIVOS FIJOS</v>
      </c>
      <c r="E140" s="28" t="str">
        <f>IFERROR(VLOOKUP($C140,CUENTAS[],3,0),"")</f>
        <v>MDE2025-007I</v>
      </c>
      <c r="F140" s="86">
        <v>3500</v>
      </c>
      <c r="G140" s="129">
        <v>0</v>
      </c>
      <c r="H140" s="131">
        <v>3500</v>
      </c>
      <c r="I140" s="200" t="str">
        <f t="shared" si="2"/>
        <v>CORRECTO</v>
      </c>
      <c r="J140" s="88" t="s">
        <v>2614</v>
      </c>
      <c r="K140" s="116" t="s">
        <v>363</v>
      </c>
      <c r="L140" s="95" t="s">
        <v>227</v>
      </c>
      <c r="M140" s="159">
        <v>45845</v>
      </c>
      <c r="N140" s="22" t="s">
        <v>371</v>
      </c>
      <c r="P140" s="89"/>
      <c r="Q140" s="89"/>
    </row>
    <row r="141" spans="1:17" ht="14.25" customHeight="1" x14ac:dyDescent="0.3">
      <c r="A141" s="115" t="s">
        <v>238</v>
      </c>
      <c r="B141" s="115" t="s">
        <v>1088</v>
      </c>
      <c r="C141" s="28" t="s">
        <v>201</v>
      </c>
      <c r="D141" s="28" t="str">
        <f>IFERROR(VLOOKUP($C141,CUENTAS[],2,0),"")</f>
        <v>ACTIVOS FIJOS</v>
      </c>
      <c r="E141" s="28" t="str">
        <f>IFERROR(VLOOKUP($C141,CUENTAS[],3,0),"")</f>
        <v>MDE2025-007I</v>
      </c>
      <c r="F141" s="86">
        <v>3200</v>
      </c>
      <c r="G141" s="129">
        <v>0</v>
      </c>
      <c r="H141" s="131">
        <v>3200</v>
      </c>
      <c r="I141" s="200" t="str">
        <f t="shared" si="2"/>
        <v>CORRECTO</v>
      </c>
      <c r="J141" s="88" t="s">
        <v>2614</v>
      </c>
      <c r="K141" s="116" t="s">
        <v>363</v>
      </c>
      <c r="L141" s="95" t="s">
        <v>227</v>
      </c>
      <c r="M141" s="159">
        <v>45845</v>
      </c>
      <c r="N141" s="22" t="s">
        <v>371</v>
      </c>
      <c r="P141" s="89"/>
      <c r="Q141" s="89"/>
    </row>
    <row r="142" spans="1:17" ht="14.25" customHeight="1" x14ac:dyDescent="0.3">
      <c r="A142" s="115" t="s">
        <v>1749</v>
      </c>
      <c r="B142" s="115" t="s">
        <v>2022</v>
      </c>
      <c r="C142" s="28" t="s">
        <v>224</v>
      </c>
      <c r="D142" s="28" t="str">
        <f>IFERROR(VLOOKUP($C142,CUENTAS[],2,0),"")</f>
        <v>MATERIALES</v>
      </c>
      <c r="E142" s="28" t="str">
        <f>IFERROR(VLOOKUP($C142,CUENTAS[],3,0),"")</f>
        <v>MDE2025-004</v>
      </c>
      <c r="F142" s="86">
        <v>2000</v>
      </c>
      <c r="G142" s="129">
        <v>0</v>
      </c>
      <c r="H142" s="131">
        <v>2000</v>
      </c>
      <c r="I142" s="200" t="str">
        <f t="shared" si="2"/>
        <v>CORRECTO</v>
      </c>
      <c r="J142" s="88" t="s">
        <v>1522</v>
      </c>
      <c r="K142" s="116" t="s">
        <v>980</v>
      </c>
      <c r="L142" s="95" t="s">
        <v>227</v>
      </c>
      <c r="M142" s="159">
        <v>45846</v>
      </c>
      <c r="N142" s="22" t="s">
        <v>226</v>
      </c>
      <c r="P142" s="89"/>
      <c r="Q142" s="89"/>
    </row>
    <row r="143" spans="1:17" ht="14.25" customHeight="1" x14ac:dyDescent="0.3">
      <c r="A143" s="115" t="s">
        <v>885</v>
      </c>
      <c r="B143" s="115" t="s">
        <v>2023</v>
      </c>
      <c r="C143" s="28" t="s">
        <v>159</v>
      </c>
      <c r="D143" s="28" t="str">
        <f>IFERROR(VLOOKUP($C143,CUENTAS[],2,0),"")</f>
        <v>GASTOS VARIOS</v>
      </c>
      <c r="E143" s="28" t="str">
        <f>IFERROR(VLOOKUP($C143,CUENTAS[],3,0),"")</f>
        <v>MDE2025-003A</v>
      </c>
      <c r="F143" s="86">
        <v>94.83</v>
      </c>
      <c r="G143" s="129">
        <v>15.17</v>
      </c>
      <c r="H143" s="131">
        <v>110</v>
      </c>
      <c r="I143" s="200" t="str">
        <f t="shared" si="2"/>
        <v>CORRECTO</v>
      </c>
      <c r="J143" s="88" t="s">
        <v>1522</v>
      </c>
      <c r="K143" s="116" t="s">
        <v>363</v>
      </c>
      <c r="L143" s="95" t="s">
        <v>227</v>
      </c>
      <c r="M143" s="159">
        <v>45846</v>
      </c>
      <c r="N143" s="22" t="s">
        <v>2109</v>
      </c>
      <c r="P143" s="89"/>
      <c r="Q143" s="89"/>
    </row>
    <row r="144" spans="1:17" ht="14.25" customHeight="1" x14ac:dyDescent="0.3">
      <c r="A144" s="115" t="s">
        <v>855</v>
      </c>
      <c r="B144" s="115" t="s">
        <v>2024</v>
      </c>
      <c r="C144" s="28" t="s">
        <v>224</v>
      </c>
      <c r="D144" s="28" t="str">
        <f>IFERROR(VLOOKUP($C144,CUENTAS[],2,0),"")</f>
        <v>MATERIALES</v>
      </c>
      <c r="E144" s="28" t="str">
        <f>IFERROR(VLOOKUP($C144,CUENTAS[],3,0),"")</f>
        <v>MDE2025-004</v>
      </c>
      <c r="F144" s="86">
        <v>181.04</v>
      </c>
      <c r="G144" s="129">
        <v>28.96</v>
      </c>
      <c r="H144" s="131">
        <v>210</v>
      </c>
      <c r="I144" s="200" t="str">
        <f t="shared" si="2"/>
        <v>CORRECTO</v>
      </c>
      <c r="J144" s="88" t="s">
        <v>2614</v>
      </c>
      <c r="K144" s="116" t="s">
        <v>1943</v>
      </c>
      <c r="L144" s="95" t="s">
        <v>227</v>
      </c>
      <c r="M144" s="159">
        <v>45846</v>
      </c>
      <c r="N144" s="22" t="s">
        <v>2110</v>
      </c>
      <c r="P144" s="89"/>
      <c r="Q144" s="89"/>
    </row>
    <row r="145" spans="1:17" ht="14.25" customHeight="1" x14ac:dyDescent="0.3">
      <c r="A145" s="115" t="s">
        <v>1649</v>
      </c>
      <c r="B145" s="115" t="s">
        <v>2025</v>
      </c>
      <c r="C145" s="28" t="s">
        <v>134</v>
      </c>
      <c r="D145" s="28" t="str">
        <f>IFERROR(VLOOKUP($C145,CUENTAS[],2,0),"")</f>
        <v>GASTOS FIJOS</v>
      </c>
      <c r="E145" s="28" t="str">
        <f>IFERROR(VLOOKUP($C145,CUENTAS[],3,0),"")</f>
        <v>MDE2025-002J</v>
      </c>
      <c r="F145" s="86">
        <v>15200</v>
      </c>
      <c r="G145" s="129">
        <v>2432</v>
      </c>
      <c r="H145" s="131">
        <v>17632</v>
      </c>
      <c r="I145" s="200" t="str">
        <f t="shared" si="2"/>
        <v>CORRECTO</v>
      </c>
      <c r="J145" s="88" t="s">
        <v>2614</v>
      </c>
      <c r="K145" s="116" t="s">
        <v>363</v>
      </c>
      <c r="L145" s="95" t="s">
        <v>227</v>
      </c>
      <c r="M145" s="159">
        <v>45846</v>
      </c>
      <c r="N145" s="22" t="s">
        <v>2111</v>
      </c>
      <c r="P145" s="89"/>
      <c r="Q145" s="89"/>
    </row>
    <row r="146" spans="1:17" ht="14.25" customHeight="1" x14ac:dyDescent="0.3">
      <c r="A146" s="115" t="s">
        <v>2026</v>
      </c>
      <c r="B146" s="115" t="s">
        <v>2027</v>
      </c>
      <c r="C146" s="28" t="s">
        <v>201</v>
      </c>
      <c r="D146" s="28" t="str">
        <f>IFERROR(VLOOKUP($C146,CUENTAS[],2,0),"")</f>
        <v>ACTIVOS FIJOS</v>
      </c>
      <c r="E146" s="28" t="str">
        <f>IFERROR(VLOOKUP($C146,CUENTAS[],3,0),"")</f>
        <v>MDE2025-007I</v>
      </c>
      <c r="F146" s="86">
        <v>3302.87</v>
      </c>
      <c r="G146" s="129">
        <v>528.46</v>
      </c>
      <c r="H146" s="131">
        <v>3831.33</v>
      </c>
      <c r="I146" s="200" t="str">
        <f t="shared" si="2"/>
        <v>CORRECTO</v>
      </c>
      <c r="J146" s="88" t="s">
        <v>2614</v>
      </c>
      <c r="K146" s="116" t="s">
        <v>364</v>
      </c>
      <c r="L146" s="95" t="s">
        <v>227</v>
      </c>
      <c r="M146" s="159">
        <v>45847</v>
      </c>
      <c r="N146" s="22" t="s">
        <v>2112</v>
      </c>
      <c r="P146" s="89"/>
      <c r="Q146" s="89"/>
    </row>
    <row r="147" spans="1:17" ht="14.25" customHeight="1" x14ac:dyDescent="0.3">
      <c r="A147" s="115" t="s">
        <v>1253</v>
      </c>
      <c r="B147" s="115" t="s">
        <v>2028</v>
      </c>
      <c r="C147" s="28" t="s">
        <v>125</v>
      </c>
      <c r="D147" s="28" t="str">
        <f>IFERROR(VLOOKUP($C147,CUENTAS[],2,0),"")</f>
        <v>GASTOS FIJOS</v>
      </c>
      <c r="E147" s="28" t="str">
        <f>IFERROR(VLOOKUP($C147,CUENTAS[],3,0),"")</f>
        <v>MDE2025-002B</v>
      </c>
      <c r="F147" s="86">
        <v>700</v>
      </c>
      <c r="G147" s="129">
        <v>0</v>
      </c>
      <c r="H147" s="131">
        <v>700</v>
      </c>
      <c r="I147" s="200" t="str">
        <f t="shared" si="2"/>
        <v>CORRECTO</v>
      </c>
      <c r="J147" s="88" t="s">
        <v>2614</v>
      </c>
      <c r="K147" s="116" t="s">
        <v>363</v>
      </c>
      <c r="L147" s="95" t="s">
        <v>227</v>
      </c>
      <c r="M147" s="159">
        <v>45847</v>
      </c>
      <c r="N147" s="22" t="s">
        <v>2113</v>
      </c>
      <c r="P147" s="89"/>
      <c r="Q147" s="89"/>
    </row>
    <row r="148" spans="1:17" ht="14.25" customHeight="1" x14ac:dyDescent="0.3">
      <c r="A148" s="115" t="s">
        <v>2029</v>
      </c>
      <c r="B148" s="115" t="s">
        <v>2030</v>
      </c>
      <c r="C148" s="28" t="s">
        <v>19</v>
      </c>
      <c r="D148" s="28" t="str">
        <f>IFERROR(VLOOKUP($C148,CUENTAS[],2,0),"")</f>
        <v>DISEÑOS</v>
      </c>
      <c r="E148" s="28" t="str">
        <f>IFERROR(VLOOKUP($C148,CUENTAS[],3,0),"")</f>
        <v>MDE2025-001</v>
      </c>
      <c r="F148" s="86">
        <v>2500</v>
      </c>
      <c r="G148" s="129">
        <v>400</v>
      </c>
      <c r="H148" s="131">
        <v>2900</v>
      </c>
      <c r="I148" s="200" t="str">
        <f t="shared" si="2"/>
        <v>CORRECTO</v>
      </c>
      <c r="J148" s="88" t="s">
        <v>2614</v>
      </c>
      <c r="K148" s="116" t="s">
        <v>360</v>
      </c>
      <c r="L148" s="95" t="s">
        <v>227</v>
      </c>
      <c r="M148" s="159">
        <v>45848</v>
      </c>
      <c r="N148" s="22" t="s">
        <v>2114</v>
      </c>
      <c r="P148" s="89"/>
      <c r="Q148" s="89"/>
    </row>
    <row r="149" spans="1:17" ht="14.25" customHeight="1" x14ac:dyDescent="0.3">
      <c r="A149" s="115" t="s">
        <v>2031</v>
      </c>
      <c r="B149" s="115" t="s">
        <v>2032</v>
      </c>
      <c r="C149" s="28" t="s">
        <v>162</v>
      </c>
      <c r="D149" s="28" t="str">
        <f>IFERROR(VLOOKUP($C149,CUENTAS[],2,0),"")</f>
        <v>GASTOS VARIOS</v>
      </c>
      <c r="E149" s="28" t="str">
        <f>IFERROR(VLOOKUP($C149,CUENTAS[],3,0),"")</f>
        <v>MDE2025-003F</v>
      </c>
      <c r="F149" s="86">
        <v>453.91</v>
      </c>
      <c r="G149" s="129">
        <v>61.43</v>
      </c>
      <c r="H149" s="131">
        <v>515.34</v>
      </c>
      <c r="I149" s="200" t="str">
        <f t="shared" si="2"/>
        <v>CORRECTO</v>
      </c>
      <c r="J149" s="88" t="s">
        <v>1522</v>
      </c>
      <c r="K149" s="116" t="s">
        <v>1943</v>
      </c>
      <c r="L149" s="95" t="s">
        <v>227</v>
      </c>
      <c r="M149" s="159">
        <v>45848</v>
      </c>
      <c r="N149" s="22" t="s">
        <v>2115</v>
      </c>
      <c r="P149" s="89"/>
      <c r="Q149" s="89"/>
    </row>
    <row r="150" spans="1:17" ht="14.25" customHeight="1" x14ac:dyDescent="0.3">
      <c r="A150" s="115" t="s">
        <v>341</v>
      </c>
      <c r="B150" s="115" t="s">
        <v>2033</v>
      </c>
      <c r="C150" s="28" t="s">
        <v>109</v>
      </c>
      <c r="D150" s="28" t="str">
        <f>IFERROR(VLOOKUP($C150,CUENTAS[],2,0),"")</f>
        <v>LOGÍSTICA</v>
      </c>
      <c r="E150" s="28" t="str">
        <f>IFERROR(VLOOKUP($C150,CUENTAS[],3,0),"")</f>
        <v>MDE2025-006A</v>
      </c>
      <c r="F150" s="86">
        <v>325</v>
      </c>
      <c r="G150" s="129">
        <v>0</v>
      </c>
      <c r="H150" s="131">
        <v>325</v>
      </c>
      <c r="I150" s="200" t="str">
        <f t="shared" si="2"/>
        <v>CORRECTO</v>
      </c>
      <c r="J150" s="88" t="s">
        <v>2614</v>
      </c>
      <c r="K150" s="116" t="s">
        <v>362</v>
      </c>
      <c r="L150" s="95" t="s">
        <v>227</v>
      </c>
      <c r="M150" s="159">
        <v>45848</v>
      </c>
      <c r="N150" s="22" t="s">
        <v>368</v>
      </c>
      <c r="P150" s="89"/>
      <c r="Q150" s="89"/>
    </row>
    <row r="151" spans="1:17" ht="14.25" customHeight="1" x14ac:dyDescent="0.3">
      <c r="A151" s="115" t="s">
        <v>2034</v>
      </c>
      <c r="B151" s="115" t="s">
        <v>2035</v>
      </c>
      <c r="C151" s="28" t="s">
        <v>162</v>
      </c>
      <c r="D151" s="28" t="str">
        <f>IFERROR(VLOOKUP($C151,CUENTAS[],2,0),"")</f>
        <v>GASTOS VARIOS</v>
      </c>
      <c r="E151" s="28" t="str">
        <f>IFERROR(VLOOKUP($C151,CUENTAS[],3,0),"")</f>
        <v>MDE2025-003F</v>
      </c>
      <c r="F151" s="86">
        <v>598.78</v>
      </c>
      <c r="G151" s="129">
        <v>95.8</v>
      </c>
      <c r="H151" s="131">
        <v>694.58</v>
      </c>
      <c r="I151" s="200" t="str">
        <f t="shared" si="2"/>
        <v>CORRECTO</v>
      </c>
      <c r="J151" s="88" t="s">
        <v>1522</v>
      </c>
      <c r="K151" s="116" t="s">
        <v>362</v>
      </c>
      <c r="L151" s="95" t="s">
        <v>227</v>
      </c>
      <c r="M151" s="159">
        <v>45848</v>
      </c>
      <c r="N151" s="22" t="s">
        <v>2116</v>
      </c>
      <c r="P151" s="89"/>
      <c r="Q151" s="89"/>
    </row>
    <row r="152" spans="1:17" ht="14.25" customHeight="1" x14ac:dyDescent="0.3">
      <c r="A152" s="115" t="s">
        <v>1221</v>
      </c>
      <c r="B152" s="115" t="s">
        <v>2036</v>
      </c>
      <c r="C152" s="28" t="s">
        <v>159</v>
      </c>
      <c r="D152" s="28" t="str">
        <f>IFERROR(VLOOKUP($C152,CUENTAS[],2,0),"")</f>
        <v>GASTOS VARIOS</v>
      </c>
      <c r="E152" s="28" t="str">
        <f>IFERROR(VLOOKUP($C152,CUENTAS[],3,0),"")</f>
        <v>MDE2025-003A</v>
      </c>
      <c r="F152" s="86">
        <v>849.05</v>
      </c>
      <c r="G152" s="129">
        <v>135.85</v>
      </c>
      <c r="H152" s="131">
        <v>984.9</v>
      </c>
      <c r="I152" s="200" t="str">
        <f t="shared" si="2"/>
        <v>CORRECTO</v>
      </c>
      <c r="J152" s="88" t="s">
        <v>1522</v>
      </c>
      <c r="K152" s="116" t="s">
        <v>364</v>
      </c>
      <c r="L152" s="95" t="s">
        <v>227</v>
      </c>
      <c r="M152" s="159">
        <v>45853</v>
      </c>
      <c r="N152" s="22" t="s">
        <v>2117</v>
      </c>
      <c r="P152" s="89"/>
      <c r="Q152" s="89"/>
    </row>
    <row r="153" spans="1:17" ht="14.25" customHeight="1" x14ac:dyDescent="0.3">
      <c r="A153" s="115" t="s">
        <v>2037</v>
      </c>
      <c r="B153" s="115" t="s">
        <v>2038</v>
      </c>
      <c r="C153" s="28" t="s">
        <v>109</v>
      </c>
      <c r="D153" s="28" t="str">
        <f>IFERROR(VLOOKUP($C153,CUENTAS[],2,0),"")</f>
        <v>LOGÍSTICA</v>
      </c>
      <c r="E153" s="28" t="str">
        <f>IFERROR(VLOOKUP($C153,CUENTAS[],3,0),"")</f>
        <v>MDE2025-006A</v>
      </c>
      <c r="F153" s="86">
        <v>3882.76</v>
      </c>
      <c r="G153" s="129">
        <v>621.24</v>
      </c>
      <c r="H153" s="131">
        <v>4504</v>
      </c>
      <c r="I153" s="200" t="str">
        <f t="shared" si="2"/>
        <v>CORRECTO</v>
      </c>
      <c r="J153" s="88" t="s">
        <v>1522</v>
      </c>
      <c r="K153" s="116" t="s">
        <v>362</v>
      </c>
      <c r="L153" s="95" t="s">
        <v>227</v>
      </c>
      <c r="M153" s="159">
        <v>45853</v>
      </c>
      <c r="N153" s="22" t="s">
        <v>2118</v>
      </c>
      <c r="P153" s="89"/>
      <c r="Q153" s="89"/>
    </row>
    <row r="154" spans="1:17" ht="14.25" customHeight="1" x14ac:dyDescent="0.3">
      <c r="A154" s="115" t="s">
        <v>2039</v>
      </c>
      <c r="B154" s="115" t="s">
        <v>2040</v>
      </c>
      <c r="C154" s="28" t="s">
        <v>109</v>
      </c>
      <c r="D154" s="28" t="str">
        <f>IFERROR(VLOOKUP($C154,CUENTAS[],2,0),"")</f>
        <v>LOGÍSTICA</v>
      </c>
      <c r="E154" s="28" t="str">
        <f>IFERROR(VLOOKUP($C154,CUENTAS[],3,0),"")</f>
        <v>MDE2025-006A</v>
      </c>
      <c r="F154" s="86">
        <v>4058.63</v>
      </c>
      <c r="G154" s="129">
        <v>649.37</v>
      </c>
      <c r="H154" s="131">
        <v>4708</v>
      </c>
      <c r="I154" s="200" t="str">
        <f t="shared" si="2"/>
        <v>CORRECTO</v>
      </c>
      <c r="J154" s="88" t="s">
        <v>1522</v>
      </c>
      <c r="K154" s="116" t="s">
        <v>362</v>
      </c>
      <c r="L154" s="95" t="s">
        <v>227</v>
      </c>
      <c r="M154" s="159">
        <v>45853</v>
      </c>
      <c r="N154" s="22" t="s">
        <v>2119</v>
      </c>
      <c r="P154" s="89"/>
      <c r="Q154" s="89"/>
    </row>
    <row r="155" spans="1:17" ht="14.25" customHeight="1" x14ac:dyDescent="0.3">
      <c r="A155" s="115" t="s">
        <v>236</v>
      </c>
      <c r="B155" s="115" t="s">
        <v>1088</v>
      </c>
      <c r="C155" s="28" t="s">
        <v>201</v>
      </c>
      <c r="D155" s="28" t="str">
        <f>IFERROR(VLOOKUP($C155,CUENTAS[],2,0),"")</f>
        <v>ACTIVOS FIJOS</v>
      </c>
      <c r="E155" s="28" t="str">
        <f>IFERROR(VLOOKUP($C155,CUENTAS[],3,0),"")</f>
        <v>MDE2025-007I</v>
      </c>
      <c r="F155" s="86">
        <v>3500</v>
      </c>
      <c r="G155" s="129">
        <v>0</v>
      </c>
      <c r="H155" s="131">
        <v>3500</v>
      </c>
      <c r="I155" s="200" t="str">
        <f t="shared" si="2"/>
        <v>CORRECTO</v>
      </c>
      <c r="J155" s="88" t="s">
        <v>2614</v>
      </c>
      <c r="K155" s="116" t="s">
        <v>363</v>
      </c>
      <c r="L155" s="95" t="s">
        <v>227</v>
      </c>
      <c r="M155" s="159">
        <v>45853</v>
      </c>
      <c r="N155" s="22" t="s">
        <v>371</v>
      </c>
      <c r="P155" s="89"/>
      <c r="Q155" s="89"/>
    </row>
    <row r="156" spans="1:17" ht="14.25" customHeight="1" x14ac:dyDescent="0.3">
      <c r="A156" s="115" t="s">
        <v>238</v>
      </c>
      <c r="B156" s="115" t="s">
        <v>1088</v>
      </c>
      <c r="C156" s="28" t="s">
        <v>201</v>
      </c>
      <c r="D156" s="28" t="str">
        <f>IFERROR(VLOOKUP($C156,CUENTAS[],2,0),"")</f>
        <v>ACTIVOS FIJOS</v>
      </c>
      <c r="E156" s="28" t="str">
        <f>IFERROR(VLOOKUP($C156,CUENTAS[],3,0),"")</f>
        <v>MDE2025-007I</v>
      </c>
      <c r="F156" s="86">
        <v>3200</v>
      </c>
      <c r="G156" s="129">
        <v>0</v>
      </c>
      <c r="H156" s="131">
        <v>3200</v>
      </c>
      <c r="I156" s="200" t="str">
        <f t="shared" si="2"/>
        <v>CORRECTO</v>
      </c>
      <c r="J156" s="88" t="s">
        <v>2614</v>
      </c>
      <c r="K156" s="116" t="s">
        <v>363</v>
      </c>
      <c r="L156" s="95" t="s">
        <v>227</v>
      </c>
      <c r="M156" s="159">
        <v>45853</v>
      </c>
      <c r="N156" s="22" t="s">
        <v>371</v>
      </c>
      <c r="P156" s="89"/>
      <c r="Q156" s="89"/>
    </row>
    <row r="157" spans="1:17" ht="14.25" customHeight="1" x14ac:dyDescent="0.3">
      <c r="A157" s="115" t="s">
        <v>894</v>
      </c>
      <c r="B157" s="115" t="s">
        <v>2041</v>
      </c>
      <c r="C157" s="28" t="s">
        <v>224</v>
      </c>
      <c r="D157" s="28" t="str">
        <f>IFERROR(VLOOKUP($C157,CUENTAS[],2,0),"")</f>
        <v>MATERIALES</v>
      </c>
      <c r="E157" s="28" t="str">
        <f>IFERROR(VLOOKUP($C157,CUENTAS[],3,0),"")</f>
        <v>MDE2025-004</v>
      </c>
      <c r="F157" s="86">
        <v>477</v>
      </c>
      <c r="G157" s="129">
        <v>0</v>
      </c>
      <c r="H157" s="131">
        <v>477</v>
      </c>
      <c r="I157" s="200" t="str">
        <f t="shared" si="2"/>
        <v>CORRECTO</v>
      </c>
      <c r="J157" s="88" t="s">
        <v>2614</v>
      </c>
      <c r="K157" s="116" t="s">
        <v>360</v>
      </c>
      <c r="L157" s="95" t="s">
        <v>227</v>
      </c>
      <c r="M157" s="159">
        <v>45853</v>
      </c>
      <c r="N157" s="22" t="s">
        <v>2120</v>
      </c>
      <c r="P157" s="89"/>
      <c r="Q157" s="89"/>
    </row>
    <row r="158" spans="1:17" ht="14.25" customHeight="1" x14ac:dyDescent="0.3">
      <c r="A158" s="115" t="s">
        <v>894</v>
      </c>
      <c r="B158" s="115" t="s">
        <v>2042</v>
      </c>
      <c r="C158" s="28" t="s">
        <v>109</v>
      </c>
      <c r="D158" s="28" t="str">
        <f>IFERROR(VLOOKUP($C158,CUENTAS[],2,0),"")</f>
        <v>LOGÍSTICA</v>
      </c>
      <c r="E158" s="28" t="str">
        <f>IFERROR(VLOOKUP($C158,CUENTAS[],3,0),"")</f>
        <v>MDE2025-006A</v>
      </c>
      <c r="F158" s="86">
        <v>224.14</v>
      </c>
      <c r="G158" s="129">
        <v>35.86</v>
      </c>
      <c r="H158" s="131">
        <v>260</v>
      </c>
      <c r="I158" s="200" t="str">
        <f t="shared" si="2"/>
        <v>CORRECTO</v>
      </c>
      <c r="J158" s="88" t="s">
        <v>2614</v>
      </c>
      <c r="K158" s="116" t="s">
        <v>362</v>
      </c>
      <c r="L158" s="95" t="s">
        <v>227</v>
      </c>
      <c r="M158" s="159">
        <v>45853</v>
      </c>
      <c r="N158" s="22" t="s">
        <v>2121</v>
      </c>
      <c r="P158" s="89"/>
      <c r="Q158" s="89"/>
    </row>
    <row r="159" spans="1:17" ht="14.25" customHeight="1" x14ac:dyDescent="0.3">
      <c r="A159" s="115" t="s">
        <v>1524</v>
      </c>
      <c r="B159" s="115" t="s">
        <v>2043</v>
      </c>
      <c r="C159" s="28" t="s">
        <v>224</v>
      </c>
      <c r="D159" s="28" t="str">
        <f>IFERROR(VLOOKUP($C159,CUENTAS[],2,0),"")</f>
        <v>MATERIALES</v>
      </c>
      <c r="E159" s="28" t="str">
        <f>IFERROR(VLOOKUP($C159,CUENTAS[],3,0),"")</f>
        <v>MDE2025-004</v>
      </c>
      <c r="F159" s="86">
        <v>4936.8100000000004</v>
      </c>
      <c r="G159" s="129">
        <v>789.89</v>
      </c>
      <c r="H159" s="131">
        <v>5726.7</v>
      </c>
      <c r="I159" s="200" t="str">
        <f t="shared" si="2"/>
        <v>CORRECTO</v>
      </c>
      <c r="J159" s="88" t="s">
        <v>1522</v>
      </c>
      <c r="K159" s="116" t="s">
        <v>980</v>
      </c>
      <c r="L159" s="95" t="s">
        <v>227</v>
      </c>
      <c r="M159" s="159">
        <v>45853</v>
      </c>
      <c r="N159" s="22" t="s">
        <v>2122</v>
      </c>
      <c r="P159" s="89"/>
      <c r="Q159" s="89"/>
    </row>
    <row r="160" spans="1:17" ht="14.25" customHeight="1" x14ac:dyDescent="0.3">
      <c r="A160" s="115" t="s">
        <v>878</v>
      </c>
      <c r="B160" s="115" t="s">
        <v>2044</v>
      </c>
      <c r="C160" s="28" t="s">
        <v>201</v>
      </c>
      <c r="D160" s="28" t="str">
        <f>IFERROR(VLOOKUP($C160,CUENTAS[],2,0),"")</f>
        <v>ACTIVOS FIJOS</v>
      </c>
      <c r="E160" s="28" t="str">
        <f>IFERROR(VLOOKUP($C160,CUENTAS[],3,0),"")</f>
        <v>MDE2025-007I</v>
      </c>
      <c r="F160" s="86">
        <v>2299.04</v>
      </c>
      <c r="G160" s="129">
        <v>367.85</v>
      </c>
      <c r="H160" s="131">
        <v>2666.89</v>
      </c>
      <c r="I160" s="200" t="str">
        <f t="shared" si="2"/>
        <v>CORRECTO</v>
      </c>
      <c r="J160" s="88" t="s">
        <v>1522</v>
      </c>
      <c r="K160" s="116" t="s">
        <v>360</v>
      </c>
      <c r="L160" s="95" t="s">
        <v>227</v>
      </c>
      <c r="M160" s="159">
        <v>45853</v>
      </c>
      <c r="N160" s="22" t="s">
        <v>2123</v>
      </c>
      <c r="P160" s="89"/>
      <c r="Q160" s="89"/>
    </row>
    <row r="161" spans="1:17" ht="14.25" customHeight="1" x14ac:dyDescent="0.3">
      <c r="A161" s="115" t="s">
        <v>1045</v>
      </c>
      <c r="B161" s="115" t="s">
        <v>2045</v>
      </c>
      <c r="C161" s="28" t="s">
        <v>224</v>
      </c>
      <c r="D161" s="28" t="str">
        <f>IFERROR(VLOOKUP($C161,CUENTAS[],2,0),"")</f>
        <v>MATERIALES</v>
      </c>
      <c r="E161" s="28" t="str">
        <f>IFERROR(VLOOKUP($C161,CUENTAS[],3,0),"")</f>
        <v>MDE2025-004</v>
      </c>
      <c r="F161" s="86">
        <v>193.67</v>
      </c>
      <c r="G161" s="129">
        <v>30.99</v>
      </c>
      <c r="H161" s="131">
        <v>224.66</v>
      </c>
      <c r="I161" s="200" t="str">
        <f t="shared" si="2"/>
        <v>CORRECTO</v>
      </c>
      <c r="J161" s="88" t="s">
        <v>1522</v>
      </c>
      <c r="K161" s="116" t="s">
        <v>360</v>
      </c>
      <c r="L161" s="95" t="s">
        <v>227</v>
      </c>
      <c r="M161" s="159">
        <v>45854</v>
      </c>
      <c r="N161" s="22" t="s">
        <v>2124</v>
      </c>
      <c r="P161" s="89"/>
      <c r="Q161" s="89"/>
    </row>
    <row r="162" spans="1:17" ht="14.25" customHeight="1" x14ac:dyDescent="0.3">
      <c r="A162" s="115" t="s">
        <v>2046</v>
      </c>
      <c r="B162" s="115" t="s">
        <v>2047</v>
      </c>
      <c r="C162" s="28" t="s">
        <v>224</v>
      </c>
      <c r="D162" s="28" t="str">
        <f>IFERROR(VLOOKUP($C162,CUENTAS[],2,0),"")</f>
        <v>MATERIALES</v>
      </c>
      <c r="E162" s="28" t="str">
        <f>IFERROR(VLOOKUP($C162,CUENTAS[],3,0),"")</f>
        <v>MDE2025-004</v>
      </c>
      <c r="F162" s="86">
        <v>4340</v>
      </c>
      <c r="G162" s="129">
        <v>0</v>
      </c>
      <c r="H162" s="131">
        <v>4340</v>
      </c>
      <c r="I162" s="200" t="str">
        <f t="shared" si="2"/>
        <v>CORRECTO</v>
      </c>
      <c r="J162" s="88" t="s">
        <v>2614</v>
      </c>
      <c r="K162" s="116" t="s">
        <v>357</v>
      </c>
      <c r="L162" s="95" t="s">
        <v>227</v>
      </c>
      <c r="M162" s="159">
        <v>45855</v>
      </c>
      <c r="N162" s="22" t="s">
        <v>2125</v>
      </c>
      <c r="P162" s="89"/>
      <c r="Q162" s="89"/>
    </row>
    <row r="163" spans="1:17" ht="14.25" customHeight="1" x14ac:dyDescent="0.3">
      <c r="A163" s="115" t="s">
        <v>2048</v>
      </c>
      <c r="B163" s="115" t="s">
        <v>2049</v>
      </c>
      <c r="C163" s="28" t="s">
        <v>140</v>
      </c>
      <c r="D163" s="28" t="str">
        <f>IFERROR(VLOOKUP($C163,CUENTAS[],2,0),"")</f>
        <v>LOGÍSTICA</v>
      </c>
      <c r="E163" s="28" t="str">
        <f>IFERROR(VLOOKUP($C163,CUENTAS[],3,0),"")</f>
        <v>MDE2025-006B</v>
      </c>
      <c r="F163" s="86">
        <v>2245</v>
      </c>
      <c r="G163" s="129">
        <v>0</v>
      </c>
      <c r="H163" s="131">
        <v>2245</v>
      </c>
      <c r="I163" s="200" t="str">
        <f t="shared" si="2"/>
        <v>CORRECTO</v>
      </c>
      <c r="J163" s="88" t="s">
        <v>2614</v>
      </c>
      <c r="K163" s="116" t="s">
        <v>362</v>
      </c>
      <c r="L163" s="95" t="s">
        <v>227</v>
      </c>
      <c r="M163" s="159">
        <v>45855</v>
      </c>
      <c r="N163" s="22" t="s">
        <v>368</v>
      </c>
      <c r="P163" s="89"/>
      <c r="Q163" s="89"/>
    </row>
    <row r="164" spans="1:17" ht="14.25" customHeight="1" x14ac:dyDescent="0.3">
      <c r="A164" s="115" t="s">
        <v>878</v>
      </c>
      <c r="B164" s="115" t="s">
        <v>2050</v>
      </c>
      <c r="C164" s="28" t="s">
        <v>201</v>
      </c>
      <c r="D164" s="28" t="str">
        <f>IFERROR(VLOOKUP($C164,CUENTAS[],2,0),"")</f>
        <v>ACTIVOS FIJOS</v>
      </c>
      <c r="E164" s="28" t="str">
        <f>IFERROR(VLOOKUP($C164,CUENTAS[],3,0),"")</f>
        <v>MDE2025-007I</v>
      </c>
      <c r="F164" s="86">
        <v>14280.3</v>
      </c>
      <c r="G164" s="129">
        <v>2284.85</v>
      </c>
      <c r="H164" s="131">
        <v>16565.150000000001</v>
      </c>
      <c r="I164" s="200" t="str">
        <f t="shared" si="2"/>
        <v>CORRECTO</v>
      </c>
      <c r="J164" s="88" t="s">
        <v>1522</v>
      </c>
      <c r="K164" s="116" t="s">
        <v>360</v>
      </c>
      <c r="L164" s="95" t="s">
        <v>227</v>
      </c>
      <c r="M164" s="159">
        <v>45855</v>
      </c>
      <c r="N164" s="22" t="s">
        <v>2126</v>
      </c>
      <c r="P164" s="89"/>
      <c r="Q164" s="89"/>
    </row>
    <row r="165" spans="1:17" ht="14.25" customHeight="1" x14ac:dyDescent="0.3">
      <c r="A165" s="115" t="s">
        <v>341</v>
      </c>
      <c r="B165" s="115" t="s">
        <v>2051</v>
      </c>
      <c r="C165" s="28" t="s">
        <v>109</v>
      </c>
      <c r="D165" s="28" t="str">
        <f>IFERROR(VLOOKUP($C165,CUENTAS[],2,0),"")</f>
        <v>LOGÍSTICA</v>
      </c>
      <c r="E165" s="28" t="str">
        <f>IFERROR(VLOOKUP($C165,CUENTAS[],3,0),"")</f>
        <v>MDE2025-006A</v>
      </c>
      <c r="F165" s="86">
        <v>230</v>
      </c>
      <c r="G165" s="129">
        <v>0</v>
      </c>
      <c r="H165" s="131">
        <v>230</v>
      </c>
      <c r="I165" s="200" t="str">
        <f t="shared" si="2"/>
        <v>CORRECTO</v>
      </c>
      <c r="J165" s="88" t="s">
        <v>2614</v>
      </c>
      <c r="K165" s="116" t="s">
        <v>362</v>
      </c>
      <c r="L165" s="95" t="s">
        <v>227</v>
      </c>
      <c r="M165" s="159">
        <v>45855</v>
      </c>
      <c r="N165" s="22" t="s">
        <v>1840</v>
      </c>
      <c r="P165" s="89"/>
      <c r="Q165" s="89"/>
    </row>
    <row r="166" spans="1:17" ht="14.25" customHeight="1" x14ac:dyDescent="0.3">
      <c r="A166" s="115" t="s">
        <v>2052</v>
      </c>
      <c r="B166" s="115" t="s">
        <v>2053</v>
      </c>
      <c r="C166" s="28" t="s">
        <v>224</v>
      </c>
      <c r="D166" s="28" t="str">
        <f>IFERROR(VLOOKUP($C166,CUENTAS[],2,0),"")</f>
        <v>MATERIALES</v>
      </c>
      <c r="E166" s="28" t="str">
        <f>IFERROR(VLOOKUP($C166,CUENTAS[],3,0),"")</f>
        <v>MDE2025-004</v>
      </c>
      <c r="F166" s="86">
        <v>600</v>
      </c>
      <c r="G166" s="129">
        <v>0</v>
      </c>
      <c r="H166" s="131">
        <v>600</v>
      </c>
      <c r="I166" s="200" t="str">
        <f t="shared" si="2"/>
        <v>CORRECTO</v>
      </c>
      <c r="J166" s="88" t="s">
        <v>1522</v>
      </c>
      <c r="K166" s="116" t="s">
        <v>360</v>
      </c>
      <c r="L166" s="95" t="s">
        <v>227</v>
      </c>
      <c r="M166" s="159">
        <v>45859</v>
      </c>
      <c r="N166" s="22" t="s">
        <v>2127</v>
      </c>
      <c r="P166" s="89"/>
      <c r="Q166" s="89"/>
    </row>
    <row r="167" spans="1:17" ht="14.25" customHeight="1" x14ac:dyDescent="0.3">
      <c r="A167" s="115" t="s">
        <v>2054</v>
      </c>
      <c r="B167" s="115" t="s">
        <v>2055</v>
      </c>
      <c r="C167" s="28" t="s">
        <v>224</v>
      </c>
      <c r="D167" s="28" t="str">
        <f>IFERROR(VLOOKUP($C167,CUENTAS[],2,0),"")</f>
        <v>MATERIALES</v>
      </c>
      <c r="E167" s="28" t="str">
        <f>IFERROR(VLOOKUP($C167,CUENTAS[],3,0),"")</f>
        <v>MDE2025-004</v>
      </c>
      <c r="F167" s="86">
        <v>76.72</v>
      </c>
      <c r="G167" s="129">
        <v>12.28</v>
      </c>
      <c r="H167" s="131">
        <v>89</v>
      </c>
      <c r="I167" s="200" t="str">
        <f t="shared" si="2"/>
        <v>CORRECTO</v>
      </c>
      <c r="J167" s="88" t="s">
        <v>1522</v>
      </c>
      <c r="K167" s="116" t="s">
        <v>360</v>
      </c>
      <c r="L167" s="95" t="s">
        <v>227</v>
      </c>
      <c r="M167" s="159">
        <v>45859</v>
      </c>
      <c r="N167" s="22" t="s">
        <v>2128</v>
      </c>
      <c r="P167" s="89"/>
      <c r="Q167" s="89"/>
    </row>
    <row r="168" spans="1:17" ht="14.25" customHeight="1" x14ac:dyDescent="0.3">
      <c r="A168" s="115" t="s">
        <v>878</v>
      </c>
      <c r="B168" s="115" t="s">
        <v>2056</v>
      </c>
      <c r="C168" s="28" t="s">
        <v>224</v>
      </c>
      <c r="D168" s="28" t="str">
        <f>IFERROR(VLOOKUP($C168,CUENTAS[],2,0),"")</f>
        <v>MATERIALES</v>
      </c>
      <c r="E168" s="28" t="str">
        <f>IFERROR(VLOOKUP($C168,CUENTAS[],3,0),"")</f>
        <v>MDE2025-004</v>
      </c>
      <c r="F168" s="86">
        <v>1030.3499999999999</v>
      </c>
      <c r="G168" s="129">
        <v>164.86</v>
      </c>
      <c r="H168" s="131">
        <v>1195.21</v>
      </c>
      <c r="I168" s="200" t="str">
        <f t="shared" si="2"/>
        <v>CORRECTO</v>
      </c>
      <c r="J168" s="88" t="s">
        <v>1522</v>
      </c>
      <c r="K168" s="116" t="s">
        <v>360</v>
      </c>
      <c r="L168" s="95" t="s">
        <v>227</v>
      </c>
      <c r="M168" s="159">
        <v>45859</v>
      </c>
      <c r="N168" s="22" t="s">
        <v>2129</v>
      </c>
      <c r="P168" s="89"/>
      <c r="Q168" s="89"/>
    </row>
    <row r="169" spans="1:17" ht="14.25" customHeight="1" x14ac:dyDescent="0.3">
      <c r="A169" s="115" t="s">
        <v>855</v>
      </c>
      <c r="B169" s="115" t="s">
        <v>2057</v>
      </c>
      <c r="C169" s="28" t="s">
        <v>224</v>
      </c>
      <c r="D169" s="28" t="str">
        <f>IFERROR(VLOOKUP($C169,CUENTAS[],2,0),"")</f>
        <v>MATERIALES</v>
      </c>
      <c r="E169" s="28" t="str">
        <f>IFERROR(VLOOKUP($C169,CUENTAS[],3,0),"")</f>
        <v>MDE2025-004</v>
      </c>
      <c r="F169" s="86">
        <v>425</v>
      </c>
      <c r="G169" s="129">
        <v>68</v>
      </c>
      <c r="H169" s="131">
        <v>493</v>
      </c>
      <c r="I169" s="200" t="str">
        <f t="shared" si="2"/>
        <v>CORRECTO</v>
      </c>
      <c r="J169" s="88" t="s">
        <v>1522</v>
      </c>
      <c r="K169" s="116" t="s">
        <v>360</v>
      </c>
      <c r="L169" s="95" t="s">
        <v>227</v>
      </c>
      <c r="M169" s="159">
        <v>45859</v>
      </c>
      <c r="N169" s="22" t="s">
        <v>2130</v>
      </c>
      <c r="P169" s="89"/>
      <c r="Q169" s="89"/>
    </row>
    <row r="170" spans="1:17" ht="14.25" customHeight="1" x14ac:dyDescent="0.3">
      <c r="A170" s="115" t="s">
        <v>2058</v>
      </c>
      <c r="B170" s="115" t="s">
        <v>2059</v>
      </c>
      <c r="C170" s="28" t="s">
        <v>109</v>
      </c>
      <c r="D170" s="28" t="str">
        <f>IFERROR(VLOOKUP($C170,CUENTAS[],2,0),"")</f>
        <v>LOGÍSTICA</v>
      </c>
      <c r="E170" s="28" t="str">
        <f>IFERROR(VLOOKUP($C170,CUENTAS[],3,0),"")</f>
        <v>MDE2025-006A</v>
      </c>
      <c r="F170" s="86">
        <v>20000</v>
      </c>
      <c r="G170" s="129">
        <v>3200</v>
      </c>
      <c r="H170" s="131">
        <v>23200</v>
      </c>
      <c r="I170" s="200" t="str">
        <f t="shared" si="2"/>
        <v>CORRECTO</v>
      </c>
      <c r="J170" s="88" t="s">
        <v>2614</v>
      </c>
      <c r="K170" s="116" t="s">
        <v>360</v>
      </c>
      <c r="L170" s="95" t="s">
        <v>227</v>
      </c>
      <c r="M170" s="159">
        <v>45860</v>
      </c>
      <c r="N170" s="22" t="s">
        <v>2131</v>
      </c>
      <c r="P170" s="89"/>
      <c r="Q170" s="89"/>
    </row>
    <row r="171" spans="1:17" ht="14.25" customHeight="1" x14ac:dyDescent="0.3">
      <c r="A171" s="115" t="s">
        <v>236</v>
      </c>
      <c r="B171" s="115" t="s">
        <v>1088</v>
      </c>
      <c r="C171" s="28" t="s">
        <v>201</v>
      </c>
      <c r="D171" s="28" t="str">
        <f>IFERROR(VLOOKUP($C171,CUENTAS[],2,0),"")</f>
        <v>ACTIVOS FIJOS</v>
      </c>
      <c r="E171" s="28" t="str">
        <f>IFERROR(VLOOKUP($C171,CUENTAS[],3,0),"")</f>
        <v>MDE2025-007I</v>
      </c>
      <c r="F171" s="86">
        <v>3500</v>
      </c>
      <c r="G171" s="129">
        <v>0</v>
      </c>
      <c r="H171" s="131">
        <v>3500</v>
      </c>
      <c r="I171" s="200" t="str">
        <f t="shared" si="2"/>
        <v>CORRECTO</v>
      </c>
      <c r="J171" s="88" t="s">
        <v>2614</v>
      </c>
      <c r="K171" s="116" t="s">
        <v>363</v>
      </c>
      <c r="L171" s="95" t="s">
        <v>227</v>
      </c>
      <c r="M171" s="159">
        <v>45860</v>
      </c>
      <c r="N171" s="22" t="s">
        <v>371</v>
      </c>
      <c r="P171" s="89"/>
      <c r="Q171" s="89"/>
    </row>
    <row r="172" spans="1:17" ht="14.25" customHeight="1" x14ac:dyDescent="0.3">
      <c r="A172" s="115" t="s">
        <v>238</v>
      </c>
      <c r="B172" s="115" t="s">
        <v>1088</v>
      </c>
      <c r="C172" s="28" t="s">
        <v>201</v>
      </c>
      <c r="D172" s="28" t="str">
        <f>IFERROR(VLOOKUP($C172,CUENTAS[],2,0),"")</f>
        <v>ACTIVOS FIJOS</v>
      </c>
      <c r="E172" s="28" t="str">
        <f>IFERROR(VLOOKUP($C172,CUENTAS[],3,0),"")</f>
        <v>MDE2025-007I</v>
      </c>
      <c r="F172" s="86">
        <v>3200</v>
      </c>
      <c r="G172" s="129">
        <v>0</v>
      </c>
      <c r="H172" s="131">
        <v>3200</v>
      </c>
      <c r="I172" s="200" t="str">
        <f t="shared" si="2"/>
        <v>CORRECTO</v>
      </c>
      <c r="J172" s="88" t="s">
        <v>2614</v>
      </c>
      <c r="K172" s="116" t="s">
        <v>363</v>
      </c>
      <c r="L172" s="95" t="s">
        <v>227</v>
      </c>
      <c r="M172" s="159">
        <v>45860</v>
      </c>
      <c r="N172" s="22" t="s">
        <v>371</v>
      </c>
      <c r="P172" s="89"/>
      <c r="Q172" s="89"/>
    </row>
    <row r="173" spans="1:17" ht="14.25" customHeight="1" x14ac:dyDescent="0.3">
      <c r="A173" s="115" t="s">
        <v>2060</v>
      </c>
      <c r="B173" s="115" t="s">
        <v>2061</v>
      </c>
      <c r="C173" s="28" t="s">
        <v>224</v>
      </c>
      <c r="D173" s="28" t="str">
        <f>IFERROR(VLOOKUP($C173,CUENTAS[],2,0),"")</f>
        <v>MATERIALES</v>
      </c>
      <c r="E173" s="28" t="str">
        <f>IFERROR(VLOOKUP($C173,CUENTAS[],3,0),"")</f>
        <v>MDE2025-004</v>
      </c>
      <c r="F173" s="86">
        <v>419.83</v>
      </c>
      <c r="G173" s="129">
        <v>67.17</v>
      </c>
      <c r="H173" s="131">
        <v>487</v>
      </c>
      <c r="I173" s="200" t="str">
        <f t="shared" si="2"/>
        <v>CORRECTO</v>
      </c>
      <c r="J173" s="88" t="s">
        <v>1522</v>
      </c>
      <c r="K173" s="116" t="s">
        <v>360</v>
      </c>
      <c r="L173" s="95" t="s">
        <v>227</v>
      </c>
      <c r="M173" s="159">
        <v>45860</v>
      </c>
      <c r="N173" s="22" t="s">
        <v>2132</v>
      </c>
      <c r="P173" s="89"/>
      <c r="Q173" s="89"/>
    </row>
    <row r="174" spans="1:17" ht="14.25" customHeight="1" x14ac:dyDescent="0.3">
      <c r="A174" s="115" t="s">
        <v>2054</v>
      </c>
      <c r="B174" s="115" t="s">
        <v>2062</v>
      </c>
      <c r="C174" s="28" t="s">
        <v>224</v>
      </c>
      <c r="D174" s="28" t="str">
        <f>IFERROR(VLOOKUP($C174,CUENTAS[],2,0),"")</f>
        <v>MATERIALES</v>
      </c>
      <c r="E174" s="28" t="str">
        <f>IFERROR(VLOOKUP($C174,CUENTAS[],3,0),"")</f>
        <v>MDE2025-004</v>
      </c>
      <c r="F174" s="86">
        <v>751.01</v>
      </c>
      <c r="G174" s="129">
        <v>120.16</v>
      </c>
      <c r="H174" s="131">
        <v>871.17</v>
      </c>
      <c r="I174" s="200" t="str">
        <f t="shared" si="2"/>
        <v>CORRECTO</v>
      </c>
      <c r="J174" s="88" t="s">
        <v>1522</v>
      </c>
      <c r="K174" s="116" t="s">
        <v>360</v>
      </c>
      <c r="L174" s="95" t="s">
        <v>227</v>
      </c>
      <c r="M174" s="159">
        <v>45860</v>
      </c>
      <c r="N174" s="22" t="s">
        <v>2133</v>
      </c>
      <c r="P174" s="89"/>
      <c r="Q174" s="89"/>
    </row>
    <row r="175" spans="1:17" ht="14.25" customHeight="1" x14ac:dyDescent="0.3">
      <c r="A175" s="115" t="s">
        <v>283</v>
      </c>
      <c r="B175" s="115" t="s">
        <v>2063</v>
      </c>
      <c r="C175" s="28" t="s">
        <v>120</v>
      </c>
      <c r="D175" s="28" t="str">
        <f>IFERROR(VLOOKUP($C175,CUENTAS[],2,0),"")</f>
        <v>TOKA</v>
      </c>
      <c r="E175" s="28" t="str">
        <f>IFERROR(VLOOKUP($C175,CUENTAS[],3,0),"")</f>
        <v>TOK2025-001C</v>
      </c>
      <c r="F175" s="86">
        <v>200</v>
      </c>
      <c r="G175" s="129">
        <v>32</v>
      </c>
      <c r="H175" s="131">
        <v>232</v>
      </c>
      <c r="I175" s="200" t="str">
        <f t="shared" si="2"/>
        <v>CORRECTO</v>
      </c>
      <c r="J175" s="88" t="s">
        <v>3244</v>
      </c>
      <c r="K175" s="116" t="s">
        <v>363</v>
      </c>
      <c r="L175" s="95" t="s">
        <v>227</v>
      </c>
      <c r="M175" s="159">
        <v>45862</v>
      </c>
      <c r="N175" s="22" t="s">
        <v>570</v>
      </c>
      <c r="P175" s="89"/>
      <c r="Q175" s="89"/>
    </row>
    <row r="176" spans="1:17" ht="14.25" customHeight="1" x14ac:dyDescent="0.3">
      <c r="A176" s="115" t="s">
        <v>878</v>
      </c>
      <c r="B176" s="115" t="s">
        <v>2064</v>
      </c>
      <c r="C176" s="28" t="s">
        <v>224</v>
      </c>
      <c r="D176" s="28" t="str">
        <f>IFERROR(VLOOKUP($C176,CUENTAS[],2,0),"")</f>
        <v>MATERIALES</v>
      </c>
      <c r="E176" s="28" t="str">
        <f>IFERROR(VLOOKUP($C176,CUENTAS[],3,0),"")</f>
        <v>MDE2025-004</v>
      </c>
      <c r="F176" s="86">
        <v>4800.38</v>
      </c>
      <c r="G176" s="129">
        <v>768.06</v>
      </c>
      <c r="H176" s="131">
        <v>5568.44</v>
      </c>
      <c r="I176" s="200" t="str">
        <f t="shared" si="2"/>
        <v>CORRECTO</v>
      </c>
      <c r="J176" s="88" t="s">
        <v>1522</v>
      </c>
      <c r="K176" s="116" t="s">
        <v>360</v>
      </c>
      <c r="L176" s="95" t="s">
        <v>227</v>
      </c>
      <c r="M176" s="159">
        <v>45862</v>
      </c>
      <c r="N176" s="22" t="s">
        <v>2134</v>
      </c>
      <c r="P176" s="89"/>
      <c r="Q176" s="89"/>
    </row>
    <row r="177" spans="1:17" ht="14.25" customHeight="1" x14ac:dyDescent="0.3">
      <c r="A177" s="115" t="s">
        <v>2065</v>
      </c>
      <c r="B177" s="115" t="s">
        <v>945</v>
      </c>
      <c r="C177" s="28" t="s">
        <v>224</v>
      </c>
      <c r="D177" s="28" t="str">
        <f>IFERROR(VLOOKUP($C177,CUENTAS[],2,0),"")</f>
        <v>MATERIALES</v>
      </c>
      <c r="E177" s="28" t="str">
        <f>IFERROR(VLOOKUP($C177,CUENTAS[],3,0),"")</f>
        <v>MDE2025-004</v>
      </c>
      <c r="F177" s="86">
        <v>658.45</v>
      </c>
      <c r="G177" s="129">
        <v>105.35</v>
      </c>
      <c r="H177" s="131">
        <v>763.8</v>
      </c>
      <c r="I177" s="200" t="str">
        <f t="shared" si="2"/>
        <v>CORRECTO</v>
      </c>
      <c r="J177" s="88" t="s">
        <v>1522</v>
      </c>
      <c r="K177" s="116" t="s">
        <v>360</v>
      </c>
      <c r="L177" s="95" t="s">
        <v>227</v>
      </c>
      <c r="M177" s="159">
        <v>45862</v>
      </c>
      <c r="N177" s="22" t="s">
        <v>2135</v>
      </c>
      <c r="P177" s="89"/>
      <c r="Q177" s="89"/>
    </row>
    <row r="178" spans="1:17" ht="14.25" customHeight="1" x14ac:dyDescent="0.3">
      <c r="A178" s="115" t="s">
        <v>1524</v>
      </c>
      <c r="B178" s="115" t="s">
        <v>2066</v>
      </c>
      <c r="C178" s="28" t="s">
        <v>224</v>
      </c>
      <c r="D178" s="28" t="str">
        <f>IFERROR(VLOOKUP($C178,CUENTAS[],2,0),"")</f>
        <v>MATERIALES</v>
      </c>
      <c r="E178" s="28" t="str">
        <f>IFERROR(VLOOKUP($C178,CUENTAS[],3,0),"")</f>
        <v>MDE2025-004</v>
      </c>
      <c r="F178" s="86">
        <v>1675.86</v>
      </c>
      <c r="G178" s="129">
        <v>268.14</v>
      </c>
      <c r="H178" s="131">
        <v>1944</v>
      </c>
      <c r="I178" s="200" t="str">
        <f t="shared" si="2"/>
        <v>CORRECTO</v>
      </c>
      <c r="J178" s="88" t="s">
        <v>1522</v>
      </c>
      <c r="K178" s="116" t="s">
        <v>980</v>
      </c>
      <c r="L178" s="95" t="s">
        <v>227</v>
      </c>
      <c r="M178" s="159">
        <v>45862</v>
      </c>
      <c r="N178" s="22" t="s">
        <v>2136</v>
      </c>
      <c r="P178" s="89"/>
      <c r="Q178" s="89"/>
    </row>
    <row r="179" spans="1:17" ht="14.25" customHeight="1" x14ac:dyDescent="0.3">
      <c r="A179" s="115" t="s">
        <v>463</v>
      </c>
      <c r="B179" s="115" t="s">
        <v>2067</v>
      </c>
      <c r="C179" s="28" t="s">
        <v>224</v>
      </c>
      <c r="D179" s="28" t="str">
        <f>IFERROR(VLOOKUP($C179,CUENTAS[],2,0),"")</f>
        <v>MATERIALES</v>
      </c>
      <c r="E179" s="28" t="str">
        <f>IFERROR(VLOOKUP($C179,CUENTAS[],3,0),"")</f>
        <v>MDE2025-004</v>
      </c>
      <c r="F179" s="86">
        <v>100.4</v>
      </c>
      <c r="G179" s="129">
        <v>16.059999999999999</v>
      </c>
      <c r="H179" s="131">
        <v>116.46</v>
      </c>
      <c r="I179" s="200" t="str">
        <f t="shared" si="2"/>
        <v>CORRECTO</v>
      </c>
      <c r="J179" s="88" t="s">
        <v>1522</v>
      </c>
      <c r="K179" s="116" t="s">
        <v>980</v>
      </c>
      <c r="L179" s="95" t="s">
        <v>227</v>
      </c>
      <c r="M179" s="159">
        <v>45862</v>
      </c>
      <c r="N179" s="22" t="s">
        <v>2137</v>
      </c>
      <c r="P179" s="89"/>
      <c r="Q179" s="89"/>
    </row>
    <row r="180" spans="1:17" ht="14.25" customHeight="1" x14ac:dyDescent="0.3">
      <c r="A180" s="115" t="s">
        <v>2054</v>
      </c>
      <c r="B180" s="115" t="s">
        <v>2068</v>
      </c>
      <c r="C180" s="28" t="s">
        <v>224</v>
      </c>
      <c r="D180" s="28" t="str">
        <f>IFERROR(VLOOKUP($C180,CUENTAS[],2,0),"")</f>
        <v>MATERIALES</v>
      </c>
      <c r="E180" s="28" t="str">
        <f>IFERROR(VLOOKUP($C180,CUENTAS[],3,0),"")</f>
        <v>MDE2025-004</v>
      </c>
      <c r="F180" s="86">
        <v>160.96</v>
      </c>
      <c r="G180" s="129">
        <v>25.75</v>
      </c>
      <c r="H180" s="131">
        <v>186.71</v>
      </c>
      <c r="I180" s="200" t="str">
        <f t="shared" si="2"/>
        <v>CORRECTO</v>
      </c>
      <c r="J180" s="88" t="s">
        <v>1522</v>
      </c>
      <c r="K180" s="116" t="s">
        <v>360</v>
      </c>
      <c r="L180" s="95" t="s">
        <v>227</v>
      </c>
      <c r="M180" s="159">
        <v>45862</v>
      </c>
      <c r="N180" s="22" t="s">
        <v>2138</v>
      </c>
      <c r="P180" s="89"/>
      <c r="Q180" s="89"/>
    </row>
    <row r="181" spans="1:17" ht="14.25" customHeight="1" x14ac:dyDescent="0.3">
      <c r="A181" s="115" t="s">
        <v>1749</v>
      </c>
      <c r="B181" s="115" t="s">
        <v>2069</v>
      </c>
      <c r="C181" s="28" t="s">
        <v>224</v>
      </c>
      <c r="D181" s="28" t="str">
        <f>IFERROR(VLOOKUP($C181,CUENTAS[],2,0),"")</f>
        <v>MATERIALES</v>
      </c>
      <c r="E181" s="28" t="str">
        <f>IFERROR(VLOOKUP($C181,CUENTAS[],3,0),"")</f>
        <v>MDE2025-004</v>
      </c>
      <c r="F181" s="86">
        <v>720</v>
      </c>
      <c r="G181" s="129">
        <v>0</v>
      </c>
      <c r="H181" s="131">
        <v>720</v>
      </c>
      <c r="I181" s="200" t="str">
        <f t="shared" si="2"/>
        <v>CORRECTO</v>
      </c>
      <c r="J181" s="88" t="s">
        <v>1522</v>
      </c>
      <c r="K181" s="116" t="s">
        <v>980</v>
      </c>
      <c r="L181" s="95" t="s">
        <v>227</v>
      </c>
      <c r="M181" s="159">
        <v>45862</v>
      </c>
      <c r="N181" s="22" t="s">
        <v>2139</v>
      </c>
      <c r="P181" s="89"/>
      <c r="Q181" s="89"/>
    </row>
    <row r="182" spans="1:17" ht="14.25" customHeight="1" x14ac:dyDescent="0.3">
      <c r="A182" s="115" t="s">
        <v>2015</v>
      </c>
      <c r="B182" s="115" t="s">
        <v>2070</v>
      </c>
      <c r="C182" s="28" t="s">
        <v>222</v>
      </c>
      <c r="D182" s="28" t="str">
        <f>IFERROR(VLOOKUP($C182,CUENTAS[],2,0),"")</f>
        <v>MANTENIMIENTO</v>
      </c>
      <c r="E182" s="28" t="str">
        <f>IFERROR(VLOOKUP($C182,CUENTAS[],3,0),"")</f>
        <v>MDE2025-009A</v>
      </c>
      <c r="F182" s="86">
        <v>775.08</v>
      </c>
      <c r="G182" s="129">
        <v>124.01</v>
      </c>
      <c r="H182" s="131">
        <v>899.09</v>
      </c>
      <c r="I182" s="200" t="str">
        <f t="shared" si="2"/>
        <v>CORRECTO</v>
      </c>
      <c r="J182" s="88" t="s">
        <v>1522</v>
      </c>
      <c r="K182" s="116" t="s">
        <v>360</v>
      </c>
      <c r="L182" s="95" t="s">
        <v>227</v>
      </c>
      <c r="M182" s="159">
        <v>45862</v>
      </c>
      <c r="N182" s="22" t="s">
        <v>2140</v>
      </c>
      <c r="P182" s="89"/>
      <c r="Q182" s="89"/>
    </row>
    <row r="183" spans="1:17" ht="14.25" customHeight="1" x14ac:dyDescent="0.3">
      <c r="A183" s="115" t="s">
        <v>2019</v>
      </c>
      <c r="B183" s="115" t="s">
        <v>2071</v>
      </c>
      <c r="C183" s="28" t="s">
        <v>224</v>
      </c>
      <c r="D183" s="28" t="str">
        <f>IFERROR(VLOOKUP($C183,CUENTAS[],2,0),"")</f>
        <v>MATERIALES</v>
      </c>
      <c r="E183" s="28" t="str">
        <f>IFERROR(VLOOKUP($C183,CUENTAS[],3,0),"")</f>
        <v>MDE2025-004</v>
      </c>
      <c r="F183" s="86">
        <v>1379.31</v>
      </c>
      <c r="G183" s="129">
        <v>220.69</v>
      </c>
      <c r="H183" s="131">
        <v>1600</v>
      </c>
      <c r="I183" s="200" t="str">
        <f t="shared" si="2"/>
        <v>CORRECTO</v>
      </c>
      <c r="J183" s="88" t="s">
        <v>1522</v>
      </c>
      <c r="K183" s="116" t="s">
        <v>360</v>
      </c>
      <c r="L183" s="95" t="s">
        <v>227</v>
      </c>
      <c r="M183" s="159">
        <v>45863</v>
      </c>
      <c r="N183" s="22" t="s">
        <v>2141</v>
      </c>
      <c r="P183" s="89"/>
      <c r="Q183" s="89"/>
    </row>
    <row r="184" spans="1:17" ht="14.25" customHeight="1" x14ac:dyDescent="0.3">
      <c r="A184" s="115" t="s">
        <v>2015</v>
      </c>
      <c r="B184" s="115" t="s">
        <v>2072</v>
      </c>
      <c r="C184" s="28" t="s">
        <v>224</v>
      </c>
      <c r="D184" s="28" t="str">
        <f>IFERROR(VLOOKUP($C184,CUENTAS[],2,0),"")</f>
        <v>MATERIALES</v>
      </c>
      <c r="E184" s="28" t="str">
        <f>IFERROR(VLOOKUP($C184,CUENTAS[],3,0),"")</f>
        <v>MDE2025-004</v>
      </c>
      <c r="F184" s="86">
        <v>1156.03</v>
      </c>
      <c r="G184" s="129">
        <v>184.97</v>
      </c>
      <c r="H184" s="131">
        <v>1341</v>
      </c>
      <c r="I184" s="200" t="str">
        <f t="shared" si="2"/>
        <v>CORRECTO</v>
      </c>
      <c r="J184" s="88" t="s">
        <v>1522</v>
      </c>
      <c r="K184" s="116" t="s">
        <v>360</v>
      </c>
      <c r="L184" s="95" t="s">
        <v>227</v>
      </c>
      <c r="M184" s="159">
        <v>45861</v>
      </c>
      <c r="N184" s="22" t="s">
        <v>2142</v>
      </c>
      <c r="P184" s="89"/>
      <c r="Q184" s="89"/>
    </row>
    <row r="185" spans="1:17" ht="14.25" customHeight="1" x14ac:dyDescent="0.3">
      <c r="A185" s="115" t="s">
        <v>855</v>
      </c>
      <c r="B185" s="115" t="s">
        <v>2073</v>
      </c>
      <c r="C185" s="28" t="s">
        <v>224</v>
      </c>
      <c r="D185" s="28" t="str">
        <f>IFERROR(VLOOKUP($C185,CUENTAS[],2,0),"")</f>
        <v>MATERIALES</v>
      </c>
      <c r="E185" s="28" t="str">
        <f>IFERROR(VLOOKUP($C185,CUENTAS[],3,0),"")</f>
        <v>MDE2025-004</v>
      </c>
      <c r="F185" s="86">
        <v>2454.31</v>
      </c>
      <c r="G185" s="129">
        <v>392.69</v>
      </c>
      <c r="H185" s="131">
        <v>2847</v>
      </c>
      <c r="I185" s="200" t="str">
        <f t="shared" si="2"/>
        <v>CORRECTO</v>
      </c>
      <c r="J185" s="88" t="s">
        <v>2614</v>
      </c>
      <c r="K185" s="116" t="s">
        <v>360</v>
      </c>
      <c r="L185" s="95" t="s">
        <v>227</v>
      </c>
      <c r="M185" s="159">
        <v>45863</v>
      </c>
      <c r="N185" s="22" t="s">
        <v>1475</v>
      </c>
      <c r="P185" s="89"/>
      <c r="Q185" s="89"/>
    </row>
    <row r="186" spans="1:17" ht="14.25" customHeight="1" x14ac:dyDescent="0.3">
      <c r="A186" s="115" t="s">
        <v>2074</v>
      </c>
      <c r="B186" s="115" t="s">
        <v>2075</v>
      </c>
      <c r="C186" s="28" t="s">
        <v>159</v>
      </c>
      <c r="D186" s="28" t="str">
        <f>IFERROR(VLOOKUP($C186,CUENTAS[],2,0),"")</f>
        <v>GASTOS VARIOS</v>
      </c>
      <c r="E186" s="28" t="str">
        <f>IFERROR(VLOOKUP($C186,CUENTAS[],3,0),"")</f>
        <v>MDE2025-003A</v>
      </c>
      <c r="F186" s="86">
        <v>171.55</v>
      </c>
      <c r="G186" s="129">
        <v>27.45</v>
      </c>
      <c r="H186" s="131">
        <v>199</v>
      </c>
      <c r="I186" s="200" t="str">
        <f t="shared" si="2"/>
        <v>CORRECTO</v>
      </c>
      <c r="J186" s="88" t="s">
        <v>2614</v>
      </c>
      <c r="K186" s="116" t="s">
        <v>360</v>
      </c>
      <c r="L186" s="95" t="s">
        <v>227</v>
      </c>
      <c r="M186" s="159">
        <v>45863</v>
      </c>
      <c r="N186" s="22" t="s">
        <v>1203</v>
      </c>
      <c r="P186" s="89"/>
      <c r="Q186" s="89"/>
    </row>
    <row r="187" spans="1:17" ht="14.25" customHeight="1" x14ac:dyDescent="0.3">
      <c r="A187" s="115" t="s">
        <v>2076</v>
      </c>
      <c r="B187" s="115" t="s">
        <v>2077</v>
      </c>
      <c r="C187" s="28" t="s">
        <v>224</v>
      </c>
      <c r="D187" s="28" t="str">
        <f>IFERROR(VLOOKUP($C187,CUENTAS[],2,0),"")</f>
        <v>MATERIALES</v>
      </c>
      <c r="E187" s="28" t="str">
        <f>IFERROR(VLOOKUP($C187,CUENTAS[],3,0),"")</f>
        <v>MDE2025-004</v>
      </c>
      <c r="F187" s="86">
        <v>1123.6500000000001</v>
      </c>
      <c r="G187" s="129">
        <v>179.78</v>
      </c>
      <c r="H187" s="131">
        <v>1303.43</v>
      </c>
      <c r="I187" s="200" t="str">
        <f t="shared" si="2"/>
        <v>CORRECTO</v>
      </c>
      <c r="J187" s="88" t="s">
        <v>2614</v>
      </c>
      <c r="K187" s="116" t="s">
        <v>360</v>
      </c>
      <c r="L187" s="95" t="s">
        <v>227</v>
      </c>
      <c r="M187" s="159">
        <v>45863</v>
      </c>
      <c r="N187" s="22" t="s">
        <v>1475</v>
      </c>
      <c r="P187" s="89"/>
      <c r="Q187" s="89"/>
    </row>
    <row r="188" spans="1:17" ht="14.25" customHeight="1" x14ac:dyDescent="0.3">
      <c r="A188" s="115" t="s">
        <v>953</v>
      </c>
      <c r="B188" s="115" t="s">
        <v>2078</v>
      </c>
      <c r="C188" s="28" t="s">
        <v>140</v>
      </c>
      <c r="D188" s="28" t="str">
        <f>IFERROR(VLOOKUP($C188,CUENTAS[],2,0),"")</f>
        <v>LOGÍSTICA</v>
      </c>
      <c r="E188" s="28" t="str">
        <f>IFERROR(VLOOKUP($C188,CUENTAS[],3,0),"")</f>
        <v>MDE2025-006B</v>
      </c>
      <c r="F188" s="86">
        <v>800</v>
      </c>
      <c r="G188" s="129">
        <v>0</v>
      </c>
      <c r="H188" s="131">
        <v>800</v>
      </c>
      <c r="I188" s="200" t="str">
        <f t="shared" si="2"/>
        <v>CORRECTO</v>
      </c>
      <c r="J188" s="88" t="s">
        <v>2614</v>
      </c>
      <c r="K188" s="116" t="s">
        <v>360</v>
      </c>
      <c r="L188" s="95" t="s">
        <v>227</v>
      </c>
      <c r="M188" s="159">
        <v>45863</v>
      </c>
      <c r="N188" s="22" t="s">
        <v>368</v>
      </c>
      <c r="P188" s="89"/>
      <c r="Q188" s="89"/>
    </row>
    <row r="189" spans="1:17" ht="14.25" customHeight="1" x14ac:dyDescent="0.3">
      <c r="A189" s="115" t="s">
        <v>1253</v>
      </c>
      <c r="B189" s="115" t="s">
        <v>949</v>
      </c>
      <c r="C189" s="28" t="s">
        <v>125</v>
      </c>
      <c r="D189" s="28" t="str">
        <f>IFERROR(VLOOKUP($C189,CUENTAS[],2,0),"")</f>
        <v>GASTOS FIJOS</v>
      </c>
      <c r="E189" s="28" t="str">
        <f>IFERROR(VLOOKUP($C189,CUENTAS[],3,0),"")</f>
        <v>MDE2025-002B</v>
      </c>
      <c r="F189" s="86">
        <v>700</v>
      </c>
      <c r="G189" s="129">
        <v>0</v>
      </c>
      <c r="H189" s="131">
        <v>700</v>
      </c>
      <c r="I189" s="200" t="str">
        <f t="shared" si="2"/>
        <v>CORRECTO</v>
      </c>
      <c r="J189" s="88" t="s">
        <v>2614</v>
      </c>
      <c r="K189" s="116" t="s">
        <v>363</v>
      </c>
      <c r="L189" s="95" t="s">
        <v>227</v>
      </c>
      <c r="M189" s="159">
        <v>45863</v>
      </c>
      <c r="N189" s="22" t="s">
        <v>2113</v>
      </c>
      <c r="P189" s="89"/>
      <c r="Q189" s="89"/>
    </row>
    <row r="190" spans="1:17" ht="14.25" customHeight="1" x14ac:dyDescent="0.3">
      <c r="A190" s="115" t="s">
        <v>1724</v>
      </c>
      <c r="B190" s="115" t="s">
        <v>2079</v>
      </c>
      <c r="C190" s="28" t="s">
        <v>224</v>
      </c>
      <c r="D190" s="28" t="str">
        <f>IFERROR(VLOOKUP($C190,CUENTAS[],2,0),"")</f>
        <v>MATERIALES</v>
      </c>
      <c r="E190" s="28" t="str">
        <f>IFERROR(VLOOKUP($C190,CUENTAS[],3,0),"")</f>
        <v>MDE2025-004</v>
      </c>
      <c r="F190" s="86">
        <v>2414.0700000000002</v>
      </c>
      <c r="G190" s="129">
        <v>386.25</v>
      </c>
      <c r="H190" s="131">
        <v>2800.32</v>
      </c>
      <c r="I190" s="200" t="str">
        <f t="shared" si="2"/>
        <v>CORRECTO</v>
      </c>
      <c r="J190" s="88" t="s">
        <v>1522</v>
      </c>
      <c r="K190" s="116" t="s">
        <v>360</v>
      </c>
      <c r="L190" s="95" t="s">
        <v>227</v>
      </c>
      <c r="M190" s="159">
        <v>45866</v>
      </c>
      <c r="N190" s="22" t="s">
        <v>2143</v>
      </c>
      <c r="P190" s="89"/>
      <c r="Q190" s="89"/>
    </row>
    <row r="191" spans="1:17" ht="14.25" customHeight="1" x14ac:dyDescent="0.3">
      <c r="A191" s="115" t="s">
        <v>236</v>
      </c>
      <c r="B191" s="115" t="s">
        <v>1088</v>
      </c>
      <c r="C191" s="28" t="s">
        <v>201</v>
      </c>
      <c r="D191" s="28" t="str">
        <f>IFERROR(VLOOKUP($C191,CUENTAS[],2,0),"")</f>
        <v>ACTIVOS FIJOS</v>
      </c>
      <c r="E191" s="28" t="str">
        <f>IFERROR(VLOOKUP($C191,CUENTAS[],3,0),"")</f>
        <v>MDE2025-007I</v>
      </c>
      <c r="F191" s="86">
        <v>3500</v>
      </c>
      <c r="G191" s="129">
        <v>0</v>
      </c>
      <c r="H191" s="131">
        <v>3500</v>
      </c>
      <c r="I191" s="200" t="str">
        <f t="shared" si="2"/>
        <v>CORRECTO</v>
      </c>
      <c r="J191" s="88" t="s">
        <v>2614</v>
      </c>
      <c r="K191" s="116" t="s">
        <v>363</v>
      </c>
      <c r="L191" s="95" t="s">
        <v>227</v>
      </c>
      <c r="M191" s="159">
        <v>45866</v>
      </c>
      <c r="N191" s="22" t="s">
        <v>371</v>
      </c>
      <c r="P191" s="89"/>
      <c r="Q191" s="89"/>
    </row>
    <row r="192" spans="1:17" ht="14.25" customHeight="1" x14ac:dyDescent="0.3">
      <c r="A192" s="115" t="s">
        <v>238</v>
      </c>
      <c r="B192" s="115" t="s">
        <v>1088</v>
      </c>
      <c r="C192" s="28" t="s">
        <v>201</v>
      </c>
      <c r="D192" s="28" t="str">
        <f>IFERROR(VLOOKUP($C192,CUENTAS[],2,0),"")</f>
        <v>ACTIVOS FIJOS</v>
      </c>
      <c r="E192" s="28" t="str">
        <f>IFERROR(VLOOKUP($C192,CUENTAS[],3,0),"")</f>
        <v>MDE2025-007I</v>
      </c>
      <c r="F192" s="86">
        <v>3200</v>
      </c>
      <c r="G192" s="129">
        <v>0</v>
      </c>
      <c r="H192" s="131">
        <v>3200</v>
      </c>
      <c r="I192" s="200" t="str">
        <f t="shared" si="2"/>
        <v>CORRECTO</v>
      </c>
      <c r="J192" s="88" t="s">
        <v>2614</v>
      </c>
      <c r="K192" s="116" t="s">
        <v>363</v>
      </c>
      <c r="L192" s="95" t="s">
        <v>227</v>
      </c>
      <c r="M192" s="159">
        <v>45866</v>
      </c>
      <c r="N192" s="22" t="s">
        <v>371</v>
      </c>
      <c r="P192" s="89"/>
      <c r="Q192" s="89"/>
    </row>
    <row r="193" spans="1:18" ht="14.25" customHeight="1" x14ac:dyDescent="0.3">
      <c r="A193" s="115" t="s">
        <v>2019</v>
      </c>
      <c r="B193" s="115" t="s">
        <v>2080</v>
      </c>
      <c r="C193" s="28" t="s">
        <v>224</v>
      </c>
      <c r="D193" s="28" t="str">
        <f>IFERROR(VLOOKUP($C193,CUENTAS[],2,0),"")</f>
        <v>MATERIALES</v>
      </c>
      <c r="E193" s="28" t="str">
        <f>IFERROR(VLOOKUP($C193,CUENTAS[],3,0),"")</f>
        <v>MDE2025-004</v>
      </c>
      <c r="F193" s="86">
        <v>290</v>
      </c>
      <c r="G193" s="129">
        <v>0</v>
      </c>
      <c r="H193" s="131">
        <v>290</v>
      </c>
      <c r="I193" s="200" t="str">
        <f t="shared" si="2"/>
        <v>CORRECTO</v>
      </c>
      <c r="J193" s="88" t="s">
        <v>1522</v>
      </c>
      <c r="K193" s="116" t="s">
        <v>360</v>
      </c>
      <c r="L193" s="95" t="s">
        <v>227</v>
      </c>
      <c r="M193" s="159">
        <v>45867</v>
      </c>
      <c r="N193" s="22" t="s">
        <v>2144</v>
      </c>
      <c r="P193" s="89"/>
      <c r="Q193" s="89"/>
    </row>
    <row r="194" spans="1:18" ht="14.25" customHeight="1" x14ac:dyDescent="0.3">
      <c r="A194" s="115" t="s">
        <v>890</v>
      </c>
      <c r="B194" s="115" t="s">
        <v>2081</v>
      </c>
      <c r="C194" s="28" t="s">
        <v>224</v>
      </c>
      <c r="D194" s="28" t="str">
        <f>IFERROR(VLOOKUP($C194,CUENTAS[],2,0),"")</f>
        <v>MATERIALES</v>
      </c>
      <c r="E194" s="28" t="str">
        <f>IFERROR(VLOOKUP($C194,CUENTAS[],3,0),"")</f>
        <v>MDE2025-004</v>
      </c>
      <c r="F194" s="86">
        <v>3306</v>
      </c>
      <c r="G194" s="129">
        <v>528.96</v>
      </c>
      <c r="H194" s="131">
        <v>3834.96</v>
      </c>
      <c r="I194" s="200" t="str">
        <f t="shared" si="2"/>
        <v>CORRECTO</v>
      </c>
      <c r="J194" s="88" t="s">
        <v>1522</v>
      </c>
      <c r="K194" s="116" t="s">
        <v>360</v>
      </c>
      <c r="L194" s="95" t="s">
        <v>227</v>
      </c>
      <c r="M194" s="159">
        <v>45868</v>
      </c>
      <c r="N194" s="22" t="s">
        <v>2145</v>
      </c>
      <c r="P194" s="89"/>
      <c r="Q194" s="89"/>
    </row>
    <row r="195" spans="1:18" ht="14.25" customHeight="1" x14ac:dyDescent="0.3">
      <c r="A195" s="115" t="s">
        <v>890</v>
      </c>
      <c r="B195" s="115" t="s">
        <v>2081</v>
      </c>
      <c r="C195" s="28" t="s">
        <v>224</v>
      </c>
      <c r="D195" s="28" t="str">
        <f>IFERROR(VLOOKUP($C195,CUENTAS[],2,0),"")</f>
        <v>MATERIALES</v>
      </c>
      <c r="E195" s="28" t="str">
        <f>IFERROR(VLOOKUP($C195,CUENTAS[],3,0),"")</f>
        <v>MDE2025-004</v>
      </c>
      <c r="F195" s="86">
        <v>1102.01</v>
      </c>
      <c r="G195" s="129">
        <v>176.31</v>
      </c>
      <c r="H195" s="131">
        <v>1278.32</v>
      </c>
      <c r="I195" s="200" t="str">
        <f t="shared" ref="I195:I246" si="3">IFERROR(IF(F195+G195&lt;&gt;H195,"REVISAR","CORRECTO"),"")</f>
        <v>CORRECTO</v>
      </c>
      <c r="J195" s="88" t="s">
        <v>1522</v>
      </c>
      <c r="K195" s="116" t="s">
        <v>360</v>
      </c>
      <c r="L195" s="95" t="s">
        <v>227</v>
      </c>
      <c r="M195" s="159">
        <v>45868</v>
      </c>
      <c r="N195" s="22" t="s">
        <v>2146</v>
      </c>
      <c r="P195" s="89"/>
      <c r="Q195" s="89"/>
    </row>
    <row r="196" spans="1:18" ht="14.25" customHeight="1" x14ac:dyDescent="0.3">
      <c r="A196" s="115" t="s">
        <v>279</v>
      </c>
      <c r="B196" s="115" t="s">
        <v>2082</v>
      </c>
      <c r="C196" s="28" t="s">
        <v>143</v>
      </c>
      <c r="D196" s="28" t="str">
        <f>IFERROR(VLOOKUP($C196,CUENTAS[],2,0),"")</f>
        <v>GASTOS FIJOS</v>
      </c>
      <c r="E196" s="28" t="str">
        <f>IFERROR(VLOOKUP($C196,CUENTAS[],3,0),"")</f>
        <v>MDE2025-002C</v>
      </c>
      <c r="F196" s="86">
        <v>9165.52</v>
      </c>
      <c r="G196" s="129">
        <v>1466.48</v>
      </c>
      <c r="H196" s="131">
        <v>10632</v>
      </c>
      <c r="I196" s="200" t="str">
        <f t="shared" si="3"/>
        <v>CORRECTO</v>
      </c>
      <c r="J196" s="88" t="s">
        <v>2614</v>
      </c>
      <c r="K196" s="116" t="s">
        <v>360</v>
      </c>
      <c r="L196" s="95" t="s">
        <v>227</v>
      </c>
      <c r="M196" s="159">
        <v>45869</v>
      </c>
      <c r="N196" s="22" t="s">
        <v>410</v>
      </c>
      <c r="P196" s="89"/>
      <c r="Q196" s="89"/>
    </row>
    <row r="197" spans="1:18" ht="14.25" customHeight="1" x14ac:dyDescent="0.3">
      <c r="A197" s="115" t="s">
        <v>2083</v>
      </c>
      <c r="B197" s="115" t="s">
        <v>2084</v>
      </c>
      <c r="C197" s="28" t="s">
        <v>151</v>
      </c>
      <c r="D197" s="28" t="str">
        <f>IFERROR(VLOOKUP($C197,CUENTAS[],2,0),"")</f>
        <v>GASTOS FIJOS</v>
      </c>
      <c r="E197" s="28" t="str">
        <f>IFERROR(VLOOKUP($C197,CUENTAS[],3,0),"")</f>
        <v>MDE2025-002F</v>
      </c>
      <c r="F197" s="86">
        <v>798</v>
      </c>
      <c r="G197" s="129">
        <v>0</v>
      </c>
      <c r="H197" s="131">
        <v>798</v>
      </c>
      <c r="I197" s="200" t="str">
        <f t="shared" si="3"/>
        <v>CORRECTO</v>
      </c>
      <c r="J197" s="88" t="s">
        <v>2614</v>
      </c>
      <c r="K197" s="116" t="s">
        <v>360</v>
      </c>
      <c r="L197" s="95" t="s">
        <v>227</v>
      </c>
      <c r="M197" s="159">
        <v>45869</v>
      </c>
      <c r="N197" s="22" t="s">
        <v>371</v>
      </c>
      <c r="P197" s="89"/>
      <c r="Q197" s="89"/>
    </row>
    <row r="198" spans="1:18" ht="14.25" customHeight="1" x14ac:dyDescent="0.3">
      <c r="A198" s="115" t="s">
        <v>2083</v>
      </c>
      <c r="B198" s="115" t="s">
        <v>2085</v>
      </c>
      <c r="C198" s="28" t="s">
        <v>151</v>
      </c>
      <c r="D198" s="28" t="str">
        <f>IFERROR(VLOOKUP($C198,CUENTAS[],2,0),"")</f>
        <v>GASTOS FIJOS</v>
      </c>
      <c r="E198" s="28" t="str">
        <f>IFERROR(VLOOKUP($C198,CUENTAS[],3,0),"")</f>
        <v>MDE2025-002F</v>
      </c>
      <c r="F198" s="86">
        <v>798</v>
      </c>
      <c r="G198" s="129">
        <v>0</v>
      </c>
      <c r="H198" s="131">
        <v>798</v>
      </c>
      <c r="I198" s="200" t="str">
        <f t="shared" si="3"/>
        <v>CORRECTO</v>
      </c>
      <c r="J198" s="88" t="s">
        <v>2614</v>
      </c>
      <c r="K198" s="116" t="s">
        <v>360</v>
      </c>
      <c r="L198" s="95" t="s">
        <v>227</v>
      </c>
      <c r="M198" s="159">
        <v>45869</v>
      </c>
      <c r="N198" s="22" t="s">
        <v>371</v>
      </c>
      <c r="P198" s="89"/>
      <c r="Q198" s="89"/>
    </row>
    <row r="199" spans="1:18" ht="14.25" customHeight="1" x14ac:dyDescent="0.3">
      <c r="A199" s="115" t="s">
        <v>2086</v>
      </c>
      <c r="B199" s="115" t="s">
        <v>2087</v>
      </c>
      <c r="C199" s="28" t="s">
        <v>224</v>
      </c>
      <c r="D199" s="28" t="str">
        <f>IFERROR(VLOOKUP($C199,CUENTAS[],2,0),"")</f>
        <v>MATERIALES</v>
      </c>
      <c r="E199" s="28" t="str">
        <f>IFERROR(VLOOKUP($C199,CUENTAS[],3,0),"")</f>
        <v>MDE2025-004</v>
      </c>
      <c r="F199" s="86">
        <v>565.16999999999996</v>
      </c>
      <c r="G199" s="129">
        <v>90.43</v>
      </c>
      <c r="H199" s="131">
        <v>655.6</v>
      </c>
      <c r="I199" s="200" t="str">
        <f t="shared" si="3"/>
        <v>CORRECTO</v>
      </c>
      <c r="J199" s="88" t="s">
        <v>2614</v>
      </c>
      <c r="K199" s="116" t="s">
        <v>360</v>
      </c>
      <c r="L199" s="95" t="s">
        <v>227</v>
      </c>
      <c r="M199" s="159">
        <v>45869</v>
      </c>
      <c r="N199" s="22" t="s">
        <v>2147</v>
      </c>
      <c r="P199" s="89"/>
      <c r="Q199" s="89"/>
    </row>
    <row r="200" spans="1:18" ht="14.25" customHeight="1" x14ac:dyDescent="0.3">
      <c r="A200" s="115" t="s">
        <v>878</v>
      </c>
      <c r="B200" s="115" t="s">
        <v>2088</v>
      </c>
      <c r="C200" s="28" t="s">
        <v>224</v>
      </c>
      <c r="D200" s="28" t="str">
        <f>IFERROR(VLOOKUP($C200,CUENTAS[],2,0),"")</f>
        <v>MATERIALES</v>
      </c>
      <c r="E200" s="28" t="str">
        <f>IFERROR(VLOOKUP($C200,CUENTAS[],3,0),"")</f>
        <v>MDE2025-004</v>
      </c>
      <c r="F200" s="86">
        <v>1853.04</v>
      </c>
      <c r="G200" s="129">
        <v>296.49</v>
      </c>
      <c r="H200" s="131">
        <v>2149.5300000000002</v>
      </c>
      <c r="I200" s="200" t="str">
        <f t="shared" si="3"/>
        <v>CORRECTO</v>
      </c>
      <c r="J200" s="88" t="s">
        <v>2614</v>
      </c>
      <c r="K200" s="116" t="s">
        <v>360</v>
      </c>
      <c r="L200" s="95" t="s">
        <v>227</v>
      </c>
      <c r="M200" s="159">
        <v>45869</v>
      </c>
      <c r="N200" s="22" t="s">
        <v>2148</v>
      </c>
      <c r="P200" s="89"/>
      <c r="Q200" s="89"/>
    </row>
    <row r="201" spans="1:18" ht="14.25" customHeight="1" x14ac:dyDescent="0.3">
      <c r="A201" s="115" t="s">
        <v>2089</v>
      </c>
      <c r="B201" s="115" t="s">
        <v>2090</v>
      </c>
      <c r="C201" s="28" t="s">
        <v>224</v>
      </c>
      <c r="D201" s="28" t="str">
        <f>IFERROR(VLOOKUP($C201,CUENTAS[],2,0),"")</f>
        <v>MATERIALES</v>
      </c>
      <c r="E201" s="28" t="str">
        <f>IFERROR(VLOOKUP($C201,CUENTAS[],3,0),"")</f>
        <v>MDE2025-004</v>
      </c>
      <c r="F201" s="86">
        <v>689.21</v>
      </c>
      <c r="G201" s="129">
        <v>110.27</v>
      </c>
      <c r="H201" s="131">
        <v>799.48</v>
      </c>
      <c r="I201" s="200" t="str">
        <f t="shared" si="3"/>
        <v>CORRECTO</v>
      </c>
      <c r="J201" s="88" t="s">
        <v>2614</v>
      </c>
      <c r="K201" s="116" t="s">
        <v>360</v>
      </c>
      <c r="L201" s="95" t="s">
        <v>227</v>
      </c>
      <c r="M201" s="159">
        <v>45869</v>
      </c>
      <c r="N201" s="22" t="s">
        <v>2149</v>
      </c>
      <c r="P201" s="89"/>
      <c r="Q201" s="89"/>
    </row>
    <row r="202" spans="1:18" ht="14.25" customHeight="1" x14ac:dyDescent="0.3">
      <c r="A202" s="115" t="s">
        <v>2091</v>
      </c>
      <c r="B202" s="115" t="s">
        <v>2092</v>
      </c>
      <c r="C202" s="28" t="s">
        <v>224</v>
      </c>
      <c r="D202" s="28" t="str">
        <f>IFERROR(VLOOKUP($C202,CUENTAS[],2,0),"")</f>
        <v>MATERIALES</v>
      </c>
      <c r="E202" s="28" t="str">
        <f>IFERROR(VLOOKUP($C202,CUENTAS[],3,0),"")</f>
        <v>MDE2025-004</v>
      </c>
      <c r="F202" s="86">
        <v>353.83</v>
      </c>
      <c r="G202" s="129">
        <v>56.61</v>
      </c>
      <c r="H202" s="131">
        <v>410.44</v>
      </c>
      <c r="I202" s="200" t="str">
        <f t="shared" si="3"/>
        <v>CORRECTO</v>
      </c>
      <c r="J202" s="88" t="s">
        <v>2614</v>
      </c>
      <c r="K202" s="116" t="s">
        <v>360</v>
      </c>
      <c r="L202" s="95" t="s">
        <v>227</v>
      </c>
      <c r="M202" s="159">
        <v>45869</v>
      </c>
      <c r="N202" s="22" t="s">
        <v>2150</v>
      </c>
      <c r="P202" s="89"/>
      <c r="Q202" s="89"/>
    </row>
    <row r="203" spans="1:18" ht="14.25" customHeight="1" x14ac:dyDescent="0.3">
      <c r="A203" s="115" t="s">
        <v>2093</v>
      </c>
      <c r="B203" s="115" t="s">
        <v>2094</v>
      </c>
      <c r="C203" s="28" t="s">
        <v>161</v>
      </c>
      <c r="D203" s="28" t="str">
        <f>IFERROR(VLOOKUP($C203,CUENTAS[],2,0),"")</f>
        <v>LOGÍSTICA</v>
      </c>
      <c r="E203" s="28" t="str">
        <f>IFERROR(VLOOKUP($C203,CUENTAS[],3,0),"")</f>
        <v>MDE2025-003E</v>
      </c>
      <c r="F203" s="86">
        <v>25</v>
      </c>
      <c r="G203" s="129">
        <v>0</v>
      </c>
      <c r="H203" s="131">
        <v>25</v>
      </c>
      <c r="I203" s="200" t="str">
        <f t="shared" si="3"/>
        <v>CORRECTO</v>
      </c>
      <c r="J203" s="88" t="s">
        <v>2614</v>
      </c>
      <c r="K203" s="116" t="s">
        <v>404</v>
      </c>
      <c r="L203" s="95" t="s">
        <v>227</v>
      </c>
      <c r="M203" s="159">
        <v>45842</v>
      </c>
      <c r="N203" s="22" t="s">
        <v>2151</v>
      </c>
      <c r="P203" s="89"/>
      <c r="Q203" s="89"/>
    </row>
    <row r="204" spans="1:18" ht="14.25" customHeight="1" x14ac:dyDescent="0.3">
      <c r="A204" s="115" t="s">
        <v>2093</v>
      </c>
      <c r="B204" s="115" t="s">
        <v>2094</v>
      </c>
      <c r="C204" s="28" t="s">
        <v>161</v>
      </c>
      <c r="D204" s="28" t="str">
        <f>IFERROR(VLOOKUP($C204,CUENTAS[],2,0),"")</f>
        <v>LOGÍSTICA</v>
      </c>
      <c r="E204" s="28" t="str">
        <f>IFERROR(VLOOKUP($C204,CUENTAS[],3,0),"")</f>
        <v>MDE2025-003E</v>
      </c>
      <c r="F204" s="86">
        <v>10</v>
      </c>
      <c r="G204" s="129">
        <v>0</v>
      </c>
      <c r="H204" s="131">
        <v>10</v>
      </c>
      <c r="I204" s="200" t="str">
        <f t="shared" si="3"/>
        <v>CORRECTO</v>
      </c>
      <c r="J204" s="88" t="s">
        <v>2614</v>
      </c>
      <c r="K204" s="116" t="s">
        <v>404</v>
      </c>
      <c r="L204" s="95" t="s">
        <v>227</v>
      </c>
      <c r="M204" s="159">
        <v>45842</v>
      </c>
      <c r="N204" s="22" t="s">
        <v>2152</v>
      </c>
      <c r="P204" s="89"/>
      <c r="Q204" s="89"/>
    </row>
    <row r="205" spans="1:18" ht="14.25" customHeight="1" x14ac:dyDescent="0.3">
      <c r="A205" s="115" t="s">
        <v>2095</v>
      </c>
      <c r="B205" s="115" t="s">
        <v>2096</v>
      </c>
      <c r="C205" s="28" t="s">
        <v>113</v>
      </c>
      <c r="D205" s="28" t="str">
        <f>IFERROR(VLOOKUP($C205,CUENTAS[],2,0),"")</f>
        <v>GASTOS VARIOS</v>
      </c>
      <c r="E205" s="28" t="str">
        <f>IFERROR(VLOOKUP($C205,CUENTAS[],3,0),"")</f>
        <v>MDE2025-003B</v>
      </c>
      <c r="F205" s="86">
        <v>50</v>
      </c>
      <c r="G205" s="129">
        <v>0</v>
      </c>
      <c r="H205" s="131">
        <v>50</v>
      </c>
      <c r="I205" s="200" t="str">
        <f t="shared" si="3"/>
        <v>CORRECTO</v>
      </c>
      <c r="J205" s="88" t="s">
        <v>2614</v>
      </c>
      <c r="K205" s="116" t="s">
        <v>472</v>
      </c>
      <c r="L205" s="95" t="s">
        <v>227</v>
      </c>
      <c r="M205" s="159">
        <v>45846</v>
      </c>
      <c r="N205" s="22" t="s">
        <v>2153</v>
      </c>
      <c r="P205" s="89"/>
      <c r="Q205" s="89"/>
    </row>
    <row r="206" spans="1:18" ht="14.25" customHeight="1" x14ac:dyDescent="0.3">
      <c r="A206" s="115" t="s">
        <v>1721</v>
      </c>
      <c r="B206" s="115" t="s">
        <v>2097</v>
      </c>
      <c r="C206" s="28" t="s">
        <v>224</v>
      </c>
      <c r="D206" s="28" t="str">
        <f>IFERROR(VLOOKUP($C206,CUENTAS[],2,0),"")</f>
        <v>MATERIALES</v>
      </c>
      <c r="E206" s="28" t="str">
        <f>IFERROR(VLOOKUP($C206,CUENTAS[],3,0),"")</f>
        <v>MDE2025-004</v>
      </c>
      <c r="F206" s="86">
        <v>67.239999999999995</v>
      </c>
      <c r="G206" s="129">
        <v>10.76</v>
      </c>
      <c r="H206" s="131">
        <v>78</v>
      </c>
      <c r="I206" s="200" t="str">
        <f t="shared" si="3"/>
        <v>CORRECTO</v>
      </c>
      <c r="J206" s="88" t="s">
        <v>2614</v>
      </c>
      <c r="K206" s="116" t="s">
        <v>980</v>
      </c>
      <c r="L206" s="95" t="s">
        <v>227</v>
      </c>
      <c r="M206" s="159">
        <v>45848</v>
      </c>
      <c r="N206" s="22" t="s">
        <v>1203</v>
      </c>
      <c r="P206" s="89"/>
      <c r="Q206" s="89"/>
    </row>
    <row r="207" spans="1:18" ht="14.25" customHeight="1" x14ac:dyDescent="0.3">
      <c r="A207" s="115" t="s">
        <v>2098</v>
      </c>
      <c r="B207" s="115" t="s">
        <v>2099</v>
      </c>
      <c r="C207" s="28" t="s">
        <v>161</v>
      </c>
      <c r="D207" s="28" t="str">
        <f>IFERROR(VLOOKUP($C207,CUENTAS[],2,0),"")</f>
        <v>LOGÍSTICA</v>
      </c>
      <c r="E207" s="28" t="str">
        <f>IFERROR(VLOOKUP($C207,CUENTAS[],3,0),"")</f>
        <v>MDE2025-003E</v>
      </c>
      <c r="F207" s="86">
        <v>18</v>
      </c>
      <c r="G207" s="129">
        <v>0</v>
      </c>
      <c r="H207" s="131">
        <v>18</v>
      </c>
      <c r="I207" s="200" t="str">
        <f t="shared" si="3"/>
        <v>CORRECTO</v>
      </c>
      <c r="J207" s="88" t="s">
        <v>2614</v>
      </c>
      <c r="K207" s="116" t="s">
        <v>472</v>
      </c>
      <c r="L207" s="95" t="s">
        <v>227</v>
      </c>
      <c r="M207" s="159">
        <v>45859</v>
      </c>
      <c r="N207" s="22" t="s">
        <v>2154</v>
      </c>
      <c r="P207" s="89"/>
      <c r="Q207" s="89"/>
    </row>
    <row r="208" spans="1:18" ht="14.25" customHeight="1" x14ac:dyDescent="0.3">
      <c r="A208" s="115" t="s">
        <v>480</v>
      </c>
      <c r="B208" s="115" t="s">
        <v>2155</v>
      </c>
      <c r="C208" s="28" t="s">
        <v>196</v>
      </c>
      <c r="D208" s="28" t="str">
        <f>IFERROR(VLOOKUP($C208,CUENTAS[],2,0),"")</f>
        <v>CAJA CHICA</v>
      </c>
      <c r="E208" s="28" t="str">
        <f>IFERROR(VLOOKUP($C208,CUENTAS[],3,0),"")</f>
        <v>MDE2025-005</v>
      </c>
      <c r="F208" s="131">
        <v>336620.77</v>
      </c>
      <c r="G208" s="129">
        <v>0</v>
      </c>
      <c r="H208" s="131">
        <v>336620.77</v>
      </c>
      <c r="I208" s="200" t="str">
        <f t="shared" si="3"/>
        <v>CORRECTO</v>
      </c>
      <c r="J208" s="226" t="s">
        <v>137</v>
      </c>
      <c r="K208" s="116" t="s">
        <v>406</v>
      </c>
      <c r="L208" s="95" t="s">
        <v>227</v>
      </c>
      <c r="M208" s="159">
        <v>45839</v>
      </c>
      <c r="N208" s="22"/>
      <c r="O208" s="134" t="s">
        <v>2233</v>
      </c>
      <c r="P208" s="89"/>
      <c r="Q208" s="89"/>
      <c r="R208" s="188"/>
    </row>
    <row r="209" spans="1:17" ht="14.25" customHeight="1" x14ac:dyDescent="0.3">
      <c r="A209" s="115" t="s">
        <v>480</v>
      </c>
      <c r="B209" s="115" t="s">
        <v>2156</v>
      </c>
      <c r="C209" s="28" t="s">
        <v>196</v>
      </c>
      <c r="D209" s="28" t="str">
        <f>IFERROR(VLOOKUP($C209,CUENTAS[],2,0),"")</f>
        <v>CAJA CHICA</v>
      </c>
      <c r="E209" s="28" t="str">
        <f>IFERROR(VLOOKUP($C209,CUENTAS[],3,0),"")</f>
        <v>MDE2025-005</v>
      </c>
      <c r="F209" s="131">
        <v>20232</v>
      </c>
      <c r="G209" s="129">
        <v>0</v>
      </c>
      <c r="H209" s="131">
        <v>20232</v>
      </c>
      <c r="I209" s="200" t="str">
        <f t="shared" si="3"/>
        <v>CORRECTO</v>
      </c>
      <c r="J209" s="226" t="s">
        <v>137</v>
      </c>
      <c r="K209" s="116" t="s">
        <v>363</v>
      </c>
      <c r="L209" s="95" t="s">
        <v>227</v>
      </c>
      <c r="M209" s="159">
        <v>45839</v>
      </c>
      <c r="N209" s="22"/>
      <c r="P209" s="89"/>
      <c r="Q209" s="89"/>
    </row>
    <row r="210" spans="1:17" ht="14.25" customHeight="1" x14ac:dyDescent="0.3">
      <c r="A210" s="115" t="s">
        <v>480</v>
      </c>
      <c r="B210" s="115" t="s">
        <v>2157</v>
      </c>
      <c r="C210" s="28" t="s">
        <v>196</v>
      </c>
      <c r="D210" s="28" t="str">
        <f>IFERROR(VLOOKUP($C210,CUENTAS[],2,0),"")</f>
        <v>CAJA CHICA</v>
      </c>
      <c r="E210" s="28" t="str">
        <f>IFERROR(VLOOKUP($C210,CUENTAS[],3,0),"")</f>
        <v>MDE2025-005</v>
      </c>
      <c r="F210" s="131">
        <v>106400</v>
      </c>
      <c r="G210" s="129">
        <v>0</v>
      </c>
      <c r="H210" s="131">
        <v>106400</v>
      </c>
      <c r="I210" s="200" t="str">
        <f t="shared" si="3"/>
        <v>CORRECTO</v>
      </c>
      <c r="J210" s="226" t="s">
        <v>137</v>
      </c>
      <c r="K210" s="116" t="s">
        <v>363</v>
      </c>
      <c r="L210" s="95" t="s">
        <v>227</v>
      </c>
      <c r="M210" s="159">
        <v>45846</v>
      </c>
      <c r="N210" s="22"/>
      <c r="P210" s="89"/>
      <c r="Q210" s="89"/>
    </row>
    <row r="211" spans="1:17" ht="14.25" customHeight="1" x14ac:dyDescent="0.3">
      <c r="A211" s="115" t="s">
        <v>480</v>
      </c>
      <c r="B211" s="115" t="s">
        <v>2158</v>
      </c>
      <c r="C211" s="28" t="s">
        <v>196</v>
      </c>
      <c r="D211" s="28" t="str">
        <f>IFERROR(VLOOKUP($C211,CUENTAS[],2,0),"")</f>
        <v>CAJA CHICA</v>
      </c>
      <c r="E211" s="28" t="str">
        <f>IFERROR(VLOOKUP($C211,CUENTAS[],3,0),"")</f>
        <v>MDE2025-005</v>
      </c>
      <c r="F211" s="131">
        <v>41907.760000000002</v>
      </c>
      <c r="G211" s="129">
        <v>0</v>
      </c>
      <c r="H211" s="131">
        <v>41907.760000000002</v>
      </c>
      <c r="I211" s="200" t="str">
        <f t="shared" si="3"/>
        <v>CORRECTO</v>
      </c>
      <c r="J211" s="226" t="s">
        <v>137</v>
      </c>
      <c r="K211" s="116" t="s">
        <v>363</v>
      </c>
      <c r="L211" s="95" t="s">
        <v>227</v>
      </c>
      <c r="M211" s="159">
        <v>45846</v>
      </c>
      <c r="N211" s="22"/>
      <c r="P211" s="89"/>
      <c r="Q211" s="89"/>
    </row>
    <row r="212" spans="1:17" ht="14.25" customHeight="1" x14ac:dyDescent="0.3">
      <c r="A212" s="115" t="s">
        <v>480</v>
      </c>
      <c r="B212" s="115" t="s">
        <v>2159</v>
      </c>
      <c r="C212" s="28" t="s">
        <v>196</v>
      </c>
      <c r="D212" s="28" t="str">
        <f>IFERROR(VLOOKUP($C212,CUENTAS[],2,0),"")</f>
        <v>CAJA CHICA</v>
      </c>
      <c r="E212" s="28" t="str">
        <f>IFERROR(VLOOKUP($C212,CUENTAS[],3,0),"")</f>
        <v>MDE2025-005</v>
      </c>
      <c r="F212" s="131">
        <v>26242.05</v>
      </c>
      <c r="G212" s="129">
        <v>0</v>
      </c>
      <c r="H212" s="131">
        <v>26242.05</v>
      </c>
      <c r="I212" s="200" t="str">
        <f t="shared" si="3"/>
        <v>CORRECTO</v>
      </c>
      <c r="J212" s="226" t="s">
        <v>137</v>
      </c>
      <c r="K212" s="116" t="s">
        <v>363</v>
      </c>
      <c r="L212" s="95" t="s">
        <v>227</v>
      </c>
      <c r="M212" s="159">
        <v>45842</v>
      </c>
      <c r="N212" s="22"/>
      <c r="P212" s="89"/>
      <c r="Q212" s="89"/>
    </row>
    <row r="213" spans="1:17" ht="14.25" customHeight="1" x14ac:dyDescent="0.3">
      <c r="A213" s="115" t="s">
        <v>480</v>
      </c>
      <c r="B213" s="115" t="s">
        <v>2159</v>
      </c>
      <c r="C213" s="28" t="s">
        <v>196</v>
      </c>
      <c r="D213" s="28" t="str">
        <f>IFERROR(VLOOKUP($C213,CUENTAS[],2,0),"")</f>
        <v>CAJA CHICA</v>
      </c>
      <c r="E213" s="28" t="str">
        <f>IFERROR(VLOOKUP($C213,CUENTAS[],3,0),"")</f>
        <v>MDE2025-005</v>
      </c>
      <c r="F213" s="131">
        <v>26242.05</v>
      </c>
      <c r="G213" s="129">
        <v>0</v>
      </c>
      <c r="H213" s="131">
        <v>26242.05</v>
      </c>
      <c r="I213" s="200" t="str">
        <f t="shared" si="3"/>
        <v>CORRECTO</v>
      </c>
      <c r="J213" s="226" t="s">
        <v>137</v>
      </c>
      <c r="K213" s="116" t="s">
        <v>363</v>
      </c>
      <c r="L213" s="95" t="s">
        <v>227</v>
      </c>
      <c r="M213" s="159">
        <v>45834</v>
      </c>
      <c r="N213" s="22"/>
      <c r="P213" s="89"/>
      <c r="Q213" s="89"/>
    </row>
    <row r="214" spans="1:17" ht="14.25" customHeight="1" x14ac:dyDescent="0.3">
      <c r="A214" s="115" t="s">
        <v>480</v>
      </c>
      <c r="B214" s="115" t="s">
        <v>2160</v>
      </c>
      <c r="C214" s="28" t="s">
        <v>196</v>
      </c>
      <c r="D214" s="28" t="str">
        <f>IFERROR(VLOOKUP($C214,CUENTAS[],2,0),"")</f>
        <v>CAJA CHICA</v>
      </c>
      <c r="E214" s="28" t="str">
        <f>IFERROR(VLOOKUP($C214,CUENTAS[],3,0),"")</f>
        <v>MDE2025-005</v>
      </c>
      <c r="F214" s="86">
        <v>20000</v>
      </c>
      <c r="G214" s="129">
        <v>0</v>
      </c>
      <c r="H214" s="131">
        <v>20000</v>
      </c>
      <c r="I214" s="200" t="str">
        <f t="shared" si="3"/>
        <v>CORRECTO</v>
      </c>
      <c r="J214" s="88" t="s">
        <v>3244</v>
      </c>
      <c r="K214" s="116" t="s">
        <v>363</v>
      </c>
      <c r="L214" s="95" t="s">
        <v>227</v>
      </c>
      <c r="M214" s="159">
        <v>45855</v>
      </c>
      <c r="N214" s="22" t="s">
        <v>371</v>
      </c>
      <c r="P214" s="89"/>
      <c r="Q214" s="89"/>
    </row>
    <row r="215" spans="1:17" ht="14.25" customHeight="1" x14ac:dyDescent="0.3">
      <c r="A215" s="115" t="s">
        <v>480</v>
      </c>
      <c r="B215" s="115" t="s">
        <v>2161</v>
      </c>
      <c r="C215" s="28" t="s">
        <v>196</v>
      </c>
      <c r="D215" s="28" t="str">
        <f>IFERROR(VLOOKUP($C215,CUENTAS[],2,0),"")</f>
        <v>CAJA CHICA</v>
      </c>
      <c r="E215" s="28" t="str">
        <f>IFERROR(VLOOKUP($C215,CUENTAS[],3,0),"")</f>
        <v>MDE2025-005</v>
      </c>
      <c r="F215" s="86">
        <v>83853.61</v>
      </c>
      <c r="G215" s="129">
        <v>0</v>
      </c>
      <c r="H215" s="131">
        <v>83853.61</v>
      </c>
      <c r="I215" s="200" t="str">
        <f t="shared" si="3"/>
        <v>CORRECTO</v>
      </c>
      <c r="J215" s="88" t="s">
        <v>3244</v>
      </c>
      <c r="K215" s="116" t="s">
        <v>363</v>
      </c>
      <c r="L215" s="95" t="s">
        <v>227</v>
      </c>
      <c r="M215" s="159">
        <v>45867</v>
      </c>
      <c r="N215" s="22" t="s">
        <v>1840</v>
      </c>
      <c r="P215" s="89"/>
      <c r="Q215" s="89"/>
    </row>
    <row r="216" spans="1:17" ht="14.25" customHeight="1" x14ac:dyDescent="0.3">
      <c r="A216" s="115" t="s">
        <v>480</v>
      </c>
      <c r="B216" s="115" t="s">
        <v>2162</v>
      </c>
      <c r="C216" s="28" t="s">
        <v>196</v>
      </c>
      <c r="D216" s="28" t="str">
        <f>IFERROR(VLOOKUP($C216,CUENTAS[],2,0),"")</f>
        <v>CAJA CHICA</v>
      </c>
      <c r="E216" s="28" t="str">
        <f>IFERROR(VLOOKUP($C216,CUENTAS[],3,0),"")</f>
        <v>MDE2025-005</v>
      </c>
      <c r="F216" s="86">
        <v>25000</v>
      </c>
      <c r="G216" s="129">
        <v>0</v>
      </c>
      <c r="H216" s="131">
        <v>25000</v>
      </c>
      <c r="I216" s="200" t="str">
        <f t="shared" si="3"/>
        <v>CORRECTO</v>
      </c>
      <c r="J216" s="88" t="s">
        <v>3244</v>
      </c>
      <c r="K216" s="116" t="s">
        <v>363</v>
      </c>
      <c r="L216" s="95" t="s">
        <v>227</v>
      </c>
      <c r="M216" s="159">
        <v>45839</v>
      </c>
      <c r="N216" s="22" t="s">
        <v>410</v>
      </c>
      <c r="P216" s="89"/>
      <c r="Q216" s="89"/>
    </row>
    <row r="217" spans="1:17" ht="14.25" customHeight="1" x14ac:dyDescent="0.3">
      <c r="A217" s="115" t="s">
        <v>480</v>
      </c>
      <c r="B217" s="115" t="s">
        <v>2161</v>
      </c>
      <c r="C217" s="28" t="s">
        <v>196</v>
      </c>
      <c r="D217" s="28" t="str">
        <f>IFERROR(VLOOKUP($C217,CUENTAS[],2,0),"")</f>
        <v>CAJA CHICA</v>
      </c>
      <c r="E217" s="28" t="str">
        <f>IFERROR(VLOOKUP($C217,CUENTAS[],3,0),"")</f>
        <v>MDE2025-005</v>
      </c>
      <c r="F217" s="86">
        <v>74068.12</v>
      </c>
      <c r="G217" s="129">
        <v>0</v>
      </c>
      <c r="H217" s="131">
        <v>74068.12</v>
      </c>
      <c r="I217" s="200" t="str">
        <f t="shared" si="3"/>
        <v>CORRECTO</v>
      </c>
      <c r="J217" s="88" t="s">
        <v>3244</v>
      </c>
      <c r="K217" s="116" t="s">
        <v>363</v>
      </c>
      <c r="L217" s="95" t="s">
        <v>227</v>
      </c>
      <c r="M217" s="159">
        <v>45839</v>
      </c>
      <c r="N217" s="22" t="s">
        <v>1840</v>
      </c>
      <c r="P217" s="89"/>
      <c r="Q217" s="89"/>
    </row>
    <row r="218" spans="1:17" ht="14.25" customHeight="1" x14ac:dyDescent="0.3">
      <c r="A218" s="115" t="s">
        <v>480</v>
      </c>
      <c r="B218" s="115" t="s">
        <v>1573</v>
      </c>
      <c r="C218" s="28" t="s">
        <v>196</v>
      </c>
      <c r="D218" s="28" t="str">
        <f>IFERROR(VLOOKUP($C218,CUENTAS[],2,0),"")</f>
        <v>CAJA CHICA</v>
      </c>
      <c r="E218" s="28" t="str">
        <f>IFERROR(VLOOKUP($C218,CUENTAS[],3,0),"")</f>
        <v>MDE2025-005</v>
      </c>
      <c r="F218" s="86">
        <v>82106.720000000001</v>
      </c>
      <c r="G218" s="129">
        <v>0</v>
      </c>
      <c r="H218" s="131">
        <v>82106.720000000001</v>
      </c>
      <c r="I218" s="200" t="str">
        <f t="shared" si="3"/>
        <v>CORRECTO</v>
      </c>
      <c r="J218" s="88" t="s">
        <v>3244</v>
      </c>
      <c r="K218" s="116" t="s">
        <v>363</v>
      </c>
      <c r="L218" s="95" t="s">
        <v>227</v>
      </c>
      <c r="M218" s="159">
        <v>45842</v>
      </c>
      <c r="N218" s="22" t="s">
        <v>1840</v>
      </c>
      <c r="P218" s="89"/>
      <c r="Q218" s="89"/>
    </row>
    <row r="219" spans="1:17" ht="14.25" customHeight="1" x14ac:dyDescent="0.3">
      <c r="A219" s="115" t="s">
        <v>480</v>
      </c>
      <c r="B219" s="115" t="s">
        <v>2159</v>
      </c>
      <c r="C219" s="28" t="s">
        <v>196</v>
      </c>
      <c r="D219" s="28" t="str">
        <f>IFERROR(VLOOKUP($C219,CUENTAS[],2,0),"")</f>
        <v>CAJA CHICA</v>
      </c>
      <c r="E219" s="28" t="str">
        <f>IFERROR(VLOOKUP($C219,CUENTAS[],3,0),"")</f>
        <v>MDE2025-005</v>
      </c>
      <c r="F219" s="86">
        <v>26242.05</v>
      </c>
      <c r="G219" s="129">
        <v>0</v>
      </c>
      <c r="H219" s="131">
        <v>26242.05</v>
      </c>
      <c r="I219" s="200" t="str">
        <f t="shared" si="3"/>
        <v>CORRECTO</v>
      </c>
      <c r="J219" s="88" t="s">
        <v>3244</v>
      </c>
      <c r="K219" s="116" t="s">
        <v>363</v>
      </c>
      <c r="L219" s="95" t="s">
        <v>227</v>
      </c>
      <c r="M219" s="159">
        <v>45842</v>
      </c>
      <c r="N219" s="22" t="s">
        <v>371</v>
      </c>
      <c r="P219" s="89"/>
      <c r="Q219" s="89"/>
    </row>
    <row r="220" spans="1:17" ht="14.25" customHeight="1" x14ac:dyDescent="0.3">
      <c r="A220" s="115" t="s">
        <v>480</v>
      </c>
      <c r="B220" s="115" t="s">
        <v>2159</v>
      </c>
      <c r="C220" s="28" t="s">
        <v>196</v>
      </c>
      <c r="D220" s="28" t="str">
        <f>IFERROR(VLOOKUP($C220,CUENTAS[],2,0),"")</f>
        <v>CAJA CHICA</v>
      </c>
      <c r="E220" s="28" t="str">
        <f>IFERROR(VLOOKUP($C220,CUENTAS[],3,0),"")</f>
        <v>MDE2025-005</v>
      </c>
      <c r="F220" s="86">
        <v>26242.05</v>
      </c>
      <c r="G220" s="129">
        <v>0</v>
      </c>
      <c r="H220" s="131">
        <v>26242.05</v>
      </c>
      <c r="I220" s="200" t="str">
        <f t="shared" si="3"/>
        <v>CORRECTO</v>
      </c>
      <c r="J220" s="88" t="s">
        <v>3244</v>
      </c>
      <c r="K220" s="116" t="s">
        <v>363</v>
      </c>
      <c r="L220" s="95" t="s">
        <v>227</v>
      </c>
      <c r="M220" s="159">
        <v>45848</v>
      </c>
      <c r="N220" s="22" t="s">
        <v>371</v>
      </c>
      <c r="P220" s="89"/>
      <c r="Q220" s="89"/>
    </row>
    <row r="221" spans="1:17" ht="14.25" customHeight="1" x14ac:dyDescent="0.3">
      <c r="A221" s="115" t="s">
        <v>480</v>
      </c>
      <c r="B221" s="115" t="s">
        <v>1573</v>
      </c>
      <c r="C221" s="28" t="s">
        <v>196</v>
      </c>
      <c r="D221" s="28" t="str">
        <f>IFERROR(VLOOKUP($C221,CUENTAS[],2,0),"")</f>
        <v>CAJA CHICA</v>
      </c>
      <c r="E221" s="28" t="str">
        <f>IFERROR(VLOOKUP($C221,CUENTAS[],3,0),"")</f>
        <v>MDE2025-005</v>
      </c>
      <c r="F221" s="86">
        <v>65076.53</v>
      </c>
      <c r="G221" s="129">
        <v>0</v>
      </c>
      <c r="H221" s="131">
        <v>65076.53</v>
      </c>
      <c r="I221" s="200" t="str">
        <f t="shared" si="3"/>
        <v>CORRECTO</v>
      </c>
      <c r="J221" s="88" t="s">
        <v>3244</v>
      </c>
      <c r="K221" s="116" t="s">
        <v>363</v>
      </c>
      <c r="L221" s="95" t="s">
        <v>227</v>
      </c>
      <c r="M221" s="159">
        <v>45848</v>
      </c>
      <c r="N221" s="22" t="s">
        <v>1840</v>
      </c>
      <c r="P221" s="89"/>
      <c r="Q221" s="89"/>
    </row>
    <row r="222" spans="1:17" ht="14.25" customHeight="1" x14ac:dyDescent="0.3">
      <c r="A222" s="115" t="s">
        <v>480</v>
      </c>
      <c r="B222" s="115" t="s">
        <v>2161</v>
      </c>
      <c r="C222" s="28" t="s">
        <v>196</v>
      </c>
      <c r="D222" s="28" t="str">
        <f>IFERROR(VLOOKUP($C222,CUENTAS[],2,0),"")</f>
        <v>CAJA CHICA</v>
      </c>
      <c r="E222" s="28" t="str">
        <f>IFERROR(VLOOKUP($C222,CUENTAS[],3,0),"")</f>
        <v>MDE2025-005</v>
      </c>
      <c r="F222" s="86">
        <v>39151.9</v>
      </c>
      <c r="G222" s="129">
        <v>0</v>
      </c>
      <c r="H222" s="131">
        <v>39151.9</v>
      </c>
      <c r="I222" s="200" t="str">
        <f t="shared" si="3"/>
        <v>CORRECTO</v>
      </c>
      <c r="J222" s="88" t="s">
        <v>3244</v>
      </c>
      <c r="K222" s="116" t="s">
        <v>363</v>
      </c>
      <c r="L222" s="95" t="s">
        <v>227</v>
      </c>
      <c r="M222" s="159">
        <v>45860</v>
      </c>
      <c r="N222" s="22" t="s">
        <v>1840</v>
      </c>
      <c r="P222" s="89"/>
      <c r="Q222" s="89"/>
    </row>
    <row r="223" spans="1:17" ht="14.25" customHeight="1" x14ac:dyDescent="0.3">
      <c r="A223" s="115" t="s">
        <v>480</v>
      </c>
      <c r="B223" s="115" t="s">
        <v>2161</v>
      </c>
      <c r="C223" s="28" t="s">
        <v>196</v>
      </c>
      <c r="D223" s="28" t="str">
        <f>IFERROR(VLOOKUP($C223,CUENTAS[],2,0),"")</f>
        <v>CAJA CHICA</v>
      </c>
      <c r="E223" s="28" t="str">
        <f>IFERROR(VLOOKUP($C223,CUENTAS[],3,0),"")</f>
        <v>MDE2025-005</v>
      </c>
      <c r="F223" s="86">
        <v>73420.479999999996</v>
      </c>
      <c r="G223" s="129">
        <v>0</v>
      </c>
      <c r="H223" s="131">
        <v>73420.479999999996</v>
      </c>
      <c r="I223" s="200" t="str">
        <f t="shared" si="3"/>
        <v>CORRECTO</v>
      </c>
      <c r="J223" s="88" t="s">
        <v>3244</v>
      </c>
      <c r="K223" s="116" t="s">
        <v>363</v>
      </c>
      <c r="L223" s="95" t="s">
        <v>227</v>
      </c>
      <c r="M223" s="159">
        <v>45855</v>
      </c>
      <c r="N223" s="22" t="s">
        <v>1840</v>
      </c>
      <c r="P223" s="89"/>
      <c r="Q223" s="89"/>
    </row>
    <row r="224" spans="1:17" ht="14.25" customHeight="1" x14ac:dyDescent="0.3">
      <c r="A224" s="115" t="s">
        <v>606</v>
      </c>
      <c r="B224" s="115" t="s">
        <v>1106</v>
      </c>
      <c r="C224" s="28" t="s">
        <v>196</v>
      </c>
      <c r="D224" s="28" t="str">
        <f>IFERROR(VLOOKUP($C224,CUENTAS[],2,0),"")</f>
        <v>CAJA CHICA</v>
      </c>
      <c r="E224" s="28" t="str">
        <f>IFERROR(VLOOKUP($C224,CUENTAS[],3,0),"")</f>
        <v>MDE2025-005</v>
      </c>
      <c r="F224" s="86">
        <v>400000</v>
      </c>
      <c r="G224" s="129">
        <v>0</v>
      </c>
      <c r="H224" s="131">
        <v>400000</v>
      </c>
      <c r="I224" s="200" t="str">
        <f t="shared" si="3"/>
        <v>CORRECTO</v>
      </c>
      <c r="J224" s="88" t="s">
        <v>3244</v>
      </c>
      <c r="K224" s="116" t="s">
        <v>360</v>
      </c>
      <c r="L224" s="95" t="s">
        <v>227</v>
      </c>
      <c r="M224" s="159">
        <v>45842</v>
      </c>
      <c r="N224" s="22" t="s">
        <v>371</v>
      </c>
      <c r="P224" s="89"/>
      <c r="Q224" s="89"/>
    </row>
    <row r="225" spans="1:17" x14ac:dyDescent="0.3">
      <c r="A225" s="120" t="s">
        <v>1986</v>
      </c>
      <c r="B225" s="120" t="s">
        <v>1987</v>
      </c>
      <c r="C225" s="28" t="s">
        <v>153</v>
      </c>
      <c r="D225" s="28" t="str">
        <f>IFERROR(VLOOKUP($C225,CUENTAS[],2,0),"")</f>
        <v>GASTOS FIJOS</v>
      </c>
      <c r="E225" s="28" t="str">
        <f>IFERROR(VLOOKUP($C225,CUENTAS[],3,0),"")</f>
        <v>MDE2025-002L</v>
      </c>
      <c r="F225" s="86">
        <v>418.2</v>
      </c>
      <c r="G225" s="129">
        <v>0</v>
      </c>
      <c r="H225" s="132">
        <v>418.2</v>
      </c>
      <c r="I225" s="200" t="str">
        <f t="shared" si="3"/>
        <v>CORRECTO</v>
      </c>
      <c r="J225" s="88" t="s">
        <v>2614</v>
      </c>
      <c r="K225" s="121" t="s">
        <v>364</v>
      </c>
      <c r="L225" s="95" t="s">
        <v>227</v>
      </c>
      <c r="M225" s="186">
        <v>45839</v>
      </c>
      <c r="N225" s="123" t="s">
        <v>371</v>
      </c>
      <c r="P225" s="89"/>
      <c r="Q225" s="89"/>
    </row>
    <row r="226" spans="1:17" x14ac:dyDescent="0.3">
      <c r="A226" s="120" t="s">
        <v>1503</v>
      </c>
      <c r="B226" s="120" t="s">
        <v>1987</v>
      </c>
      <c r="C226" s="28" t="s">
        <v>153</v>
      </c>
      <c r="D226" s="28" t="str">
        <f>IFERROR(VLOOKUP($C226,CUENTAS[],2,0),"")</f>
        <v>GASTOS FIJOS</v>
      </c>
      <c r="E226" s="28" t="str">
        <f>IFERROR(VLOOKUP($C226,CUENTAS[],3,0),"")</f>
        <v>MDE2025-002L</v>
      </c>
      <c r="F226" s="86">
        <v>557.6</v>
      </c>
      <c r="G226" s="129">
        <v>0</v>
      </c>
      <c r="H226" s="132">
        <v>557.6</v>
      </c>
      <c r="I226" s="200" t="str">
        <f t="shared" si="3"/>
        <v>CORRECTO</v>
      </c>
      <c r="J226" s="88" t="s">
        <v>2614</v>
      </c>
      <c r="K226" s="121" t="s">
        <v>364</v>
      </c>
      <c r="L226" s="95" t="s">
        <v>227</v>
      </c>
      <c r="M226" s="186">
        <v>45840</v>
      </c>
      <c r="N226" s="123" t="s">
        <v>371</v>
      </c>
      <c r="P226" s="89"/>
      <c r="Q226" s="89"/>
    </row>
    <row r="227" spans="1:17" x14ac:dyDescent="0.3">
      <c r="A227" s="120" t="s">
        <v>1986</v>
      </c>
      <c r="B227" s="120" t="s">
        <v>1988</v>
      </c>
      <c r="C227" s="28" t="s">
        <v>153</v>
      </c>
      <c r="D227" s="28" t="str">
        <f>IFERROR(VLOOKUP($C227,CUENTAS[],2,0),"")</f>
        <v>GASTOS FIJOS</v>
      </c>
      <c r="E227" s="28" t="str">
        <f>IFERROR(VLOOKUP($C227,CUENTAS[],3,0),"")</f>
        <v>MDE2025-002L</v>
      </c>
      <c r="F227" s="86">
        <v>83.33</v>
      </c>
      <c r="G227" s="129">
        <v>0</v>
      </c>
      <c r="H227" s="132">
        <v>83.33</v>
      </c>
      <c r="I227" s="200" t="str">
        <f t="shared" si="3"/>
        <v>CORRECTO</v>
      </c>
      <c r="J227" s="88" t="s">
        <v>2614</v>
      </c>
      <c r="K227" s="121" t="s">
        <v>364</v>
      </c>
      <c r="L227" s="95" t="s">
        <v>227</v>
      </c>
      <c r="M227" s="186">
        <v>45846</v>
      </c>
      <c r="N227" s="123" t="s">
        <v>371</v>
      </c>
      <c r="P227" s="89"/>
      <c r="Q227" s="89"/>
    </row>
    <row r="228" spans="1:17" x14ac:dyDescent="0.3">
      <c r="A228" s="120" t="s">
        <v>1986</v>
      </c>
      <c r="B228" s="120" t="s">
        <v>1989</v>
      </c>
      <c r="C228" s="28" t="s">
        <v>153</v>
      </c>
      <c r="D228" s="28" t="str">
        <f>IFERROR(VLOOKUP($C228,CUENTAS[],2,0),"")</f>
        <v>GASTOS FIJOS</v>
      </c>
      <c r="E228" s="28" t="str">
        <f>IFERROR(VLOOKUP($C228,CUENTAS[],3,0),"")</f>
        <v>MDE2025-002L</v>
      </c>
      <c r="F228" s="86">
        <v>249.99</v>
      </c>
      <c r="G228" s="129">
        <v>0</v>
      </c>
      <c r="H228" s="132">
        <v>249.99</v>
      </c>
      <c r="I228" s="200" t="str">
        <f t="shared" si="3"/>
        <v>CORRECTO</v>
      </c>
      <c r="J228" s="88" t="s">
        <v>2614</v>
      </c>
      <c r="K228" s="121" t="s">
        <v>364</v>
      </c>
      <c r="L228" s="95" t="s">
        <v>227</v>
      </c>
      <c r="M228" s="186">
        <v>45847</v>
      </c>
      <c r="N228" s="123" t="s">
        <v>371</v>
      </c>
      <c r="P228" s="89"/>
      <c r="Q228" s="89"/>
    </row>
    <row r="229" spans="1:17" x14ac:dyDescent="0.3">
      <c r="A229" s="120" t="s">
        <v>116</v>
      </c>
      <c r="B229" s="120" t="s">
        <v>1990</v>
      </c>
      <c r="C229" s="28" t="s">
        <v>153</v>
      </c>
      <c r="D229" s="28" t="str">
        <f>IFERROR(VLOOKUP($C229,CUENTAS[],2,0),"")</f>
        <v>GASTOS FIJOS</v>
      </c>
      <c r="E229" s="28" t="str">
        <f>IFERROR(VLOOKUP($C229,CUENTAS[],3,0),"")</f>
        <v>MDE2025-002L</v>
      </c>
      <c r="F229" s="132">
        <v>321.43</v>
      </c>
      <c r="G229" s="129">
        <v>0</v>
      </c>
      <c r="H229" s="132">
        <v>321.43</v>
      </c>
      <c r="I229" s="200" t="str">
        <f t="shared" si="3"/>
        <v>CORRECTO</v>
      </c>
      <c r="J229" s="88" t="s">
        <v>3244</v>
      </c>
      <c r="K229" s="121" t="s">
        <v>364</v>
      </c>
      <c r="L229" s="95" t="s">
        <v>227</v>
      </c>
      <c r="M229" s="186">
        <v>45845</v>
      </c>
      <c r="N229" s="123" t="s">
        <v>371</v>
      </c>
      <c r="P229" s="89"/>
      <c r="Q229" s="89"/>
    </row>
    <row r="230" spans="1:17" x14ac:dyDescent="0.3">
      <c r="A230" s="120" t="s">
        <v>116</v>
      </c>
      <c r="B230" s="120" t="s">
        <v>1990</v>
      </c>
      <c r="C230" s="28" t="s">
        <v>153</v>
      </c>
      <c r="D230" s="28" t="str">
        <f>IFERROR(VLOOKUP($C230,CUENTAS[],2,0),"")</f>
        <v>GASTOS FIJOS</v>
      </c>
      <c r="E230" s="28" t="str">
        <f>IFERROR(VLOOKUP($C230,CUENTAS[],3,0),"")</f>
        <v>MDE2025-002L</v>
      </c>
      <c r="F230" s="132">
        <v>30088.65</v>
      </c>
      <c r="G230" s="129">
        <v>0</v>
      </c>
      <c r="H230" s="132">
        <v>30088.65</v>
      </c>
      <c r="I230" s="200" t="str">
        <f t="shared" si="3"/>
        <v>CORRECTO</v>
      </c>
      <c r="J230" s="88" t="s">
        <v>3244</v>
      </c>
      <c r="K230" s="121" t="s">
        <v>364</v>
      </c>
      <c r="L230" s="95" t="s">
        <v>227</v>
      </c>
      <c r="M230" s="186">
        <v>45845</v>
      </c>
      <c r="N230" s="123" t="s">
        <v>371</v>
      </c>
      <c r="P230" s="89"/>
      <c r="Q230" s="89"/>
    </row>
    <row r="231" spans="1:17" x14ac:dyDescent="0.3">
      <c r="A231" s="120" t="s">
        <v>116</v>
      </c>
      <c r="B231" s="120" t="s">
        <v>1991</v>
      </c>
      <c r="C231" s="28" t="s">
        <v>153</v>
      </c>
      <c r="D231" s="28" t="str">
        <f>IFERROR(VLOOKUP($C231,CUENTAS[],2,0),"")</f>
        <v>GASTOS FIJOS</v>
      </c>
      <c r="E231" s="28" t="str">
        <f>IFERROR(VLOOKUP($C231,CUENTAS[],3,0),"")</f>
        <v>MDE2025-002L</v>
      </c>
      <c r="F231" s="132">
        <v>23405.83</v>
      </c>
      <c r="G231" s="129">
        <v>0</v>
      </c>
      <c r="H231" s="132">
        <v>23405.83</v>
      </c>
      <c r="I231" s="200" t="str">
        <f t="shared" si="3"/>
        <v>CORRECTO</v>
      </c>
      <c r="J231" s="88" t="s">
        <v>3244</v>
      </c>
      <c r="K231" s="121" t="s">
        <v>364</v>
      </c>
      <c r="L231" s="95" t="s">
        <v>227</v>
      </c>
      <c r="M231" s="186">
        <v>45852</v>
      </c>
      <c r="N231" s="123" t="s">
        <v>371</v>
      </c>
      <c r="P231" s="89"/>
      <c r="Q231" s="89"/>
    </row>
    <row r="232" spans="1:17" x14ac:dyDescent="0.3">
      <c r="A232" s="120" t="s">
        <v>116</v>
      </c>
      <c r="B232" s="120" t="s">
        <v>1992</v>
      </c>
      <c r="C232" s="28" t="s">
        <v>153</v>
      </c>
      <c r="D232" s="28" t="str">
        <f>IFERROR(VLOOKUP($C232,CUENTAS[],2,0),"")</f>
        <v>GASTOS FIJOS</v>
      </c>
      <c r="E232" s="28" t="str">
        <f>IFERROR(VLOOKUP($C232,CUENTAS[],3,0),"")</f>
        <v>MDE2025-002L</v>
      </c>
      <c r="F232" s="132">
        <v>33466.82</v>
      </c>
      <c r="G232" s="129">
        <v>0</v>
      </c>
      <c r="H232" s="132">
        <v>33466.82</v>
      </c>
      <c r="I232" s="200" t="str">
        <f t="shared" si="3"/>
        <v>CORRECTO</v>
      </c>
      <c r="J232" s="88" t="s">
        <v>3244</v>
      </c>
      <c r="K232" s="121" t="s">
        <v>364</v>
      </c>
      <c r="L232" s="95" t="s">
        <v>227</v>
      </c>
      <c r="M232" s="186">
        <v>45859</v>
      </c>
      <c r="N232" s="123" t="s">
        <v>371</v>
      </c>
      <c r="P232" s="89"/>
      <c r="Q232" s="89"/>
    </row>
    <row r="233" spans="1:17" x14ac:dyDescent="0.3">
      <c r="A233" s="120" t="s">
        <v>116</v>
      </c>
      <c r="B233" s="120" t="s">
        <v>1993</v>
      </c>
      <c r="C233" s="28" t="s">
        <v>153</v>
      </c>
      <c r="D233" s="28" t="str">
        <f>IFERROR(VLOOKUP($C233,CUENTAS[],2,0),"")</f>
        <v>GASTOS FIJOS</v>
      </c>
      <c r="E233" s="28" t="str">
        <f>IFERROR(VLOOKUP($C233,CUENTAS[],3,0),"")</f>
        <v>MDE2025-002L</v>
      </c>
      <c r="F233" s="132">
        <v>33308.67</v>
      </c>
      <c r="G233" s="129">
        <v>0</v>
      </c>
      <c r="H233" s="132">
        <v>33308.67</v>
      </c>
      <c r="I233" s="200" t="str">
        <f t="shared" si="3"/>
        <v>CORRECTO</v>
      </c>
      <c r="J233" s="88" t="s">
        <v>3244</v>
      </c>
      <c r="K233" s="121" t="s">
        <v>364</v>
      </c>
      <c r="L233" s="95" t="s">
        <v>227</v>
      </c>
      <c r="M233" s="186">
        <v>45866</v>
      </c>
      <c r="N233" s="123" t="s">
        <v>371</v>
      </c>
      <c r="P233" s="89"/>
      <c r="Q233" s="89"/>
    </row>
    <row r="234" spans="1:17" x14ac:dyDescent="0.3">
      <c r="A234" s="120" t="s">
        <v>929</v>
      </c>
      <c r="B234" s="120" t="s">
        <v>1994</v>
      </c>
      <c r="C234" s="28" t="s">
        <v>178</v>
      </c>
      <c r="D234" s="28" t="str">
        <f>IFERROR(VLOOKUP($C234,CUENTAS[],2,0),"")</f>
        <v>GASTOS FIJOS</v>
      </c>
      <c r="E234" s="28" t="str">
        <f>IFERROR(VLOOKUP($C234,CUENTAS[],3,0),"")</f>
        <v>MDE2025-002O</v>
      </c>
      <c r="F234" s="86">
        <v>65875.360000000001</v>
      </c>
      <c r="G234" s="129">
        <v>0</v>
      </c>
      <c r="H234" s="132">
        <v>65875.360000000001</v>
      </c>
      <c r="I234" s="200" t="str">
        <f t="shared" si="3"/>
        <v>CORRECTO</v>
      </c>
      <c r="J234" s="88" t="s">
        <v>3244</v>
      </c>
      <c r="K234" s="121" t="s">
        <v>364</v>
      </c>
      <c r="L234" s="95" t="s">
        <v>227</v>
      </c>
      <c r="M234" s="186">
        <v>45823</v>
      </c>
      <c r="N234" s="123" t="s">
        <v>371</v>
      </c>
      <c r="P234" s="89"/>
      <c r="Q234" s="89"/>
    </row>
    <row r="235" spans="1:17" x14ac:dyDescent="0.3">
      <c r="A235" s="120" t="s">
        <v>929</v>
      </c>
      <c r="B235" s="120" t="s">
        <v>1995</v>
      </c>
      <c r="C235" s="28" t="s">
        <v>178</v>
      </c>
      <c r="D235" s="28" t="str">
        <f>IFERROR(VLOOKUP($C235,CUENTAS[],2,0),"")</f>
        <v>GASTOS FIJOS</v>
      </c>
      <c r="E235" s="28" t="str">
        <f>IFERROR(VLOOKUP($C235,CUENTAS[],3,0),"")</f>
        <v>MDE2025-002O</v>
      </c>
      <c r="F235" s="86">
        <v>178636.64</v>
      </c>
      <c r="G235" s="129">
        <v>0</v>
      </c>
      <c r="H235" s="132">
        <v>178636.64</v>
      </c>
      <c r="I235" s="200" t="str">
        <f t="shared" si="3"/>
        <v>CORRECTO</v>
      </c>
      <c r="J235" s="88" t="s">
        <v>3244</v>
      </c>
      <c r="K235" s="121" t="s">
        <v>364</v>
      </c>
      <c r="L235" s="95" t="s">
        <v>227</v>
      </c>
      <c r="M235" s="186">
        <v>45823</v>
      </c>
      <c r="N235" s="123" t="s">
        <v>371</v>
      </c>
      <c r="P235" s="89"/>
      <c r="Q235" s="89"/>
    </row>
    <row r="236" spans="1:17" x14ac:dyDescent="0.3">
      <c r="A236" s="120" t="s">
        <v>929</v>
      </c>
      <c r="B236" s="120" t="s">
        <v>935</v>
      </c>
      <c r="C236" s="28" t="s">
        <v>157</v>
      </c>
      <c r="D236" s="28" t="str">
        <f>IFERROR(VLOOKUP($C236,CUENTAS[],2,0),"")</f>
        <v>GASTOS FIJOS</v>
      </c>
      <c r="E236" s="28" t="str">
        <f>IFERROR(VLOOKUP($C236,CUENTAS[],3,0),"")</f>
        <v>MDE2025-002Q</v>
      </c>
      <c r="F236" s="86">
        <v>-2500</v>
      </c>
      <c r="G236" s="129">
        <v>0</v>
      </c>
      <c r="H236" s="132">
        <v>-2500</v>
      </c>
      <c r="I236" s="200" t="str">
        <f t="shared" si="3"/>
        <v>CORRECTO</v>
      </c>
      <c r="J236" s="88" t="s">
        <v>3244</v>
      </c>
      <c r="K236" s="121" t="s">
        <v>364</v>
      </c>
      <c r="L236" s="95" t="s">
        <v>227</v>
      </c>
      <c r="M236" s="186">
        <v>45823</v>
      </c>
      <c r="N236" s="123" t="s">
        <v>371</v>
      </c>
      <c r="P236" s="89"/>
      <c r="Q236" s="89"/>
    </row>
    <row r="237" spans="1:17" x14ac:dyDescent="0.3">
      <c r="A237" s="120" t="s">
        <v>929</v>
      </c>
      <c r="B237" s="120" t="s">
        <v>1996</v>
      </c>
      <c r="C237" s="28" t="s">
        <v>178</v>
      </c>
      <c r="D237" s="28" t="str">
        <f>IFERROR(VLOOKUP($C237,CUENTAS[],2,0),"")</f>
        <v>GASTOS FIJOS</v>
      </c>
      <c r="E237" s="28" t="str">
        <f>IFERROR(VLOOKUP($C237,CUENTAS[],3,0),"")</f>
        <v>MDE2025-002O</v>
      </c>
      <c r="F237" s="86">
        <v>69992.570000000007</v>
      </c>
      <c r="G237" s="129">
        <v>0</v>
      </c>
      <c r="H237" s="132">
        <v>69992.570000000007</v>
      </c>
      <c r="I237" s="200" t="str">
        <f t="shared" si="3"/>
        <v>CORRECTO</v>
      </c>
      <c r="J237" s="88" t="s">
        <v>3244</v>
      </c>
      <c r="K237" s="121" t="s">
        <v>364</v>
      </c>
      <c r="L237" s="95" t="s">
        <v>227</v>
      </c>
      <c r="M237" s="186">
        <v>45823</v>
      </c>
      <c r="N237" s="123" t="s">
        <v>371</v>
      </c>
      <c r="P237" s="89"/>
      <c r="Q237" s="89"/>
    </row>
    <row r="238" spans="1:17" x14ac:dyDescent="0.3">
      <c r="A238" s="120" t="s">
        <v>929</v>
      </c>
      <c r="B238" s="120" t="s">
        <v>1997</v>
      </c>
      <c r="C238" s="28" t="s">
        <v>178</v>
      </c>
      <c r="D238" s="28" t="str">
        <f>IFERROR(VLOOKUP($C238,CUENTAS[],2,0),"")</f>
        <v>GASTOS FIJOS</v>
      </c>
      <c r="E238" s="28" t="str">
        <f>IFERROR(VLOOKUP($C238,CUENTAS[],3,0),"")</f>
        <v>MDE2025-002O</v>
      </c>
      <c r="F238" s="86">
        <v>177886.06</v>
      </c>
      <c r="G238" s="129">
        <v>0</v>
      </c>
      <c r="H238" s="132">
        <v>177886.06</v>
      </c>
      <c r="I238" s="200" t="str">
        <f t="shared" si="3"/>
        <v>CORRECTO</v>
      </c>
      <c r="J238" s="88" t="s">
        <v>3244</v>
      </c>
      <c r="K238" s="121" t="s">
        <v>364</v>
      </c>
      <c r="L238" s="95" t="s">
        <v>227</v>
      </c>
      <c r="M238" s="186">
        <v>45823</v>
      </c>
      <c r="N238" s="123" t="s">
        <v>371</v>
      </c>
      <c r="P238" s="89"/>
      <c r="Q238" s="89"/>
    </row>
    <row r="239" spans="1:17" x14ac:dyDescent="0.3">
      <c r="A239" s="120" t="s">
        <v>929</v>
      </c>
      <c r="B239" s="120" t="s">
        <v>935</v>
      </c>
      <c r="C239" s="28" t="s">
        <v>157</v>
      </c>
      <c r="D239" s="28" t="str">
        <f>IFERROR(VLOOKUP($C239,CUENTAS[],2,0),"")</f>
        <v>GASTOS FIJOS</v>
      </c>
      <c r="E239" s="28" t="str">
        <f>IFERROR(VLOOKUP($C239,CUENTAS[],3,0),"")</f>
        <v>MDE2025-002Q</v>
      </c>
      <c r="F239" s="86">
        <v>-2000</v>
      </c>
      <c r="G239" s="129">
        <v>0</v>
      </c>
      <c r="H239" s="132">
        <v>-2000</v>
      </c>
      <c r="I239" s="200" t="str">
        <f t="shared" si="3"/>
        <v>CORRECTO</v>
      </c>
      <c r="J239" s="88" t="s">
        <v>3244</v>
      </c>
      <c r="K239" s="121" t="s">
        <v>364</v>
      </c>
      <c r="L239" s="95" t="s">
        <v>227</v>
      </c>
      <c r="M239" s="186">
        <v>45823</v>
      </c>
      <c r="N239" s="123" t="s">
        <v>371</v>
      </c>
      <c r="P239" s="89"/>
      <c r="Q239" s="89"/>
    </row>
    <row r="240" spans="1:17" x14ac:dyDescent="0.3">
      <c r="A240" s="120" t="s">
        <v>929</v>
      </c>
      <c r="B240" s="120" t="s">
        <v>940</v>
      </c>
      <c r="C240" s="28" t="s">
        <v>178</v>
      </c>
      <c r="D240" s="28" t="str">
        <f>IFERROR(VLOOKUP($C240,CUENTAS[],2,0),"")</f>
        <v>GASTOS FIJOS</v>
      </c>
      <c r="E240" s="28" t="str">
        <f>IFERROR(VLOOKUP($C240,CUENTAS[],3,0),"")</f>
        <v>MDE2025-002O</v>
      </c>
      <c r="F240" s="86">
        <v>12000</v>
      </c>
      <c r="G240" s="129">
        <v>0</v>
      </c>
      <c r="H240" s="132">
        <v>12000</v>
      </c>
      <c r="I240" s="200" t="str">
        <f t="shared" si="3"/>
        <v>CORRECTO</v>
      </c>
      <c r="J240" s="88" t="s">
        <v>3244</v>
      </c>
      <c r="K240" s="121" t="s">
        <v>364</v>
      </c>
      <c r="L240" s="95" t="s">
        <v>227</v>
      </c>
      <c r="M240" s="186">
        <v>45823</v>
      </c>
      <c r="N240" s="123" t="s">
        <v>371</v>
      </c>
      <c r="P240" s="89"/>
      <c r="Q240" s="89"/>
    </row>
    <row r="241" spans="1:17" x14ac:dyDescent="0.3">
      <c r="A241" s="120" t="s">
        <v>228</v>
      </c>
      <c r="B241" s="120" t="s">
        <v>1998</v>
      </c>
      <c r="C241" s="28" t="s">
        <v>157</v>
      </c>
      <c r="D241" s="28" t="str">
        <f>IFERROR(VLOOKUP($C241,CUENTAS[],2,0),"")</f>
        <v>GASTOS FIJOS</v>
      </c>
      <c r="E241" s="28" t="str">
        <f>IFERROR(VLOOKUP($C241,CUENTAS[],3,0),"")</f>
        <v>MDE2025-002Q</v>
      </c>
      <c r="F241" s="86">
        <v>2000</v>
      </c>
      <c r="G241" s="129">
        <v>0</v>
      </c>
      <c r="H241" s="132">
        <v>2000</v>
      </c>
      <c r="I241" s="200" t="str">
        <f t="shared" si="3"/>
        <v>CORRECTO</v>
      </c>
      <c r="J241" s="88" t="s">
        <v>3244</v>
      </c>
      <c r="K241" s="121" t="s">
        <v>363</v>
      </c>
      <c r="L241" s="95" t="s">
        <v>227</v>
      </c>
      <c r="M241" s="186">
        <v>45842</v>
      </c>
      <c r="N241" s="123" t="s">
        <v>387</v>
      </c>
      <c r="P241" s="89"/>
      <c r="Q241" s="89"/>
    </row>
    <row r="242" spans="1:17" x14ac:dyDescent="0.3">
      <c r="A242" s="120" t="s">
        <v>228</v>
      </c>
      <c r="B242" s="120" t="s">
        <v>1999</v>
      </c>
      <c r="C242" s="28" t="s">
        <v>157</v>
      </c>
      <c r="D242" s="28" t="str">
        <f>IFERROR(VLOOKUP($C242,CUENTAS[],2,0),"")</f>
        <v>GASTOS FIJOS</v>
      </c>
      <c r="E242" s="28" t="str">
        <f>IFERROR(VLOOKUP($C242,CUENTAS[],3,0),"")</f>
        <v>MDE2025-002Q</v>
      </c>
      <c r="F242" s="86">
        <v>23773</v>
      </c>
      <c r="G242" s="129">
        <v>0</v>
      </c>
      <c r="H242" s="132">
        <v>23773</v>
      </c>
      <c r="I242" s="200" t="str">
        <f t="shared" si="3"/>
        <v>CORRECTO</v>
      </c>
      <c r="J242" s="88" t="s">
        <v>3244</v>
      </c>
      <c r="K242" s="121" t="s">
        <v>360</v>
      </c>
      <c r="L242" s="95" t="s">
        <v>227</v>
      </c>
      <c r="M242" s="186">
        <v>45842</v>
      </c>
      <c r="N242" s="123" t="s">
        <v>368</v>
      </c>
      <c r="P242" s="89"/>
      <c r="Q242" s="89"/>
    </row>
    <row r="243" spans="1:17" x14ac:dyDescent="0.3">
      <c r="A243" s="120" t="s">
        <v>228</v>
      </c>
      <c r="B243" s="120" t="s">
        <v>2000</v>
      </c>
      <c r="C243" s="28" t="s">
        <v>157</v>
      </c>
      <c r="D243" s="28" t="str">
        <f>IFERROR(VLOOKUP($C243,CUENTAS[],2,0),"")</f>
        <v>GASTOS FIJOS</v>
      </c>
      <c r="E243" s="28" t="str">
        <f>IFERROR(VLOOKUP($C243,CUENTAS[],3,0),"")</f>
        <v>MDE2025-002Q</v>
      </c>
      <c r="F243" s="86">
        <v>5000</v>
      </c>
      <c r="G243" s="129">
        <v>0</v>
      </c>
      <c r="H243" s="132">
        <v>5000</v>
      </c>
      <c r="I243" s="200" t="str">
        <f t="shared" si="3"/>
        <v>CORRECTO</v>
      </c>
      <c r="J243" s="88" t="s">
        <v>3244</v>
      </c>
      <c r="K243" s="121" t="s">
        <v>360</v>
      </c>
      <c r="L243" s="95" t="s">
        <v>227</v>
      </c>
      <c r="M243" s="186">
        <v>45855</v>
      </c>
      <c r="N243" s="123" t="s">
        <v>368</v>
      </c>
      <c r="P243" s="89"/>
      <c r="Q243" s="89"/>
    </row>
    <row r="244" spans="1:17" x14ac:dyDescent="0.3">
      <c r="A244" s="120" t="s">
        <v>2001</v>
      </c>
      <c r="B244" s="120" t="s">
        <v>2002</v>
      </c>
      <c r="C244" s="28" t="s">
        <v>178</v>
      </c>
      <c r="D244" s="28" t="str">
        <f>IFERROR(VLOOKUP($C244,CUENTAS[],2,0),"")</f>
        <v>GASTOS FIJOS</v>
      </c>
      <c r="E244" s="28" t="str">
        <f>IFERROR(VLOOKUP($C244,CUENTAS[],3,0),"")</f>
        <v>MDE2025-002O</v>
      </c>
      <c r="F244" s="86">
        <v>3517.81</v>
      </c>
      <c r="G244" s="129">
        <v>0</v>
      </c>
      <c r="H244" s="132">
        <v>3517.81</v>
      </c>
      <c r="I244" s="200" t="str">
        <f t="shared" si="3"/>
        <v>CORRECTO</v>
      </c>
      <c r="J244" s="88" t="s">
        <v>2614</v>
      </c>
      <c r="K244" s="121" t="s">
        <v>364</v>
      </c>
      <c r="L244" s="95" t="s">
        <v>227</v>
      </c>
      <c r="M244" s="186">
        <v>45853</v>
      </c>
      <c r="N244" s="123" t="s">
        <v>371</v>
      </c>
      <c r="P244" s="89"/>
      <c r="Q244" s="89"/>
    </row>
    <row r="245" spans="1:17" x14ac:dyDescent="0.3">
      <c r="A245" s="120" t="s">
        <v>2003</v>
      </c>
      <c r="B245" s="120" t="s">
        <v>2004</v>
      </c>
      <c r="C245" s="28" t="s">
        <v>178</v>
      </c>
      <c r="D245" s="28" t="str">
        <f>IFERROR(VLOOKUP($C245,CUENTAS[],2,0),"")</f>
        <v>GASTOS FIJOS</v>
      </c>
      <c r="E245" s="28" t="str">
        <f>IFERROR(VLOOKUP($C245,CUENTAS[],3,0),"")</f>
        <v>MDE2025-002O</v>
      </c>
      <c r="F245" s="86">
        <v>1084.93</v>
      </c>
      <c r="G245" s="129">
        <v>0</v>
      </c>
      <c r="H245" s="132">
        <v>1084.93</v>
      </c>
      <c r="I245" s="200" t="str">
        <f t="shared" si="3"/>
        <v>CORRECTO</v>
      </c>
      <c r="J245" s="88" t="s">
        <v>2614</v>
      </c>
      <c r="K245" s="121" t="s">
        <v>364</v>
      </c>
      <c r="L245" s="95" t="s">
        <v>227</v>
      </c>
      <c r="M245" s="186">
        <v>45853</v>
      </c>
      <c r="N245" s="123" t="s">
        <v>371</v>
      </c>
      <c r="P245" s="89"/>
      <c r="Q245" s="89"/>
    </row>
    <row r="246" spans="1:17" x14ac:dyDescent="0.3">
      <c r="A246" s="120" t="s">
        <v>2005</v>
      </c>
      <c r="B246" s="120" t="s">
        <v>2006</v>
      </c>
      <c r="C246" s="28" t="s">
        <v>178</v>
      </c>
      <c r="D246" s="28" t="str">
        <f>IFERROR(VLOOKUP($C246,CUENTAS[],2,0),"")</f>
        <v>GASTOS FIJOS</v>
      </c>
      <c r="E246" s="28" t="str">
        <f>IFERROR(VLOOKUP($C246,CUENTAS[],3,0),"")</f>
        <v>MDE2025-002O</v>
      </c>
      <c r="F246" s="86">
        <v>3287.67</v>
      </c>
      <c r="G246" s="129">
        <v>0</v>
      </c>
      <c r="H246" s="132">
        <v>3287.67</v>
      </c>
      <c r="I246" s="200" t="str">
        <f t="shared" si="3"/>
        <v>CORRECTO</v>
      </c>
      <c r="J246" s="88" t="s">
        <v>2614</v>
      </c>
      <c r="K246" s="121" t="s">
        <v>364</v>
      </c>
      <c r="L246" s="95" t="s">
        <v>227</v>
      </c>
      <c r="M246" s="186">
        <v>45853</v>
      </c>
      <c r="N246" s="123" t="s">
        <v>371</v>
      </c>
      <c r="P246" s="89"/>
      <c r="Q246" s="89"/>
    </row>
    <row r="247" spans="1:17" x14ac:dyDescent="0.3">
      <c r="A247" s="77"/>
      <c r="B247" s="106"/>
      <c r="F247" s="124"/>
      <c r="G247" s="125"/>
      <c r="J247" s="125"/>
      <c r="L247" s="107"/>
      <c r="M247" s="183"/>
      <c r="N247" s="108"/>
    </row>
    <row r="248" spans="1:17" x14ac:dyDescent="0.3">
      <c r="A248" s="77"/>
      <c r="B248" s="106"/>
      <c r="F248" s="124"/>
      <c r="G248" s="125"/>
      <c r="J248" s="125"/>
      <c r="L248" s="107"/>
      <c r="M248" s="183"/>
      <c r="N248" s="108"/>
    </row>
    <row r="249" spans="1:17" ht="13.8" x14ac:dyDescent="0.3">
      <c r="A249" s="77"/>
      <c r="B249" s="106"/>
      <c r="F249" s="124"/>
      <c r="L249" s="107"/>
      <c r="M249" s="183"/>
      <c r="N249" s="4" t="s">
        <v>106</v>
      </c>
      <c r="O249" s="7">
        <f>+SUM(F:F)</f>
        <v>3378879.3100000005</v>
      </c>
    </row>
    <row r="250" spans="1:17" ht="13.8" x14ac:dyDescent="0.3">
      <c r="A250" s="77"/>
      <c r="B250" s="106"/>
      <c r="F250" s="124"/>
      <c r="L250" s="107"/>
      <c r="M250" s="183"/>
      <c r="N250" s="4" t="s">
        <v>107</v>
      </c>
      <c r="O250" s="7">
        <f>+SUM(G:G)</f>
        <v>133528.92000000001</v>
      </c>
    </row>
    <row r="251" spans="1:17" ht="15.6" x14ac:dyDescent="0.3">
      <c r="A251" s="77"/>
      <c r="B251" s="106"/>
      <c r="F251" s="124"/>
      <c r="L251" s="107"/>
      <c r="M251" s="183"/>
      <c r="N251" s="29" t="s">
        <v>149</v>
      </c>
      <c r="O251" s="7">
        <f>+SUM(H:H)</f>
        <v>3512408.23</v>
      </c>
      <c r="P251" s="31">
        <f>O251-O250-O249</f>
        <v>0</v>
      </c>
    </row>
    <row r="252" spans="1:17" x14ac:dyDescent="0.3">
      <c r="A252" s="77"/>
      <c r="B252" s="106"/>
      <c r="F252" s="124"/>
      <c r="L252" s="107"/>
      <c r="M252" s="183"/>
      <c r="N252" s="77"/>
      <c r="O252" s="67" t="str">
        <f>IF(P251&lt;&gt;0,"REVISAR CAPTURA","")</f>
        <v/>
      </c>
    </row>
    <row r="253" spans="1:17" x14ac:dyDescent="0.3">
      <c r="A253" s="77"/>
      <c r="B253" s="106"/>
      <c r="F253" s="124"/>
      <c r="G253" s="125"/>
      <c r="J253" s="125"/>
      <c r="L253" s="107"/>
      <c r="M253" s="183"/>
      <c r="N253" s="108"/>
    </row>
    <row r="254" spans="1:17" x14ac:dyDescent="0.3">
      <c r="A254" s="77"/>
      <c r="B254" s="106"/>
      <c r="F254" s="124"/>
      <c r="G254" s="125"/>
      <c r="J254" s="125"/>
      <c r="L254" s="107"/>
      <c r="M254" s="183"/>
      <c r="N254" s="108"/>
    </row>
    <row r="255" spans="1:17" x14ac:dyDescent="0.3">
      <c r="A255" s="77"/>
      <c r="B255" s="106"/>
      <c r="F255" s="124"/>
      <c r="G255" s="125"/>
      <c r="J255" s="125"/>
      <c r="L255" s="107"/>
      <c r="M255" s="183"/>
      <c r="N255" s="108"/>
    </row>
    <row r="256" spans="1:17" x14ac:dyDescent="0.3">
      <c r="A256" s="77"/>
      <c r="B256" s="106"/>
      <c r="F256" s="124"/>
      <c r="G256" s="125"/>
      <c r="J256" s="125"/>
      <c r="L256" s="107"/>
      <c r="M256" s="183"/>
      <c r="N256" s="108"/>
    </row>
    <row r="257" spans="1:14" x14ac:dyDescent="0.3">
      <c r="A257" s="77"/>
      <c r="B257" s="106"/>
      <c r="F257" s="124"/>
      <c r="G257" s="125"/>
      <c r="J257" s="125"/>
      <c r="L257" s="107"/>
      <c r="M257" s="183"/>
      <c r="N257" s="108"/>
    </row>
    <row r="258" spans="1:14" x14ac:dyDescent="0.3">
      <c r="A258" s="77"/>
      <c r="B258" s="106"/>
      <c r="F258" s="124"/>
      <c r="G258" s="125"/>
      <c r="J258" s="125"/>
      <c r="L258" s="107"/>
      <c r="M258" s="183"/>
      <c r="N258" s="108"/>
    </row>
    <row r="259" spans="1:14" x14ac:dyDescent="0.3">
      <c r="A259" s="77"/>
      <c r="B259" s="106"/>
      <c r="F259" s="124"/>
      <c r="G259" s="125"/>
      <c r="J259" s="125"/>
      <c r="L259" s="107"/>
      <c r="M259" s="183"/>
      <c r="N259" s="108"/>
    </row>
    <row r="260" spans="1:14" x14ac:dyDescent="0.3">
      <c r="A260" s="77"/>
      <c r="B260" s="106"/>
      <c r="F260" s="124"/>
      <c r="G260" s="125"/>
      <c r="J260" s="125"/>
      <c r="L260" s="107"/>
      <c r="M260" s="183"/>
      <c r="N260" s="108"/>
    </row>
    <row r="261" spans="1:14" x14ac:dyDescent="0.3">
      <c r="A261" s="77"/>
      <c r="B261" s="106"/>
      <c r="F261" s="124"/>
      <c r="G261" s="125"/>
      <c r="J261" s="125"/>
      <c r="L261" s="107"/>
      <c r="M261" s="183"/>
      <c r="N261" s="108"/>
    </row>
    <row r="262" spans="1:14" x14ac:dyDescent="0.3">
      <c r="A262" s="77"/>
      <c r="B262" s="106"/>
      <c r="F262" s="124"/>
      <c r="G262" s="125"/>
      <c r="J262" s="125"/>
      <c r="L262" s="107"/>
      <c r="M262" s="183"/>
      <c r="N262" s="108"/>
    </row>
    <row r="263" spans="1:14" x14ac:dyDescent="0.3">
      <c r="A263" s="77"/>
      <c r="B263" s="106"/>
      <c r="F263" s="124"/>
      <c r="G263" s="125"/>
      <c r="J263" s="125"/>
      <c r="L263" s="107"/>
      <c r="M263" s="183"/>
      <c r="N263" s="108"/>
    </row>
    <row r="264" spans="1:14" x14ac:dyDescent="0.3">
      <c r="A264" s="77"/>
      <c r="B264" s="106"/>
      <c r="F264" s="124"/>
      <c r="G264" s="125"/>
      <c r="J264" s="125"/>
      <c r="L264" s="107"/>
      <c r="M264" s="183"/>
      <c r="N264" s="108"/>
    </row>
    <row r="265" spans="1:14" x14ac:dyDescent="0.3">
      <c r="A265" s="77"/>
      <c r="B265" s="106"/>
      <c r="F265" s="124"/>
      <c r="G265" s="125"/>
      <c r="J265" s="125"/>
      <c r="L265" s="107"/>
      <c r="M265" s="183"/>
      <c r="N265" s="108"/>
    </row>
    <row r="266" spans="1:14" x14ac:dyDescent="0.3">
      <c r="A266" s="77"/>
      <c r="B266" s="106"/>
      <c r="F266" s="124"/>
      <c r="G266" s="125"/>
      <c r="J266" s="125"/>
      <c r="L266" s="107"/>
      <c r="M266" s="183"/>
      <c r="N266" s="108"/>
    </row>
    <row r="267" spans="1:14" x14ac:dyDescent="0.3">
      <c r="A267" s="77"/>
      <c r="B267" s="106"/>
      <c r="F267" s="124"/>
      <c r="G267" s="125"/>
      <c r="J267" s="125"/>
      <c r="L267" s="107"/>
      <c r="M267" s="183"/>
      <c r="N267" s="108"/>
    </row>
    <row r="268" spans="1:14" x14ac:dyDescent="0.3">
      <c r="A268" s="77"/>
      <c r="B268" s="106"/>
      <c r="F268" s="124"/>
      <c r="G268" s="125"/>
      <c r="J268" s="125"/>
      <c r="L268" s="107"/>
      <c r="M268" s="183"/>
      <c r="N268" s="108"/>
    </row>
    <row r="269" spans="1:14" x14ac:dyDescent="0.3">
      <c r="A269" s="77"/>
      <c r="B269" s="106"/>
      <c r="F269" s="124"/>
      <c r="G269" s="125"/>
      <c r="J269" s="125"/>
      <c r="L269" s="107"/>
      <c r="M269" s="183"/>
      <c r="N269" s="108"/>
    </row>
    <row r="270" spans="1:14" x14ac:dyDescent="0.3">
      <c r="A270" s="77"/>
      <c r="B270" s="106"/>
      <c r="F270" s="124"/>
      <c r="G270" s="125"/>
      <c r="J270" s="125"/>
      <c r="L270" s="107"/>
      <c r="M270" s="183"/>
      <c r="N270" s="108"/>
    </row>
    <row r="271" spans="1:14" x14ac:dyDescent="0.3">
      <c r="A271" s="77"/>
      <c r="B271" s="106"/>
      <c r="F271" s="124"/>
      <c r="G271" s="125"/>
      <c r="J271" s="125"/>
      <c r="L271" s="107"/>
      <c r="M271" s="183"/>
      <c r="N271" s="108"/>
    </row>
    <row r="272" spans="1:14" x14ac:dyDescent="0.3">
      <c r="A272" s="77"/>
      <c r="B272" s="106"/>
      <c r="F272" s="124"/>
      <c r="G272" s="125"/>
      <c r="J272" s="125"/>
      <c r="L272" s="107"/>
      <c r="M272" s="183"/>
      <c r="N272" s="108"/>
    </row>
    <row r="273" spans="1:14" x14ac:dyDescent="0.3">
      <c r="A273" s="77"/>
      <c r="B273" s="106"/>
      <c r="F273" s="124"/>
      <c r="G273" s="125"/>
      <c r="J273" s="125"/>
      <c r="L273" s="107"/>
      <c r="M273" s="183"/>
      <c r="N273" s="108"/>
    </row>
    <row r="274" spans="1:14" x14ac:dyDescent="0.3">
      <c r="A274" s="77"/>
      <c r="B274" s="106"/>
      <c r="F274" s="124"/>
      <c r="G274" s="125"/>
      <c r="J274" s="125"/>
      <c r="L274" s="107"/>
      <c r="M274" s="183"/>
      <c r="N274" s="108"/>
    </row>
    <row r="275" spans="1:14" x14ac:dyDescent="0.3">
      <c r="A275" s="77"/>
      <c r="B275" s="106"/>
      <c r="F275" s="124"/>
      <c r="G275" s="125"/>
      <c r="J275" s="125"/>
      <c r="L275" s="107"/>
      <c r="M275" s="183"/>
      <c r="N275" s="108"/>
    </row>
    <row r="276" spans="1:14" x14ac:dyDescent="0.3">
      <c r="A276" s="77"/>
      <c r="B276" s="106"/>
      <c r="F276" s="124"/>
      <c r="G276" s="125"/>
      <c r="J276" s="125"/>
      <c r="L276" s="107"/>
      <c r="M276" s="183"/>
      <c r="N276" s="108"/>
    </row>
    <row r="277" spans="1:14" x14ac:dyDescent="0.3">
      <c r="A277" s="77"/>
      <c r="B277" s="106"/>
      <c r="F277" s="124"/>
      <c r="G277" s="125"/>
      <c r="J277" s="125"/>
      <c r="L277" s="107"/>
      <c r="M277" s="183"/>
      <c r="N277" s="108"/>
    </row>
    <row r="278" spans="1:14" x14ac:dyDescent="0.3">
      <c r="A278" s="77"/>
      <c r="B278" s="106"/>
      <c r="F278" s="124"/>
      <c r="G278" s="125"/>
      <c r="J278" s="125"/>
      <c r="L278" s="107"/>
      <c r="M278" s="183"/>
      <c r="N278" s="108"/>
    </row>
    <row r="279" spans="1:14" x14ac:dyDescent="0.3">
      <c r="A279" s="77"/>
      <c r="B279" s="106"/>
      <c r="F279" s="124"/>
      <c r="G279" s="125"/>
      <c r="J279" s="125"/>
      <c r="L279" s="107"/>
      <c r="M279" s="183"/>
      <c r="N279" s="108"/>
    </row>
    <row r="280" spans="1:14" x14ac:dyDescent="0.3">
      <c r="A280" s="77"/>
      <c r="B280" s="106"/>
      <c r="F280" s="124"/>
      <c r="G280" s="125"/>
      <c r="J280" s="125"/>
      <c r="L280" s="107"/>
      <c r="M280" s="183"/>
      <c r="N280" s="108"/>
    </row>
    <row r="281" spans="1:14" x14ac:dyDescent="0.3">
      <c r="A281" s="77"/>
      <c r="B281" s="106"/>
      <c r="F281" s="124"/>
      <c r="G281" s="125"/>
      <c r="J281" s="125"/>
      <c r="L281" s="107"/>
      <c r="M281" s="183"/>
      <c r="N281" s="108"/>
    </row>
    <row r="282" spans="1:14" x14ac:dyDescent="0.3">
      <c r="A282" s="77"/>
      <c r="B282" s="106"/>
      <c r="F282" s="124"/>
      <c r="G282" s="125"/>
      <c r="J282" s="125"/>
      <c r="L282" s="107"/>
      <c r="M282" s="183"/>
      <c r="N282" s="108"/>
    </row>
    <row r="283" spans="1:14" x14ac:dyDescent="0.3">
      <c r="A283" s="77"/>
      <c r="B283" s="106"/>
      <c r="F283" s="124"/>
      <c r="G283" s="125"/>
      <c r="J283" s="125"/>
      <c r="L283" s="107"/>
      <c r="M283" s="183"/>
      <c r="N283" s="108"/>
    </row>
    <row r="284" spans="1:14" x14ac:dyDescent="0.3">
      <c r="A284" s="77"/>
      <c r="B284" s="106"/>
      <c r="F284" s="124"/>
      <c r="G284" s="125"/>
      <c r="J284" s="125"/>
      <c r="L284" s="107"/>
      <c r="M284" s="183"/>
      <c r="N284" s="108"/>
    </row>
    <row r="285" spans="1:14" x14ac:dyDescent="0.3">
      <c r="A285" s="77"/>
      <c r="B285" s="106"/>
      <c r="F285" s="124"/>
      <c r="G285" s="125"/>
      <c r="J285" s="125"/>
      <c r="L285" s="107"/>
      <c r="M285" s="183"/>
      <c r="N285" s="108"/>
    </row>
    <row r="286" spans="1:14" x14ac:dyDescent="0.3">
      <c r="A286" s="77"/>
      <c r="B286" s="106"/>
      <c r="F286" s="124"/>
      <c r="G286" s="125"/>
      <c r="J286" s="125"/>
      <c r="L286" s="107"/>
      <c r="M286" s="183"/>
      <c r="N286" s="108"/>
    </row>
    <row r="287" spans="1:14" x14ac:dyDescent="0.3">
      <c r="A287" s="77"/>
      <c r="B287" s="106"/>
      <c r="F287" s="124"/>
      <c r="G287" s="125"/>
      <c r="J287" s="125"/>
      <c r="L287" s="107"/>
      <c r="M287" s="183"/>
      <c r="N287" s="108"/>
    </row>
    <row r="288" spans="1:14" x14ac:dyDescent="0.3">
      <c r="A288" s="77"/>
      <c r="B288" s="106"/>
      <c r="F288" s="124"/>
      <c r="G288" s="125"/>
      <c r="J288" s="125"/>
      <c r="L288" s="107"/>
      <c r="M288" s="183"/>
      <c r="N288" s="108"/>
    </row>
    <row r="289" spans="1:14" x14ac:dyDescent="0.3">
      <c r="A289" s="77"/>
      <c r="B289" s="106"/>
      <c r="F289" s="124"/>
      <c r="G289" s="125"/>
      <c r="J289" s="125"/>
      <c r="L289" s="107"/>
      <c r="M289" s="183"/>
      <c r="N289" s="108"/>
    </row>
    <row r="290" spans="1:14" x14ac:dyDescent="0.3">
      <c r="A290" s="77"/>
      <c r="B290" s="106"/>
      <c r="F290" s="124"/>
      <c r="G290" s="125"/>
      <c r="J290" s="125"/>
      <c r="L290" s="107"/>
      <c r="M290" s="183"/>
      <c r="N290" s="108"/>
    </row>
    <row r="291" spans="1:14" x14ac:dyDescent="0.3">
      <c r="A291" s="77"/>
      <c r="B291" s="106"/>
      <c r="F291" s="124"/>
      <c r="G291" s="125"/>
      <c r="J291" s="125"/>
      <c r="L291" s="107"/>
      <c r="M291" s="183"/>
      <c r="N291" s="108"/>
    </row>
    <row r="292" spans="1:14" x14ac:dyDescent="0.3">
      <c r="A292" s="77"/>
      <c r="B292" s="106"/>
      <c r="F292" s="124"/>
      <c r="G292" s="125"/>
      <c r="J292" s="125"/>
      <c r="L292" s="107"/>
      <c r="M292" s="183"/>
      <c r="N292" s="108"/>
    </row>
    <row r="293" spans="1:14" x14ac:dyDescent="0.3">
      <c r="A293" s="77"/>
      <c r="B293" s="106"/>
      <c r="F293" s="124"/>
      <c r="G293" s="125"/>
      <c r="J293" s="125"/>
      <c r="L293" s="107"/>
      <c r="M293" s="183"/>
      <c r="N293" s="108"/>
    </row>
    <row r="294" spans="1:14" x14ac:dyDescent="0.3">
      <c r="A294" s="77"/>
      <c r="B294" s="106"/>
      <c r="F294" s="124"/>
      <c r="G294" s="125"/>
      <c r="J294" s="125"/>
      <c r="L294" s="107"/>
      <c r="M294" s="183"/>
      <c r="N294" s="108"/>
    </row>
    <row r="295" spans="1:14" x14ac:dyDescent="0.3">
      <c r="A295" s="77"/>
      <c r="B295" s="106"/>
      <c r="F295" s="124"/>
      <c r="G295" s="125"/>
      <c r="J295" s="125"/>
      <c r="L295" s="107"/>
      <c r="M295" s="183"/>
      <c r="N295" s="108"/>
    </row>
    <row r="296" spans="1:14" x14ac:dyDescent="0.3">
      <c r="A296" s="77"/>
      <c r="B296" s="106"/>
      <c r="F296" s="124"/>
      <c r="G296" s="125"/>
      <c r="J296" s="125"/>
      <c r="L296" s="107"/>
      <c r="M296" s="183"/>
      <c r="N296" s="108"/>
    </row>
    <row r="297" spans="1:14" x14ac:dyDescent="0.3">
      <c r="A297" s="77"/>
      <c r="B297" s="106"/>
      <c r="F297" s="124"/>
      <c r="G297" s="125"/>
      <c r="J297" s="125"/>
      <c r="L297" s="107"/>
      <c r="M297" s="183"/>
      <c r="N297" s="108"/>
    </row>
    <row r="298" spans="1:14" x14ac:dyDescent="0.3">
      <c r="A298" s="77"/>
      <c r="B298" s="106"/>
      <c r="F298" s="124"/>
      <c r="G298" s="125"/>
      <c r="J298" s="125"/>
      <c r="L298" s="107"/>
      <c r="M298" s="183"/>
      <c r="N298" s="108"/>
    </row>
    <row r="299" spans="1:14" x14ac:dyDescent="0.3">
      <c r="A299" s="77"/>
      <c r="B299" s="106"/>
      <c r="F299" s="124"/>
      <c r="G299" s="125"/>
      <c r="J299" s="125"/>
      <c r="L299" s="107"/>
      <c r="M299" s="183"/>
      <c r="N299" s="108"/>
    </row>
    <row r="300" spans="1:14" x14ac:dyDescent="0.3">
      <c r="A300" s="77"/>
      <c r="B300" s="106"/>
      <c r="F300" s="124"/>
      <c r="G300" s="125"/>
      <c r="J300" s="125"/>
      <c r="L300" s="107"/>
      <c r="M300" s="183"/>
      <c r="N300" s="108"/>
    </row>
    <row r="301" spans="1:14" x14ac:dyDescent="0.3">
      <c r="A301" s="77"/>
      <c r="B301" s="106"/>
      <c r="F301" s="124"/>
      <c r="G301" s="125"/>
      <c r="J301" s="125"/>
      <c r="L301" s="107"/>
      <c r="M301" s="183"/>
      <c r="N301" s="108"/>
    </row>
    <row r="302" spans="1:14" x14ac:dyDescent="0.3">
      <c r="A302" s="77"/>
      <c r="B302" s="106"/>
      <c r="F302" s="124"/>
      <c r="G302" s="125"/>
      <c r="J302" s="125"/>
      <c r="L302" s="107"/>
      <c r="M302" s="183"/>
      <c r="N302" s="108"/>
    </row>
    <row r="303" spans="1:14" x14ac:dyDescent="0.3">
      <c r="A303" s="77"/>
      <c r="B303" s="106"/>
      <c r="F303" s="124"/>
      <c r="G303" s="125"/>
      <c r="J303" s="125"/>
      <c r="L303" s="107"/>
      <c r="M303" s="183"/>
      <c r="N303" s="108"/>
    </row>
    <row r="304" spans="1:14" x14ac:dyDescent="0.3">
      <c r="A304" s="77"/>
      <c r="B304" s="106"/>
      <c r="F304" s="124"/>
      <c r="G304" s="125"/>
      <c r="J304" s="125"/>
      <c r="L304" s="107"/>
      <c r="M304" s="183"/>
      <c r="N304" s="108"/>
    </row>
    <row r="305" spans="1:14" x14ac:dyDescent="0.3">
      <c r="A305" s="77"/>
      <c r="B305" s="106"/>
      <c r="F305" s="124"/>
      <c r="G305" s="125"/>
      <c r="J305" s="125"/>
      <c r="L305" s="107"/>
      <c r="M305" s="183"/>
      <c r="N305" s="108"/>
    </row>
    <row r="306" spans="1:14" x14ac:dyDescent="0.3">
      <c r="A306" s="77"/>
      <c r="B306" s="106"/>
      <c r="F306" s="124"/>
      <c r="G306" s="125"/>
      <c r="J306" s="125"/>
      <c r="L306" s="107"/>
      <c r="M306" s="183"/>
      <c r="N306" s="108"/>
    </row>
    <row r="307" spans="1:14" x14ac:dyDescent="0.3">
      <c r="A307" s="77"/>
      <c r="B307" s="106"/>
      <c r="F307" s="124"/>
      <c r="G307" s="125"/>
      <c r="J307" s="125"/>
      <c r="L307" s="107"/>
      <c r="M307" s="183"/>
      <c r="N307" s="108"/>
    </row>
    <row r="308" spans="1:14" x14ac:dyDescent="0.3">
      <c r="A308" s="77"/>
      <c r="B308" s="106"/>
      <c r="F308" s="124"/>
      <c r="G308" s="125"/>
      <c r="J308" s="125"/>
      <c r="L308" s="107"/>
      <c r="M308" s="183"/>
      <c r="N308" s="108"/>
    </row>
    <row r="309" spans="1:14" x14ac:dyDescent="0.3">
      <c r="A309" s="77"/>
      <c r="B309" s="106"/>
      <c r="F309" s="124"/>
      <c r="G309" s="125"/>
      <c r="J309" s="125"/>
      <c r="L309" s="107"/>
      <c r="M309" s="183"/>
      <c r="N309" s="108"/>
    </row>
    <row r="310" spans="1:14" x14ac:dyDescent="0.3">
      <c r="A310" s="77"/>
      <c r="B310" s="106"/>
      <c r="F310" s="124"/>
      <c r="G310" s="125"/>
      <c r="J310" s="125"/>
      <c r="L310" s="107"/>
      <c r="M310" s="183"/>
      <c r="N310" s="108"/>
    </row>
    <row r="311" spans="1:14" x14ac:dyDescent="0.3">
      <c r="A311" s="77"/>
      <c r="B311" s="106"/>
      <c r="F311" s="124"/>
      <c r="G311" s="125"/>
      <c r="J311" s="125"/>
      <c r="L311" s="107"/>
      <c r="M311" s="183"/>
      <c r="N311" s="108"/>
    </row>
    <row r="312" spans="1:14" x14ac:dyDescent="0.3">
      <c r="A312" s="77"/>
      <c r="B312" s="106"/>
      <c r="F312" s="124"/>
      <c r="G312" s="125"/>
      <c r="J312" s="125"/>
      <c r="L312" s="107"/>
      <c r="M312" s="183"/>
      <c r="N312" s="108"/>
    </row>
    <row r="313" spans="1:14" x14ac:dyDescent="0.3">
      <c r="A313" s="77"/>
      <c r="B313" s="106"/>
      <c r="F313" s="124"/>
      <c r="G313" s="125"/>
      <c r="J313" s="125"/>
      <c r="L313" s="107"/>
      <c r="M313" s="183"/>
      <c r="N313" s="108"/>
    </row>
    <row r="314" spans="1:14" x14ac:dyDescent="0.3">
      <c r="A314" s="77"/>
      <c r="B314" s="106"/>
      <c r="F314" s="124"/>
      <c r="G314" s="125"/>
      <c r="J314" s="125"/>
      <c r="L314" s="107"/>
      <c r="M314" s="183"/>
      <c r="N314" s="108"/>
    </row>
    <row r="315" spans="1:14" x14ac:dyDescent="0.3">
      <c r="A315" s="77"/>
      <c r="B315" s="106"/>
      <c r="F315" s="124"/>
      <c r="G315" s="125"/>
      <c r="J315" s="125"/>
      <c r="L315" s="107"/>
      <c r="M315" s="183"/>
      <c r="N315" s="108"/>
    </row>
    <row r="316" spans="1:14" x14ac:dyDescent="0.3">
      <c r="A316" s="77"/>
      <c r="B316" s="106"/>
      <c r="F316" s="124"/>
      <c r="G316" s="125"/>
      <c r="J316" s="125"/>
      <c r="L316" s="107"/>
      <c r="M316" s="183"/>
      <c r="N316" s="108"/>
    </row>
    <row r="317" spans="1:14" x14ac:dyDescent="0.3">
      <c r="A317" s="77"/>
      <c r="B317" s="106"/>
      <c r="F317" s="124"/>
      <c r="G317" s="125"/>
      <c r="J317" s="125"/>
      <c r="L317" s="107"/>
      <c r="M317" s="183"/>
      <c r="N317" s="108"/>
    </row>
    <row r="318" spans="1:14" x14ac:dyDescent="0.3">
      <c r="A318" s="77"/>
      <c r="B318" s="106"/>
      <c r="F318" s="124"/>
      <c r="G318" s="125"/>
      <c r="J318" s="125"/>
      <c r="L318" s="107"/>
      <c r="M318" s="183"/>
      <c r="N318" s="108"/>
    </row>
    <row r="319" spans="1:14" x14ac:dyDescent="0.3">
      <c r="A319" s="77"/>
      <c r="B319" s="106"/>
      <c r="F319" s="124"/>
      <c r="G319" s="125"/>
      <c r="J319" s="125"/>
      <c r="L319" s="107"/>
      <c r="M319" s="183"/>
      <c r="N319" s="108"/>
    </row>
    <row r="320" spans="1:14" x14ac:dyDescent="0.3">
      <c r="A320" s="77"/>
      <c r="B320" s="106"/>
      <c r="F320" s="124"/>
      <c r="G320" s="125"/>
      <c r="J320" s="125"/>
      <c r="L320" s="107"/>
      <c r="M320" s="183"/>
      <c r="N320" s="108"/>
    </row>
    <row r="321" spans="1:14" x14ac:dyDescent="0.3">
      <c r="A321" s="77"/>
      <c r="B321" s="106"/>
      <c r="F321" s="124"/>
      <c r="G321" s="125"/>
      <c r="J321" s="125"/>
      <c r="L321" s="107"/>
      <c r="M321" s="183"/>
      <c r="N321" s="108"/>
    </row>
    <row r="322" spans="1:14" x14ac:dyDescent="0.3">
      <c r="A322" s="77"/>
      <c r="B322" s="106"/>
      <c r="F322" s="124"/>
      <c r="G322" s="125"/>
      <c r="J322" s="125"/>
      <c r="L322" s="107"/>
      <c r="M322" s="183"/>
      <c r="N322" s="108"/>
    </row>
    <row r="323" spans="1:14" x14ac:dyDescent="0.3">
      <c r="A323" s="77"/>
      <c r="B323" s="106"/>
      <c r="F323" s="124"/>
      <c r="G323" s="125"/>
      <c r="J323" s="125"/>
      <c r="L323" s="107"/>
      <c r="M323" s="183"/>
      <c r="N323" s="108"/>
    </row>
    <row r="324" spans="1:14" x14ac:dyDescent="0.3">
      <c r="A324" s="77"/>
      <c r="B324" s="106"/>
      <c r="F324" s="124"/>
      <c r="G324" s="125"/>
      <c r="J324" s="125"/>
      <c r="L324" s="107"/>
      <c r="M324" s="183"/>
      <c r="N324" s="108"/>
    </row>
    <row r="325" spans="1:14" x14ac:dyDescent="0.3">
      <c r="A325" s="77"/>
      <c r="B325" s="106"/>
      <c r="F325" s="124"/>
      <c r="G325" s="125"/>
      <c r="J325" s="125"/>
      <c r="L325" s="107"/>
      <c r="M325" s="183"/>
      <c r="N325" s="108"/>
    </row>
    <row r="326" spans="1:14" x14ac:dyDescent="0.3">
      <c r="A326" s="77"/>
      <c r="B326" s="106"/>
      <c r="F326" s="124"/>
      <c r="G326" s="125"/>
      <c r="J326" s="125"/>
      <c r="L326" s="107"/>
      <c r="M326" s="183"/>
      <c r="N326" s="108"/>
    </row>
    <row r="327" spans="1:14" x14ac:dyDescent="0.3">
      <c r="A327" s="77"/>
      <c r="B327" s="106"/>
      <c r="F327" s="124"/>
      <c r="G327" s="125"/>
      <c r="J327" s="125"/>
      <c r="L327" s="107"/>
      <c r="M327" s="183"/>
      <c r="N327" s="108"/>
    </row>
    <row r="328" spans="1:14" x14ac:dyDescent="0.3">
      <c r="A328" s="77"/>
      <c r="B328" s="106"/>
      <c r="F328" s="124"/>
      <c r="G328" s="125"/>
      <c r="J328" s="125"/>
      <c r="L328" s="107"/>
      <c r="M328" s="183"/>
      <c r="N328" s="108"/>
    </row>
    <row r="329" spans="1:14" x14ac:dyDescent="0.3">
      <c r="A329" s="77"/>
      <c r="B329" s="106"/>
      <c r="F329" s="124"/>
      <c r="G329" s="125"/>
      <c r="J329" s="125"/>
      <c r="L329" s="107"/>
      <c r="M329" s="183"/>
      <c r="N329" s="108"/>
    </row>
    <row r="330" spans="1:14" x14ac:dyDescent="0.3">
      <c r="A330" s="77"/>
      <c r="B330" s="106"/>
      <c r="F330" s="124"/>
      <c r="G330" s="125"/>
      <c r="J330" s="125"/>
      <c r="L330" s="107"/>
      <c r="M330" s="183"/>
      <c r="N330" s="108"/>
    </row>
    <row r="331" spans="1:14" x14ac:dyDescent="0.3">
      <c r="A331" s="77"/>
      <c r="B331" s="106"/>
      <c r="F331" s="124"/>
      <c r="G331" s="125"/>
      <c r="J331" s="125"/>
      <c r="L331" s="107"/>
      <c r="M331" s="183"/>
      <c r="N331" s="108"/>
    </row>
    <row r="332" spans="1:14" x14ac:dyDescent="0.3">
      <c r="A332" s="77"/>
      <c r="B332" s="106"/>
      <c r="F332" s="124"/>
      <c r="G332" s="125"/>
      <c r="J332" s="125"/>
      <c r="L332" s="107"/>
      <c r="M332" s="183"/>
      <c r="N332" s="108"/>
    </row>
    <row r="333" spans="1:14" x14ac:dyDescent="0.3">
      <c r="A333" s="77"/>
      <c r="B333" s="106"/>
      <c r="F333" s="124"/>
      <c r="G333" s="125"/>
      <c r="J333" s="125"/>
      <c r="L333" s="107"/>
      <c r="M333" s="183"/>
      <c r="N333" s="108"/>
    </row>
    <row r="334" spans="1:14" x14ac:dyDescent="0.3">
      <c r="A334" s="77"/>
      <c r="B334" s="106"/>
      <c r="F334" s="124"/>
      <c r="G334" s="125"/>
      <c r="J334" s="125"/>
      <c r="L334" s="107"/>
      <c r="M334" s="183"/>
      <c r="N334" s="108"/>
    </row>
    <row r="335" spans="1:14" x14ac:dyDescent="0.3">
      <c r="A335" s="77"/>
      <c r="B335" s="106"/>
      <c r="F335" s="124"/>
      <c r="G335" s="125"/>
      <c r="J335" s="125"/>
      <c r="L335" s="107"/>
      <c r="M335" s="183"/>
      <c r="N335" s="108"/>
    </row>
    <row r="336" spans="1:14" x14ac:dyDescent="0.3">
      <c r="A336" s="77"/>
      <c r="B336" s="106"/>
      <c r="F336" s="124"/>
      <c r="G336" s="125"/>
      <c r="J336" s="125"/>
      <c r="L336" s="107"/>
      <c r="M336" s="183"/>
      <c r="N336" s="108"/>
    </row>
    <row r="337" spans="1:14" x14ac:dyDescent="0.3">
      <c r="A337" s="77"/>
      <c r="B337" s="106"/>
      <c r="F337" s="124"/>
      <c r="G337" s="125"/>
      <c r="J337" s="125"/>
      <c r="L337" s="107"/>
      <c r="M337" s="183"/>
      <c r="N337" s="108"/>
    </row>
    <row r="338" spans="1:14" x14ac:dyDescent="0.3">
      <c r="A338" s="77"/>
      <c r="B338" s="106"/>
      <c r="F338" s="124"/>
      <c r="G338" s="125"/>
      <c r="J338" s="125"/>
      <c r="L338" s="107"/>
      <c r="M338" s="183"/>
      <c r="N338" s="108"/>
    </row>
    <row r="339" spans="1:14" x14ac:dyDescent="0.3">
      <c r="A339" s="77"/>
      <c r="B339" s="106"/>
      <c r="F339" s="124"/>
      <c r="G339" s="125"/>
      <c r="J339" s="125"/>
      <c r="L339" s="107"/>
      <c r="M339" s="183"/>
      <c r="N339" s="108"/>
    </row>
    <row r="340" spans="1:14" x14ac:dyDescent="0.3">
      <c r="A340" s="77"/>
      <c r="B340" s="106"/>
      <c r="F340" s="124"/>
      <c r="G340" s="125"/>
      <c r="J340" s="125"/>
      <c r="L340" s="107"/>
      <c r="M340" s="183"/>
      <c r="N340" s="108"/>
    </row>
    <row r="341" spans="1:14" x14ac:dyDescent="0.3">
      <c r="A341" s="77"/>
      <c r="B341" s="106"/>
      <c r="F341" s="124"/>
      <c r="G341" s="125"/>
      <c r="J341" s="125"/>
      <c r="L341" s="107"/>
      <c r="M341" s="183"/>
      <c r="N341" s="108"/>
    </row>
    <row r="342" spans="1:14" x14ac:dyDescent="0.3">
      <c r="A342" s="77"/>
      <c r="B342" s="106"/>
      <c r="F342" s="124"/>
      <c r="G342" s="125"/>
      <c r="J342" s="125"/>
      <c r="L342" s="107"/>
      <c r="M342" s="183"/>
      <c r="N342" s="108"/>
    </row>
    <row r="343" spans="1:14" x14ac:dyDescent="0.3">
      <c r="A343" s="77"/>
      <c r="B343" s="106"/>
      <c r="F343" s="124"/>
      <c r="G343" s="125"/>
      <c r="J343" s="125"/>
      <c r="L343" s="107"/>
      <c r="M343" s="183"/>
      <c r="N343" s="108"/>
    </row>
    <row r="344" spans="1:14" x14ac:dyDescent="0.3">
      <c r="A344" s="77"/>
      <c r="B344" s="106"/>
      <c r="F344" s="124"/>
      <c r="G344" s="125"/>
      <c r="J344" s="125"/>
      <c r="L344" s="107"/>
      <c r="M344" s="183"/>
      <c r="N344" s="108"/>
    </row>
    <row r="345" spans="1:14" x14ac:dyDescent="0.3">
      <c r="A345" s="77"/>
      <c r="B345" s="106"/>
      <c r="F345" s="124"/>
      <c r="G345" s="125"/>
      <c r="J345" s="125"/>
      <c r="L345" s="107"/>
      <c r="M345" s="183"/>
      <c r="N345" s="108"/>
    </row>
    <row r="346" spans="1:14" x14ac:dyDescent="0.3">
      <c r="A346" s="77"/>
      <c r="B346" s="106"/>
      <c r="F346" s="124"/>
      <c r="G346" s="125"/>
      <c r="J346" s="125"/>
      <c r="L346" s="107"/>
      <c r="M346" s="183"/>
      <c r="N346" s="108"/>
    </row>
    <row r="347" spans="1:14" x14ac:dyDescent="0.3">
      <c r="A347" s="77"/>
      <c r="B347" s="106"/>
      <c r="F347" s="124"/>
      <c r="G347" s="125"/>
      <c r="J347" s="125"/>
      <c r="L347" s="107"/>
      <c r="M347" s="183"/>
      <c r="N347" s="108"/>
    </row>
    <row r="348" spans="1:14" x14ac:dyDescent="0.3">
      <c r="A348" s="77"/>
      <c r="B348" s="106"/>
      <c r="F348" s="124"/>
      <c r="G348" s="125"/>
      <c r="J348" s="125"/>
      <c r="L348" s="107"/>
      <c r="M348" s="183"/>
      <c r="N348" s="108"/>
    </row>
    <row r="349" spans="1:14" x14ac:dyDescent="0.3">
      <c r="A349" s="77"/>
      <c r="B349" s="106"/>
      <c r="F349" s="124"/>
      <c r="G349" s="125"/>
      <c r="J349" s="125"/>
      <c r="L349" s="107"/>
      <c r="M349" s="183"/>
      <c r="N349" s="108"/>
    </row>
    <row r="350" spans="1:14" x14ac:dyDescent="0.3">
      <c r="A350" s="77"/>
      <c r="B350" s="106"/>
      <c r="F350" s="124"/>
      <c r="G350" s="125"/>
      <c r="J350" s="125"/>
      <c r="L350" s="107"/>
      <c r="M350" s="183"/>
      <c r="N350" s="108"/>
    </row>
    <row r="351" spans="1:14" x14ac:dyDescent="0.3">
      <c r="A351" s="77"/>
      <c r="B351" s="106"/>
      <c r="F351" s="124"/>
      <c r="G351" s="125"/>
      <c r="J351" s="125"/>
      <c r="L351" s="107"/>
      <c r="M351" s="183"/>
      <c r="N351" s="108"/>
    </row>
    <row r="352" spans="1:14" x14ac:dyDescent="0.3">
      <c r="A352" s="77"/>
      <c r="B352" s="106"/>
      <c r="F352" s="124"/>
      <c r="G352" s="125"/>
      <c r="J352" s="125"/>
      <c r="L352" s="107"/>
      <c r="M352" s="183"/>
      <c r="N352" s="108"/>
    </row>
    <row r="353" spans="1:14" x14ac:dyDescent="0.3">
      <c r="A353" s="77"/>
      <c r="B353" s="106"/>
      <c r="F353" s="124"/>
      <c r="G353" s="125"/>
      <c r="J353" s="125"/>
      <c r="L353" s="107"/>
      <c r="M353" s="183"/>
      <c r="N353" s="108"/>
    </row>
    <row r="354" spans="1:14" x14ac:dyDescent="0.3">
      <c r="A354" s="77"/>
      <c r="B354" s="106"/>
      <c r="F354" s="124"/>
      <c r="G354" s="125"/>
      <c r="J354" s="125"/>
      <c r="L354" s="107"/>
      <c r="M354" s="183"/>
      <c r="N354" s="108"/>
    </row>
    <row r="355" spans="1:14" x14ac:dyDescent="0.3">
      <c r="A355" s="77"/>
      <c r="B355" s="106"/>
      <c r="F355" s="124"/>
      <c r="G355" s="125"/>
      <c r="J355" s="125"/>
      <c r="L355" s="107"/>
      <c r="M355" s="183"/>
      <c r="N355" s="108"/>
    </row>
    <row r="356" spans="1:14" x14ac:dyDescent="0.3">
      <c r="A356" s="77"/>
      <c r="B356" s="106"/>
      <c r="F356" s="124"/>
      <c r="G356" s="125"/>
      <c r="J356" s="125"/>
      <c r="L356" s="107"/>
      <c r="M356" s="183"/>
      <c r="N356" s="108"/>
    </row>
    <row r="357" spans="1:14" x14ac:dyDescent="0.3">
      <c r="A357" s="77"/>
      <c r="B357" s="106"/>
      <c r="F357" s="124"/>
      <c r="G357" s="125"/>
      <c r="J357" s="125"/>
      <c r="L357" s="107"/>
      <c r="M357" s="183"/>
      <c r="N357" s="108"/>
    </row>
    <row r="358" spans="1:14" x14ac:dyDescent="0.3">
      <c r="A358" s="77"/>
      <c r="B358" s="106"/>
      <c r="F358" s="124"/>
      <c r="G358" s="125"/>
      <c r="J358" s="125"/>
      <c r="L358" s="107"/>
      <c r="M358" s="183"/>
      <c r="N358" s="108"/>
    </row>
    <row r="359" spans="1:14" x14ac:dyDescent="0.3">
      <c r="A359" s="77"/>
      <c r="B359" s="106"/>
      <c r="F359" s="124"/>
      <c r="G359" s="125"/>
      <c r="J359" s="125"/>
      <c r="L359" s="107"/>
      <c r="M359" s="183"/>
      <c r="N359" s="108"/>
    </row>
    <row r="360" spans="1:14" x14ac:dyDescent="0.3">
      <c r="A360" s="77"/>
      <c r="B360" s="106"/>
      <c r="F360" s="124"/>
      <c r="G360" s="125"/>
      <c r="J360" s="125"/>
      <c r="L360" s="107"/>
      <c r="M360" s="183"/>
      <c r="N360" s="108"/>
    </row>
    <row r="361" spans="1:14" x14ac:dyDescent="0.3">
      <c r="A361" s="77"/>
      <c r="B361" s="106"/>
      <c r="F361" s="124"/>
      <c r="G361" s="125"/>
      <c r="J361" s="125"/>
      <c r="L361" s="107"/>
      <c r="M361" s="183"/>
      <c r="N361" s="108"/>
    </row>
    <row r="362" spans="1:14" x14ac:dyDescent="0.3">
      <c r="A362" s="77"/>
      <c r="B362" s="106"/>
      <c r="F362" s="124"/>
      <c r="G362" s="125"/>
      <c r="J362" s="125"/>
      <c r="L362" s="107"/>
      <c r="M362" s="183"/>
      <c r="N362" s="108"/>
    </row>
    <row r="363" spans="1:14" x14ac:dyDescent="0.3">
      <c r="A363" s="77"/>
      <c r="B363" s="106"/>
      <c r="F363" s="124"/>
      <c r="G363" s="125"/>
      <c r="J363" s="125"/>
      <c r="L363" s="107"/>
      <c r="M363" s="183"/>
      <c r="N363" s="108"/>
    </row>
    <row r="364" spans="1:14" x14ac:dyDescent="0.3">
      <c r="A364" s="77"/>
      <c r="B364" s="106"/>
      <c r="F364" s="124"/>
      <c r="G364" s="125"/>
      <c r="J364" s="125"/>
      <c r="L364" s="107"/>
      <c r="M364" s="183"/>
      <c r="N364" s="108"/>
    </row>
    <row r="365" spans="1:14" x14ac:dyDescent="0.3">
      <c r="A365" s="77"/>
      <c r="B365" s="106"/>
      <c r="F365" s="124"/>
      <c r="G365" s="125"/>
      <c r="J365" s="125"/>
      <c r="L365" s="107"/>
      <c r="M365" s="183"/>
      <c r="N365" s="108"/>
    </row>
    <row r="366" spans="1:14" x14ac:dyDescent="0.3">
      <c r="A366" s="77"/>
      <c r="B366" s="106"/>
      <c r="F366" s="124"/>
      <c r="G366" s="125"/>
      <c r="J366" s="125"/>
      <c r="L366" s="107"/>
      <c r="M366" s="183"/>
      <c r="N366" s="108"/>
    </row>
    <row r="367" spans="1:14" x14ac:dyDescent="0.3">
      <c r="A367" s="77"/>
      <c r="B367" s="106"/>
      <c r="F367" s="124"/>
      <c r="G367" s="125"/>
      <c r="J367" s="125"/>
      <c r="L367" s="107"/>
      <c r="M367" s="183"/>
      <c r="N367" s="108"/>
    </row>
    <row r="368" spans="1:14" x14ac:dyDescent="0.3">
      <c r="A368" s="77"/>
      <c r="B368" s="106"/>
      <c r="F368" s="124"/>
      <c r="G368" s="125"/>
      <c r="J368" s="125"/>
      <c r="L368" s="107"/>
      <c r="M368" s="183"/>
      <c r="N368" s="108"/>
    </row>
    <row r="369" spans="1:14" x14ac:dyDescent="0.3">
      <c r="A369" s="77"/>
      <c r="B369" s="106"/>
      <c r="F369" s="124"/>
      <c r="G369" s="125"/>
      <c r="J369" s="125"/>
      <c r="L369" s="107"/>
      <c r="M369" s="183"/>
      <c r="N369" s="108"/>
    </row>
    <row r="370" spans="1:14" x14ac:dyDescent="0.3">
      <c r="A370" s="77"/>
      <c r="B370" s="106"/>
      <c r="F370" s="124"/>
      <c r="G370" s="125"/>
      <c r="J370" s="125"/>
      <c r="L370" s="107"/>
      <c r="M370" s="183"/>
      <c r="N370" s="108"/>
    </row>
    <row r="371" spans="1:14" x14ac:dyDescent="0.3">
      <c r="A371" s="77"/>
      <c r="B371" s="106"/>
      <c r="F371" s="124"/>
      <c r="G371" s="125"/>
      <c r="J371" s="125"/>
      <c r="L371" s="107"/>
      <c r="M371" s="183"/>
      <c r="N371" s="108"/>
    </row>
    <row r="372" spans="1:14" x14ac:dyDescent="0.3">
      <c r="A372" s="77"/>
      <c r="B372" s="106"/>
      <c r="F372" s="124"/>
      <c r="G372" s="125"/>
      <c r="J372" s="125"/>
      <c r="L372" s="107"/>
      <c r="M372" s="183"/>
      <c r="N372" s="108"/>
    </row>
    <row r="373" spans="1:14" x14ac:dyDescent="0.3">
      <c r="A373" s="77"/>
      <c r="B373" s="106"/>
      <c r="F373" s="124"/>
      <c r="G373" s="125"/>
      <c r="J373" s="125"/>
      <c r="L373" s="107"/>
      <c r="M373" s="183"/>
      <c r="N373" s="108"/>
    </row>
    <row r="374" spans="1:14" x14ac:dyDescent="0.3">
      <c r="A374" s="77"/>
      <c r="B374" s="106"/>
      <c r="F374" s="124"/>
      <c r="G374" s="125"/>
      <c r="J374" s="125"/>
      <c r="L374" s="107"/>
      <c r="M374" s="183"/>
      <c r="N374" s="108"/>
    </row>
    <row r="375" spans="1:14" x14ac:dyDescent="0.3">
      <c r="A375" s="77"/>
      <c r="B375" s="106"/>
      <c r="F375" s="124"/>
      <c r="G375" s="125"/>
      <c r="J375" s="125"/>
      <c r="L375" s="107"/>
      <c r="M375" s="183"/>
      <c r="N375" s="108"/>
    </row>
    <row r="376" spans="1:14" x14ac:dyDescent="0.3">
      <c r="A376" s="77"/>
      <c r="B376" s="106"/>
      <c r="F376" s="124"/>
      <c r="G376" s="125"/>
      <c r="J376" s="125"/>
      <c r="L376" s="107"/>
      <c r="M376" s="183"/>
      <c r="N376" s="108"/>
    </row>
    <row r="377" spans="1:14" x14ac:dyDescent="0.3">
      <c r="A377" s="77"/>
      <c r="B377" s="106"/>
      <c r="F377" s="124"/>
      <c r="G377" s="125"/>
      <c r="J377" s="125"/>
      <c r="L377" s="107"/>
      <c r="M377" s="183"/>
      <c r="N377" s="108"/>
    </row>
    <row r="378" spans="1:14" x14ac:dyDescent="0.3">
      <c r="A378" s="77"/>
      <c r="B378" s="106"/>
      <c r="F378" s="124"/>
      <c r="G378" s="125"/>
      <c r="J378" s="125"/>
      <c r="L378" s="107"/>
      <c r="M378" s="183"/>
      <c r="N378" s="108"/>
    </row>
    <row r="379" spans="1:14" x14ac:dyDescent="0.3">
      <c r="A379" s="77"/>
      <c r="B379" s="106"/>
      <c r="F379" s="124"/>
      <c r="G379" s="125"/>
      <c r="J379" s="125"/>
      <c r="L379" s="107"/>
      <c r="M379" s="183"/>
      <c r="N379" s="108"/>
    </row>
    <row r="380" spans="1:14" x14ac:dyDescent="0.3">
      <c r="A380" s="77"/>
      <c r="B380" s="106"/>
      <c r="F380" s="124"/>
      <c r="G380" s="125"/>
      <c r="J380" s="125"/>
      <c r="L380" s="107"/>
      <c r="M380" s="183"/>
      <c r="N380" s="108"/>
    </row>
    <row r="381" spans="1:14" x14ac:dyDescent="0.3">
      <c r="A381" s="77"/>
      <c r="B381" s="106"/>
      <c r="F381" s="124"/>
      <c r="G381" s="125"/>
      <c r="J381" s="125"/>
      <c r="L381" s="107"/>
      <c r="M381" s="183"/>
      <c r="N381" s="108"/>
    </row>
    <row r="382" spans="1:14" x14ac:dyDescent="0.3">
      <c r="A382" s="77"/>
      <c r="B382" s="106"/>
      <c r="F382" s="124"/>
      <c r="G382" s="125"/>
      <c r="J382" s="125"/>
      <c r="L382" s="107"/>
      <c r="M382" s="183"/>
      <c r="N382" s="108"/>
    </row>
    <row r="383" spans="1:14" x14ac:dyDescent="0.3">
      <c r="A383" s="77"/>
      <c r="B383" s="106"/>
      <c r="F383" s="124"/>
      <c r="G383" s="125"/>
      <c r="J383" s="125"/>
      <c r="L383" s="107"/>
      <c r="M383" s="183"/>
      <c r="N383" s="108"/>
    </row>
    <row r="384" spans="1:14" x14ac:dyDescent="0.3">
      <c r="A384" s="77"/>
      <c r="B384" s="106"/>
      <c r="F384" s="124"/>
      <c r="G384" s="125"/>
      <c r="J384" s="125"/>
      <c r="L384" s="107"/>
      <c r="M384" s="183"/>
      <c r="N384" s="108"/>
    </row>
    <row r="385" spans="1:14" x14ac:dyDescent="0.3">
      <c r="A385" s="77"/>
      <c r="B385" s="106"/>
      <c r="F385" s="124"/>
      <c r="G385" s="125"/>
      <c r="J385" s="125"/>
      <c r="L385" s="107"/>
      <c r="M385" s="183"/>
      <c r="N385" s="108"/>
    </row>
    <row r="386" spans="1:14" x14ac:dyDescent="0.3">
      <c r="A386" s="77"/>
      <c r="B386" s="106"/>
      <c r="F386" s="124"/>
      <c r="G386" s="125"/>
      <c r="J386" s="125"/>
      <c r="L386" s="107"/>
      <c r="M386" s="183"/>
      <c r="N386" s="108"/>
    </row>
    <row r="387" spans="1:14" x14ac:dyDescent="0.3">
      <c r="A387" s="77"/>
      <c r="B387" s="106"/>
      <c r="F387" s="124"/>
      <c r="G387" s="125"/>
      <c r="J387" s="125"/>
      <c r="L387" s="107"/>
      <c r="M387" s="183"/>
      <c r="N387" s="108"/>
    </row>
    <row r="388" spans="1:14" x14ac:dyDescent="0.3">
      <c r="A388" s="77"/>
      <c r="B388" s="106"/>
      <c r="F388" s="124"/>
      <c r="G388" s="125"/>
      <c r="J388" s="125"/>
      <c r="L388" s="107"/>
      <c r="M388" s="183"/>
      <c r="N388" s="108"/>
    </row>
    <row r="389" spans="1:14" x14ac:dyDescent="0.3">
      <c r="A389" s="77"/>
      <c r="B389" s="106"/>
      <c r="F389" s="124"/>
      <c r="G389" s="125"/>
      <c r="J389" s="125"/>
      <c r="L389" s="107"/>
      <c r="M389" s="183"/>
      <c r="N389" s="108"/>
    </row>
    <row r="390" spans="1:14" x14ac:dyDescent="0.3">
      <c r="A390" s="77"/>
      <c r="B390" s="106"/>
      <c r="F390" s="124"/>
      <c r="G390" s="125"/>
      <c r="J390" s="125"/>
      <c r="L390" s="107"/>
      <c r="M390" s="183"/>
      <c r="N390" s="108"/>
    </row>
    <row r="391" spans="1:14" x14ac:dyDescent="0.3">
      <c r="A391" s="77"/>
      <c r="B391" s="106"/>
      <c r="F391" s="124"/>
      <c r="G391" s="125"/>
      <c r="J391" s="125"/>
      <c r="L391" s="107"/>
      <c r="M391" s="183"/>
      <c r="N391" s="108"/>
    </row>
    <row r="392" spans="1:14" x14ac:dyDescent="0.3">
      <c r="A392" s="77"/>
      <c r="B392" s="106"/>
      <c r="F392" s="124"/>
      <c r="G392" s="125"/>
      <c r="J392" s="125"/>
      <c r="L392" s="107"/>
      <c r="M392" s="183"/>
      <c r="N392" s="108"/>
    </row>
    <row r="393" spans="1:14" x14ac:dyDescent="0.3">
      <c r="A393" s="77"/>
      <c r="B393" s="106"/>
      <c r="F393" s="124"/>
      <c r="G393" s="125"/>
      <c r="J393" s="125"/>
      <c r="L393" s="107"/>
      <c r="M393" s="183"/>
      <c r="N393" s="108"/>
    </row>
    <row r="394" spans="1:14" x14ac:dyDescent="0.3">
      <c r="A394" s="77"/>
      <c r="B394" s="106"/>
      <c r="F394" s="124"/>
      <c r="G394" s="125"/>
      <c r="J394" s="125"/>
      <c r="L394" s="107"/>
      <c r="M394" s="183"/>
      <c r="N394" s="108"/>
    </row>
    <row r="395" spans="1:14" x14ac:dyDescent="0.3">
      <c r="A395" s="77"/>
      <c r="B395" s="106"/>
      <c r="F395" s="124"/>
      <c r="G395" s="125"/>
      <c r="J395" s="125"/>
      <c r="L395" s="107"/>
      <c r="M395" s="183"/>
      <c r="N395" s="108"/>
    </row>
    <row r="396" spans="1:14" x14ac:dyDescent="0.3">
      <c r="A396" s="77"/>
      <c r="B396" s="106"/>
      <c r="F396" s="124"/>
      <c r="G396" s="125"/>
      <c r="J396" s="125"/>
      <c r="L396" s="107"/>
      <c r="M396" s="183"/>
      <c r="N396" s="108"/>
    </row>
    <row r="397" spans="1:14" x14ac:dyDescent="0.3">
      <c r="A397" s="77"/>
      <c r="B397" s="106"/>
      <c r="F397" s="124"/>
      <c r="G397" s="125"/>
      <c r="J397" s="125"/>
      <c r="L397" s="107"/>
      <c r="M397" s="183"/>
      <c r="N397" s="108"/>
    </row>
    <row r="398" spans="1:14" x14ac:dyDescent="0.3">
      <c r="A398" s="77"/>
      <c r="B398" s="106"/>
      <c r="F398" s="124"/>
      <c r="G398" s="125"/>
      <c r="J398" s="125"/>
      <c r="L398" s="107"/>
      <c r="M398" s="183"/>
      <c r="N398" s="108"/>
    </row>
    <row r="399" spans="1:14" x14ac:dyDescent="0.3">
      <c r="A399" s="77"/>
      <c r="B399" s="106"/>
      <c r="F399" s="124"/>
      <c r="G399" s="125"/>
      <c r="J399" s="125"/>
      <c r="L399" s="107"/>
      <c r="M399" s="183"/>
      <c r="N399" s="108"/>
    </row>
    <row r="400" spans="1:14" x14ac:dyDescent="0.3">
      <c r="A400" s="77"/>
      <c r="B400" s="106"/>
      <c r="F400" s="124"/>
      <c r="G400" s="125"/>
      <c r="J400" s="125"/>
      <c r="L400" s="107"/>
      <c r="M400" s="183"/>
      <c r="N400" s="108"/>
    </row>
    <row r="401" spans="1:14" x14ac:dyDescent="0.3">
      <c r="A401" s="77"/>
      <c r="B401" s="106"/>
      <c r="F401" s="124"/>
      <c r="G401" s="125"/>
      <c r="J401" s="125"/>
      <c r="L401" s="107"/>
      <c r="M401" s="183"/>
      <c r="N401" s="108"/>
    </row>
    <row r="402" spans="1:14" x14ac:dyDescent="0.3">
      <c r="A402" s="77"/>
      <c r="B402" s="106"/>
      <c r="F402" s="124"/>
      <c r="G402" s="125"/>
      <c r="J402" s="125"/>
      <c r="L402" s="107"/>
      <c r="M402" s="183"/>
      <c r="N402" s="108"/>
    </row>
    <row r="403" spans="1:14" x14ac:dyDescent="0.3">
      <c r="A403" s="77"/>
      <c r="B403" s="106"/>
      <c r="F403" s="124"/>
      <c r="G403" s="125"/>
      <c r="J403" s="125"/>
      <c r="L403" s="107"/>
      <c r="M403" s="183"/>
      <c r="N403" s="108"/>
    </row>
    <row r="404" spans="1:14" x14ac:dyDescent="0.3">
      <c r="A404" s="77"/>
      <c r="B404" s="106"/>
      <c r="F404" s="124"/>
      <c r="G404" s="125"/>
      <c r="J404" s="125"/>
      <c r="L404" s="107"/>
      <c r="M404" s="183"/>
      <c r="N404" s="108"/>
    </row>
    <row r="405" spans="1:14" x14ac:dyDescent="0.3">
      <c r="A405" s="77"/>
      <c r="B405" s="106"/>
      <c r="F405" s="124"/>
      <c r="G405" s="125"/>
      <c r="J405" s="125"/>
      <c r="L405" s="107"/>
      <c r="M405" s="183"/>
      <c r="N405" s="108"/>
    </row>
    <row r="406" spans="1:14" x14ac:dyDescent="0.3">
      <c r="A406" s="77"/>
      <c r="B406" s="106"/>
      <c r="F406" s="124"/>
      <c r="G406" s="125"/>
      <c r="J406" s="125"/>
      <c r="L406" s="107"/>
      <c r="M406" s="183"/>
      <c r="N406" s="108"/>
    </row>
    <row r="407" spans="1:14" x14ac:dyDescent="0.3">
      <c r="A407" s="77"/>
      <c r="B407" s="106"/>
      <c r="F407" s="124"/>
      <c r="G407" s="125"/>
      <c r="J407" s="125"/>
      <c r="L407" s="107"/>
      <c r="M407" s="183"/>
      <c r="N407" s="108"/>
    </row>
    <row r="408" spans="1:14" x14ac:dyDescent="0.3">
      <c r="A408" s="77"/>
      <c r="B408" s="106"/>
      <c r="F408" s="124"/>
      <c r="G408" s="125"/>
      <c r="J408" s="125"/>
      <c r="L408" s="107"/>
      <c r="M408" s="183"/>
      <c r="N408" s="108"/>
    </row>
    <row r="409" spans="1:14" x14ac:dyDescent="0.3">
      <c r="A409" s="77"/>
      <c r="B409" s="106"/>
      <c r="F409" s="124"/>
      <c r="G409" s="125"/>
      <c r="J409" s="125"/>
      <c r="L409" s="107"/>
      <c r="M409" s="183"/>
      <c r="N409" s="108"/>
    </row>
    <row r="410" spans="1:14" x14ac:dyDescent="0.3">
      <c r="A410" s="77"/>
      <c r="B410" s="106"/>
      <c r="F410" s="124"/>
      <c r="G410" s="125"/>
      <c r="J410" s="125"/>
      <c r="L410" s="107"/>
      <c r="M410" s="183"/>
      <c r="N410" s="108"/>
    </row>
    <row r="411" spans="1:14" x14ac:dyDescent="0.3">
      <c r="A411" s="77"/>
      <c r="B411" s="106"/>
      <c r="F411" s="124"/>
      <c r="G411" s="125"/>
      <c r="J411" s="125"/>
      <c r="L411" s="107"/>
      <c r="M411" s="183"/>
      <c r="N411" s="108"/>
    </row>
    <row r="412" spans="1:14" x14ac:dyDescent="0.3">
      <c r="A412" s="77"/>
      <c r="B412" s="106"/>
      <c r="F412" s="124"/>
      <c r="G412" s="125"/>
      <c r="J412" s="125"/>
      <c r="L412" s="107"/>
      <c r="M412" s="183"/>
      <c r="N412" s="108"/>
    </row>
    <row r="413" spans="1:14" x14ac:dyDescent="0.3">
      <c r="A413" s="77"/>
      <c r="B413" s="106"/>
      <c r="F413" s="124"/>
      <c r="G413" s="125"/>
      <c r="J413" s="125"/>
      <c r="L413" s="107"/>
      <c r="M413" s="183"/>
      <c r="N413" s="108"/>
    </row>
    <row r="414" spans="1:14" x14ac:dyDescent="0.3">
      <c r="A414" s="77"/>
      <c r="B414" s="106"/>
      <c r="F414" s="124"/>
      <c r="G414" s="125"/>
      <c r="J414" s="125"/>
      <c r="L414" s="107"/>
      <c r="M414" s="183"/>
      <c r="N414" s="108"/>
    </row>
    <row r="415" spans="1:14" x14ac:dyDescent="0.3">
      <c r="A415" s="77"/>
      <c r="B415" s="106"/>
      <c r="F415" s="124"/>
      <c r="G415" s="125"/>
      <c r="J415" s="125"/>
      <c r="L415" s="107"/>
      <c r="M415" s="183"/>
      <c r="N415" s="108"/>
    </row>
    <row r="416" spans="1:14" x14ac:dyDescent="0.3">
      <c r="A416" s="77"/>
      <c r="B416" s="106"/>
      <c r="F416" s="124"/>
      <c r="G416" s="125"/>
      <c r="J416" s="125"/>
      <c r="L416" s="107"/>
      <c r="M416" s="183"/>
      <c r="N416" s="108"/>
    </row>
    <row r="417" spans="1:14" x14ac:dyDescent="0.3">
      <c r="A417" s="77"/>
      <c r="B417" s="106"/>
      <c r="F417" s="124"/>
      <c r="G417" s="125"/>
      <c r="J417" s="125"/>
      <c r="L417" s="107"/>
      <c r="M417" s="183"/>
      <c r="N417" s="108"/>
    </row>
    <row r="418" spans="1:14" x14ac:dyDescent="0.3">
      <c r="A418" s="77"/>
      <c r="B418" s="106"/>
      <c r="F418" s="124"/>
      <c r="G418" s="125"/>
      <c r="J418" s="125"/>
      <c r="L418" s="107"/>
      <c r="M418" s="183"/>
      <c r="N418" s="108"/>
    </row>
    <row r="419" spans="1:14" x14ac:dyDescent="0.3">
      <c r="A419" s="77"/>
      <c r="B419" s="106"/>
      <c r="F419" s="124"/>
      <c r="G419" s="125"/>
      <c r="J419" s="125"/>
      <c r="L419" s="107"/>
      <c r="M419" s="183"/>
      <c r="N419" s="108"/>
    </row>
    <row r="420" spans="1:14" x14ac:dyDescent="0.3">
      <c r="A420" s="77"/>
      <c r="B420" s="106"/>
      <c r="F420" s="124"/>
      <c r="G420" s="125"/>
      <c r="J420" s="125"/>
      <c r="L420" s="107"/>
      <c r="M420" s="183"/>
      <c r="N420" s="108"/>
    </row>
    <row r="421" spans="1:14" x14ac:dyDescent="0.3">
      <c r="A421" s="77"/>
      <c r="B421" s="106"/>
      <c r="F421" s="124"/>
      <c r="G421" s="125"/>
      <c r="J421" s="125"/>
      <c r="L421" s="107"/>
      <c r="M421" s="183"/>
      <c r="N421" s="108"/>
    </row>
    <row r="422" spans="1:14" x14ac:dyDescent="0.3">
      <c r="A422" s="77"/>
      <c r="B422" s="106"/>
      <c r="F422" s="124"/>
      <c r="G422" s="125"/>
      <c r="J422" s="125"/>
      <c r="L422" s="107"/>
      <c r="M422" s="183"/>
      <c r="N422" s="108"/>
    </row>
    <row r="423" spans="1:14" x14ac:dyDescent="0.3">
      <c r="A423" s="77"/>
      <c r="B423" s="106"/>
      <c r="F423" s="124"/>
      <c r="G423" s="125"/>
      <c r="J423" s="125"/>
      <c r="L423" s="107"/>
      <c r="M423" s="183"/>
      <c r="N423" s="108"/>
    </row>
    <row r="424" spans="1:14" x14ac:dyDescent="0.3">
      <c r="A424" s="77"/>
      <c r="B424" s="106"/>
      <c r="F424" s="124"/>
      <c r="G424" s="125"/>
      <c r="J424" s="125"/>
      <c r="L424" s="107"/>
      <c r="M424" s="183"/>
      <c r="N424" s="108"/>
    </row>
    <row r="425" spans="1:14" x14ac:dyDescent="0.3">
      <c r="A425" s="77"/>
      <c r="B425" s="106"/>
      <c r="F425" s="124"/>
      <c r="G425" s="125"/>
      <c r="J425" s="125"/>
      <c r="L425" s="107"/>
      <c r="M425" s="183"/>
      <c r="N425" s="108"/>
    </row>
    <row r="426" spans="1:14" x14ac:dyDescent="0.3">
      <c r="A426" s="77"/>
      <c r="B426" s="106"/>
      <c r="F426" s="124"/>
      <c r="G426" s="125"/>
      <c r="J426" s="125"/>
      <c r="L426" s="107"/>
      <c r="M426" s="183"/>
      <c r="N426" s="108"/>
    </row>
    <row r="427" spans="1:14" x14ac:dyDescent="0.3">
      <c r="A427" s="77"/>
      <c r="B427" s="106"/>
      <c r="F427" s="124"/>
      <c r="G427" s="125"/>
      <c r="J427" s="125"/>
      <c r="L427" s="107"/>
      <c r="M427" s="183"/>
      <c r="N427" s="108"/>
    </row>
    <row r="428" spans="1:14" x14ac:dyDescent="0.3">
      <c r="A428" s="77"/>
      <c r="B428" s="106"/>
      <c r="F428" s="124"/>
      <c r="G428" s="125"/>
      <c r="J428" s="125"/>
      <c r="L428" s="107"/>
      <c r="M428" s="183"/>
      <c r="N428" s="108"/>
    </row>
    <row r="429" spans="1:14" x14ac:dyDescent="0.3">
      <c r="A429" s="77"/>
      <c r="B429" s="106"/>
      <c r="F429" s="124"/>
      <c r="G429" s="125"/>
      <c r="J429" s="125"/>
      <c r="L429" s="107"/>
      <c r="M429" s="183"/>
      <c r="N429" s="108"/>
    </row>
    <row r="430" spans="1:14" x14ac:dyDescent="0.3">
      <c r="A430" s="77"/>
      <c r="B430" s="106"/>
      <c r="F430" s="124"/>
      <c r="G430" s="125"/>
      <c r="J430" s="125"/>
      <c r="L430" s="107"/>
      <c r="M430" s="183"/>
      <c r="N430" s="108"/>
    </row>
    <row r="431" spans="1:14" x14ac:dyDescent="0.3">
      <c r="A431" s="77"/>
      <c r="B431" s="106"/>
      <c r="F431" s="124"/>
      <c r="G431" s="125"/>
      <c r="J431" s="125"/>
      <c r="L431" s="107"/>
      <c r="M431" s="183"/>
      <c r="N431" s="108"/>
    </row>
    <row r="432" spans="1:14" x14ac:dyDescent="0.3">
      <c r="A432" s="77"/>
      <c r="B432" s="106"/>
      <c r="F432" s="124"/>
      <c r="G432" s="125"/>
      <c r="J432" s="125"/>
      <c r="L432" s="107"/>
      <c r="M432" s="183"/>
      <c r="N432" s="108"/>
    </row>
    <row r="433" spans="1:14" x14ac:dyDescent="0.3">
      <c r="A433" s="77"/>
      <c r="B433" s="106"/>
      <c r="F433" s="124"/>
      <c r="G433" s="125"/>
      <c r="J433" s="125"/>
      <c r="L433" s="107"/>
      <c r="M433" s="183"/>
      <c r="N433" s="108"/>
    </row>
    <row r="434" spans="1:14" x14ac:dyDescent="0.3">
      <c r="A434" s="77"/>
      <c r="B434" s="106"/>
      <c r="F434" s="124"/>
      <c r="G434" s="125"/>
      <c r="J434" s="125"/>
      <c r="L434" s="107"/>
      <c r="M434" s="183"/>
      <c r="N434" s="108"/>
    </row>
    <row r="435" spans="1:14" x14ac:dyDescent="0.3">
      <c r="A435" s="77"/>
      <c r="B435" s="106"/>
      <c r="F435" s="124"/>
      <c r="G435" s="125"/>
      <c r="J435" s="125"/>
      <c r="L435" s="107"/>
      <c r="M435" s="183"/>
      <c r="N435" s="108"/>
    </row>
    <row r="436" spans="1:14" x14ac:dyDescent="0.3">
      <c r="A436" s="77"/>
      <c r="B436" s="106"/>
      <c r="F436" s="124"/>
      <c r="G436" s="125"/>
      <c r="J436" s="125"/>
      <c r="L436" s="107"/>
      <c r="M436" s="183"/>
      <c r="N436" s="108"/>
    </row>
    <row r="437" spans="1:14" x14ac:dyDescent="0.3">
      <c r="A437" s="77"/>
      <c r="B437" s="106"/>
      <c r="F437" s="124"/>
      <c r="G437" s="125"/>
      <c r="J437" s="125"/>
      <c r="L437" s="107"/>
      <c r="M437" s="183"/>
      <c r="N437" s="108"/>
    </row>
    <row r="438" spans="1:14" x14ac:dyDescent="0.3">
      <c r="A438" s="77"/>
      <c r="B438" s="106"/>
      <c r="F438" s="124"/>
      <c r="G438" s="125"/>
      <c r="J438" s="125"/>
      <c r="L438" s="107"/>
      <c r="M438" s="183"/>
      <c r="N438" s="108"/>
    </row>
    <row r="439" spans="1:14" x14ac:dyDescent="0.3">
      <c r="A439" s="77"/>
      <c r="B439" s="106"/>
      <c r="F439" s="124"/>
      <c r="G439" s="125"/>
      <c r="J439" s="125"/>
      <c r="L439" s="107"/>
      <c r="M439" s="183"/>
      <c r="N439" s="108"/>
    </row>
    <row r="440" spans="1:14" x14ac:dyDescent="0.3">
      <c r="A440" s="77"/>
      <c r="B440" s="106"/>
      <c r="F440" s="124"/>
      <c r="G440" s="125"/>
      <c r="J440" s="125"/>
      <c r="L440" s="107"/>
      <c r="M440" s="183"/>
      <c r="N440" s="108"/>
    </row>
    <row r="441" spans="1:14" x14ac:dyDescent="0.3">
      <c r="A441" s="77"/>
      <c r="B441" s="106"/>
      <c r="F441" s="124"/>
      <c r="G441" s="125"/>
      <c r="J441" s="125"/>
      <c r="L441" s="107"/>
      <c r="M441" s="183"/>
      <c r="N441" s="108"/>
    </row>
    <row r="442" spans="1:14" x14ac:dyDescent="0.3">
      <c r="A442" s="77"/>
      <c r="B442" s="106"/>
      <c r="F442" s="124"/>
      <c r="G442" s="125"/>
      <c r="J442" s="125"/>
      <c r="L442" s="107"/>
      <c r="M442" s="183"/>
      <c r="N442" s="108"/>
    </row>
    <row r="443" spans="1:14" x14ac:dyDescent="0.3">
      <c r="A443" s="77"/>
      <c r="B443" s="106"/>
      <c r="F443" s="124"/>
      <c r="G443" s="125"/>
      <c r="J443" s="125"/>
      <c r="L443" s="107"/>
      <c r="M443" s="183"/>
      <c r="N443" s="108"/>
    </row>
    <row r="444" spans="1:14" x14ac:dyDescent="0.3">
      <c r="A444" s="77"/>
      <c r="B444" s="106"/>
      <c r="F444" s="124"/>
      <c r="G444" s="125"/>
      <c r="J444" s="125"/>
      <c r="L444" s="107"/>
      <c r="M444" s="183"/>
      <c r="N444" s="108"/>
    </row>
    <row r="445" spans="1:14" x14ac:dyDescent="0.3">
      <c r="A445" s="77"/>
      <c r="B445" s="106"/>
      <c r="F445" s="124"/>
      <c r="G445" s="125"/>
      <c r="J445" s="125"/>
      <c r="L445" s="107"/>
      <c r="M445" s="183"/>
      <c r="N445" s="108"/>
    </row>
    <row r="446" spans="1:14" x14ac:dyDescent="0.3">
      <c r="A446" s="77"/>
      <c r="B446" s="106"/>
      <c r="F446" s="124"/>
      <c r="G446" s="125"/>
      <c r="J446" s="125"/>
      <c r="L446" s="107"/>
      <c r="M446" s="183"/>
      <c r="N446" s="108"/>
    </row>
    <row r="447" spans="1:14" x14ac:dyDescent="0.3">
      <c r="A447" s="77"/>
      <c r="B447" s="106"/>
      <c r="F447" s="124"/>
      <c r="G447" s="125"/>
      <c r="J447" s="125"/>
      <c r="L447" s="107"/>
      <c r="M447" s="183"/>
      <c r="N447" s="108"/>
    </row>
    <row r="448" spans="1:14" x14ac:dyDescent="0.3">
      <c r="A448" s="77"/>
      <c r="B448" s="106"/>
      <c r="F448" s="124"/>
      <c r="G448" s="125"/>
      <c r="J448" s="125"/>
      <c r="L448" s="107"/>
      <c r="M448" s="183"/>
      <c r="N448" s="108"/>
    </row>
    <row r="449" spans="1:14" x14ac:dyDescent="0.3">
      <c r="A449" s="77"/>
      <c r="B449" s="106"/>
      <c r="F449" s="124"/>
      <c r="G449" s="125"/>
      <c r="J449" s="125"/>
      <c r="L449" s="107"/>
      <c r="M449" s="183"/>
      <c r="N449" s="108"/>
    </row>
    <row r="450" spans="1:14" x14ac:dyDescent="0.3">
      <c r="A450" s="77"/>
      <c r="B450" s="106"/>
      <c r="F450" s="124"/>
      <c r="G450" s="125"/>
      <c r="J450" s="125"/>
      <c r="L450" s="107"/>
      <c r="M450" s="183"/>
      <c r="N450" s="108"/>
    </row>
    <row r="451" spans="1:14" x14ac:dyDescent="0.3">
      <c r="A451" s="77"/>
      <c r="B451" s="106"/>
      <c r="F451" s="124"/>
      <c r="G451" s="125"/>
      <c r="J451" s="125"/>
      <c r="L451" s="107"/>
      <c r="M451" s="183"/>
      <c r="N451" s="108"/>
    </row>
    <row r="452" spans="1:14" x14ac:dyDescent="0.3">
      <c r="A452" s="77"/>
      <c r="B452" s="106"/>
      <c r="F452" s="124"/>
      <c r="G452" s="125"/>
      <c r="J452" s="125"/>
      <c r="L452" s="107"/>
      <c r="M452" s="183"/>
      <c r="N452" s="108"/>
    </row>
    <row r="453" spans="1:14" x14ac:dyDescent="0.3">
      <c r="A453" s="77"/>
      <c r="B453" s="106"/>
      <c r="F453" s="124"/>
      <c r="G453" s="125"/>
      <c r="J453" s="125"/>
      <c r="L453" s="107"/>
      <c r="M453" s="183"/>
      <c r="N453" s="108"/>
    </row>
    <row r="454" spans="1:14" x14ac:dyDescent="0.3">
      <c r="A454" s="77"/>
      <c r="B454" s="106"/>
      <c r="F454" s="124"/>
      <c r="G454" s="125"/>
      <c r="J454" s="125"/>
      <c r="L454" s="107"/>
      <c r="M454" s="183"/>
      <c r="N454" s="108"/>
    </row>
    <row r="455" spans="1:14" x14ac:dyDescent="0.3">
      <c r="A455" s="77"/>
      <c r="B455" s="106"/>
      <c r="F455" s="124"/>
      <c r="G455" s="125"/>
      <c r="J455" s="125"/>
      <c r="L455" s="107"/>
      <c r="M455" s="183"/>
      <c r="N455" s="108"/>
    </row>
    <row r="456" spans="1:14" x14ac:dyDescent="0.3">
      <c r="A456" s="77"/>
      <c r="B456" s="106"/>
      <c r="F456" s="124"/>
      <c r="G456" s="125"/>
      <c r="J456" s="125"/>
      <c r="L456" s="107"/>
      <c r="M456" s="183"/>
      <c r="N456" s="108"/>
    </row>
    <row r="457" spans="1:14" x14ac:dyDescent="0.3">
      <c r="A457" s="77"/>
      <c r="B457" s="106"/>
      <c r="F457" s="124"/>
      <c r="G457" s="125"/>
      <c r="J457" s="125"/>
      <c r="L457" s="107"/>
      <c r="M457" s="183"/>
      <c r="N457" s="108"/>
    </row>
    <row r="458" spans="1:14" x14ac:dyDescent="0.3">
      <c r="A458" s="77"/>
      <c r="B458" s="106"/>
      <c r="F458" s="124"/>
      <c r="G458" s="125"/>
      <c r="J458" s="125"/>
      <c r="L458" s="107"/>
      <c r="M458" s="183"/>
      <c r="N458" s="108"/>
    </row>
    <row r="459" spans="1:14" x14ac:dyDescent="0.3">
      <c r="A459" s="77"/>
      <c r="B459" s="106"/>
      <c r="F459" s="124"/>
      <c r="G459" s="125"/>
      <c r="J459" s="125"/>
      <c r="L459" s="107"/>
      <c r="M459" s="183"/>
      <c r="N459" s="108"/>
    </row>
    <row r="460" spans="1:14" x14ac:dyDescent="0.3">
      <c r="A460" s="77"/>
      <c r="B460" s="106"/>
      <c r="F460" s="124"/>
      <c r="G460" s="125"/>
      <c r="J460" s="125"/>
      <c r="L460" s="107"/>
      <c r="M460" s="183"/>
      <c r="N460" s="108"/>
    </row>
    <row r="461" spans="1:14" x14ac:dyDescent="0.3">
      <c r="A461" s="77"/>
      <c r="B461" s="106"/>
      <c r="F461" s="124"/>
      <c r="G461" s="125"/>
      <c r="J461" s="125"/>
      <c r="L461" s="107"/>
      <c r="M461" s="183"/>
      <c r="N461" s="108"/>
    </row>
    <row r="462" spans="1:14" x14ac:dyDescent="0.3">
      <c r="A462" s="77"/>
      <c r="B462" s="106"/>
      <c r="F462" s="124"/>
      <c r="G462" s="125"/>
      <c r="J462" s="125"/>
      <c r="L462" s="107"/>
      <c r="M462" s="183"/>
      <c r="N462" s="108"/>
    </row>
    <row r="463" spans="1:14" x14ac:dyDescent="0.3">
      <c r="A463" s="77"/>
      <c r="B463" s="106"/>
      <c r="F463" s="124"/>
      <c r="G463" s="125"/>
      <c r="J463" s="125"/>
      <c r="L463" s="107"/>
      <c r="M463" s="183"/>
      <c r="N463" s="108"/>
    </row>
    <row r="464" spans="1:14" x14ac:dyDescent="0.3">
      <c r="A464" s="77"/>
      <c r="B464" s="106"/>
      <c r="F464" s="124"/>
      <c r="G464" s="125"/>
      <c r="J464" s="125"/>
      <c r="L464" s="107"/>
      <c r="M464" s="183"/>
      <c r="N464" s="108"/>
    </row>
    <row r="465" spans="1:14" x14ac:dyDescent="0.3">
      <c r="A465" s="77"/>
      <c r="B465" s="106"/>
      <c r="F465" s="124"/>
      <c r="G465" s="125"/>
      <c r="J465" s="125"/>
      <c r="L465" s="107"/>
      <c r="M465" s="183"/>
      <c r="N465" s="108"/>
    </row>
    <row r="466" spans="1:14" x14ac:dyDescent="0.3">
      <c r="A466" s="77"/>
      <c r="B466" s="106"/>
      <c r="F466" s="124"/>
      <c r="G466" s="125"/>
      <c r="J466" s="125"/>
      <c r="L466" s="107"/>
      <c r="M466" s="183"/>
      <c r="N466" s="108"/>
    </row>
    <row r="467" spans="1:14" x14ac:dyDescent="0.3">
      <c r="A467" s="77"/>
      <c r="B467" s="106"/>
      <c r="F467" s="124"/>
      <c r="G467" s="125"/>
      <c r="J467" s="125"/>
      <c r="L467" s="107"/>
      <c r="M467" s="183"/>
      <c r="N467" s="108"/>
    </row>
    <row r="468" spans="1:14" x14ac:dyDescent="0.3">
      <c r="A468" s="77"/>
      <c r="B468" s="106"/>
      <c r="F468" s="124"/>
      <c r="G468" s="125"/>
      <c r="J468" s="125"/>
      <c r="L468" s="107"/>
      <c r="M468" s="183"/>
      <c r="N468" s="108"/>
    </row>
    <row r="469" spans="1:14" x14ac:dyDescent="0.3">
      <c r="A469" s="77"/>
      <c r="B469" s="106"/>
      <c r="F469" s="124"/>
      <c r="G469" s="125"/>
      <c r="J469" s="125"/>
      <c r="L469" s="107"/>
      <c r="M469" s="183"/>
      <c r="N469" s="108"/>
    </row>
    <row r="470" spans="1:14" x14ac:dyDescent="0.3">
      <c r="A470" s="77"/>
      <c r="B470" s="106"/>
      <c r="F470" s="124"/>
      <c r="G470" s="125"/>
      <c r="J470" s="125"/>
      <c r="L470" s="107"/>
      <c r="M470" s="183"/>
      <c r="N470" s="108"/>
    </row>
    <row r="471" spans="1:14" x14ac:dyDescent="0.3">
      <c r="A471" s="77"/>
      <c r="B471" s="106"/>
      <c r="F471" s="124"/>
      <c r="G471" s="125"/>
      <c r="J471" s="125"/>
      <c r="L471" s="107"/>
      <c r="M471" s="183"/>
      <c r="N471" s="108"/>
    </row>
    <row r="472" spans="1:14" x14ac:dyDescent="0.3">
      <c r="A472" s="77"/>
      <c r="B472" s="106"/>
      <c r="F472" s="124"/>
      <c r="G472" s="125"/>
      <c r="J472" s="125"/>
      <c r="L472" s="107"/>
      <c r="M472" s="183"/>
      <c r="N472" s="108"/>
    </row>
    <row r="473" spans="1:14" x14ac:dyDescent="0.3">
      <c r="A473" s="77"/>
      <c r="B473" s="106"/>
      <c r="F473" s="124"/>
      <c r="G473" s="125"/>
      <c r="J473" s="125"/>
      <c r="L473" s="107"/>
      <c r="M473" s="183"/>
      <c r="N473" s="108"/>
    </row>
    <row r="474" spans="1:14" x14ac:dyDescent="0.3">
      <c r="A474" s="77"/>
      <c r="B474" s="106"/>
      <c r="F474" s="124"/>
      <c r="G474" s="125"/>
      <c r="J474" s="125"/>
      <c r="L474" s="107"/>
      <c r="M474" s="183"/>
      <c r="N474" s="108"/>
    </row>
    <row r="475" spans="1:14" x14ac:dyDescent="0.3">
      <c r="A475" s="77"/>
      <c r="B475" s="106"/>
      <c r="F475" s="124"/>
      <c r="G475" s="125"/>
      <c r="J475" s="125"/>
      <c r="L475" s="107"/>
      <c r="M475" s="183"/>
      <c r="N475" s="108"/>
    </row>
    <row r="476" spans="1:14" x14ac:dyDescent="0.3">
      <c r="A476" s="77"/>
      <c r="B476" s="106"/>
      <c r="F476" s="124"/>
      <c r="G476" s="125"/>
      <c r="J476" s="125"/>
      <c r="L476" s="107"/>
      <c r="M476" s="183"/>
      <c r="N476" s="108"/>
    </row>
    <row r="477" spans="1:14" x14ac:dyDescent="0.3">
      <c r="A477" s="77"/>
      <c r="B477" s="106"/>
      <c r="F477" s="124"/>
      <c r="G477" s="125"/>
      <c r="J477" s="125"/>
      <c r="L477" s="107"/>
      <c r="M477" s="183"/>
      <c r="N477" s="108"/>
    </row>
    <row r="478" spans="1:14" x14ac:dyDescent="0.3">
      <c r="A478" s="77"/>
      <c r="B478" s="106"/>
      <c r="F478" s="124"/>
      <c r="G478" s="125"/>
      <c r="J478" s="125"/>
      <c r="L478" s="107"/>
      <c r="M478" s="183"/>
      <c r="N478" s="108"/>
    </row>
    <row r="479" spans="1:14" x14ac:dyDescent="0.3">
      <c r="A479" s="77"/>
      <c r="B479" s="106"/>
      <c r="F479" s="124"/>
      <c r="G479" s="125"/>
      <c r="J479" s="125"/>
      <c r="L479" s="107"/>
      <c r="M479" s="183"/>
      <c r="N479" s="108"/>
    </row>
    <row r="480" spans="1:14" x14ac:dyDescent="0.3">
      <c r="A480" s="77"/>
      <c r="B480" s="106"/>
      <c r="F480" s="124"/>
      <c r="G480" s="125"/>
      <c r="J480" s="125"/>
      <c r="L480" s="107"/>
      <c r="M480" s="183"/>
      <c r="N480" s="108"/>
    </row>
    <row r="481" spans="1:14" x14ac:dyDescent="0.3">
      <c r="A481" s="77"/>
      <c r="B481" s="106"/>
      <c r="F481" s="124"/>
      <c r="G481" s="125"/>
      <c r="J481" s="125"/>
      <c r="L481" s="107"/>
      <c r="M481" s="183"/>
      <c r="N481" s="108"/>
    </row>
    <row r="482" spans="1:14" x14ac:dyDescent="0.3">
      <c r="A482" s="77"/>
      <c r="B482" s="106"/>
      <c r="F482" s="124"/>
      <c r="G482" s="125"/>
      <c r="J482" s="125"/>
      <c r="L482" s="107"/>
      <c r="M482" s="183"/>
      <c r="N482" s="108"/>
    </row>
    <row r="483" spans="1:14" x14ac:dyDescent="0.3">
      <c r="A483" s="77"/>
      <c r="B483" s="106"/>
      <c r="F483" s="124"/>
      <c r="G483" s="125"/>
      <c r="J483" s="125"/>
      <c r="L483" s="107"/>
      <c r="M483" s="183"/>
      <c r="N483" s="108"/>
    </row>
    <row r="484" spans="1:14" x14ac:dyDescent="0.3">
      <c r="A484" s="77"/>
      <c r="B484" s="106"/>
      <c r="F484" s="124"/>
      <c r="G484" s="125"/>
      <c r="J484" s="125"/>
      <c r="L484" s="107"/>
      <c r="M484" s="183"/>
      <c r="N484" s="108"/>
    </row>
    <row r="485" spans="1:14" x14ac:dyDescent="0.3">
      <c r="A485" s="77"/>
      <c r="B485" s="106"/>
      <c r="F485" s="124"/>
      <c r="G485" s="125"/>
      <c r="J485" s="125"/>
      <c r="L485" s="107"/>
      <c r="M485" s="183"/>
      <c r="N485" s="108"/>
    </row>
    <row r="486" spans="1:14" x14ac:dyDescent="0.3">
      <c r="A486" s="77"/>
      <c r="B486" s="106"/>
      <c r="F486" s="124"/>
      <c r="G486" s="125"/>
      <c r="J486" s="125"/>
      <c r="L486" s="107"/>
      <c r="M486" s="183"/>
      <c r="N486" s="108"/>
    </row>
    <row r="487" spans="1:14" x14ac:dyDescent="0.3">
      <c r="A487" s="77"/>
      <c r="B487" s="106"/>
      <c r="F487" s="124"/>
      <c r="G487" s="125"/>
      <c r="J487" s="125"/>
      <c r="L487" s="107"/>
      <c r="M487" s="183"/>
      <c r="N487" s="108"/>
    </row>
    <row r="488" spans="1:14" x14ac:dyDescent="0.3">
      <c r="A488" s="77"/>
      <c r="B488" s="106"/>
      <c r="F488" s="124"/>
      <c r="G488" s="125"/>
      <c r="J488" s="125"/>
      <c r="L488" s="107"/>
      <c r="M488" s="183"/>
      <c r="N488" s="108"/>
    </row>
    <row r="489" spans="1:14" x14ac:dyDescent="0.3">
      <c r="A489" s="77"/>
      <c r="B489" s="106"/>
      <c r="F489" s="124"/>
      <c r="G489" s="125"/>
      <c r="J489" s="125"/>
      <c r="L489" s="107"/>
      <c r="M489" s="183"/>
      <c r="N489" s="108"/>
    </row>
    <row r="490" spans="1:14" x14ac:dyDescent="0.3">
      <c r="A490" s="77"/>
      <c r="B490" s="106"/>
      <c r="F490" s="124"/>
      <c r="G490" s="125"/>
      <c r="J490" s="125"/>
      <c r="L490" s="107"/>
      <c r="M490" s="183"/>
      <c r="N490" s="108"/>
    </row>
    <row r="491" spans="1:14" x14ac:dyDescent="0.3">
      <c r="A491" s="77"/>
      <c r="B491" s="106"/>
      <c r="F491" s="124"/>
      <c r="G491" s="125"/>
      <c r="J491" s="125"/>
      <c r="L491" s="107"/>
      <c r="M491" s="183"/>
      <c r="N491" s="108"/>
    </row>
    <row r="492" spans="1:14" x14ac:dyDescent="0.3">
      <c r="A492" s="77"/>
      <c r="B492" s="106"/>
      <c r="F492" s="124"/>
      <c r="G492" s="125"/>
      <c r="J492" s="125"/>
      <c r="L492" s="107"/>
      <c r="M492" s="183"/>
      <c r="N492" s="108"/>
    </row>
    <row r="493" spans="1:14" x14ac:dyDescent="0.3">
      <c r="A493" s="77"/>
      <c r="B493" s="106"/>
      <c r="F493" s="124"/>
      <c r="G493" s="125"/>
      <c r="J493" s="125"/>
      <c r="L493" s="107"/>
      <c r="M493" s="183"/>
      <c r="N493" s="108"/>
    </row>
    <row r="494" spans="1:14" x14ac:dyDescent="0.3">
      <c r="A494" s="77"/>
      <c r="B494" s="106"/>
      <c r="F494" s="124"/>
      <c r="G494" s="125"/>
      <c r="J494" s="125"/>
      <c r="L494" s="107"/>
      <c r="M494" s="183"/>
      <c r="N494" s="108"/>
    </row>
    <row r="495" spans="1:14" x14ac:dyDescent="0.3">
      <c r="A495" s="77"/>
      <c r="B495" s="106"/>
      <c r="F495" s="124"/>
      <c r="G495" s="125"/>
      <c r="J495" s="125"/>
      <c r="L495" s="107"/>
      <c r="M495" s="183"/>
      <c r="N495" s="108"/>
    </row>
    <row r="496" spans="1:14" x14ac:dyDescent="0.3">
      <c r="A496" s="77"/>
      <c r="B496" s="106"/>
      <c r="F496" s="124"/>
      <c r="G496" s="125"/>
      <c r="J496" s="125"/>
      <c r="L496" s="107"/>
      <c r="M496" s="183"/>
      <c r="N496" s="108"/>
    </row>
    <row r="497" spans="1:14" x14ac:dyDescent="0.3">
      <c r="A497" s="77"/>
      <c r="B497" s="106"/>
      <c r="F497" s="124"/>
      <c r="G497" s="125"/>
      <c r="J497" s="125"/>
      <c r="L497" s="107"/>
      <c r="M497" s="183"/>
      <c r="N497" s="108"/>
    </row>
    <row r="498" spans="1:14" x14ac:dyDescent="0.3">
      <c r="A498" s="77"/>
      <c r="B498" s="106"/>
      <c r="F498" s="124"/>
      <c r="G498" s="125"/>
      <c r="J498" s="125"/>
      <c r="L498" s="107"/>
      <c r="M498" s="183"/>
      <c r="N498" s="108"/>
    </row>
    <row r="499" spans="1:14" x14ac:dyDescent="0.3">
      <c r="A499" s="77"/>
      <c r="B499" s="106"/>
      <c r="F499" s="124"/>
      <c r="G499" s="125"/>
      <c r="J499" s="125"/>
      <c r="L499" s="107"/>
      <c r="M499" s="183"/>
      <c r="N499" s="108"/>
    </row>
    <row r="500" spans="1:14" x14ac:dyDescent="0.3">
      <c r="A500" s="77"/>
      <c r="B500" s="106"/>
      <c r="F500" s="124"/>
      <c r="G500" s="125"/>
      <c r="J500" s="125"/>
      <c r="L500" s="107"/>
      <c r="M500" s="183"/>
      <c r="N500" s="108"/>
    </row>
    <row r="501" spans="1:14" x14ac:dyDescent="0.3">
      <c r="A501" s="77"/>
      <c r="B501" s="106"/>
      <c r="F501" s="124"/>
      <c r="G501" s="125"/>
      <c r="J501" s="125"/>
      <c r="L501" s="107"/>
      <c r="M501" s="183"/>
      <c r="N501" s="108"/>
    </row>
    <row r="502" spans="1:14" x14ac:dyDescent="0.3">
      <c r="A502" s="77"/>
      <c r="B502" s="106"/>
      <c r="F502" s="124"/>
      <c r="G502" s="125"/>
      <c r="J502" s="125"/>
      <c r="L502" s="107"/>
      <c r="M502" s="183"/>
      <c r="N502" s="108"/>
    </row>
    <row r="503" spans="1:14" x14ac:dyDescent="0.3">
      <c r="A503" s="77"/>
      <c r="B503" s="106"/>
      <c r="F503" s="124"/>
      <c r="G503" s="125"/>
      <c r="J503" s="125"/>
      <c r="L503" s="107"/>
      <c r="M503" s="183"/>
      <c r="N503" s="108"/>
    </row>
    <row r="504" spans="1:14" x14ac:dyDescent="0.3">
      <c r="A504" s="77"/>
      <c r="B504" s="106"/>
      <c r="F504" s="124"/>
      <c r="G504" s="125"/>
      <c r="J504" s="125"/>
      <c r="L504" s="107"/>
      <c r="M504" s="183"/>
      <c r="N504" s="108"/>
    </row>
    <row r="505" spans="1:14" x14ac:dyDescent="0.3">
      <c r="A505" s="77"/>
      <c r="B505" s="106"/>
      <c r="F505" s="124"/>
      <c r="G505" s="125"/>
      <c r="J505" s="125"/>
      <c r="L505" s="107"/>
      <c r="M505" s="183"/>
      <c r="N505" s="108"/>
    </row>
    <row r="506" spans="1:14" x14ac:dyDescent="0.3">
      <c r="A506" s="77"/>
      <c r="B506" s="106"/>
      <c r="F506" s="124"/>
      <c r="G506" s="125"/>
      <c r="J506" s="125"/>
      <c r="L506" s="107"/>
      <c r="M506" s="183"/>
      <c r="N506" s="108"/>
    </row>
    <row r="507" spans="1:14" x14ac:dyDescent="0.3">
      <c r="A507" s="77"/>
      <c r="B507" s="106"/>
      <c r="F507" s="124"/>
      <c r="G507" s="125"/>
      <c r="J507" s="125"/>
      <c r="L507" s="107"/>
      <c r="M507" s="183"/>
      <c r="N507" s="108"/>
    </row>
    <row r="508" spans="1:14" x14ac:dyDescent="0.3">
      <c r="A508" s="77"/>
      <c r="B508" s="106"/>
      <c r="F508" s="124"/>
      <c r="G508" s="125"/>
      <c r="J508" s="125"/>
      <c r="L508" s="107"/>
      <c r="M508" s="183"/>
      <c r="N508" s="108"/>
    </row>
    <row r="509" spans="1:14" x14ac:dyDescent="0.3">
      <c r="A509" s="77"/>
      <c r="B509" s="106"/>
      <c r="F509" s="124"/>
      <c r="G509" s="125"/>
      <c r="J509" s="125"/>
      <c r="L509" s="107"/>
      <c r="M509" s="183"/>
      <c r="N509" s="108"/>
    </row>
    <row r="510" spans="1:14" x14ac:dyDescent="0.3">
      <c r="A510" s="77"/>
      <c r="B510" s="106"/>
      <c r="F510" s="124"/>
      <c r="G510" s="125"/>
      <c r="J510" s="125"/>
      <c r="L510" s="107"/>
      <c r="M510" s="183"/>
      <c r="N510" s="108"/>
    </row>
    <row r="511" spans="1:14" x14ac:dyDescent="0.3">
      <c r="A511" s="77"/>
      <c r="B511" s="106"/>
      <c r="F511" s="124"/>
      <c r="G511" s="125"/>
      <c r="J511" s="125"/>
      <c r="L511" s="107"/>
      <c r="M511" s="183"/>
      <c r="N511" s="108"/>
    </row>
    <row r="512" spans="1:14" x14ac:dyDescent="0.3">
      <c r="A512" s="77"/>
      <c r="B512" s="106"/>
      <c r="F512" s="124"/>
      <c r="G512" s="125"/>
      <c r="J512" s="125"/>
      <c r="L512" s="107"/>
      <c r="M512" s="183"/>
      <c r="N512" s="108"/>
    </row>
    <row r="513" spans="1:14" x14ac:dyDescent="0.3">
      <c r="A513" s="77"/>
      <c r="B513" s="106"/>
      <c r="F513" s="124"/>
      <c r="G513" s="125"/>
      <c r="J513" s="125"/>
      <c r="L513" s="107"/>
      <c r="M513" s="183"/>
      <c r="N513" s="108"/>
    </row>
    <row r="514" spans="1:14" x14ac:dyDescent="0.3">
      <c r="A514" s="77"/>
      <c r="B514" s="106"/>
      <c r="F514" s="124"/>
      <c r="G514" s="125"/>
      <c r="J514" s="125"/>
      <c r="L514" s="107"/>
      <c r="M514" s="183"/>
      <c r="N514" s="108"/>
    </row>
    <row r="515" spans="1:14" x14ac:dyDescent="0.3">
      <c r="A515" s="77"/>
      <c r="B515" s="106"/>
      <c r="F515" s="124"/>
      <c r="G515" s="125"/>
      <c r="J515" s="125"/>
      <c r="L515" s="107"/>
      <c r="M515" s="183"/>
      <c r="N515" s="108"/>
    </row>
    <row r="516" spans="1:14" x14ac:dyDescent="0.3">
      <c r="A516" s="77"/>
      <c r="B516" s="106"/>
      <c r="F516" s="124"/>
      <c r="G516" s="125"/>
      <c r="J516" s="125"/>
      <c r="L516" s="107"/>
      <c r="M516" s="183"/>
      <c r="N516" s="108"/>
    </row>
    <row r="517" spans="1:14" x14ac:dyDescent="0.3">
      <c r="A517" s="77"/>
      <c r="B517" s="106"/>
      <c r="F517" s="124"/>
      <c r="G517" s="125"/>
      <c r="J517" s="125"/>
      <c r="L517" s="107"/>
      <c r="M517" s="183"/>
      <c r="N517" s="108"/>
    </row>
    <row r="518" spans="1:14" x14ac:dyDescent="0.3">
      <c r="A518" s="77"/>
      <c r="B518" s="106"/>
      <c r="F518" s="124"/>
      <c r="G518" s="125"/>
      <c r="J518" s="125"/>
      <c r="L518" s="107"/>
      <c r="M518" s="183"/>
      <c r="N518" s="108"/>
    </row>
    <row r="519" spans="1:14" x14ac:dyDescent="0.3">
      <c r="A519" s="77"/>
      <c r="B519" s="106"/>
      <c r="F519" s="124"/>
      <c r="G519" s="125"/>
      <c r="J519" s="125"/>
      <c r="L519" s="107"/>
      <c r="M519" s="183"/>
      <c r="N519" s="108"/>
    </row>
    <row r="520" spans="1:14" x14ac:dyDescent="0.3">
      <c r="A520" s="77"/>
      <c r="B520" s="106"/>
      <c r="F520" s="124"/>
      <c r="G520" s="125"/>
      <c r="J520" s="125"/>
      <c r="L520" s="107"/>
      <c r="M520" s="183"/>
      <c r="N520" s="108"/>
    </row>
    <row r="521" spans="1:14" x14ac:dyDescent="0.3">
      <c r="A521" s="77"/>
      <c r="B521" s="106"/>
      <c r="F521" s="124"/>
      <c r="G521" s="125"/>
      <c r="J521" s="125"/>
      <c r="L521" s="107"/>
      <c r="M521" s="183"/>
      <c r="N521" s="108"/>
    </row>
    <row r="522" spans="1:14" x14ac:dyDescent="0.3">
      <c r="A522" s="77"/>
      <c r="B522" s="106"/>
      <c r="F522" s="124"/>
      <c r="G522" s="125"/>
      <c r="J522" s="125"/>
      <c r="L522" s="107"/>
      <c r="M522" s="183"/>
      <c r="N522" s="108"/>
    </row>
    <row r="523" spans="1:14" x14ac:dyDescent="0.3">
      <c r="A523" s="77"/>
      <c r="B523" s="106"/>
      <c r="F523" s="124"/>
      <c r="G523" s="125"/>
      <c r="J523" s="125"/>
      <c r="L523" s="107"/>
      <c r="M523" s="183"/>
      <c r="N523" s="108"/>
    </row>
    <row r="524" spans="1:14" x14ac:dyDescent="0.3">
      <c r="A524" s="77"/>
      <c r="B524" s="106"/>
      <c r="F524" s="124"/>
      <c r="G524" s="125"/>
      <c r="J524" s="125"/>
      <c r="L524" s="107"/>
      <c r="M524" s="183"/>
      <c r="N524" s="108"/>
    </row>
    <row r="525" spans="1:14" x14ac:dyDescent="0.3">
      <c r="A525" s="77"/>
      <c r="B525" s="106"/>
      <c r="F525" s="124"/>
      <c r="G525" s="125"/>
      <c r="J525" s="125"/>
      <c r="L525" s="107"/>
      <c r="M525" s="183"/>
      <c r="N525" s="108"/>
    </row>
    <row r="526" spans="1:14" x14ac:dyDescent="0.3">
      <c r="A526" s="77"/>
      <c r="B526" s="106"/>
      <c r="F526" s="124"/>
      <c r="G526" s="125"/>
      <c r="J526" s="125"/>
      <c r="L526" s="107"/>
      <c r="M526" s="183"/>
      <c r="N526" s="108"/>
    </row>
    <row r="527" spans="1:14" x14ac:dyDescent="0.3">
      <c r="A527" s="77"/>
      <c r="B527" s="106"/>
      <c r="F527" s="124"/>
      <c r="G527" s="125"/>
      <c r="J527" s="125"/>
      <c r="L527" s="107"/>
      <c r="M527" s="183"/>
      <c r="N527" s="108"/>
    </row>
    <row r="528" spans="1:14" x14ac:dyDescent="0.3">
      <c r="A528" s="77"/>
      <c r="B528" s="106"/>
      <c r="F528" s="124"/>
      <c r="G528" s="125"/>
      <c r="J528" s="125"/>
      <c r="L528" s="107"/>
      <c r="M528" s="183"/>
      <c r="N528" s="108"/>
    </row>
    <row r="529" spans="1:14" x14ac:dyDescent="0.3">
      <c r="A529" s="77"/>
      <c r="B529" s="106"/>
      <c r="F529" s="124"/>
      <c r="G529" s="125"/>
      <c r="J529" s="125"/>
      <c r="L529" s="107"/>
      <c r="M529" s="183"/>
      <c r="N529" s="108"/>
    </row>
    <row r="530" spans="1:14" x14ac:dyDescent="0.3">
      <c r="A530" s="77"/>
      <c r="B530" s="106"/>
      <c r="F530" s="124"/>
      <c r="G530" s="125"/>
      <c r="J530" s="125"/>
      <c r="L530" s="107"/>
      <c r="M530" s="183"/>
      <c r="N530" s="108"/>
    </row>
    <row r="531" spans="1:14" x14ac:dyDescent="0.3">
      <c r="A531" s="77"/>
      <c r="B531" s="106"/>
      <c r="F531" s="124"/>
      <c r="G531" s="125"/>
      <c r="J531" s="125"/>
      <c r="L531" s="107"/>
      <c r="M531" s="183"/>
      <c r="N531" s="108"/>
    </row>
    <row r="532" spans="1:14" x14ac:dyDescent="0.3">
      <c r="A532" s="77"/>
      <c r="B532" s="106"/>
      <c r="F532" s="124"/>
      <c r="G532" s="125"/>
      <c r="J532" s="125"/>
      <c r="L532" s="107"/>
      <c r="M532" s="183"/>
      <c r="N532" s="108"/>
    </row>
    <row r="533" spans="1:14" x14ac:dyDescent="0.3">
      <c r="A533" s="77"/>
      <c r="B533" s="106"/>
      <c r="F533" s="124"/>
      <c r="G533" s="125"/>
      <c r="J533" s="125"/>
      <c r="L533" s="107"/>
      <c r="M533" s="183"/>
      <c r="N533" s="108"/>
    </row>
    <row r="534" spans="1:14" x14ac:dyDescent="0.3">
      <c r="A534" s="77"/>
      <c r="B534" s="106"/>
      <c r="F534" s="124"/>
      <c r="G534" s="125"/>
      <c r="J534" s="125"/>
      <c r="L534" s="107"/>
      <c r="M534" s="183"/>
      <c r="N534" s="108"/>
    </row>
    <row r="535" spans="1:14" x14ac:dyDescent="0.3">
      <c r="A535" s="77"/>
      <c r="B535" s="106"/>
      <c r="F535" s="124"/>
      <c r="G535" s="125"/>
      <c r="J535" s="125"/>
      <c r="L535" s="107"/>
      <c r="M535" s="183"/>
      <c r="N535" s="108"/>
    </row>
    <row r="536" spans="1:14" x14ac:dyDescent="0.3">
      <c r="A536" s="77"/>
      <c r="B536" s="106"/>
      <c r="F536" s="124"/>
      <c r="G536" s="125"/>
      <c r="J536" s="125"/>
      <c r="L536" s="107"/>
      <c r="M536" s="183"/>
      <c r="N536" s="108"/>
    </row>
    <row r="537" spans="1:14" x14ac:dyDescent="0.3">
      <c r="A537" s="77"/>
      <c r="B537" s="106"/>
      <c r="F537" s="124"/>
      <c r="G537" s="125"/>
      <c r="J537" s="125"/>
      <c r="L537" s="107"/>
      <c r="M537" s="183"/>
      <c r="N537" s="108"/>
    </row>
    <row r="538" spans="1:14" x14ac:dyDescent="0.3">
      <c r="A538" s="77"/>
      <c r="B538" s="106"/>
      <c r="F538" s="124"/>
      <c r="G538" s="125"/>
      <c r="J538" s="125"/>
      <c r="L538" s="107"/>
      <c r="M538" s="183"/>
      <c r="N538" s="108"/>
    </row>
    <row r="539" spans="1:14" x14ac:dyDescent="0.3">
      <c r="A539" s="77"/>
      <c r="B539" s="106"/>
      <c r="F539" s="124"/>
      <c r="G539" s="125"/>
      <c r="J539" s="125"/>
      <c r="L539" s="107"/>
      <c r="M539" s="183"/>
      <c r="N539" s="108"/>
    </row>
    <row r="540" spans="1:14" x14ac:dyDescent="0.3">
      <c r="A540" s="77"/>
      <c r="B540" s="106"/>
      <c r="F540" s="124"/>
      <c r="G540" s="125"/>
      <c r="J540" s="125"/>
      <c r="L540" s="107"/>
      <c r="M540" s="183"/>
      <c r="N540" s="108"/>
    </row>
    <row r="541" spans="1:14" x14ac:dyDescent="0.3">
      <c r="A541" s="77"/>
      <c r="B541" s="106"/>
      <c r="F541" s="124"/>
      <c r="G541" s="125"/>
      <c r="J541" s="125"/>
      <c r="L541" s="107"/>
      <c r="M541" s="183"/>
      <c r="N541" s="108"/>
    </row>
    <row r="542" spans="1:14" x14ac:dyDescent="0.3">
      <c r="A542" s="77"/>
      <c r="B542" s="106"/>
      <c r="F542" s="124"/>
      <c r="G542" s="125"/>
      <c r="J542" s="125"/>
      <c r="L542" s="107"/>
      <c r="M542" s="183"/>
      <c r="N542" s="108"/>
    </row>
    <row r="543" spans="1:14" x14ac:dyDescent="0.3">
      <c r="A543" s="77"/>
      <c r="B543" s="106"/>
      <c r="F543" s="124"/>
      <c r="G543" s="125"/>
      <c r="J543" s="125"/>
      <c r="L543" s="107"/>
      <c r="M543" s="183"/>
      <c r="N543" s="108"/>
    </row>
    <row r="544" spans="1:14" x14ac:dyDescent="0.3">
      <c r="A544" s="77"/>
      <c r="B544" s="106"/>
      <c r="F544" s="124"/>
      <c r="G544" s="125"/>
      <c r="J544" s="125"/>
      <c r="L544" s="107"/>
      <c r="M544" s="183"/>
      <c r="N544" s="108"/>
    </row>
    <row r="545" spans="1:14" x14ac:dyDescent="0.3">
      <c r="A545" s="77"/>
      <c r="B545" s="106"/>
      <c r="F545" s="124"/>
      <c r="G545" s="125"/>
      <c r="J545" s="125"/>
      <c r="L545" s="107"/>
      <c r="M545" s="183"/>
      <c r="N545" s="108"/>
    </row>
    <row r="546" spans="1:14" x14ac:dyDescent="0.3">
      <c r="A546" s="77"/>
      <c r="B546" s="106"/>
      <c r="F546" s="124"/>
      <c r="G546" s="125"/>
      <c r="J546" s="125"/>
      <c r="L546" s="107"/>
      <c r="M546" s="183"/>
      <c r="N546" s="108"/>
    </row>
    <row r="547" spans="1:14" x14ac:dyDescent="0.3">
      <c r="A547" s="77"/>
      <c r="B547" s="106"/>
      <c r="F547" s="124"/>
      <c r="G547" s="125"/>
      <c r="J547" s="125"/>
      <c r="L547" s="107"/>
      <c r="M547" s="183"/>
      <c r="N547" s="108"/>
    </row>
    <row r="548" spans="1:14" x14ac:dyDescent="0.3">
      <c r="A548" s="77"/>
      <c r="B548" s="106"/>
      <c r="F548" s="124"/>
      <c r="G548" s="125"/>
      <c r="J548" s="125"/>
      <c r="L548" s="107"/>
      <c r="M548" s="183"/>
      <c r="N548" s="108"/>
    </row>
    <row r="549" spans="1:14" x14ac:dyDescent="0.3">
      <c r="A549" s="77"/>
      <c r="B549" s="106"/>
      <c r="F549" s="124"/>
      <c r="G549" s="125"/>
      <c r="J549" s="125"/>
      <c r="L549" s="107"/>
      <c r="M549" s="183"/>
      <c r="N549" s="108"/>
    </row>
    <row r="550" spans="1:14" x14ac:dyDescent="0.3">
      <c r="A550" s="77"/>
      <c r="B550" s="106"/>
      <c r="F550" s="124"/>
      <c r="G550" s="125"/>
      <c r="J550" s="125"/>
      <c r="L550" s="107"/>
      <c r="M550" s="183"/>
      <c r="N550" s="108"/>
    </row>
    <row r="551" spans="1:14" x14ac:dyDescent="0.3">
      <c r="A551" s="77"/>
      <c r="B551" s="106"/>
      <c r="F551" s="124"/>
      <c r="G551" s="125"/>
      <c r="J551" s="125"/>
      <c r="L551" s="107"/>
      <c r="M551" s="183"/>
      <c r="N551" s="108"/>
    </row>
    <row r="552" spans="1:14" x14ac:dyDescent="0.3">
      <c r="A552" s="77"/>
      <c r="B552" s="106"/>
      <c r="F552" s="124"/>
      <c r="G552" s="125"/>
      <c r="J552" s="125"/>
      <c r="L552" s="107"/>
      <c r="M552" s="183"/>
      <c r="N552" s="108"/>
    </row>
    <row r="553" spans="1:14" x14ac:dyDescent="0.3">
      <c r="A553" s="77"/>
      <c r="B553" s="106"/>
      <c r="F553" s="124"/>
      <c r="G553" s="125"/>
      <c r="J553" s="125"/>
      <c r="L553" s="107"/>
      <c r="M553" s="183"/>
      <c r="N553" s="108"/>
    </row>
    <row r="554" spans="1:14" x14ac:dyDescent="0.3">
      <c r="A554" s="77"/>
      <c r="B554" s="106"/>
      <c r="F554" s="124"/>
      <c r="G554" s="125"/>
      <c r="J554" s="125"/>
      <c r="L554" s="107"/>
      <c r="M554" s="183"/>
      <c r="N554" s="108"/>
    </row>
    <row r="555" spans="1:14" x14ac:dyDescent="0.3">
      <c r="A555" s="77"/>
      <c r="B555" s="106"/>
      <c r="F555" s="124"/>
      <c r="G555" s="125"/>
      <c r="J555" s="125"/>
      <c r="L555" s="107"/>
      <c r="M555" s="183"/>
      <c r="N555" s="108"/>
    </row>
    <row r="556" spans="1:14" x14ac:dyDescent="0.3">
      <c r="A556" s="77"/>
      <c r="B556" s="106"/>
      <c r="F556" s="124"/>
      <c r="G556" s="125"/>
      <c r="J556" s="125"/>
      <c r="L556" s="107"/>
      <c r="M556" s="183"/>
      <c r="N556" s="108"/>
    </row>
    <row r="557" spans="1:14" x14ac:dyDescent="0.3">
      <c r="A557" s="77"/>
      <c r="B557" s="106"/>
      <c r="F557" s="124"/>
      <c r="G557" s="125"/>
      <c r="J557" s="125"/>
      <c r="L557" s="107"/>
      <c r="M557" s="183"/>
      <c r="N557" s="108"/>
    </row>
    <row r="558" spans="1:14" x14ac:dyDescent="0.3">
      <c r="A558" s="77"/>
      <c r="B558" s="106"/>
      <c r="F558" s="124"/>
      <c r="G558" s="125"/>
      <c r="J558" s="125"/>
      <c r="L558" s="107"/>
      <c r="M558" s="183"/>
      <c r="N558" s="108"/>
    </row>
    <row r="559" spans="1:14" x14ac:dyDescent="0.3">
      <c r="A559" s="77"/>
      <c r="B559" s="106"/>
      <c r="F559" s="124"/>
      <c r="G559" s="125"/>
      <c r="J559" s="125"/>
      <c r="L559" s="107"/>
      <c r="M559" s="183"/>
      <c r="N559" s="108"/>
    </row>
    <row r="560" spans="1:14" x14ac:dyDescent="0.3">
      <c r="A560" s="77"/>
      <c r="B560" s="106"/>
      <c r="F560" s="124"/>
      <c r="G560" s="125"/>
      <c r="J560" s="125"/>
      <c r="L560" s="107"/>
      <c r="M560" s="183"/>
      <c r="N560" s="108"/>
    </row>
    <row r="561" spans="1:14" x14ac:dyDescent="0.3">
      <c r="A561" s="77"/>
      <c r="B561" s="106"/>
      <c r="F561" s="124"/>
      <c r="G561" s="125"/>
      <c r="J561" s="125"/>
      <c r="L561" s="107"/>
      <c r="M561" s="183"/>
      <c r="N561" s="108"/>
    </row>
    <row r="562" spans="1:14" x14ac:dyDescent="0.3">
      <c r="A562" s="77"/>
      <c r="B562" s="106"/>
      <c r="F562" s="124"/>
      <c r="G562" s="125"/>
      <c r="J562" s="125"/>
      <c r="L562" s="107"/>
      <c r="M562" s="183"/>
      <c r="N562" s="108"/>
    </row>
    <row r="563" spans="1:14" x14ac:dyDescent="0.3">
      <c r="A563" s="77"/>
      <c r="B563" s="106"/>
      <c r="F563" s="124"/>
      <c r="G563" s="125"/>
      <c r="J563" s="125"/>
      <c r="L563" s="107"/>
      <c r="M563" s="183"/>
      <c r="N563" s="108"/>
    </row>
    <row r="564" spans="1:14" x14ac:dyDescent="0.3">
      <c r="A564" s="77"/>
      <c r="B564" s="106"/>
      <c r="F564" s="124"/>
      <c r="G564" s="125"/>
      <c r="J564" s="125"/>
      <c r="L564" s="107"/>
      <c r="M564" s="183"/>
      <c r="N564" s="108"/>
    </row>
    <row r="565" spans="1:14" x14ac:dyDescent="0.3">
      <c r="A565" s="77"/>
      <c r="B565" s="106"/>
      <c r="F565" s="124"/>
      <c r="G565" s="125"/>
      <c r="J565" s="125"/>
      <c r="L565" s="107"/>
      <c r="M565" s="183"/>
      <c r="N565" s="108"/>
    </row>
    <row r="566" spans="1:14" x14ac:dyDescent="0.3">
      <c r="A566" s="77"/>
      <c r="B566" s="106"/>
      <c r="F566" s="124"/>
      <c r="G566" s="125"/>
      <c r="J566" s="125"/>
      <c r="L566" s="107"/>
      <c r="M566" s="183"/>
      <c r="N566" s="108"/>
    </row>
    <row r="567" spans="1:14" x14ac:dyDescent="0.3">
      <c r="A567" s="77"/>
      <c r="B567" s="106"/>
      <c r="F567" s="124"/>
      <c r="G567" s="125"/>
      <c r="J567" s="125"/>
      <c r="L567" s="107"/>
      <c r="M567" s="183"/>
      <c r="N567" s="108"/>
    </row>
    <row r="568" spans="1:14" x14ac:dyDescent="0.3">
      <c r="A568" s="77"/>
      <c r="B568" s="106"/>
      <c r="F568" s="124"/>
      <c r="G568" s="125"/>
      <c r="J568" s="125"/>
      <c r="L568" s="107"/>
      <c r="M568" s="183"/>
      <c r="N568" s="108"/>
    </row>
    <row r="569" spans="1:14" x14ac:dyDescent="0.3">
      <c r="A569" s="77"/>
      <c r="B569" s="106"/>
      <c r="F569" s="124"/>
      <c r="G569" s="125"/>
      <c r="J569" s="125"/>
      <c r="L569" s="107"/>
      <c r="M569" s="183"/>
      <c r="N569" s="108"/>
    </row>
    <row r="570" spans="1:14" x14ac:dyDescent="0.3">
      <c r="A570" s="77"/>
      <c r="B570" s="106"/>
      <c r="F570" s="124"/>
      <c r="G570" s="125"/>
      <c r="J570" s="125"/>
      <c r="L570" s="107"/>
      <c r="M570" s="183"/>
      <c r="N570" s="108"/>
    </row>
    <row r="571" spans="1:14" x14ac:dyDescent="0.3">
      <c r="A571" s="77"/>
      <c r="B571" s="106"/>
      <c r="F571" s="124"/>
      <c r="G571" s="125"/>
      <c r="J571" s="125"/>
      <c r="L571" s="107"/>
      <c r="M571" s="183"/>
      <c r="N571" s="108"/>
    </row>
    <row r="572" spans="1:14" x14ac:dyDescent="0.3">
      <c r="A572" s="77"/>
      <c r="B572" s="106"/>
      <c r="F572" s="124"/>
      <c r="G572" s="125"/>
      <c r="J572" s="125"/>
      <c r="L572" s="107"/>
      <c r="M572" s="183"/>
      <c r="N572" s="108"/>
    </row>
    <row r="573" spans="1:14" x14ac:dyDescent="0.3">
      <c r="A573" s="77"/>
      <c r="B573" s="106"/>
      <c r="F573" s="124"/>
      <c r="G573" s="125"/>
      <c r="J573" s="125"/>
      <c r="L573" s="107"/>
      <c r="M573" s="183"/>
      <c r="N573" s="108"/>
    </row>
    <row r="574" spans="1:14" x14ac:dyDescent="0.3">
      <c r="A574" s="77"/>
      <c r="B574" s="106"/>
      <c r="F574" s="124"/>
      <c r="G574" s="125"/>
      <c r="J574" s="125"/>
      <c r="L574" s="107"/>
      <c r="M574" s="183"/>
      <c r="N574" s="108"/>
    </row>
    <row r="575" spans="1:14" x14ac:dyDescent="0.3">
      <c r="A575" s="77"/>
      <c r="B575" s="106"/>
      <c r="F575" s="124"/>
      <c r="G575" s="125"/>
      <c r="J575" s="125"/>
      <c r="L575" s="107"/>
      <c r="M575" s="183"/>
      <c r="N575" s="108"/>
    </row>
    <row r="576" spans="1:14" x14ac:dyDescent="0.3">
      <c r="A576" s="77"/>
      <c r="B576" s="106"/>
      <c r="F576" s="124"/>
      <c r="G576" s="125"/>
      <c r="J576" s="125"/>
      <c r="L576" s="107"/>
      <c r="M576" s="183"/>
      <c r="N576" s="108"/>
    </row>
    <row r="577" spans="1:14" x14ac:dyDescent="0.3">
      <c r="A577" s="77"/>
      <c r="B577" s="106"/>
      <c r="F577" s="124"/>
      <c r="G577" s="125"/>
      <c r="J577" s="125"/>
      <c r="L577" s="107"/>
      <c r="M577" s="183"/>
      <c r="N577" s="108"/>
    </row>
    <row r="578" spans="1:14" x14ac:dyDescent="0.3">
      <c r="A578" s="77"/>
      <c r="B578" s="106"/>
      <c r="F578" s="124"/>
      <c r="G578" s="125"/>
      <c r="J578" s="125"/>
      <c r="L578" s="107"/>
      <c r="M578" s="183"/>
      <c r="N578" s="108"/>
    </row>
    <row r="579" spans="1:14" x14ac:dyDescent="0.3">
      <c r="A579" s="77"/>
      <c r="B579" s="106"/>
      <c r="F579" s="124"/>
      <c r="G579" s="125"/>
      <c r="J579" s="125"/>
      <c r="L579" s="107"/>
      <c r="M579" s="183"/>
      <c r="N579" s="108"/>
    </row>
    <row r="580" spans="1:14" x14ac:dyDescent="0.3">
      <c r="A580" s="77"/>
      <c r="B580" s="106"/>
      <c r="F580" s="124"/>
      <c r="G580" s="125"/>
      <c r="J580" s="125"/>
      <c r="L580" s="107"/>
      <c r="M580" s="183"/>
      <c r="N580" s="108"/>
    </row>
    <row r="581" spans="1:14" x14ac:dyDescent="0.3">
      <c r="A581" s="77"/>
      <c r="B581" s="106"/>
      <c r="F581" s="124"/>
      <c r="G581" s="125"/>
      <c r="J581" s="125"/>
      <c r="L581" s="107"/>
      <c r="M581" s="183"/>
      <c r="N581" s="108"/>
    </row>
    <row r="582" spans="1:14" x14ac:dyDescent="0.3">
      <c r="A582" s="77"/>
      <c r="B582" s="106"/>
      <c r="F582" s="124"/>
      <c r="G582" s="125"/>
      <c r="J582" s="125"/>
      <c r="L582" s="107"/>
      <c r="M582" s="183"/>
      <c r="N582" s="108"/>
    </row>
    <row r="583" spans="1:14" x14ac:dyDescent="0.3">
      <c r="A583" s="77"/>
      <c r="B583" s="106"/>
      <c r="F583" s="124"/>
      <c r="G583" s="125"/>
      <c r="J583" s="125"/>
      <c r="L583" s="107"/>
      <c r="M583" s="183"/>
      <c r="N583" s="108"/>
    </row>
    <row r="584" spans="1:14" x14ac:dyDescent="0.3">
      <c r="A584" s="77"/>
      <c r="B584" s="106"/>
      <c r="F584" s="124"/>
      <c r="G584" s="125"/>
      <c r="J584" s="125"/>
      <c r="L584" s="107"/>
      <c r="M584" s="183"/>
      <c r="N584" s="108"/>
    </row>
    <row r="585" spans="1:14" x14ac:dyDescent="0.3">
      <c r="A585" s="77"/>
      <c r="B585" s="106"/>
      <c r="F585" s="124"/>
      <c r="G585" s="125"/>
      <c r="J585" s="125"/>
      <c r="L585" s="107"/>
      <c r="M585" s="183"/>
      <c r="N585" s="108"/>
    </row>
    <row r="586" spans="1:14" x14ac:dyDescent="0.3">
      <c r="A586" s="77"/>
      <c r="B586" s="106"/>
      <c r="F586" s="124"/>
      <c r="G586" s="125"/>
      <c r="J586" s="125"/>
      <c r="L586" s="107"/>
      <c r="M586" s="183"/>
      <c r="N586" s="108"/>
    </row>
    <row r="587" spans="1:14" x14ac:dyDescent="0.3">
      <c r="A587" s="77"/>
      <c r="B587" s="106"/>
      <c r="F587" s="124"/>
      <c r="G587" s="125"/>
      <c r="J587" s="125"/>
      <c r="L587" s="107"/>
      <c r="M587" s="183"/>
      <c r="N587" s="108"/>
    </row>
    <row r="588" spans="1:14" x14ac:dyDescent="0.3">
      <c r="A588" s="77"/>
      <c r="B588" s="106"/>
      <c r="F588" s="124"/>
      <c r="G588" s="125"/>
      <c r="J588" s="125"/>
      <c r="L588" s="107"/>
      <c r="M588" s="183"/>
      <c r="N588" s="108"/>
    </row>
    <row r="589" spans="1:14" x14ac:dyDescent="0.3">
      <c r="A589" s="77"/>
      <c r="B589" s="106"/>
      <c r="F589" s="124"/>
      <c r="G589" s="125"/>
      <c r="J589" s="125"/>
      <c r="L589" s="107"/>
      <c r="M589" s="183"/>
      <c r="N589" s="108"/>
    </row>
    <row r="590" spans="1:14" x14ac:dyDescent="0.3">
      <c r="A590" s="77"/>
      <c r="B590" s="106"/>
      <c r="F590" s="124"/>
      <c r="G590" s="125"/>
      <c r="J590" s="125"/>
      <c r="L590" s="107"/>
      <c r="M590" s="183"/>
      <c r="N590" s="108"/>
    </row>
    <row r="591" spans="1:14" x14ac:dyDescent="0.3">
      <c r="A591" s="77"/>
      <c r="B591" s="106"/>
      <c r="F591" s="124"/>
      <c r="G591" s="125"/>
      <c r="J591" s="125"/>
      <c r="L591" s="107"/>
      <c r="M591" s="183"/>
      <c r="N591" s="108"/>
    </row>
    <row r="592" spans="1:14" x14ac:dyDescent="0.3">
      <c r="A592" s="77"/>
      <c r="B592" s="106"/>
      <c r="F592" s="124"/>
      <c r="G592" s="125"/>
      <c r="J592" s="125"/>
      <c r="L592" s="107"/>
      <c r="M592" s="183"/>
      <c r="N592" s="108"/>
    </row>
    <row r="593" spans="1:14" x14ac:dyDescent="0.3">
      <c r="A593" s="77"/>
      <c r="B593" s="106"/>
      <c r="F593" s="124"/>
      <c r="G593" s="125"/>
      <c r="J593" s="125"/>
      <c r="L593" s="107"/>
      <c r="M593" s="183"/>
      <c r="N593" s="108"/>
    </row>
    <row r="594" spans="1:14" x14ac:dyDescent="0.3">
      <c r="A594" s="77"/>
      <c r="B594" s="106"/>
      <c r="F594" s="124"/>
      <c r="G594" s="125"/>
      <c r="J594" s="125"/>
      <c r="L594" s="107"/>
      <c r="M594" s="183"/>
      <c r="N594" s="108"/>
    </row>
    <row r="595" spans="1:14" x14ac:dyDescent="0.3">
      <c r="A595" s="77"/>
      <c r="B595" s="106"/>
      <c r="F595" s="124"/>
      <c r="G595" s="125"/>
      <c r="J595" s="125"/>
      <c r="L595" s="107"/>
      <c r="M595" s="183"/>
      <c r="N595" s="108"/>
    </row>
    <row r="596" spans="1:14" x14ac:dyDescent="0.3">
      <c r="A596" s="77"/>
      <c r="B596" s="106"/>
      <c r="F596" s="124"/>
      <c r="G596" s="125"/>
      <c r="J596" s="125"/>
      <c r="L596" s="107"/>
      <c r="M596" s="183"/>
      <c r="N596" s="108"/>
    </row>
    <row r="597" spans="1:14" x14ac:dyDescent="0.3">
      <c r="A597" s="77"/>
      <c r="B597" s="106"/>
      <c r="F597" s="124"/>
      <c r="G597" s="125"/>
      <c r="J597" s="125"/>
      <c r="L597" s="107"/>
      <c r="M597" s="183"/>
      <c r="N597" s="108"/>
    </row>
    <row r="598" spans="1:14" x14ac:dyDescent="0.3">
      <c r="A598" s="77"/>
      <c r="B598" s="106"/>
      <c r="F598" s="124"/>
      <c r="G598" s="125"/>
      <c r="J598" s="125"/>
      <c r="L598" s="107"/>
      <c r="M598" s="183"/>
      <c r="N598" s="108"/>
    </row>
    <row r="599" spans="1:14" x14ac:dyDescent="0.3">
      <c r="A599" s="77"/>
      <c r="B599" s="106"/>
      <c r="F599" s="124"/>
      <c r="G599" s="125"/>
      <c r="J599" s="125"/>
      <c r="L599" s="107"/>
      <c r="M599" s="183"/>
      <c r="N599" s="108"/>
    </row>
    <row r="600" spans="1:14" x14ac:dyDescent="0.3">
      <c r="A600" s="77"/>
      <c r="B600" s="106"/>
      <c r="F600" s="124"/>
      <c r="G600" s="125"/>
      <c r="J600" s="125"/>
      <c r="L600" s="107"/>
      <c r="M600" s="183"/>
      <c r="N600" s="108"/>
    </row>
    <row r="601" spans="1:14" x14ac:dyDescent="0.3">
      <c r="A601" s="77"/>
      <c r="B601" s="106"/>
      <c r="F601" s="124"/>
      <c r="G601" s="125"/>
      <c r="J601" s="125"/>
      <c r="L601" s="107"/>
      <c r="M601" s="183"/>
      <c r="N601" s="108"/>
    </row>
    <row r="602" spans="1:14" x14ac:dyDescent="0.3">
      <c r="A602" s="77"/>
      <c r="B602" s="106"/>
      <c r="F602" s="124"/>
      <c r="G602" s="125"/>
      <c r="J602" s="125"/>
      <c r="L602" s="107"/>
      <c r="M602" s="183"/>
      <c r="N602" s="108"/>
    </row>
    <row r="603" spans="1:14" x14ac:dyDescent="0.3">
      <c r="A603" s="77"/>
      <c r="B603" s="106"/>
      <c r="F603" s="124"/>
      <c r="G603" s="125"/>
      <c r="J603" s="125"/>
      <c r="L603" s="107"/>
      <c r="M603" s="183"/>
      <c r="N603" s="108"/>
    </row>
    <row r="604" spans="1:14" x14ac:dyDescent="0.3">
      <c r="A604" s="77"/>
      <c r="B604" s="106"/>
      <c r="F604" s="124"/>
      <c r="G604" s="125"/>
      <c r="J604" s="125"/>
      <c r="L604" s="107"/>
      <c r="M604" s="183"/>
      <c r="N604" s="108"/>
    </row>
    <row r="605" spans="1:14" x14ac:dyDescent="0.3">
      <c r="A605" s="77"/>
      <c r="B605" s="106"/>
      <c r="F605" s="124"/>
      <c r="G605" s="125"/>
      <c r="J605" s="125"/>
      <c r="L605" s="107"/>
      <c r="M605" s="183"/>
      <c r="N605" s="108"/>
    </row>
    <row r="606" spans="1:14" x14ac:dyDescent="0.3">
      <c r="A606" s="77"/>
      <c r="B606" s="106"/>
      <c r="F606" s="124"/>
      <c r="G606" s="125"/>
      <c r="J606" s="125"/>
      <c r="L606" s="107"/>
      <c r="M606" s="183"/>
      <c r="N606" s="108"/>
    </row>
    <row r="607" spans="1:14" x14ac:dyDescent="0.3">
      <c r="A607" s="77"/>
      <c r="B607" s="106"/>
      <c r="F607" s="124"/>
      <c r="G607" s="125"/>
      <c r="J607" s="125"/>
      <c r="L607" s="107"/>
      <c r="M607" s="183"/>
      <c r="N607" s="108"/>
    </row>
    <row r="608" spans="1:14" x14ac:dyDescent="0.3">
      <c r="A608" s="77"/>
      <c r="B608" s="106"/>
      <c r="F608" s="124"/>
      <c r="G608" s="125"/>
      <c r="J608" s="125"/>
      <c r="L608" s="107"/>
      <c r="M608" s="183"/>
      <c r="N608" s="108"/>
    </row>
    <row r="609" spans="1:14" x14ac:dyDescent="0.3">
      <c r="A609" s="77"/>
      <c r="B609" s="106"/>
      <c r="F609" s="124"/>
      <c r="G609" s="125"/>
      <c r="J609" s="125"/>
      <c r="L609" s="107"/>
      <c r="M609" s="183"/>
      <c r="N609" s="108"/>
    </row>
    <row r="610" spans="1:14" x14ac:dyDescent="0.3">
      <c r="A610" s="77"/>
      <c r="B610" s="106"/>
      <c r="F610" s="124"/>
      <c r="G610" s="125"/>
      <c r="J610" s="125"/>
      <c r="L610" s="107"/>
      <c r="M610" s="183"/>
      <c r="N610" s="108"/>
    </row>
    <row r="611" spans="1:14" x14ac:dyDescent="0.3">
      <c r="A611" s="77"/>
      <c r="B611" s="106"/>
      <c r="F611" s="124"/>
      <c r="G611" s="125"/>
      <c r="J611" s="125"/>
      <c r="L611" s="107"/>
      <c r="M611" s="183"/>
      <c r="N611" s="108"/>
    </row>
    <row r="612" spans="1:14" x14ac:dyDescent="0.3">
      <c r="A612" s="77"/>
      <c r="B612" s="106"/>
      <c r="F612" s="124"/>
      <c r="G612" s="125"/>
      <c r="J612" s="125"/>
      <c r="L612" s="107"/>
      <c r="M612" s="183"/>
      <c r="N612" s="108"/>
    </row>
    <row r="613" spans="1:14" x14ac:dyDescent="0.3">
      <c r="A613" s="77"/>
      <c r="B613" s="106"/>
      <c r="F613" s="124"/>
      <c r="G613" s="125"/>
      <c r="J613" s="125"/>
      <c r="L613" s="107"/>
      <c r="M613" s="183"/>
      <c r="N613" s="108"/>
    </row>
    <row r="614" spans="1:14" x14ac:dyDescent="0.3">
      <c r="A614" s="77"/>
      <c r="B614" s="106"/>
      <c r="F614" s="124"/>
      <c r="G614" s="125"/>
      <c r="J614" s="125"/>
      <c r="L614" s="107"/>
      <c r="M614" s="183"/>
      <c r="N614" s="108"/>
    </row>
    <row r="615" spans="1:14" x14ac:dyDescent="0.3">
      <c r="A615" s="77"/>
      <c r="B615" s="106"/>
      <c r="F615" s="124"/>
      <c r="G615" s="125"/>
      <c r="J615" s="125"/>
      <c r="L615" s="107"/>
      <c r="M615" s="183"/>
      <c r="N615" s="108"/>
    </row>
    <row r="616" spans="1:14" x14ac:dyDescent="0.3">
      <c r="A616" s="77"/>
      <c r="B616" s="106"/>
      <c r="F616" s="124"/>
      <c r="G616" s="125"/>
      <c r="J616" s="125"/>
      <c r="L616" s="107"/>
      <c r="M616" s="183"/>
      <c r="N616" s="108"/>
    </row>
    <row r="617" spans="1:14" x14ac:dyDescent="0.3">
      <c r="A617" s="77"/>
      <c r="B617" s="106"/>
      <c r="F617" s="124"/>
      <c r="G617" s="125"/>
      <c r="J617" s="125"/>
      <c r="L617" s="107"/>
      <c r="M617" s="183"/>
      <c r="N617" s="108"/>
    </row>
    <row r="618" spans="1:14" x14ac:dyDescent="0.3">
      <c r="A618" s="77"/>
      <c r="B618" s="106"/>
      <c r="F618" s="124"/>
      <c r="G618" s="125"/>
      <c r="J618" s="125"/>
      <c r="L618" s="107"/>
      <c r="M618" s="183"/>
      <c r="N618" s="108"/>
    </row>
    <row r="619" spans="1:14" x14ac:dyDescent="0.3">
      <c r="A619" s="77"/>
      <c r="B619" s="106"/>
      <c r="F619" s="124"/>
      <c r="G619" s="125"/>
      <c r="J619" s="125"/>
      <c r="L619" s="107"/>
      <c r="M619" s="183"/>
      <c r="N619" s="108"/>
    </row>
    <row r="620" spans="1:14" x14ac:dyDescent="0.3">
      <c r="A620" s="77"/>
      <c r="B620" s="106"/>
      <c r="F620" s="124"/>
      <c r="G620" s="125"/>
      <c r="J620" s="125"/>
      <c r="L620" s="107"/>
      <c r="M620" s="183"/>
      <c r="N620" s="108"/>
    </row>
    <row r="621" spans="1:14" x14ac:dyDescent="0.3">
      <c r="A621" s="77"/>
      <c r="B621" s="106"/>
      <c r="F621" s="124"/>
      <c r="G621" s="125"/>
      <c r="J621" s="125"/>
      <c r="L621" s="107"/>
      <c r="M621" s="183"/>
      <c r="N621" s="108"/>
    </row>
    <row r="622" spans="1:14" x14ac:dyDescent="0.3">
      <c r="A622" s="77"/>
      <c r="B622" s="106"/>
      <c r="F622" s="124"/>
      <c r="G622" s="125"/>
      <c r="J622" s="125"/>
      <c r="L622" s="107"/>
      <c r="M622" s="183"/>
      <c r="N622" s="108"/>
    </row>
    <row r="623" spans="1:14" x14ac:dyDescent="0.3">
      <c r="A623" s="77"/>
      <c r="B623" s="106"/>
      <c r="F623" s="124"/>
      <c r="G623" s="125"/>
      <c r="J623" s="125"/>
      <c r="L623" s="107"/>
      <c r="M623" s="183"/>
      <c r="N623" s="108"/>
    </row>
    <row r="624" spans="1:14" x14ac:dyDescent="0.3">
      <c r="A624" s="77"/>
      <c r="B624" s="106"/>
      <c r="F624" s="124"/>
      <c r="G624" s="125"/>
      <c r="J624" s="125"/>
      <c r="L624" s="107"/>
      <c r="M624" s="183"/>
      <c r="N624" s="108"/>
    </row>
    <row r="625" spans="1:14" x14ac:dyDescent="0.3">
      <c r="A625" s="77"/>
      <c r="B625" s="106"/>
      <c r="F625" s="124"/>
      <c r="G625" s="125"/>
      <c r="J625" s="125"/>
      <c r="L625" s="107"/>
      <c r="M625" s="183"/>
      <c r="N625" s="108"/>
    </row>
    <row r="626" spans="1:14" x14ac:dyDescent="0.3">
      <c r="A626" s="77"/>
      <c r="B626" s="106"/>
      <c r="F626" s="124"/>
      <c r="G626" s="125"/>
      <c r="J626" s="125"/>
      <c r="L626" s="107"/>
      <c r="M626" s="183"/>
      <c r="N626" s="108"/>
    </row>
    <row r="627" spans="1:14" x14ac:dyDescent="0.3">
      <c r="A627" s="77"/>
      <c r="B627" s="106"/>
      <c r="F627" s="124"/>
      <c r="G627" s="125"/>
      <c r="J627" s="125"/>
      <c r="L627" s="107"/>
      <c r="M627" s="183"/>
      <c r="N627" s="108"/>
    </row>
    <row r="628" spans="1:14" x14ac:dyDescent="0.3">
      <c r="A628" s="77"/>
      <c r="B628" s="106"/>
      <c r="F628" s="124"/>
      <c r="G628" s="125"/>
      <c r="J628" s="125"/>
      <c r="L628" s="107"/>
      <c r="M628" s="183"/>
      <c r="N628" s="108"/>
    </row>
    <row r="629" spans="1:14" x14ac:dyDescent="0.3">
      <c r="A629" s="77"/>
      <c r="B629" s="106"/>
      <c r="F629" s="124"/>
      <c r="G629" s="125"/>
      <c r="J629" s="125"/>
      <c r="L629" s="107"/>
      <c r="M629" s="183"/>
      <c r="N629" s="108"/>
    </row>
    <row r="630" spans="1:14" x14ac:dyDescent="0.3">
      <c r="A630" s="77"/>
      <c r="B630" s="106"/>
      <c r="F630" s="124"/>
      <c r="G630" s="125"/>
      <c r="J630" s="125"/>
      <c r="L630" s="107"/>
      <c r="M630" s="183"/>
      <c r="N630" s="108"/>
    </row>
    <row r="631" spans="1:14" x14ac:dyDescent="0.3">
      <c r="A631" s="77"/>
      <c r="B631" s="106"/>
      <c r="F631" s="124"/>
      <c r="G631" s="125"/>
      <c r="J631" s="125"/>
      <c r="L631" s="107"/>
      <c r="M631" s="183"/>
      <c r="N631" s="108"/>
    </row>
    <row r="632" spans="1:14" x14ac:dyDescent="0.3">
      <c r="A632" s="77"/>
      <c r="B632" s="106"/>
      <c r="F632" s="124"/>
      <c r="G632" s="125"/>
      <c r="J632" s="125"/>
      <c r="L632" s="107"/>
      <c r="M632" s="183"/>
      <c r="N632" s="108"/>
    </row>
    <row r="633" spans="1:14" x14ac:dyDescent="0.3">
      <c r="A633" s="77"/>
      <c r="B633" s="106"/>
      <c r="F633" s="124"/>
      <c r="G633" s="125"/>
      <c r="J633" s="125"/>
      <c r="L633" s="107"/>
      <c r="M633" s="183"/>
      <c r="N633" s="108"/>
    </row>
    <row r="634" spans="1:14" x14ac:dyDescent="0.3">
      <c r="A634" s="77"/>
      <c r="B634" s="106"/>
      <c r="F634" s="124"/>
      <c r="G634" s="125"/>
      <c r="J634" s="125"/>
      <c r="L634" s="107"/>
      <c r="M634" s="183"/>
      <c r="N634" s="108"/>
    </row>
    <row r="635" spans="1:14" x14ac:dyDescent="0.3">
      <c r="A635" s="77"/>
      <c r="B635" s="106"/>
      <c r="F635" s="124"/>
      <c r="G635" s="125"/>
      <c r="J635" s="125"/>
      <c r="L635" s="107"/>
      <c r="M635" s="183"/>
      <c r="N635" s="108"/>
    </row>
    <row r="636" spans="1:14" x14ac:dyDescent="0.3">
      <c r="A636" s="77"/>
      <c r="B636" s="106"/>
      <c r="F636" s="124"/>
      <c r="G636" s="125"/>
      <c r="J636" s="125"/>
      <c r="L636" s="107"/>
      <c r="M636" s="183"/>
      <c r="N636" s="108"/>
    </row>
    <row r="637" spans="1:14" x14ac:dyDescent="0.3">
      <c r="A637" s="77"/>
      <c r="B637" s="106"/>
      <c r="F637" s="124"/>
      <c r="G637" s="125"/>
      <c r="J637" s="125"/>
      <c r="L637" s="107"/>
      <c r="M637" s="183"/>
      <c r="N637" s="108"/>
    </row>
    <row r="638" spans="1:14" x14ac:dyDescent="0.3">
      <c r="A638" s="77"/>
      <c r="B638" s="106"/>
      <c r="F638" s="124"/>
      <c r="G638" s="125"/>
      <c r="J638" s="125"/>
      <c r="L638" s="107"/>
      <c r="M638" s="183"/>
      <c r="N638" s="108"/>
    </row>
    <row r="639" spans="1:14" x14ac:dyDescent="0.3">
      <c r="A639" s="77"/>
      <c r="B639" s="106"/>
      <c r="F639" s="124"/>
      <c r="G639" s="125"/>
      <c r="J639" s="125"/>
      <c r="L639" s="107"/>
      <c r="M639" s="183"/>
      <c r="N639" s="108"/>
    </row>
    <row r="640" spans="1:14" x14ac:dyDescent="0.3">
      <c r="A640" s="77"/>
      <c r="B640" s="106"/>
      <c r="F640" s="124"/>
      <c r="G640" s="125"/>
      <c r="J640" s="125"/>
      <c r="L640" s="107"/>
      <c r="M640" s="183"/>
      <c r="N640" s="108"/>
    </row>
    <row r="641" spans="1:14" x14ac:dyDescent="0.3">
      <c r="A641" s="77"/>
      <c r="B641" s="106"/>
      <c r="F641" s="124"/>
      <c r="G641" s="125"/>
      <c r="J641" s="125"/>
      <c r="L641" s="107"/>
      <c r="M641" s="183"/>
      <c r="N641" s="108"/>
    </row>
    <row r="642" spans="1:14" x14ac:dyDescent="0.3">
      <c r="A642" s="77"/>
      <c r="B642" s="106"/>
      <c r="F642" s="124"/>
      <c r="G642" s="125"/>
      <c r="J642" s="125"/>
      <c r="L642" s="107"/>
      <c r="M642" s="183"/>
      <c r="N642" s="108"/>
    </row>
    <row r="643" spans="1:14" x14ac:dyDescent="0.3">
      <c r="A643" s="77"/>
      <c r="B643" s="106"/>
      <c r="F643" s="124"/>
      <c r="G643" s="125"/>
      <c r="J643" s="125"/>
      <c r="L643" s="107"/>
      <c r="M643" s="183"/>
      <c r="N643" s="108"/>
    </row>
    <row r="644" spans="1:14" x14ac:dyDescent="0.3">
      <c r="A644" s="77"/>
      <c r="B644" s="106"/>
      <c r="F644" s="124"/>
      <c r="G644" s="125"/>
      <c r="J644" s="125"/>
      <c r="L644" s="107"/>
      <c r="M644" s="183"/>
      <c r="N644" s="108"/>
    </row>
    <row r="645" spans="1:14" x14ac:dyDescent="0.3">
      <c r="A645" s="77"/>
      <c r="B645" s="106"/>
      <c r="F645" s="124"/>
      <c r="G645" s="125"/>
      <c r="J645" s="125"/>
      <c r="L645" s="107"/>
      <c r="M645" s="183"/>
      <c r="N645" s="108"/>
    </row>
    <row r="646" spans="1:14" x14ac:dyDescent="0.3">
      <c r="A646" s="77"/>
      <c r="B646" s="106"/>
      <c r="F646" s="124"/>
      <c r="G646" s="125"/>
      <c r="J646" s="125"/>
      <c r="L646" s="107"/>
      <c r="M646" s="183"/>
      <c r="N646" s="108"/>
    </row>
    <row r="647" spans="1:14" x14ac:dyDescent="0.3">
      <c r="A647" s="77"/>
      <c r="B647" s="106"/>
      <c r="F647" s="124"/>
      <c r="G647" s="125"/>
      <c r="J647" s="125"/>
      <c r="L647" s="107"/>
      <c r="M647" s="183"/>
      <c r="N647" s="108"/>
    </row>
    <row r="648" spans="1:14" x14ac:dyDescent="0.3">
      <c r="A648" s="77"/>
      <c r="B648" s="106"/>
      <c r="F648" s="124"/>
      <c r="G648" s="125"/>
      <c r="J648" s="125"/>
      <c r="L648" s="107"/>
      <c r="M648" s="183"/>
      <c r="N648" s="108"/>
    </row>
    <row r="649" spans="1:14" x14ac:dyDescent="0.3">
      <c r="A649" s="77"/>
      <c r="B649" s="106"/>
      <c r="F649" s="124"/>
      <c r="G649" s="125"/>
      <c r="J649" s="125"/>
      <c r="L649" s="107"/>
      <c r="M649" s="183"/>
      <c r="N649" s="108"/>
    </row>
    <row r="650" spans="1:14" x14ac:dyDescent="0.3">
      <c r="A650" s="77"/>
      <c r="B650" s="106"/>
      <c r="F650" s="124"/>
      <c r="G650" s="125"/>
      <c r="J650" s="125"/>
      <c r="L650" s="107"/>
      <c r="M650" s="183"/>
      <c r="N650" s="108"/>
    </row>
    <row r="651" spans="1:14" x14ac:dyDescent="0.3">
      <c r="A651" s="77"/>
      <c r="B651" s="106"/>
      <c r="F651" s="124"/>
      <c r="G651" s="125"/>
      <c r="J651" s="125"/>
      <c r="L651" s="107"/>
      <c r="M651" s="183"/>
      <c r="N651" s="108"/>
    </row>
    <row r="652" spans="1:14" x14ac:dyDescent="0.3">
      <c r="A652" s="77"/>
      <c r="B652" s="106"/>
      <c r="F652" s="124"/>
      <c r="G652" s="125"/>
      <c r="J652" s="125"/>
      <c r="L652" s="107"/>
      <c r="M652" s="183"/>
      <c r="N652" s="108"/>
    </row>
    <row r="653" spans="1:14" x14ac:dyDescent="0.3">
      <c r="A653" s="77"/>
      <c r="B653" s="106"/>
      <c r="F653" s="124"/>
      <c r="G653" s="125"/>
      <c r="J653" s="125"/>
      <c r="L653" s="107"/>
      <c r="M653" s="183"/>
      <c r="N653" s="108"/>
    </row>
    <row r="654" spans="1:14" x14ac:dyDescent="0.3">
      <c r="A654" s="77"/>
      <c r="B654" s="106"/>
      <c r="F654" s="124"/>
      <c r="G654" s="125"/>
      <c r="J654" s="125"/>
      <c r="L654" s="107"/>
      <c r="M654" s="183"/>
      <c r="N654" s="108"/>
    </row>
    <row r="655" spans="1:14" x14ac:dyDescent="0.3">
      <c r="A655" s="77"/>
      <c r="B655" s="106"/>
      <c r="F655" s="124"/>
      <c r="G655" s="125"/>
      <c r="J655" s="125"/>
      <c r="L655" s="107"/>
      <c r="M655" s="183"/>
      <c r="N655" s="108"/>
    </row>
    <row r="656" spans="1:14" x14ac:dyDescent="0.3">
      <c r="A656" s="77"/>
      <c r="B656" s="106"/>
      <c r="F656" s="124"/>
      <c r="G656" s="125"/>
      <c r="J656" s="125"/>
      <c r="L656" s="107"/>
      <c r="M656" s="183"/>
      <c r="N656" s="108"/>
    </row>
    <row r="657" spans="1:14" x14ac:dyDescent="0.3">
      <c r="A657" s="77"/>
      <c r="B657" s="106"/>
      <c r="F657" s="124"/>
      <c r="G657" s="125"/>
      <c r="J657" s="125"/>
      <c r="L657" s="107"/>
      <c r="M657" s="183"/>
      <c r="N657" s="108"/>
    </row>
    <row r="658" spans="1:14" x14ac:dyDescent="0.3">
      <c r="A658" s="77"/>
      <c r="B658" s="106"/>
      <c r="F658" s="124"/>
      <c r="G658" s="125"/>
      <c r="J658" s="125"/>
      <c r="L658" s="107"/>
      <c r="M658" s="183"/>
      <c r="N658" s="108"/>
    </row>
    <row r="659" spans="1:14" x14ac:dyDescent="0.3">
      <c r="A659" s="77"/>
      <c r="B659" s="106"/>
      <c r="F659" s="124"/>
      <c r="G659" s="125"/>
      <c r="J659" s="125"/>
      <c r="L659" s="107"/>
      <c r="M659" s="183"/>
      <c r="N659" s="108"/>
    </row>
    <row r="660" spans="1:14" x14ac:dyDescent="0.3">
      <c r="A660" s="77"/>
      <c r="B660" s="106"/>
      <c r="F660" s="124"/>
      <c r="G660" s="125"/>
      <c r="J660" s="125"/>
      <c r="L660" s="107"/>
      <c r="M660" s="183"/>
      <c r="N660" s="108"/>
    </row>
    <row r="661" spans="1:14" x14ac:dyDescent="0.3">
      <c r="A661" s="77"/>
      <c r="B661" s="106"/>
      <c r="F661" s="124"/>
      <c r="G661" s="125"/>
      <c r="J661" s="125"/>
      <c r="L661" s="107"/>
      <c r="M661" s="183"/>
      <c r="N661" s="108"/>
    </row>
    <row r="662" spans="1:14" x14ac:dyDescent="0.3">
      <c r="A662" s="77"/>
      <c r="B662" s="106"/>
      <c r="F662" s="124"/>
      <c r="G662" s="125"/>
      <c r="J662" s="125"/>
      <c r="L662" s="107"/>
      <c r="M662" s="183"/>
      <c r="N662" s="108"/>
    </row>
    <row r="663" spans="1:14" x14ac:dyDescent="0.3">
      <c r="A663" s="77"/>
      <c r="B663" s="106"/>
      <c r="F663" s="124"/>
      <c r="G663" s="125"/>
      <c r="J663" s="125"/>
      <c r="L663" s="107"/>
      <c r="M663" s="183"/>
      <c r="N663" s="108"/>
    </row>
    <row r="664" spans="1:14" x14ac:dyDescent="0.3">
      <c r="A664" s="77"/>
      <c r="B664" s="106"/>
      <c r="F664" s="124"/>
      <c r="G664" s="125"/>
      <c r="J664" s="125"/>
      <c r="L664" s="107"/>
      <c r="M664" s="183"/>
      <c r="N664" s="108"/>
    </row>
    <row r="665" spans="1:14" x14ac:dyDescent="0.3">
      <c r="A665" s="77"/>
      <c r="B665" s="106"/>
      <c r="F665" s="124"/>
      <c r="G665" s="125"/>
      <c r="J665" s="125"/>
      <c r="L665" s="107"/>
      <c r="M665" s="183"/>
      <c r="N665" s="108"/>
    </row>
    <row r="666" spans="1:14" x14ac:dyDescent="0.3">
      <c r="A666" s="77"/>
      <c r="B666" s="106"/>
      <c r="F666" s="124"/>
      <c r="G666" s="125"/>
      <c r="J666" s="125"/>
      <c r="L666" s="107"/>
      <c r="M666" s="183"/>
      <c r="N666" s="108"/>
    </row>
    <row r="667" spans="1:14" x14ac:dyDescent="0.3">
      <c r="A667" s="77"/>
      <c r="B667" s="106"/>
      <c r="F667" s="124"/>
      <c r="G667" s="125"/>
      <c r="J667" s="125"/>
      <c r="L667" s="107"/>
      <c r="M667" s="183"/>
      <c r="N667" s="108"/>
    </row>
    <row r="668" spans="1:14" x14ac:dyDescent="0.3">
      <c r="A668" s="77"/>
      <c r="B668" s="106"/>
      <c r="F668" s="124"/>
      <c r="G668" s="125"/>
      <c r="J668" s="125"/>
      <c r="L668" s="107"/>
      <c r="M668" s="183"/>
      <c r="N668" s="108"/>
    </row>
    <row r="669" spans="1:14" x14ac:dyDescent="0.3">
      <c r="A669" s="77"/>
      <c r="B669" s="106"/>
      <c r="F669" s="124"/>
      <c r="G669" s="125"/>
      <c r="J669" s="125"/>
      <c r="L669" s="107"/>
      <c r="M669" s="183"/>
      <c r="N669" s="108"/>
    </row>
    <row r="670" spans="1:14" x14ac:dyDescent="0.3">
      <c r="A670" s="77"/>
      <c r="B670" s="106"/>
      <c r="F670" s="124"/>
      <c r="G670" s="125"/>
      <c r="J670" s="125"/>
      <c r="L670" s="107"/>
      <c r="M670" s="183"/>
      <c r="N670" s="108"/>
    </row>
    <row r="671" spans="1:14" x14ac:dyDescent="0.3">
      <c r="A671" s="77"/>
      <c r="B671" s="106"/>
      <c r="F671" s="124"/>
      <c r="G671" s="125"/>
      <c r="J671" s="125"/>
      <c r="L671" s="107"/>
      <c r="M671" s="183"/>
      <c r="N671" s="108"/>
    </row>
    <row r="672" spans="1:14" x14ac:dyDescent="0.3">
      <c r="A672" s="77"/>
      <c r="B672" s="106"/>
      <c r="F672" s="124"/>
      <c r="G672" s="125"/>
      <c r="J672" s="125"/>
      <c r="L672" s="107"/>
      <c r="M672" s="183"/>
      <c r="N672" s="108"/>
    </row>
    <row r="673" spans="1:14" x14ac:dyDescent="0.3">
      <c r="A673" s="77"/>
      <c r="B673" s="106"/>
      <c r="F673" s="124"/>
      <c r="G673" s="125"/>
      <c r="J673" s="125"/>
      <c r="L673" s="107"/>
      <c r="M673" s="183"/>
      <c r="N673" s="108"/>
    </row>
    <row r="674" spans="1:14" x14ac:dyDescent="0.3">
      <c r="A674" s="77"/>
      <c r="B674" s="106"/>
      <c r="F674" s="124"/>
      <c r="G674" s="125"/>
      <c r="J674" s="125"/>
      <c r="L674" s="107"/>
      <c r="M674" s="183"/>
      <c r="N674" s="108"/>
    </row>
    <row r="675" spans="1:14" x14ac:dyDescent="0.3">
      <c r="A675" s="77"/>
      <c r="B675" s="106"/>
      <c r="F675" s="124"/>
      <c r="G675" s="125"/>
      <c r="J675" s="125"/>
      <c r="L675" s="107"/>
      <c r="M675" s="183"/>
      <c r="N675" s="108"/>
    </row>
    <row r="676" spans="1:14" x14ac:dyDescent="0.3">
      <c r="A676" s="77"/>
      <c r="B676" s="106"/>
      <c r="F676" s="124"/>
      <c r="G676" s="125"/>
      <c r="J676" s="125"/>
      <c r="L676" s="107"/>
      <c r="M676" s="183"/>
      <c r="N676" s="108"/>
    </row>
    <row r="677" spans="1:14" x14ac:dyDescent="0.3">
      <c r="A677" s="77"/>
      <c r="B677" s="106"/>
      <c r="F677" s="124"/>
      <c r="G677" s="125"/>
      <c r="J677" s="125"/>
      <c r="L677" s="107"/>
      <c r="M677" s="183"/>
      <c r="N677" s="108"/>
    </row>
    <row r="678" spans="1:14" x14ac:dyDescent="0.3">
      <c r="A678" s="77"/>
      <c r="B678" s="106"/>
      <c r="F678" s="124"/>
      <c r="G678" s="125"/>
      <c r="J678" s="125"/>
      <c r="L678" s="107"/>
      <c r="M678" s="183"/>
      <c r="N678" s="108"/>
    </row>
    <row r="679" spans="1:14" x14ac:dyDescent="0.3">
      <c r="A679" s="77"/>
      <c r="B679" s="106"/>
      <c r="F679" s="124"/>
      <c r="G679" s="125"/>
      <c r="J679" s="125"/>
      <c r="L679" s="107"/>
      <c r="M679" s="183"/>
      <c r="N679" s="108"/>
    </row>
    <row r="680" spans="1:14" x14ac:dyDescent="0.3">
      <c r="A680" s="77"/>
      <c r="B680" s="106"/>
      <c r="F680" s="124"/>
      <c r="G680" s="125"/>
      <c r="J680" s="125"/>
      <c r="L680" s="107"/>
      <c r="M680" s="183"/>
      <c r="N680" s="108"/>
    </row>
    <row r="681" spans="1:14" x14ac:dyDescent="0.3">
      <c r="A681" s="77"/>
      <c r="B681" s="106"/>
      <c r="F681" s="124"/>
      <c r="G681" s="125"/>
      <c r="J681" s="125"/>
      <c r="L681" s="107"/>
      <c r="M681" s="183"/>
      <c r="N681" s="108"/>
    </row>
    <row r="682" spans="1:14" x14ac:dyDescent="0.3">
      <c r="A682" s="77"/>
      <c r="B682" s="106"/>
      <c r="F682" s="124"/>
      <c r="G682" s="125"/>
      <c r="J682" s="125"/>
      <c r="L682" s="107"/>
      <c r="M682" s="183"/>
      <c r="N682" s="108"/>
    </row>
    <row r="683" spans="1:14" x14ac:dyDescent="0.3">
      <c r="A683" s="77"/>
      <c r="B683" s="106"/>
      <c r="F683" s="124"/>
      <c r="G683" s="125"/>
      <c r="J683" s="125"/>
      <c r="L683" s="107"/>
      <c r="M683" s="183"/>
      <c r="N683" s="108"/>
    </row>
    <row r="684" spans="1:14" x14ac:dyDescent="0.3">
      <c r="A684" s="77"/>
      <c r="B684" s="106"/>
      <c r="F684" s="124"/>
      <c r="G684" s="125"/>
      <c r="J684" s="125"/>
      <c r="L684" s="107"/>
      <c r="M684" s="183"/>
      <c r="N684" s="108"/>
    </row>
    <row r="685" spans="1:14" x14ac:dyDescent="0.3">
      <c r="A685" s="77"/>
      <c r="B685" s="106"/>
      <c r="F685" s="124"/>
      <c r="G685" s="125"/>
      <c r="J685" s="125"/>
      <c r="L685" s="107"/>
      <c r="M685" s="183"/>
      <c r="N685" s="108"/>
    </row>
    <row r="686" spans="1:14" x14ac:dyDescent="0.3">
      <c r="A686" s="77"/>
      <c r="B686" s="106"/>
      <c r="F686" s="124"/>
      <c r="G686" s="125"/>
      <c r="J686" s="125"/>
      <c r="L686" s="107"/>
      <c r="M686" s="183"/>
      <c r="N686" s="108"/>
    </row>
    <row r="687" spans="1:14" x14ac:dyDescent="0.3">
      <c r="A687" s="77"/>
      <c r="B687" s="106"/>
      <c r="F687" s="124"/>
      <c r="G687" s="125"/>
      <c r="J687" s="125"/>
      <c r="L687" s="107"/>
      <c r="M687" s="183"/>
      <c r="N687" s="108"/>
    </row>
    <row r="688" spans="1:14" x14ac:dyDescent="0.3">
      <c r="A688" s="77"/>
      <c r="B688" s="106"/>
      <c r="F688" s="124"/>
      <c r="G688" s="125"/>
      <c r="J688" s="125"/>
      <c r="L688" s="107"/>
      <c r="M688" s="183"/>
      <c r="N688" s="108"/>
    </row>
    <row r="689" spans="1:14" x14ac:dyDescent="0.3">
      <c r="A689" s="77"/>
      <c r="B689" s="106"/>
      <c r="F689" s="124"/>
      <c r="G689" s="125"/>
      <c r="J689" s="125"/>
      <c r="L689" s="107"/>
      <c r="M689" s="183"/>
      <c r="N689" s="108"/>
    </row>
    <row r="690" spans="1:14" x14ac:dyDescent="0.3">
      <c r="A690" s="77"/>
      <c r="B690" s="106"/>
      <c r="F690" s="124"/>
      <c r="G690" s="125"/>
      <c r="J690" s="125"/>
      <c r="L690" s="107"/>
      <c r="M690" s="183"/>
      <c r="N690" s="108"/>
    </row>
    <row r="691" spans="1:14" x14ac:dyDescent="0.3">
      <c r="A691" s="77"/>
      <c r="B691" s="106"/>
      <c r="F691" s="124"/>
      <c r="G691" s="125"/>
      <c r="J691" s="125"/>
      <c r="L691" s="107"/>
      <c r="M691" s="183"/>
      <c r="N691" s="108"/>
    </row>
    <row r="692" spans="1:14" x14ac:dyDescent="0.3">
      <c r="A692" s="77"/>
      <c r="B692" s="106"/>
      <c r="F692" s="124"/>
      <c r="G692" s="125"/>
      <c r="J692" s="125"/>
      <c r="L692" s="107"/>
      <c r="M692" s="183"/>
      <c r="N692" s="108"/>
    </row>
    <row r="693" spans="1:14" x14ac:dyDescent="0.3">
      <c r="A693" s="77"/>
      <c r="B693" s="106"/>
      <c r="F693" s="124"/>
      <c r="G693" s="125"/>
      <c r="J693" s="125"/>
      <c r="L693" s="107"/>
      <c r="M693" s="183"/>
      <c r="N693" s="108"/>
    </row>
    <row r="694" spans="1:14" x14ac:dyDescent="0.3">
      <c r="A694" s="77"/>
      <c r="B694" s="106"/>
      <c r="F694" s="124"/>
      <c r="G694" s="125"/>
      <c r="J694" s="125"/>
      <c r="L694" s="107"/>
      <c r="M694" s="183"/>
      <c r="N694" s="108"/>
    </row>
    <row r="695" spans="1:14" x14ac:dyDescent="0.3">
      <c r="A695" s="77"/>
      <c r="B695" s="106"/>
      <c r="F695" s="124"/>
      <c r="G695" s="125"/>
      <c r="J695" s="125"/>
      <c r="L695" s="107"/>
      <c r="M695" s="183"/>
      <c r="N695" s="108"/>
    </row>
    <row r="696" spans="1:14" x14ac:dyDescent="0.3">
      <c r="A696" s="77"/>
      <c r="B696" s="106"/>
      <c r="F696" s="124"/>
      <c r="G696" s="125"/>
      <c r="J696" s="125"/>
      <c r="L696" s="107"/>
      <c r="M696" s="183"/>
      <c r="N696" s="108"/>
    </row>
    <row r="697" spans="1:14" x14ac:dyDescent="0.3">
      <c r="A697" s="77"/>
      <c r="B697" s="106"/>
      <c r="F697" s="124"/>
      <c r="G697" s="125"/>
      <c r="J697" s="125"/>
      <c r="L697" s="107"/>
      <c r="M697" s="183"/>
      <c r="N697" s="108"/>
    </row>
    <row r="698" spans="1:14" x14ac:dyDescent="0.3">
      <c r="A698" s="77"/>
      <c r="B698" s="106"/>
      <c r="F698" s="124"/>
      <c r="G698" s="125"/>
      <c r="J698" s="125"/>
      <c r="L698" s="107"/>
      <c r="M698" s="183"/>
      <c r="N698" s="108"/>
    </row>
    <row r="699" spans="1:14" x14ac:dyDescent="0.3">
      <c r="A699" s="77"/>
      <c r="B699" s="106"/>
      <c r="F699" s="124"/>
      <c r="G699" s="125"/>
      <c r="J699" s="125"/>
      <c r="L699" s="107"/>
      <c r="M699" s="183"/>
      <c r="N699" s="108"/>
    </row>
    <row r="700" spans="1:14" x14ac:dyDescent="0.3">
      <c r="A700" s="77"/>
      <c r="B700" s="106"/>
      <c r="F700" s="124"/>
      <c r="G700" s="125"/>
      <c r="J700" s="125"/>
      <c r="L700" s="107"/>
      <c r="M700" s="183"/>
      <c r="N700" s="108"/>
    </row>
    <row r="701" spans="1:14" x14ac:dyDescent="0.3">
      <c r="A701" s="77"/>
      <c r="B701" s="106"/>
      <c r="F701" s="124"/>
      <c r="G701" s="125"/>
      <c r="J701" s="125"/>
      <c r="L701" s="107"/>
      <c r="M701" s="183"/>
      <c r="N701" s="108"/>
    </row>
    <row r="702" spans="1:14" x14ac:dyDescent="0.3">
      <c r="A702" s="77"/>
      <c r="B702" s="106"/>
      <c r="F702" s="124"/>
      <c r="G702" s="125"/>
      <c r="J702" s="125"/>
      <c r="L702" s="107"/>
      <c r="M702" s="183"/>
      <c r="N702" s="108"/>
    </row>
    <row r="703" spans="1:14" x14ac:dyDescent="0.3">
      <c r="A703" s="77"/>
      <c r="B703" s="106"/>
      <c r="F703" s="124"/>
      <c r="G703" s="125"/>
      <c r="J703" s="125"/>
      <c r="L703" s="107"/>
      <c r="M703" s="183"/>
      <c r="N703" s="108"/>
    </row>
    <row r="704" spans="1:14" x14ac:dyDescent="0.3">
      <c r="A704" s="77"/>
      <c r="B704" s="106"/>
      <c r="F704" s="124"/>
      <c r="G704" s="125"/>
      <c r="J704" s="125"/>
      <c r="L704" s="107"/>
      <c r="M704" s="183"/>
      <c r="N704" s="108"/>
    </row>
    <row r="705" spans="1:14" x14ac:dyDescent="0.3">
      <c r="A705" s="77"/>
      <c r="B705" s="106"/>
      <c r="F705" s="124"/>
      <c r="G705" s="125"/>
      <c r="J705" s="125"/>
      <c r="L705" s="107"/>
      <c r="M705" s="183"/>
      <c r="N705" s="108"/>
    </row>
    <row r="706" spans="1:14" x14ac:dyDescent="0.3">
      <c r="A706" s="77"/>
      <c r="B706" s="106"/>
      <c r="F706" s="124"/>
      <c r="G706" s="125"/>
      <c r="J706" s="125"/>
      <c r="L706" s="107"/>
      <c r="M706" s="183"/>
      <c r="N706" s="108"/>
    </row>
    <row r="707" spans="1:14" x14ac:dyDescent="0.3">
      <c r="A707" s="77"/>
      <c r="B707" s="106"/>
      <c r="F707" s="124"/>
      <c r="G707" s="125"/>
      <c r="J707" s="125"/>
      <c r="L707" s="107"/>
      <c r="M707" s="183"/>
      <c r="N707" s="108"/>
    </row>
    <row r="708" spans="1:14" x14ac:dyDescent="0.3">
      <c r="A708" s="77"/>
      <c r="B708" s="106"/>
      <c r="F708" s="124"/>
      <c r="G708" s="125"/>
      <c r="J708" s="125"/>
      <c r="L708" s="107"/>
      <c r="M708" s="183"/>
      <c r="N708" s="108"/>
    </row>
    <row r="709" spans="1:14" x14ac:dyDescent="0.3">
      <c r="A709" s="77"/>
      <c r="B709" s="106"/>
      <c r="F709" s="124"/>
      <c r="G709" s="125"/>
      <c r="J709" s="125"/>
      <c r="L709" s="107"/>
      <c r="M709" s="183"/>
      <c r="N709" s="108"/>
    </row>
    <row r="710" spans="1:14" x14ac:dyDescent="0.3">
      <c r="A710" s="77"/>
      <c r="B710" s="106"/>
      <c r="F710" s="124"/>
      <c r="G710" s="125"/>
      <c r="J710" s="125"/>
      <c r="L710" s="107"/>
      <c r="M710" s="183"/>
      <c r="N710" s="108"/>
    </row>
    <row r="711" spans="1:14" x14ac:dyDescent="0.3">
      <c r="A711" s="77"/>
      <c r="B711" s="106"/>
      <c r="F711" s="124"/>
      <c r="G711" s="125"/>
      <c r="J711" s="125"/>
      <c r="L711" s="107"/>
      <c r="M711" s="183"/>
      <c r="N711" s="108"/>
    </row>
    <row r="712" spans="1:14" x14ac:dyDescent="0.3">
      <c r="A712" s="77"/>
      <c r="B712" s="106"/>
      <c r="F712" s="124"/>
      <c r="G712" s="125"/>
      <c r="J712" s="125"/>
      <c r="L712" s="107"/>
      <c r="M712" s="183"/>
      <c r="N712" s="108"/>
    </row>
    <row r="713" spans="1:14" x14ac:dyDescent="0.3">
      <c r="A713" s="77"/>
      <c r="B713" s="106"/>
      <c r="F713" s="124"/>
      <c r="G713" s="125"/>
      <c r="J713" s="125"/>
      <c r="L713" s="107"/>
      <c r="M713" s="183"/>
      <c r="N713" s="108"/>
    </row>
    <row r="714" spans="1:14" x14ac:dyDescent="0.3">
      <c r="A714" s="77"/>
      <c r="B714" s="106"/>
      <c r="F714" s="124"/>
      <c r="G714" s="125"/>
      <c r="J714" s="125"/>
      <c r="L714" s="107"/>
      <c r="M714" s="183"/>
      <c r="N714" s="108"/>
    </row>
    <row r="715" spans="1:14" x14ac:dyDescent="0.3">
      <c r="A715" s="77"/>
      <c r="B715" s="106"/>
      <c r="F715" s="124"/>
      <c r="G715" s="125"/>
      <c r="J715" s="125"/>
      <c r="L715" s="107"/>
      <c r="M715" s="183"/>
      <c r="N715" s="108"/>
    </row>
    <row r="716" spans="1:14" x14ac:dyDescent="0.3">
      <c r="A716" s="77"/>
      <c r="B716" s="106"/>
      <c r="F716" s="124"/>
      <c r="G716" s="125"/>
      <c r="J716" s="125"/>
      <c r="L716" s="107"/>
      <c r="M716" s="183"/>
      <c r="N716" s="108"/>
    </row>
    <row r="717" spans="1:14" x14ac:dyDescent="0.3">
      <c r="A717" s="77"/>
      <c r="B717" s="106"/>
      <c r="F717" s="124"/>
      <c r="G717" s="125"/>
      <c r="J717" s="125"/>
      <c r="L717" s="107"/>
      <c r="M717" s="183"/>
      <c r="N717" s="108"/>
    </row>
    <row r="718" spans="1:14" x14ac:dyDescent="0.3">
      <c r="A718" s="77"/>
      <c r="B718" s="106"/>
      <c r="F718" s="124"/>
      <c r="G718" s="125"/>
      <c r="J718" s="125"/>
      <c r="L718" s="107"/>
      <c r="M718" s="183"/>
      <c r="N718" s="108"/>
    </row>
    <row r="719" spans="1:14" x14ac:dyDescent="0.3">
      <c r="A719" s="77"/>
      <c r="B719" s="106"/>
      <c r="F719" s="124"/>
      <c r="G719" s="125"/>
      <c r="J719" s="125"/>
      <c r="L719" s="107"/>
      <c r="M719" s="183"/>
      <c r="N719" s="108"/>
    </row>
  </sheetData>
  <conditionalFormatting sqref="I2:I246">
    <cfRule type="cellIs" dxfId="29" priority="1" operator="equal">
      <formula>"REVISAR"</formula>
    </cfRule>
    <cfRule type="cellIs" dxfId="28" priority="2" operator="equal">
      <formula>"CORRECTO"</formula>
    </cfRule>
  </conditionalFormatting>
  <conditionalFormatting sqref="L2:L246">
    <cfRule type="cellIs" dxfId="27" priority="3" operator="equal">
      <formula>"APROBADO"</formula>
    </cfRule>
    <cfRule type="cellIs" dxfId="26" priority="4" operator="equal">
      <formula>"PENDIENTE"</formula>
    </cfRule>
    <cfRule type="cellIs" dxfId="25" priority="5" operator="equal">
      <formula>"PAGADO"</formula>
    </cfRule>
  </conditionalFormatting>
  <dataValidations count="1">
    <dataValidation type="list" allowBlank="1" showErrorMessage="1" sqref="L2:L246" xr:uid="{13E58DA4-4DEC-4150-AABA-456F52D07D91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D9D04A0-DACA-41D9-81B9-E3E1F5E5D23B}">
          <x14:formula1>
            <xm:f>'CUENTAS'!$A$2:$A$59</xm:f>
          </x14:formula1>
          <xm:sqref>C2:C246</xm:sqref>
        </x14:dataValidation>
        <x14:dataValidation type="list" allowBlank="1" showInputMessage="1" showErrorMessage="1" xr:uid="{1E1D2CB7-5855-4CF1-BB5C-4EC5E70DC818}">
          <x14:formula1>
            <xm:f>'CUENTAS'!$G$2:$G$15</xm:f>
          </x14:formula1>
          <xm:sqref>J2:J246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86E3-4403-4A5F-A0A7-FBF203A9D770}">
  <sheetPr>
    <tabColor theme="1" tint="4.9989318521683403E-2"/>
  </sheetPr>
  <dimension ref="A1:Q675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4.4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7.21875" style="83" customWidth="1"/>
    <col min="8" max="9" width="17.21875" style="97" customWidth="1"/>
    <col min="10" max="10" width="20" style="83" bestFit="1" customWidth="1"/>
    <col min="11" max="11" width="14.77734375" style="98" customWidth="1"/>
    <col min="12" max="12" width="11.21875" style="99" bestFit="1" customWidth="1"/>
    <col min="13" max="13" width="12.6640625" style="182"/>
    <col min="14" max="14" width="23.554687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77" customFormat="1" ht="23.4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81" t="s">
        <v>104</v>
      </c>
      <c r="N1" s="12" t="s">
        <v>105</v>
      </c>
    </row>
    <row r="2" spans="1:17" x14ac:dyDescent="0.3">
      <c r="A2" s="16" t="s">
        <v>275</v>
      </c>
      <c r="B2" s="16" t="s">
        <v>2234</v>
      </c>
      <c r="C2" s="28" t="s">
        <v>121</v>
      </c>
      <c r="D2" s="28" t="str">
        <f>IFERROR(VLOOKUP($C2,CUENTAS[],2,0),"")</f>
        <v>GASTOS FIJOS</v>
      </c>
      <c r="E2" s="28" t="str">
        <f>IFERROR(VLOOKUP($C2,CUENTAS[],3,0),"")</f>
        <v>MDE2025-002K</v>
      </c>
      <c r="F2" s="86">
        <v>15525</v>
      </c>
      <c r="G2" s="86">
        <v>2484</v>
      </c>
      <c r="H2" s="74">
        <v>18009</v>
      </c>
      <c r="I2" s="200" t="str">
        <f>IFERROR(IF(F2+G2&lt;&gt;H2,"REVISAR","CORRECTO"),"")</f>
        <v>CORRECTO</v>
      </c>
      <c r="J2" s="88" t="s">
        <v>3244</v>
      </c>
      <c r="K2" s="69" t="s">
        <v>1954</v>
      </c>
      <c r="L2" s="84" t="s">
        <v>227</v>
      </c>
      <c r="M2" s="135">
        <v>45870</v>
      </c>
      <c r="N2" s="75" t="s">
        <v>2284</v>
      </c>
      <c r="P2" s="89"/>
      <c r="Q2" s="89"/>
    </row>
    <row r="3" spans="1:17" x14ac:dyDescent="0.3">
      <c r="A3" s="16" t="s">
        <v>341</v>
      </c>
      <c r="B3" s="16" t="s">
        <v>2235</v>
      </c>
      <c r="C3" s="28" t="s">
        <v>109</v>
      </c>
      <c r="D3" s="28" t="str">
        <f>IFERROR(VLOOKUP($C3,CUENTAS[],2,0),"")</f>
        <v>LOGÍSTICA</v>
      </c>
      <c r="E3" s="28" t="str">
        <f>IFERROR(VLOOKUP($C3,CUENTAS[],3,0),"")</f>
        <v>MDE2025-006A</v>
      </c>
      <c r="F3" s="86">
        <v>200</v>
      </c>
      <c r="G3" s="86">
        <v>0</v>
      </c>
      <c r="H3" s="74">
        <v>200</v>
      </c>
      <c r="I3" s="200" t="str">
        <f t="shared" ref="I3:I66" si="0">IFERROR(IF(F3+G3&lt;&gt;H3,"REVISAR","CORRECTO"),"")</f>
        <v>CORRECTO</v>
      </c>
      <c r="J3" s="88" t="s">
        <v>3244</v>
      </c>
      <c r="K3" s="69" t="s">
        <v>1954</v>
      </c>
      <c r="L3" s="84" t="s">
        <v>227</v>
      </c>
      <c r="M3" s="135">
        <v>45870</v>
      </c>
      <c r="N3" s="75" t="s">
        <v>368</v>
      </c>
      <c r="P3" s="89"/>
      <c r="Q3" s="89"/>
    </row>
    <row r="4" spans="1:17" x14ac:dyDescent="0.3">
      <c r="A4" s="16" t="s">
        <v>283</v>
      </c>
      <c r="B4" s="16">
        <v>2601215</v>
      </c>
      <c r="C4" s="28" t="s">
        <v>120</v>
      </c>
      <c r="D4" s="28" t="str">
        <f>IFERROR(VLOOKUP($C4,CUENTAS[],2,0),"")</f>
        <v>TOKA</v>
      </c>
      <c r="E4" s="28" t="str">
        <f>IFERROR(VLOOKUP($C4,CUENTAS[],3,0),"")</f>
        <v>TOK2025-001C</v>
      </c>
      <c r="F4" s="86">
        <v>300</v>
      </c>
      <c r="G4" s="86">
        <v>48</v>
      </c>
      <c r="H4" s="74">
        <v>348</v>
      </c>
      <c r="I4" s="200" t="str">
        <f t="shared" si="0"/>
        <v>CORRECTO</v>
      </c>
      <c r="J4" s="88" t="s">
        <v>3244</v>
      </c>
      <c r="K4" s="69" t="s">
        <v>363</v>
      </c>
      <c r="L4" s="84" t="s">
        <v>227</v>
      </c>
      <c r="M4" s="135">
        <v>45870</v>
      </c>
      <c r="N4" s="75" t="s">
        <v>570</v>
      </c>
      <c r="P4" s="89"/>
      <c r="Q4" s="89"/>
    </row>
    <row r="5" spans="1:17" x14ac:dyDescent="0.3">
      <c r="A5" s="16" t="s">
        <v>1109</v>
      </c>
      <c r="B5" s="16" t="s">
        <v>2236</v>
      </c>
      <c r="C5" s="28" t="s">
        <v>224</v>
      </c>
      <c r="D5" s="28" t="str">
        <f>IFERROR(VLOOKUP($C5,CUENTAS[],2,0),"")</f>
        <v>MATERIALES</v>
      </c>
      <c r="E5" s="28" t="str">
        <f>IFERROR(VLOOKUP($C5,CUENTAS[],3,0),"")</f>
        <v>MDE2025-004</v>
      </c>
      <c r="F5" s="86">
        <v>19825.48</v>
      </c>
      <c r="G5" s="86">
        <v>3172.07</v>
      </c>
      <c r="H5" s="74">
        <v>22997.55</v>
      </c>
      <c r="I5" s="200" t="str">
        <f t="shared" si="0"/>
        <v>CORRECTO</v>
      </c>
      <c r="J5" s="88" t="s">
        <v>3244</v>
      </c>
      <c r="K5" s="69" t="s">
        <v>363</v>
      </c>
      <c r="L5" s="84" t="s">
        <v>227</v>
      </c>
      <c r="M5" s="136">
        <v>45870</v>
      </c>
      <c r="N5" s="75" t="s">
        <v>2285</v>
      </c>
      <c r="P5" s="89"/>
      <c r="Q5" s="89"/>
    </row>
    <row r="6" spans="1:17" x14ac:dyDescent="0.3">
      <c r="A6" s="16" t="s">
        <v>2237</v>
      </c>
      <c r="B6" s="16" t="s">
        <v>2238</v>
      </c>
      <c r="C6" s="28" t="s">
        <v>109</v>
      </c>
      <c r="D6" s="28" t="str">
        <f>IFERROR(VLOOKUP($C6,CUENTAS[],2,0),"")</f>
        <v>LOGÍSTICA</v>
      </c>
      <c r="E6" s="28" t="str">
        <f>IFERROR(VLOOKUP($C6,CUENTAS[],3,0),"")</f>
        <v>MDE2025-006A</v>
      </c>
      <c r="F6" s="86">
        <v>9862.08</v>
      </c>
      <c r="G6" s="86">
        <v>1577.93</v>
      </c>
      <c r="H6" s="74">
        <v>11440.01</v>
      </c>
      <c r="I6" s="200" t="str">
        <f t="shared" si="0"/>
        <v>CORRECTO</v>
      </c>
      <c r="J6" s="88" t="s">
        <v>3244</v>
      </c>
      <c r="K6" s="69" t="s">
        <v>360</v>
      </c>
      <c r="L6" s="84" t="s">
        <v>227</v>
      </c>
      <c r="M6" s="135">
        <v>45873</v>
      </c>
      <c r="N6" s="75" t="s">
        <v>2286</v>
      </c>
      <c r="P6" s="89"/>
      <c r="Q6" s="89"/>
    </row>
    <row r="7" spans="1:17" x14ac:dyDescent="0.3">
      <c r="A7" s="16" t="s">
        <v>508</v>
      </c>
      <c r="B7" s="16" t="s">
        <v>2239</v>
      </c>
      <c r="C7" s="28" t="s">
        <v>123</v>
      </c>
      <c r="D7" s="28" t="str">
        <f>IFERROR(VLOOKUP($C7,CUENTAS[],2,0),"")</f>
        <v>ACTIVOS FIJOS</v>
      </c>
      <c r="E7" s="28" t="str">
        <f>IFERROR(VLOOKUP($C7,CUENTAS[],3,0),"")</f>
        <v>MDE2025-007C</v>
      </c>
      <c r="F7" s="86">
        <v>1885</v>
      </c>
      <c r="G7" s="86">
        <v>0</v>
      </c>
      <c r="H7" s="74">
        <v>1885</v>
      </c>
      <c r="I7" s="200" t="str">
        <f t="shared" si="0"/>
        <v>CORRECTO</v>
      </c>
      <c r="J7" s="88" t="s">
        <v>3244</v>
      </c>
      <c r="K7" s="69" t="s">
        <v>2230</v>
      </c>
      <c r="L7" s="84" t="s">
        <v>227</v>
      </c>
      <c r="M7" s="135">
        <v>45874</v>
      </c>
      <c r="N7" s="75" t="s">
        <v>2287</v>
      </c>
      <c r="P7" s="89"/>
      <c r="Q7" s="89"/>
    </row>
    <row r="8" spans="1:17" x14ac:dyDescent="0.3">
      <c r="A8" s="16" t="s">
        <v>2237</v>
      </c>
      <c r="B8" s="16" t="s">
        <v>2240</v>
      </c>
      <c r="C8" s="28" t="s">
        <v>109</v>
      </c>
      <c r="D8" s="28" t="str">
        <f>IFERROR(VLOOKUP($C8,CUENTAS[],2,0),"")</f>
        <v>LOGÍSTICA</v>
      </c>
      <c r="E8" s="28" t="str">
        <f>IFERROR(VLOOKUP($C8,CUENTAS[],3,0),"")</f>
        <v>MDE2025-006A</v>
      </c>
      <c r="F8" s="86">
        <v>33793.120000000003</v>
      </c>
      <c r="G8" s="86">
        <v>5406.9</v>
      </c>
      <c r="H8" s="74">
        <v>39200.019999999997</v>
      </c>
      <c r="I8" s="200" t="str">
        <f t="shared" si="0"/>
        <v>CORRECTO</v>
      </c>
      <c r="J8" s="88" t="s">
        <v>3244</v>
      </c>
      <c r="K8" s="69" t="s">
        <v>360</v>
      </c>
      <c r="L8" s="84" t="s">
        <v>227</v>
      </c>
      <c r="M8" s="135">
        <v>45874</v>
      </c>
      <c r="N8" s="75" t="s">
        <v>2288</v>
      </c>
      <c r="P8" s="89"/>
      <c r="Q8" s="89"/>
    </row>
    <row r="9" spans="1:17" x14ac:dyDescent="0.3">
      <c r="A9" s="16" t="s">
        <v>1068</v>
      </c>
      <c r="B9" s="16" t="s">
        <v>2241</v>
      </c>
      <c r="C9" s="28" t="s">
        <v>177</v>
      </c>
      <c r="D9" s="28" t="str">
        <f>IFERROR(VLOOKUP($C9,CUENTAS[],2,0),"")</f>
        <v>GASTOS FIJOS</v>
      </c>
      <c r="E9" s="28" t="str">
        <f>IFERROR(VLOOKUP($C9,CUENTAS[],3,0),"")</f>
        <v>MDE2025-002A</v>
      </c>
      <c r="F9" s="86">
        <v>2800</v>
      </c>
      <c r="G9" s="86">
        <v>0</v>
      </c>
      <c r="H9" s="74">
        <v>2800</v>
      </c>
      <c r="I9" s="200" t="str">
        <f t="shared" si="0"/>
        <v>CORRECTO</v>
      </c>
      <c r="J9" s="88" t="s">
        <v>3244</v>
      </c>
      <c r="K9" s="69" t="s">
        <v>1954</v>
      </c>
      <c r="L9" s="84" t="s">
        <v>227</v>
      </c>
      <c r="M9" s="136">
        <v>45874</v>
      </c>
      <c r="N9" s="75" t="s">
        <v>371</v>
      </c>
      <c r="P9" s="89"/>
      <c r="Q9" s="89"/>
    </row>
    <row r="10" spans="1:17" x14ac:dyDescent="0.3">
      <c r="A10" s="16" t="s">
        <v>228</v>
      </c>
      <c r="B10" s="16" t="s">
        <v>2242</v>
      </c>
      <c r="C10" s="28" t="s">
        <v>139</v>
      </c>
      <c r="D10" s="28" t="str">
        <f>IFERROR(VLOOKUP($C10,CUENTAS[],2,0),"")</f>
        <v>ACTIVOS FIJOS</v>
      </c>
      <c r="E10" s="28" t="str">
        <f>IFERROR(VLOOKUP($C10,CUENTAS[],3,0),"")</f>
        <v>MDE2025-007E</v>
      </c>
      <c r="F10" s="86">
        <v>4033.06</v>
      </c>
      <c r="G10" s="86">
        <v>645.29</v>
      </c>
      <c r="H10" s="74">
        <v>4678.3500000000004</v>
      </c>
      <c r="I10" s="200" t="str">
        <f t="shared" si="0"/>
        <v>CORRECTO</v>
      </c>
      <c r="J10" s="88" t="s">
        <v>3244</v>
      </c>
      <c r="K10" s="69" t="s">
        <v>360</v>
      </c>
      <c r="L10" s="84" t="s">
        <v>227</v>
      </c>
      <c r="M10" s="136">
        <v>45875</v>
      </c>
      <c r="N10" s="75" t="s">
        <v>2289</v>
      </c>
      <c r="P10" s="89"/>
      <c r="Q10" s="89"/>
    </row>
    <row r="11" spans="1:17" x14ac:dyDescent="0.3">
      <c r="A11" s="16" t="s">
        <v>232</v>
      </c>
      <c r="B11" s="16" t="s">
        <v>2243</v>
      </c>
      <c r="C11" s="28" t="s">
        <v>224</v>
      </c>
      <c r="D11" s="28" t="str">
        <f>IFERROR(VLOOKUP($C11,CUENTAS[],2,0),"")</f>
        <v>MATERIALES</v>
      </c>
      <c r="E11" s="28" t="str">
        <f>IFERROR(VLOOKUP($C11,CUENTAS[],3,0),"")</f>
        <v>MDE2025-004</v>
      </c>
      <c r="F11" s="86">
        <v>46448.4</v>
      </c>
      <c r="G11" s="86">
        <v>7431.74</v>
      </c>
      <c r="H11" s="74">
        <v>53880.14</v>
      </c>
      <c r="I11" s="200" t="str">
        <f t="shared" si="0"/>
        <v>CORRECTO</v>
      </c>
      <c r="J11" s="88" t="s">
        <v>3244</v>
      </c>
      <c r="K11" s="69" t="s">
        <v>980</v>
      </c>
      <c r="L11" s="84" t="s">
        <v>227</v>
      </c>
      <c r="M11" s="135">
        <v>45877</v>
      </c>
      <c r="N11" s="75" t="s">
        <v>2309</v>
      </c>
      <c r="P11" s="89"/>
      <c r="Q11" s="89"/>
    </row>
    <row r="12" spans="1:17" x14ac:dyDescent="0.3">
      <c r="A12" s="16" t="s">
        <v>616</v>
      </c>
      <c r="B12" s="16" t="s">
        <v>2244</v>
      </c>
      <c r="C12" s="28" t="s">
        <v>110</v>
      </c>
      <c r="D12" s="28" t="str">
        <f>IFERROR(VLOOKUP($C12,CUENTAS[],2,0),"")</f>
        <v>GASTOS FIJOS</v>
      </c>
      <c r="E12" s="28" t="str">
        <f>IFERROR(VLOOKUP($C12,CUENTAS[],3,0),"")</f>
        <v>MDE2025-002D</v>
      </c>
      <c r="F12" s="86">
        <v>7327.59</v>
      </c>
      <c r="G12" s="86">
        <v>1172.4100000000001</v>
      </c>
      <c r="H12" s="74">
        <v>8500</v>
      </c>
      <c r="I12" s="200" t="str">
        <f t="shared" si="0"/>
        <v>CORRECTO</v>
      </c>
      <c r="J12" s="88" t="s">
        <v>3244</v>
      </c>
      <c r="K12" s="69" t="s">
        <v>1954</v>
      </c>
      <c r="L12" s="84" t="s">
        <v>227</v>
      </c>
      <c r="M12" s="135">
        <v>45877</v>
      </c>
      <c r="N12" s="75" t="s">
        <v>2290</v>
      </c>
      <c r="P12" s="89"/>
      <c r="Q12" s="89"/>
    </row>
    <row r="13" spans="1:17" x14ac:dyDescent="0.3">
      <c r="A13" s="16" t="s">
        <v>232</v>
      </c>
      <c r="B13" s="16" t="s">
        <v>2245</v>
      </c>
      <c r="C13" s="28" t="s">
        <v>224</v>
      </c>
      <c r="D13" s="28" t="str">
        <f>IFERROR(VLOOKUP($C13,CUENTAS[],2,0),"")</f>
        <v>MATERIALES</v>
      </c>
      <c r="E13" s="28" t="str">
        <f>IFERROR(VLOOKUP($C13,CUENTAS[],3,0),"")</f>
        <v>MDE2025-004</v>
      </c>
      <c r="F13" s="86">
        <v>55594.83</v>
      </c>
      <c r="G13" s="86">
        <v>8895.17</v>
      </c>
      <c r="H13" s="74">
        <v>64490</v>
      </c>
      <c r="I13" s="200" t="str">
        <f t="shared" si="0"/>
        <v>CORRECTO</v>
      </c>
      <c r="J13" s="88" t="s">
        <v>3244</v>
      </c>
      <c r="K13" s="69" t="s">
        <v>357</v>
      </c>
      <c r="L13" s="84" t="s">
        <v>227</v>
      </c>
      <c r="M13" s="135">
        <v>45877</v>
      </c>
      <c r="N13" s="75" t="s">
        <v>2310</v>
      </c>
      <c r="P13" s="89"/>
      <c r="Q13" s="89"/>
    </row>
    <row r="14" spans="1:17" x14ac:dyDescent="0.3">
      <c r="A14" s="16" t="s">
        <v>281</v>
      </c>
      <c r="B14" s="16" t="s">
        <v>2246</v>
      </c>
      <c r="C14" s="28" t="s">
        <v>128</v>
      </c>
      <c r="D14" s="28" t="str">
        <f>IFERROR(VLOOKUP($C14,CUENTAS[],2,0),"")</f>
        <v>GASTOS FIJOS</v>
      </c>
      <c r="E14" s="28" t="str">
        <f>IFERROR(VLOOKUP($C14,CUENTAS[],3,0),"")</f>
        <v>MDE2025-002I</v>
      </c>
      <c r="F14" s="86">
        <v>8000</v>
      </c>
      <c r="G14" s="86">
        <v>0</v>
      </c>
      <c r="H14" s="74">
        <v>8000</v>
      </c>
      <c r="I14" s="200" t="str">
        <f t="shared" si="0"/>
        <v>CORRECTO</v>
      </c>
      <c r="J14" s="88" t="s">
        <v>3244</v>
      </c>
      <c r="K14" s="69" t="s">
        <v>1954</v>
      </c>
      <c r="L14" s="84" t="s">
        <v>227</v>
      </c>
      <c r="M14" s="135">
        <v>45877</v>
      </c>
      <c r="N14" s="75" t="s">
        <v>371</v>
      </c>
      <c r="P14" s="89"/>
      <c r="Q14" s="89"/>
    </row>
    <row r="15" spans="1:17" x14ac:dyDescent="0.3">
      <c r="A15" s="16" t="s">
        <v>616</v>
      </c>
      <c r="B15" s="16" t="s">
        <v>1901</v>
      </c>
      <c r="C15" s="28" t="s">
        <v>201</v>
      </c>
      <c r="D15" s="28" t="str">
        <f>IFERROR(VLOOKUP($C15,CUENTAS[],2,0),"")</f>
        <v>ACTIVOS FIJOS</v>
      </c>
      <c r="E15" s="28" t="str">
        <f>IFERROR(VLOOKUP($C15,CUENTAS[],3,0),"")</f>
        <v>MDE2025-007I</v>
      </c>
      <c r="F15" s="86">
        <v>4310.3500000000004</v>
      </c>
      <c r="G15" s="86">
        <v>689.65</v>
      </c>
      <c r="H15" s="74">
        <v>5000</v>
      </c>
      <c r="I15" s="200" t="str">
        <f t="shared" si="0"/>
        <v>CORRECTO</v>
      </c>
      <c r="J15" s="88" t="s">
        <v>3244</v>
      </c>
      <c r="K15" s="69" t="s">
        <v>980</v>
      </c>
      <c r="L15" s="84" t="s">
        <v>227</v>
      </c>
      <c r="M15" s="135">
        <v>45877</v>
      </c>
      <c r="N15" s="75" t="s">
        <v>2291</v>
      </c>
      <c r="P15" s="89"/>
      <c r="Q15" s="89"/>
    </row>
    <row r="16" spans="1:17" x14ac:dyDescent="0.3">
      <c r="A16" s="16" t="s">
        <v>666</v>
      </c>
      <c r="B16" s="16" t="s">
        <v>2247</v>
      </c>
      <c r="C16" s="28" t="s">
        <v>224</v>
      </c>
      <c r="D16" s="28" t="str">
        <f>IFERROR(VLOOKUP($C16,CUENTAS[],2,0),"")</f>
        <v>MATERIALES</v>
      </c>
      <c r="E16" s="28" t="str">
        <f>IFERROR(VLOOKUP($C16,CUENTAS[],3,0),"")</f>
        <v>MDE2025-004</v>
      </c>
      <c r="F16" s="86">
        <v>2714.22</v>
      </c>
      <c r="G16" s="86">
        <v>434.28</v>
      </c>
      <c r="H16" s="74">
        <v>3148.5</v>
      </c>
      <c r="I16" s="200" t="str">
        <f t="shared" si="0"/>
        <v>CORRECTO</v>
      </c>
      <c r="J16" s="88" t="s">
        <v>3244</v>
      </c>
      <c r="K16" s="69" t="s">
        <v>980</v>
      </c>
      <c r="L16" s="84" t="s">
        <v>227</v>
      </c>
      <c r="M16" s="135">
        <v>45877</v>
      </c>
      <c r="N16" s="75" t="s">
        <v>2311</v>
      </c>
      <c r="P16" s="89"/>
      <c r="Q16" s="89"/>
    </row>
    <row r="17" spans="1:17" x14ac:dyDescent="0.3">
      <c r="A17" s="16" t="s">
        <v>283</v>
      </c>
      <c r="B17" s="16">
        <v>2610676</v>
      </c>
      <c r="C17" s="28" t="s">
        <v>120</v>
      </c>
      <c r="D17" s="28" t="str">
        <f>IFERROR(VLOOKUP($C17,CUENTAS[],2,0),"")</f>
        <v>TOKA</v>
      </c>
      <c r="E17" s="28" t="str">
        <f>IFERROR(VLOOKUP($C17,CUENTAS[],3,0),"")</f>
        <v>TOK2025-001C</v>
      </c>
      <c r="F17" s="86">
        <v>400</v>
      </c>
      <c r="G17" s="86">
        <v>64</v>
      </c>
      <c r="H17" s="74">
        <v>464</v>
      </c>
      <c r="I17" s="200" t="str">
        <f t="shared" si="0"/>
        <v>CORRECTO</v>
      </c>
      <c r="J17" s="88" t="s">
        <v>3244</v>
      </c>
      <c r="K17" s="69" t="s">
        <v>2230</v>
      </c>
      <c r="L17" s="84" t="s">
        <v>227</v>
      </c>
      <c r="M17" s="135">
        <v>45880</v>
      </c>
      <c r="N17" s="75" t="s">
        <v>570</v>
      </c>
      <c r="P17" s="89"/>
      <c r="Q17" s="89"/>
    </row>
    <row r="18" spans="1:17" x14ac:dyDescent="0.3">
      <c r="A18" s="16" t="s">
        <v>2248</v>
      </c>
      <c r="B18" s="16" t="s">
        <v>2249</v>
      </c>
      <c r="C18" s="28" t="s">
        <v>224</v>
      </c>
      <c r="D18" s="28" t="str">
        <f>IFERROR(VLOOKUP($C18,CUENTAS[],2,0),"")</f>
        <v>MATERIALES</v>
      </c>
      <c r="E18" s="28" t="str">
        <f>IFERROR(VLOOKUP($C18,CUENTAS[],3,0),"")</f>
        <v>MDE2025-004</v>
      </c>
      <c r="F18" s="86">
        <v>9465.52</v>
      </c>
      <c r="G18" s="86">
        <v>1514.48</v>
      </c>
      <c r="H18" s="74">
        <v>10980</v>
      </c>
      <c r="I18" s="200" t="str">
        <f t="shared" si="0"/>
        <v>CORRECTO</v>
      </c>
      <c r="J18" s="88" t="s">
        <v>3244</v>
      </c>
      <c r="K18" s="69" t="s">
        <v>980</v>
      </c>
      <c r="L18" s="84" t="s">
        <v>227</v>
      </c>
      <c r="M18" s="135">
        <v>45877</v>
      </c>
      <c r="N18" s="75" t="s">
        <v>2312</v>
      </c>
      <c r="P18" s="89"/>
      <c r="Q18" s="89"/>
    </row>
    <row r="19" spans="1:17" x14ac:dyDescent="0.3">
      <c r="A19" s="16" t="s">
        <v>666</v>
      </c>
      <c r="B19" s="16" t="s">
        <v>2250</v>
      </c>
      <c r="C19" s="28" t="s">
        <v>224</v>
      </c>
      <c r="D19" s="28" t="str">
        <f>IFERROR(VLOOKUP($C19,CUENTAS[],2,0),"")</f>
        <v>MATERIALES</v>
      </c>
      <c r="E19" s="28" t="str">
        <f>IFERROR(VLOOKUP($C19,CUENTAS[],3,0),"")</f>
        <v>MDE2025-004</v>
      </c>
      <c r="F19" s="86">
        <v>2662.24</v>
      </c>
      <c r="G19" s="86">
        <v>425.96</v>
      </c>
      <c r="H19" s="74">
        <v>3088.2</v>
      </c>
      <c r="I19" s="200" t="str">
        <f t="shared" si="0"/>
        <v>CORRECTO</v>
      </c>
      <c r="J19" s="88" t="s">
        <v>3244</v>
      </c>
      <c r="K19" s="69" t="s">
        <v>980</v>
      </c>
      <c r="L19" s="84" t="s">
        <v>227</v>
      </c>
      <c r="M19" s="135">
        <v>45877</v>
      </c>
      <c r="N19" s="75" t="s">
        <v>2313</v>
      </c>
      <c r="P19" s="89"/>
      <c r="Q19" s="89"/>
    </row>
    <row r="20" spans="1:17" x14ac:dyDescent="0.3">
      <c r="A20" s="16" t="s">
        <v>2251</v>
      </c>
      <c r="B20" s="16" t="s">
        <v>2252</v>
      </c>
      <c r="C20" s="28" t="s">
        <v>139</v>
      </c>
      <c r="D20" s="28" t="str">
        <f>IFERROR(VLOOKUP($C20,CUENTAS[],2,0),"")</f>
        <v>ACTIVOS FIJOS</v>
      </c>
      <c r="E20" s="28" t="str">
        <f>IFERROR(VLOOKUP($C20,CUENTAS[],3,0),"")</f>
        <v>MDE2025-007E</v>
      </c>
      <c r="F20" s="86">
        <v>2100</v>
      </c>
      <c r="G20" s="86">
        <v>0</v>
      </c>
      <c r="H20" s="74">
        <v>2100</v>
      </c>
      <c r="I20" s="200" t="str">
        <f t="shared" si="0"/>
        <v>CORRECTO</v>
      </c>
      <c r="J20" s="88" t="s">
        <v>3244</v>
      </c>
      <c r="K20" s="69" t="s">
        <v>364</v>
      </c>
      <c r="L20" s="84" t="s">
        <v>227</v>
      </c>
      <c r="M20" s="135">
        <v>45877</v>
      </c>
      <c r="N20" s="75" t="s">
        <v>371</v>
      </c>
      <c r="P20" s="89"/>
      <c r="Q20" s="89"/>
    </row>
    <row r="21" spans="1:17" x14ac:dyDescent="0.3">
      <c r="A21" s="16" t="s">
        <v>2253</v>
      </c>
      <c r="B21" s="16" t="s">
        <v>2254</v>
      </c>
      <c r="C21" s="28" t="s">
        <v>109</v>
      </c>
      <c r="D21" s="28" t="str">
        <f>IFERROR(VLOOKUP($C21,CUENTAS[],2,0),"")</f>
        <v>LOGÍSTICA</v>
      </c>
      <c r="E21" s="28" t="str">
        <f>IFERROR(VLOOKUP($C21,CUENTAS[],3,0),"")</f>
        <v>MDE2025-006A</v>
      </c>
      <c r="F21" s="86">
        <v>28000</v>
      </c>
      <c r="G21" s="86">
        <v>4480</v>
      </c>
      <c r="H21" s="74">
        <v>32480</v>
      </c>
      <c r="I21" s="200" t="str">
        <f t="shared" si="0"/>
        <v>CORRECTO</v>
      </c>
      <c r="J21" s="88" t="s">
        <v>3244</v>
      </c>
      <c r="K21" s="69" t="s">
        <v>360</v>
      </c>
      <c r="L21" s="84" t="s">
        <v>227</v>
      </c>
      <c r="M21" s="135">
        <v>45880</v>
      </c>
      <c r="N21" s="75" t="s">
        <v>2292</v>
      </c>
      <c r="P21" s="89"/>
      <c r="Q21" s="89"/>
    </row>
    <row r="22" spans="1:17" x14ac:dyDescent="0.3">
      <c r="A22" s="16" t="s">
        <v>232</v>
      </c>
      <c r="B22" s="16" t="s">
        <v>2255</v>
      </c>
      <c r="C22" s="28" t="s">
        <v>224</v>
      </c>
      <c r="D22" s="28" t="str">
        <f>IFERROR(VLOOKUP($C22,CUENTAS[],2,0),"")</f>
        <v>MATERIALES</v>
      </c>
      <c r="E22" s="28" t="str">
        <f>IFERROR(VLOOKUP($C22,CUENTAS[],3,0),"")</f>
        <v>MDE2025-004</v>
      </c>
      <c r="F22" s="86">
        <v>19830.18</v>
      </c>
      <c r="G22" s="86">
        <v>8172.82</v>
      </c>
      <c r="H22" s="74">
        <v>28003</v>
      </c>
      <c r="I22" s="200" t="str">
        <f t="shared" si="0"/>
        <v>CORRECTO</v>
      </c>
      <c r="J22" s="88" t="s">
        <v>3244</v>
      </c>
      <c r="K22" s="69" t="s">
        <v>980</v>
      </c>
      <c r="L22" s="84" t="s">
        <v>227</v>
      </c>
      <c r="M22" s="135">
        <v>45881</v>
      </c>
      <c r="N22" s="75" t="s">
        <v>2293</v>
      </c>
      <c r="P22" s="89"/>
      <c r="Q22" s="89"/>
    </row>
    <row r="23" spans="1:17" x14ac:dyDescent="0.3">
      <c r="A23" s="16" t="s">
        <v>666</v>
      </c>
      <c r="B23" s="16" t="s">
        <v>2256</v>
      </c>
      <c r="C23" s="28" t="s">
        <v>224</v>
      </c>
      <c r="D23" s="28" t="str">
        <f>IFERROR(VLOOKUP($C23,CUENTAS[],2,0),"")</f>
        <v>MATERIALES</v>
      </c>
      <c r="E23" s="28" t="str">
        <f>IFERROR(VLOOKUP($C23,CUENTAS[],3,0),"")</f>
        <v>MDE2025-004</v>
      </c>
      <c r="F23" s="86">
        <v>15693.1</v>
      </c>
      <c r="G23" s="86">
        <v>2510.9</v>
      </c>
      <c r="H23" s="74">
        <v>18204</v>
      </c>
      <c r="I23" s="200" t="str">
        <f t="shared" si="0"/>
        <v>CORRECTO</v>
      </c>
      <c r="J23" s="88" t="s">
        <v>3244</v>
      </c>
      <c r="K23" s="69" t="s">
        <v>980</v>
      </c>
      <c r="L23" s="84" t="s">
        <v>227</v>
      </c>
      <c r="M23" s="135">
        <v>45516</v>
      </c>
      <c r="N23" s="75" t="s">
        <v>2314</v>
      </c>
      <c r="P23" s="89"/>
      <c r="Q23" s="89"/>
    </row>
    <row r="24" spans="1:17" x14ac:dyDescent="0.3">
      <c r="A24" s="16" t="s">
        <v>1607</v>
      </c>
      <c r="B24" s="16" t="s">
        <v>2257</v>
      </c>
      <c r="C24" s="28" t="s">
        <v>224</v>
      </c>
      <c r="D24" s="28" t="str">
        <f>IFERROR(VLOOKUP($C24,CUENTAS[],2,0),"")</f>
        <v>MATERIALES</v>
      </c>
      <c r="E24" s="28" t="str">
        <f>IFERROR(VLOOKUP($C24,CUENTAS[],3,0),"")</f>
        <v>MDE2025-004</v>
      </c>
      <c r="F24" s="86">
        <v>9500</v>
      </c>
      <c r="G24" s="86">
        <v>1520</v>
      </c>
      <c r="H24" s="74">
        <v>11020</v>
      </c>
      <c r="I24" s="200" t="str">
        <f t="shared" si="0"/>
        <v>CORRECTO</v>
      </c>
      <c r="J24" s="88" t="s">
        <v>3244</v>
      </c>
      <c r="K24" s="69" t="s">
        <v>980</v>
      </c>
      <c r="L24" s="84" t="s">
        <v>227</v>
      </c>
      <c r="M24" s="135">
        <v>45881</v>
      </c>
      <c r="N24" s="75" t="s">
        <v>2294</v>
      </c>
      <c r="P24" s="89"/>
      <c r="Q24" s="89"/>
    </row>
    <row r="25" spans="1:17" x14ac:dyDescent="0.3">
      <c r="A25" s="16" t="s">
        <v>508</v>
      </c>
      <c r="B25" s="16" t="s">
        <v>2239</v>
      </c>
      <c r="C25" s="28" t="s">
        <v>123</v>
      </c>
      <c r="D25" s="28" t="str">
        <f>IFERROR(VLOOKUP($C25,CUENTAS[],2,0),"")</f>
        <v>ACTIVOS FIJOS</v>
      </c>
      <c r="E25" s="28" t="str">
        <f>IFERROR(VLOOKUP($C25,CUENTAS[],3,0),"")</f>
        <v>MDE2025-007C</v>
      </c>
      <c r="F25" s="86">
        <v>60571.360000000001</v>
      </c>
      <c r="G25" s="86">
        <v>9691</v>
      </c>
      <c r="H25" s="74">
        <v>70262.36</v>
      </c>
      <c r="I25" s="200" t="str">
        <f t="shared" si="0"/>
        <v>CORRECTO</v>
      </c>
      <c r="J25" s="88" t="s">
        <v>3244</v>
      </c>
      <c r="K25" s="69" t="s">
        <v>360</v>
      </c>
      <c r="L25" s="84" t="s">
        <v>227</v>
      </c>
      <c r="M25" s="135">
        <v>45881</v>
      </c>
      <c r="N25" s="75" t="s">
        <v>2287</v>
      </c>
      <c r="P25" s="89"/>
      <c r="Q25" s="89"/>
    </row>
    <row r="26" spans="1:17" x14ac:dyDescent="0.3">
      <c r="A26" s="16" t="s">
        <v>541</v>
      </c>
      <c r="B26" s="16" t="s">
        <v>2258</v>
      </c>
      <c r="C26" s="28" t="s">
        <v>159</v>
      </c>
      <c r="D26" s="28" t="str">
        <f>IFERROR(VLOOKUP($C26,CUENTAS[],2,0),"")</f>
        <v>GASTOS VARIOS</v>
      </c>
      <c r="E26" s="28" t="str">
        <f>IFERROR(VLOOKUP($C26,CUENTAS[],3,0),"")</f>
        <v>MDE2025-003A</v>
      </c>
      <c r="F26" s="86">
        <v>1132</v>
      </c>
      <c r="G26" s="86">
        <v>181.12</v>
      </c>
      <c r="H26" s="74">
        <v>1313.12</v>
      </c>
      <c r="I26" s="200" t="str">
        <f t="shared" si="0"/>
        <v>CORRECTO</v>
      </c>
      <c r="J26" s="88" t="s">
        <v>3244</v>
      </c>
      <c r="K26" s="69" t="s">
        <v>363</v>
      </c>
      <c r="L26" s="84" t="s">
        <v>227</v>
      </c>
      <c r="M26" s="135">
        <v>45881</v>
      </c>
      <c r="N26" s="75" t="s">
        <v>798</v>
      </c>
      <c r="P26" s="89"/>
      <c r="Q26" s="89"/>
    </row>
    <row r="27" spans="1:17" x14ac:dyDescent="0.3">
      <c r="A27" s="16" t="s">
        <v>666</v>
      </c>
      <c r="B27" s="16" t="s">
        <v>2259</v>
      </c>
      <c r="C27" s="28" t="s">
        <v>224</v>
      </c>
      <c r="D27" s="28" t="str">
        <f>IFERROR(VLOOKUP($C27,CUENTAS[],2,0),"")</f>
        <v>MATERIALES</v>
      </c>
      <c r="E27" s="28" t="str">
        <f>IFERROR(VLOOKUP($C27,CUENTAS[],3,0),"")</f>
        <v>MDE2025-004</v>
      </c>
      <c r="F27" s="86">
        <v>1792.16</v>
      </c>
      <c r="G27" s="86">
        <v>286.74</v>
      </c>
      <c r="H27" s="74">
        <v>2078.9</v>
      </c>
      <c r="I27" s="200" t="str">
        <f t="shared" si="0"/>
        <v>CORRECTO</v>
      </c>
      <c r="J27" s="88" t="s">
        <v>3244</v>
      </c>
      <c r="K27" s="69" t="s">
        <v>980</v>
      </c>
      <c r="L27" s="84" t="s">
        <v>227</v>
      </c>
      <c r="M27" s="135">
        <v>45883</v>
      </c>
      <c r="N27" s="75" t="s">
        <v>2295</v>
      </c>
      <c r="P27" s="89"/>
      <c r="Q27" s="89"/>
    </row>
    <row r="28" spans="1:17" x14ac:dyDescent="0.3">
      <c r="A28" s="16" t="s">
        <v>275</v>
      </c>
      <c r="B28" s="16" t="s">
        <v>2260</v>
      </c>
      <c r="C28" s="28" t="s">
        <v>121</v>
      </c>
      <c r="D28" s="28" t="str">
        <f>IFERROR(VLOOKUP($C28,CUENTAS[],2,0),"")</f>
        <v>GASTOS FIJOS</v>
      </c>
      <c r="E28" s="28" t="str">
        <f>IFERROR(VLOOKUP($C28,CUENTAS[],3,0),"")</f>
        <v>MDE2025-002K</v>
      </c>
      <c r="F28" s="86">
        <v>15525</v>
      </c>
      <c r="G28" s="86">
        <v>2484</v>
      </c>
      <c r="H28" s="74">
        <v>18009</v>
      </c>
      <c r="I28" s="200" t="str">
        <f t="shared" si="0"/>
        <v>CORRECTO</v>
      </c>
      <c r="J28" s="88" t="s">
        <v>3244</v>
      </c>
      <c r="K28" s="69" t="s">
        <v>1954</v>
      </c>
      <c r="L28" s="84" t="s">
        <v>227</v>
      </c>
      <c r="M28" s="135">
        <v>45883</v>
      </c>
      <c r="N28" s="75" t="s">
        <v>2296</v>
      </c>
      <c r="P28" s="89"/>
      <c r="Q28" s="89"/>
    </row>
    <row r="29" spans="1:17" x14ac:dyDescent="0.3">
      <c r="A29" s="16" t="s">
        <v>666</v>
      </c>
      <c r="B29" s="16" t="s">
        <v>2261</v>
      </c>
      <c r="C29" s="28" t="s">
        <v>224</v>
      </c>
      <c r="D29" s="28" t="str">
        <f>IFERROR(VLOOKUP($C29,CUENTAS[],2,0),"")</f>
        <v>MATERIALES</v>
      </c>
      <c r="E29" s="28" t="str">
        <f>IFERROR(VLOOKUP($C29,CUENTAS[],3,0),"")</f>
        <v>MDE2025-004</v>
      </c>
      <c r="F29" s="86">
        <v>6318.97</v>
      </c>
      <c r="G29" s="86">
        <v>1011.03</v>
      </c>
      <c r="H29" s="74">
        <v>7330</v>
      </c>
      <c r="I29" s="200" t="str">
        <f t="shared" si="0"/>
        <v>CORRECTO</v>
      </c>
      <c r="J29" s="88" t="s">
        <v>3244</v>
      </c>
      <c r="K29" s="69" t="s">
        <v>980</v>
      </c>
      <c r="L29" s="84" t="s">
        <v>227</v>
      </c>
      <c r="M29" s="136">
        <v>45883</v>
      </c>
      <c r="N29" s="75" t="s">
        <v>2297</v>
      </c>
      <c r="P29" s="89"/>
      <c r="Q29" s="89"/>
    </row>
    <row r="30" spans="1:17" x14ac:dyDescent="0.3">
      <c r="A30" s="16" t="s">
        <v>317</v>
      </c>
      <c r="B30" s="16" t="s">
        <v>2262</v>
      </c>
      <c r="C30" s="28" t="s">
        <v>109</v>
      </c>
      <c r="D30" s="28" t="str">
        <f>IFERROR(VLOOKUP($C30,CUENTAS[],2,0),"")</f>
        <v>LOGÍSTICA</v>
      </c>
      <c r="E30" s="28" t="str">
        <f>IFERROR(VLOOKUP($C30,CUENTAS[],3,0),"")</f>
        <v>MDE2025-006A</v>
      </c>
      <c r="F30" s="86">
        <v>6300</v>
      </c>
      <c r="G30" s="86">
        <v>1008</v>
      </c>
      <c r="H30" s="74">
        <v>7308</v>
      </c>
      <c r="I30" s="200" t="str">
        <f t="shared" si="0"/>
        <v>CORRECTO</v>
      </c>
      <c r="J30" s="88" t="s">
        <v>3244</v>
      </c>
      <c r="K30" s="69" t="s">
        <v>2230</v>
      </c>
      <c r="L30" s="84" t="s">
        <v>227</v>
      </c>
      <c r="M30" s="136">
        <v>45883</v>
      </c>
      <c r="N30" s="75" t="s">
        <v>2298</v>
      </c>
      <c r="P30" s="89"/>
      <c r="Q30" s="89"/>
    </row>
    <row r="31" spans="1:17" x14ac:dyDescent="0.3">
      <c r="A31" s="16" t="s">
        <v>232</v>
      </c>
      <c r="B31" s="16" t="s">
        <v>2263</v>
      </c>
      <c r="C31" s="28" t="s">
        <v>224</v>
      </c>
      <c r="D31" s="28" t="str">
        <f>IFERROR(VLOOKUP($C31,CUENTAS[],2,0),"")</f>
        <v>MATERIALES</v>
      </c>
      <c r="E31" s="28" t="str">
        <f>IFERROR(VLOOKUP($C31,CUENTAS[],3,0),"")</f>
        <v>MDE2025-004</v>
      </c>
      <c r="F31" s="86">
        <v>9893.99</v>
      </c>
      <c r="G31" s="86">
        <v>1583.03</v>
      </c>
      <c r="H31" s="74">
        <v>11477.02</v>
      </c>
      <c r="I31" s="200" t="str">
        <f t="shared" si="0"/>
        <v>CORRECTO</v>
      </c>
      <c r="J31" s="88" t="s">
        <v>3244</v>
      </c>
      <c r="K31" s="69" t="s">
        <v>980</v>
      </c>
      <c r="L31" s="84" t="s">
        <v>227</v>
      </c>
      <c r="M31" s="135">
        <v>45883</v>
      </c>
      <c r="N31" s="75" t="s">
        <v>2299</v>
      </c>
      <c r="P31" s="89"/>
      <c r="Q31" s="89"/>
    </row>
    <row r="32" spans="1:17" x14ac:dyDescent="0.3">
      <c r="A32" s="16" t="s">
        <v>232</v>
      </c>
      <c r="B32" s="16" t="s">
        <v>2264</v>
      </c>
      <c r="C32" s="28" t="s">
        <v>224</v>
      </c>
      <c r="D32" s="28" t="str">
        <f>IFERROR(VLOOKUP($C32,CUENTAS[],2,0),"")</f>
        <v>MATERIALES</v>
      </c>
      <c r="E32" s="28" t="str">
        <f>IFERROR(VLOOKUP($C32,CUENTAS[],3,0),"")</f>
        <v>MDE2025-004</v>
      </c>
      <c r="F32" s="86">
        <v>16928</v>
      </c>
      <c r="G32" s="86">
        <v>0</v>
      </c>
      <c r="H32" s="74">
        <v>16928</v>
      </c>
      <c r="I32" s="200" t="str">
        <f t="shared" si="0"/>
        <v>CORRECTO</v>
      </c>
      <c r="J32" s="88" t="s">
        <v>3244</v>
      </c>
      <c r="K32" s="69" t="s">
        <v>980</v>
      </c>
      <c r="L32" s="84" t="s">
        <v>227</v>
      </c>
      <c r="M32" s="135">
        <v>45889</v>
      </c>
      <c r="N32" s="75" t="s">
        <v>2300</v>
      </c>
      <c r="P32" s="89"/>
      <c r="Q32" s="89"/>
    </row>
    <row r="33" spans="1:17" x14ac:dyDescent="0.3">
      <c r="A33" s="16" t="s">
        <v>666</v>
      </c>
      <c r="B33" s="16" t="s">
        <v>2265</v>
      </c>
      <c r="C33" s="28" t="s">
        <v>224</v>
      </c>
      <c r="D33" s="28" t="str">
        <f>IFERROR(VLOOKUP($C33,CUENTAS[],2,0),"")</f>
        <v>MATERIALES</v>
      </c>
      <c r="E33" s="28" t="str">
        <f>IFERROR(VLOOKUP($C33,CUENTAS[],3,0),"")</f>
        <v>MDE2025-004</v>
      </c>
      <c r="F33" s="86">
        <v>7928.45</v>
      </c>
      <c r="G33" s="86">
        <v>1268.55</v>
      </c>
      <c r="H33" s="74">
        <v>9197</v>
      </c>
      <c r="I33" s="200" t="str">
        <f t="shared" si="0"/>
        <v>CORRECTO</v>
      </c>
      <c r="J33" s="88" t="s">
        <v>3244</v>
      </c>
      <c r="K33" s="69" t="s">
        <v>980</v>
      </c>
      <c r="L33" s="84" t="s">
        <v>227</v>
      </c>
      <c r="M33" s="135">
        <v>45889</v>
      </c>
      <c r="N33" s="75" t="s">
        <v>798</v>
      </c>
      <c r="P33" s="89"/>
      <c r="Q33" s="89"/>
    </row>
    <row r="34" spans="1:17" x14ac:dyDescent="0.3">
      <c r="A34" s="16" t="s">
        <v>279</v>
      </c>
      <c r="B34" s="16" t="s">
        <v>2266</v>
      </c>
      <c r="C34" s="28" t="s">
        <v>224</v>
      </c>
      <c r="D34" s="28" t="str">
        <f>IFERROR(VLOOKUP($C34,CUENTAS[],2,0),"")</f>
        <v>MATERIALES</v>
      </c>
      <c r="E34" s="28" t="str">
        <f>IFERROR(VLOOKUP($C34,CUENTAS[],3,0),"")</f>
        <v>MDE2025-004</v>
      </c>
      <c r="F34" s="86">
        <v>7364.66</v>
      </c>
      <c r="G34" s="86">
        <v>1178.3399999999999</v>
      </c>
      <c r="H34" s="74">
        <v>8543</v>
      </c>
      <c r="I34" s="200" t="str">
        <f t="shared" si="0"/>
        <v>CORRECTO</v>
      </c>
      <c r="J34" s="88" t="s">
        <v>3244</v>
      </c>
      <c r="K34" s="69" t="s">
        <v>363</v>
      </c>
      <c r="L34" s="84" t="s">
        <v>227</v>
      </c>
      <c r="M34" s="135">
        <v>45890</v>
      </c>
      <c r="N34" s="75" t="s">
        <v>410</v>
      </c>
      <c r="P34" s="89"/>
      <c r="Q34" s="89"/>
    </row>
    <row r="35" spans="1:17" x14ac:dyDescent="0.3">
      <c r="A35" s="16" t="s">
        <v>283</v>
      </c>
      <c r="B35" s="16">
        <v>2624239</v>
      </c>
      <c r="C35" s="28" t="s">
        <v>120</v>
      </c>
      <c r="D35" s="28" t="str">
        <f>IFERROR(VLOOKUP($C35,CUENTAS[],2,0),"")</f>
        <v>TOKA</v>
      </c>
      <c r="E35" s="28" t="str">
        <f>IFERROR(VLOOKUP($C35,CUENTAS[],3,0),"")</f>
        <v>TOK2025-001C</v>
      </c>
      <c r="F35" s="86">
        <v>300</v>
      </c>
      <c r="G35" s="86">
        <v>48</v>
      </c>
      <c r="H35" s="74">
        <v>348</v>
      </c>
      <c r="I35" s="200" t="str">
        <f t="shared" si="0"/>
        <v>CORRECTO</v>
      </c>
      <c r="J35" s="88" t="s">
        <v>3244</v>
      </c>
      <c r="K35" s="69" t="s">
        <v>2230</v>
      </c>
      <c r="L35" s="84" t="s">
        <v>227</v>
      </c>
      <c r="M35" s="135"/>
      <c r="N35" s="75" t="s">
        <v>570</v>
      </c>
      <c r="P35" s="89"/>
      <c r="Q35" s="89"/>
    </row>
    <row r="36" spans="1:17" x14ac:dyDescent="0.3">
      <c r="A36" s="16" t="s">
        <v>317</v>
      </c>
      <c r="B36" s="16" t="s">
        <v>2267</v>
      </c>
      <c r="C36" s="28" t="s">
        <v>109</v>
      </c>
      <c r="D36" s="28" t="str">
        <f>IFERROR(VLOOKUP($C36,CUENTAS[],2,0),"")</f>
        <v>LOGÍSTICA</v>
      </c>
      <c r="E36" s="28" t="str">
        <f>IFERROR(VLOOKUP($C36,CUENTAS[],3,0),"")</f>
        <v>MDE2025-006A</v>
      </c>
      <c r="F36" s="86">
        <v>7308</v>
      </c>
      <c r="G36" s="86">
        <v>0</v>
      </c>
      <c r="H36" s="74">
        <v>7308</v>
      </c>
      <c r="I36" s="200" t="str">
        <f t="shared" si="0"/>
        <v>CORRECTO</v>
      </c>
      <c r="J36" s="88" t="s">
        <v>3244</v>
      </c>
      <c r="K36" s="69" t="s">
        <v>2230</v>
      </c>
      <c r="L36" s="84" t="s">
        <v>227</v>
      </c>
      <c r="M36" s="135">
        <v>45890</v>
      </c>
      <c r="N36" s="75" t="s">
        <v>2298</v>
      </c>
      <c r="P36" s="89"/>
      <c r="Q36" s="89"/>
    </row>
    <row r="37" spans="1:17" x14ac:dyDescent="0.3">
      <c r="A37" s="16" t="s">
        <v>284</v>
      </c>
      <c r="B37" s="16" t="s">
        <v>2268</v>
      </c>
      <c r="C37" s="28" t="s">
        <v>224</v>
      </c>
      <c r="D37" s="28" t="str">
        <f>IFERROR(VLOOKUP($C37,CUENTAS[],2,0),"")</f>
        <v>MATERIALES</v>
      </c>
      <c r="E37" s="28" t="str">
        <f>IFERROR(VLOOKUP($C37,CUENTAS[],3,0),"")</f>
        <v>MDE2025-004</v>
      </c>
      <c r="F37" s="86">
        <v>2968.53</v>
      </c>
      <c r="G37" s="86">
        <v>474.97</v>
      </c>
      <c r="H37" s="74">
        <v>3443.5</v>
      </c>
      <c r="I37" s="200" t="str">
        <f t="shared" si="0"/>
        <v>CORRECTO</v>
      </c>
      <c r="J37" s="88" t="s">
        <v>3244</v>
      </c>
      <c r="K37" s="69" t="s">
        <v>472</v>
      </c>
      <c r="L37" s="84" t="s">
        <v>227</v>
      </c>
      <c r="M37" s="135">
        <v>45890</v>
      </c>
      <c r="N37" s="75" t="s">
        <v>2301</v>
      </c>
      <c r="P37" s="89"/>
      <c r="Q37" s="89"/>
    </row>
    <row r="38" spans="1:17" x14ac:dyDescent="0.3">
      <c r="A38" s="16" t="s">
        <v>270</v>
      </c>
      <c r="B38" s="16" t="s">
        <v>2269</v>
      </c>
      <c r="C38" s="28" t="s">
        <v>223</v>
      </c>
      <c r="D38" s="28" t="str">
        <f>IFERROR(VLOOKUP($C38,CUENTAS[],2,0),"")</f>
        <v>MANTENIMIENTO</v>
      </c>
      <c r="E38" s="28" t="str">
        <f>IFERROR(VLOOKUP($C38,CUENTAS[],3,0),"")</f>
        <v>MDE2025-009B</v>
      </c>
      <c r="F38" s="86">
        <v>1950</v>
      </c>
      <c r="G38" s="86">
        <v>0</v>
      </c>
      <c r="H38" s="74">
        <v>1950</v>
      </c>
      <c r="I38" s="200" t="str">
        <f t="shared" si="0"/>
        <v>CORRECTO</v>
      </c>
      <c r="J38" s="88" t="s">
        <v>3244</v>
      </c>
      <c r="K38" s="69" t="s">
        <v>360</v>
      </c>
      <c r="L38" s="84" t="s">
        <v>227</v>
      </c>
      <c r="M38" s="136">
        <v>45890</v>
      </c>
      <c r="N38" s="75" t="s">
        <v>368</v>
      </c>
      <c r="P38" s="89"/>
      <c r="Q38" s="89"/>
    </row>
    <row r="39" spans="1:17" x14ac:dyDescent="0.3">
      <c r="A39" s="16" t="s">
        <v>270</v>
      </c>
      <c r="B39" s="16" t="s">
        <v>2270</v>
      </c>
      <c r="C39" s="28" t="s">
        <v>223</v>
      </c>
      <c r="D39" s="28" t="str">
        <f>IFERROR(VLOOKUP($C39,CUENTAS[],2,0),"")</f>
        <v>MANTENIMIENTO</v>
      </c>
      <c r="E39" s="28" t="str">
        <f>IFERROR(VLOOKUP($C39,CUENTAS[],3,0),"")</f>
        <v>MDE2025-009B</v>
      </c>
      <c r="F39" s="86">
        <v>143.1</v>
      </c>
      <c r="G39" s="86">
        <v>22.9</v>
      </c>
      <c r="H39" s="74">
        <v>166</v>
      </c>
      <c r="I39" s="200" t="str">
        <f t="shared" si="0"/>
        <v>CORRECTO</v>
      </c>
      <c r="J39" s="88" t="s">
        <v>3244</v>
      </c>
      <c r="K39" s="69" t="s">
        <v>360</v>
      </c>
      <c r="L39" s="84" t="s">
        <v>227</v>
      </c>
      <c r="M39" s="135">
        <v>45890</v>
      </c>
      <c r="N39" s="75" t="s">
        <v>2302</v>
      </c>
      <c r="P39" s="89"/>
      <c r="Q39" s="89"/>
    </row>
    <row r="40" spans="1:17" x14ac:dyDescent="0.3">
      <c r="A40" s="16" t="s">
        <v>666</v>
      </c>
      <c r="B40" s="16" t="s">
        <v>2271</v>
      </c>
      <c r="C40" s="28" t="s">
        <v>224</v>
      </c>
      <c r="D40" s="28" t="str">
        <f>IFERROR(VLOOKUP($C40,CUENTAS[],2,0),"")</f>
        <v>MATERIALES</v>
      </c>
      <c r="E40" s="28" t="str">
        <f>IFERROR(VLOOKUP($C40,CUENTAS[],3,0),"")</f>
        <v>MDE2025-004</v>
      </c>
      <c r="F40" s="86">
        <v>23379.31</v>
      </c>
      <c r="G40" s="86">
        <v>3740.69</v>
      </c>
      <c r="H40" s="74">
        <v>27120</v>
      </c>
      <c r="I40" s="200" t="str">
        <f t="shared" si="0"/>
        <v>CORRECTO</v>
      </c>
      <c r="J40" s="88" t="s">
        <v>3244</v>
      </c>
      <c r="K40" s="69" t="s">
        <v>980</v>
      </c>
      <c r="L40" s="84" t="s">
        <v>227</v>
      </c>
      <c r="M40" s="137">
        <v>45890</v>
      </c>
      <c r="N40" s="75" t="s">
        <v>2303</v>
      </c>
      <c r="P40" s="89"/>
      <c r="Q40" s="89"/>
    </row>
    <row r="41" spans="1:17" x14ac:dyDescent="0.3">
      <c r="A41" s="16" t="s">
        <v>2272</v>
      </c>
      <c r="B41" s="16" t="s">
        <v>2273</v>
      </c>
      <c r="C41" s="28" t="s">
        <v>224</v>
      </c>
      <c r="D41" s="28" t="str">
        <f>IFERROR(VLOOKUP($C41,CUENTAS[],2,0),"")</f>
        <v>MATERIALES</v>
      </c>
      <c r="E41" s="28" t="str">
        <f>IFERROR(VLOOKUP($C41,CUENTAS[],3,0),"")</f>
        <v>MDE2025-004</v>
      </c>
      <c r="F41" s="86">
        <v>18112</v>
      </c>
      <c r="G41" s="86">
        <v>2897.92</v>
      </c>
      <c r="H41" s="74">
        <v>21009.919999999998</v>
      </c>
      <c r="I41" s="200" t="str">
        <f t="shared" si="0"/>
        <v>CORRECTO</v>
      </c>
      <c r="J41" s="88" t="s">
        <v>3244</v>
      </c>
      <c r="K41" s="69" t="s">
        <v>980</v>
      </c>
      <c r="L41" s="84" t="s">
        <v>227</v>
      </c>
      <c r="M41" s="137">
        <v>45890</v>
      </c>
      <c r="N41" s="75" t="s">
        <v>2304</v>
      </c>
      <c r="P41" s="89"/>
      <c r="Q41" s="89"/>
    </row>
    <row r="42" spans="1:17" x14ac:dyDescent="0.3">
      <c r="A42" s="16" t="s">
        <v>1744</v>
      </c>
      <c r="B42" s="16" t="s">
        <v>2274</v>
      </c>
      <c r="C42" s="28" t="s">
        <v>224</v>
      </c>
      <c r="D42" s="28" t="str">
        <f>IFERROR(VLOOKUP($C42,CUENTAS[],2,0),"")</f>
        <v>MATERIALES</v>
      </c>
      <c r="E42" s="28" t="str">
        <f>IFERROR(VLOOKUP($C42,CUENTAS[],3,0),"")</f>
        <v>MDE2025-004</v>
      </c>
      <c r="F42" s="86">
        <v>14051.73</v>
      </c>
      <c r="G42" s="86">
        <v>2248.27</v>
      </c>
      <c r="H42" s="74">
        <v>16300</v>
      </c>
      <c r="I42" s="200" t="str">
        <f t="shared" si="0"/>
        <v>CORRECTO</v>
      </c>
      <c r="J42" s="88" t="s">
        <v>3244</v>
      </c>
      <c r="K42" s="69" t="s">
        <v>980</v>
      </c>
      <c r="L42" s="84" t="s">
        <v>227</v>
      </c>
      <c r="M42" s="135">
        <v>45890</v>
      </c>
      <c r="N42" s="75" t="s">
        <v>2305</v>
      </c>
      <c r="P42" s="89"/>
      <c r="Q42" s="89"/>
    </row>
    <row r="43" spans="1:17" x14ac:dyDescent="0.3">
      <c r="A43" s="16" t="s">
        <v>2275</v>
      </c>
      <c r="B43" s="16" t="s">
        <v>2276</v>
      </c>
      <c r="C43" s="28" t="s">
        <v>221</v>
      </c>
      <c r="D43" s="28" t="str">
        <f>IFERROR(VLOOKUP($C43,CUENTAS[],2,0),"")</f>
        <v>LOGÍSTICA</v>
      </c>
      <c r="E43" s="28" t="str">
        <f>IFERROR(VLOOKUP($C43,CUENTAS[],3,0),"")</f>
        <v>MDE2025-006F</v>
      </c>
      <c r="F43" s="86">
        <v>1458</v>
      </c>
      <c r="G43" s="86">
        <v>0</v>
      </c>
      <c r="H43" s="74">
        <v>1458</v>
      </c>
      <c r="I43" s="200" t="str">
        <f t="shared" si="0"/>
        <v>CORRECTO</v>
      </c>
      <c r="J43" s="88" t="s">
        <v>3244</v>
      </c>
      <c r="K43" s="69" t="s">
        <v>2230</v>
      </c>
      <c r="L43" s="84" t="s">
        <v>227</v>
      </c>
      <c r="M43" s="135">
        <v>45890</v>
      </c>
      <c r="N43" s="75" t="s">
        <v>368</v>
      </c>
      <c r="P43" s="89"/>
      <c r="Q43" s="89"/>
    </row>
    <row r="44" spans="1:17" x14ac:dyDescent="0.3">
      <c r="A44" s="16" t="s">
        <v>666</v>
      </c>
      <c r="B44" s="16" t="s">
        <v>2277</v>
      </c>
      <c r="C44" s="28" t="s">
        <v>224</v>
      </c>
      <c r="D44" s="28" t="str">
        <f>IFERROR(VLOOKUP($C44,CUENTAS[],2,0),"")</f>
        <v>MATERIALES</v>
      </c>
      <c r="E44" s="28" t="str">
        <f>IFERROR(VLOOKUP($C44,CUENTAS[],3,0),"")</f>
        <v>MDE2025-004</v>
      </c>
      <c r="F44" s="86">
        <v>2454.3200000000002</v>
      </c>
      <c r="G44" s="86">
        <v>392.68</v>
      </c>
      <c r="H44" s="74">
        <v>2847</v>
      </c>
      <c r="I44" s="200" t="str">
        <f t="shared" si="0"/>
        <v>CORRECTO</v>
      </c>
      <c r="J44" s="88" t="s">
        <v>3244</v>
      </c>
      <c r="K44" s="69" t="s">
        <v>980</v>
      </c>
      <c r="L44" s="84" t="s">
        <v>227</v>
      </c>
      <c r="M44" s="135">
        <v>45890</v>
      </c>
      <c r="N44" s="75" t="s">
        <v>2306</v>
      </c>
      <c r="P44" s="89"/>
      <c r="Q44" s="89"/>
    </row>
    <row r="45" spans="1:17" x14ac:dyDescent="0.3">
      <c r="A45" s="16" t="s">
        <v>232</v>
      </c>
      <c r="B45" s="16" t="s">
        <v>2278</v>
      </c>
      <c r="C45" s="28" t="s">
        <v>224</v>
      </c>
      <c r="D45" s="28" t="str">
        <f>IFERROR(VLOOKUP($C45,CUENTAS[],2,0),"")</f>
        <v>MATERIALES</v>
      </c>
      <c r="E45" s="28" t="str">
        <f>IFERROR(VLOOKUP($C45,CUENTAS[],3,0),"")</f>
        <v>MDE2025-004</v>
      </c>
      <c r="F45" s="86">
        <v>7100</v>
      </c>
      <c r="G45" s="86">
        <v>1136</v>
      </c>
      <c r="H45" s="74">
        <v>8236</v>
      </c>
      <c r="I45" s="200" t="str">
        <f t="shared" si="0"/>
        <v>CORRECTO</v>
      </c>
      <c r="J45" s="88" t="s">
        <v>3244</v>
      </c>
      <c r="K45" s="69" t="s">
        <v>980</v>
      </c>
      <c r="L45" s="84" t="s">
        <v>227</v>
      </c>
      <c r="M45" s="135">
        <v>45890</v>
      </c>
      <c r="N45" s="75" t="s">
        <v>2307</v>
      </c>
      <c r="P45" s="89"/>
      <c r="Q45" s="89"/>
    </row>
    <row r="46" spans="1:17" x14ac:dyDescent="0.3">
      <c r="A46" s="16" t="s">
        <v>2279</v>
      </c>
      <c r="B46" s="16" t="s">
        <v>2280</v>
      </c>
      <c r="C46" s="28" t="s">
        <v>178</v>
      </c>
      <c r="D46" s="28" t="str">
        <f>IFERROR(VLOOKUP($C46,CUENTAS[],2,0),"")</f>
        <v>GASTOS FIJOS</v>
      </c>
      <c r="E46" s="28" t="str">
        <f>IFERROR(VLOOKUP($C46,CUENTAS[],3,0),"")</f>
        <v>MDE2025-002O</v>
      </c>
      <c r="F46" s="86">
        <v>3500</v>
      </c>
      <c r="G46" s="86">
        <v>0</v>
      </c>
      <c r="H46" s="74">
        <v>3500</v>
      </c>
      <c r="I46" s="200" t="str">
        <f t="shared" si="0"/>
        <v>CORRECTO</v>
      </c>
      <c r="J46" s="88" t="s">
        <v>3244</v>
      </c>
      <c r="K46" s="69" t="s">
        <v>364</v>
      </c>
      <c r="L46" s="84" t="s">
        <v>227</v>
      </c>
      <c r="M46" s="135">
        <v>45890</v>
      </c>
      <c r="N46" s="75" t="s">
        <v>371</v>
      </c>
      <c r="P46" s="89"/>
      <c r="Q46" s="89"/>
    </row>
    <row r="47" spans="1:17" x14ac:dyDescent="0.3">
      <c r="A47" s="16" t="s">
        <v>232</v>
      </c>
      <c r="B47" s="16" t="s">
        <v>2281</v>
      </c>
      <c r="C47" s="28" t="s">
        <v>224</v>
      </c>
      <c r="D47" s="28" t="str">
        <f>IFERROR(VLOOKUP($C47,CUENTAS[],2,0),"")</f>
        <v>MATERIALES</v>
      </c>
      <c r="E47" s="28" t="str">
        <f>IFERROR(VLOOKUP($C47,CUENTAS[],3,0),"")</f>
        <v>MDE2025-004</v>
      </c>
      <c r="F47" s="86">
        <v>47917.56</v>
      </c>
      <c r="G47" s="86">
        <v>7666.81</v>
      </c>
      <c r="H47" s="74">
        <v>55584.37</v>
      </c>
      <c r="I47" s="200" t="str">
        <f t="shared" si="0"/>
        <v>CORRECTO</v>
      </c>
      <c r="J47" s="88" t="s">
        <v>3244</v>
      </c>
      <c r="K47" s="69" t="s">
        <v>980</v>
      </c>
      <c r="L47" s="84" t="s">
        <v>227</v>
      </c>
      <c r="M47" s="135">
        <v>45896</v>
      </c>
      <c r="N47" s="75" t="s">
        <v>2308</v>
      </c>
      <c r="P47" s="89"/>
      <c r="Q47" s="89"/>
    </row>
    <row r="48" spans="1:17" x14ac:dyDescent="0.3">
      <c r="A48" s="16" t="s">
        <v>763</v>
      </c>
      <c r="B48" s="16" t="s">
        <v>2282</v>
      </c>
      <c r="C48" s="28" t="s">
        <v>224</v>
      </c>
      <c r="D48" s="28" t="str">
        <f>IFERROR(VLOOKUP($C48,CUENTAS[],2,0),"")</f>
        <v>MATERIALES</v>
      </c>
      <c r="E48" s="28" t="str">
        <f>IFERROR(VLOOKUP($C48,CUENTAS[],3,0),"")</f>
        <v>MDE2025-004</v>
      </c>
      <c r="F48" s="86">
        <v>11848.45</v>
      </c>
      <c r="G48" s="86">
        <v>1895.75</v>
      </c>
      <c r="H48" s="74">
        <v>13744.2</v>
      </c>
      <c r="I48" s="200" t="str">
        <f t="shared" si="0"/>
        <v>CORRECTO</v>
      </c>
      <c r="J48" s="88" t="s">
        <v>3244</v>
      </c>
      <c r="K48" s="69" t="s">
        <v>363</v>
      </c>
      <c r="L48" s="84" t="s">
        <v>227</v>
      </c>
      <c r="M48" s="135">
        <v>45896</v>
      </c>
      <c r="N48" s="75" t="s">
        <v>798</v>
      </c>
      <c r="P48" s="89"/>
      <c r="Q48" s="89"/>
    </row>
    <row r="49" spans="1:17" x14ac:dyDescent="0.3">
      <c r="A49" s="16" t="s">
        <v>666</v>
      </c>
      <c r="B49" s="16" t="s">
        <v>2283</v>
      </c>
      <c r="C49" s="28" t="s">
        <v>224</v>
      </c>
      <c r="D49" s="28" t="str">
        <f>IFERROR(VLOOKUP($C49,CUENTAS[],2,0),"")</f>
        <v>MATERIALES</v>
      </c>
      <c r="E49" s="28" t="str">
        <f>IFERROR(VLOOKUP($C49,CUENTAS[],3,0),"")</f>
        <v>MDE2025-004</v>
      </c>
      <c r="F49" s="86">
        <v>8043.17</v>
      </c>
      <c r="G49" s="87">
        <v>1106.1300000000001</v>
      </c>
      <c r="H49" s="74">
        <v>9149.2999999999993</v>
      </c>
      <c r="I49" s="200" t="str">
        <f t="shared" si="0"/>
        <v>CORRECTO</v>
      </c>
      <c r="J49" s="88" t="s">
        <v>3244</v>
      </c>
      <c r="K49" s="69" t="s">
        <v>980</v>
      </c>
      <c r="L49" s="84" t="s">
        <v>227</v>
      </c>
      <c r="M49" s="135">
        <v>45897</v>
      </c>
      <c r="N49" s="75" t="s">
        <v>2315</v>
      </c>
      <c r="P49" s="89"/>
      <c r="Q49" s="89"/>
    </row>
    <row r="50" spans="1:17" x14ac:dyDescent="0.3">
      <c r="A50" s="16" t="s">
        <v>283</v>
      </c>
      <c r="B50" s="16">
        <v>2635500</v>
      </c>
      <c r="C50" s="28" t="s">
        <v>120</v>
      </c>
      <c r="D50" s="28" t="str">
        <f>IFERROR(VLOOKUP($C50,CUENTAS[],2,0),"")</f>
        <v>TOKA</v>
      </c>
      <c r="E50" s="28" t="str">
        <f>IFERROR(VLOOKUP($C50,CUENTAS[],3,0),"")</f>
        <v>TOK2025-001C</v>
      </c>
      <c r="F50" s="86">
        <v>300</v>
      </c>
      <c r="G50" s="86">
        <v>48</v>
      </c>
      <c r="H50" s="74">
        <v>348</v>
      </c>
      <c r="I50" s="200" t="str">
        <f t="shared" si="0"/>
        <v>CORRECTO</v>
      </c>
      <c r="J50" s="88" t="s">
        <v>3244</v>
      </c>
      <c r="K50" s="69" t="s">
        <v>2230</v>
      </c>
      <c r="L50" s="84" t="s">
        <v>227</v>
      </c>
      <c r="M50" s="135">
        <v>45898</v>
      </c>
      <c r="N50" s="75" t="s">
        <v>570</v>
      </c>
      <c r="P50" s="89"/>
      <c r="Q50" s="89"/>
    </row>
    <row r="51" spans="1:17" x14ac:dyDescent="0.3">
      <c r="A51" s="16" t="s">
        <v>963</v>
      </c>
      <c r="B51" s="16" t="s">
        <v>2450</v>
      </c>
      <c r="C51" s="28" t="s">
        <v>222</v>
      </c>
      <c r="D51" s="28" t="str">
        <f>IFERROR(VLOOKUP($C51,CUENTAS[],2,0),"")</f>
        <v>MANTENIMIENTO</v>
      </c>
      <c r="E51" s="28" t="str">
        <f>IFERROR(VLOOKUP($C51,CUENTAS[],3,0),"")</f>
        <v>MDE2025-009A</v>
      </c>
      <c r="F51" s="86">
        <v>291</v>
      </c>
      <c r="G51" s="86">
        <v>0</v>
      </c>
      <c r="H51" s="74">
        <v>291</v>
      </c>
      <c r="I51" s="200" t="str">
        <f t="shared" si="0"/>
        <v>CORRECTO</v>
      </c>
      <c r="J51" s="88" t="s">
        <v>963</v>
      </c>
      <c r="K51" s="69" t="s">
        <v>362</v>
      </c>
      <c r="L51" s="84" t="s">
        <v>227</v>
      </c>
      <c r="M51" s="135">
        <v>45870</v>
      </c>
      <c r="N51" s="75"/>
      <c r="P51" s="89"/>
      <c r="Q51" s="89"/>
    </row>
    <row r="52" spans="1:17" x14ac:dyDescent="0.3">
      <c r="A52" s="16" t="s">
        <v>963</v>
      </c>
      <c r="B52" s="16" t="s">
        <v>2451</v>
      </c>
      <c r="C52" s="28" t="s">
        <v>222</v>
      </c>
      <c r="D52" s="28" t="str">
        <f>IFERROR(VLOOKUP($C52,CUENTAS[],2,0),"")</f>
        <v>MANTENIMIENTO</v>
      </c>
      <c r="E52" s="28" t="str">
        <f>IFERROR(VLOOKUP($C52,CUENTAS[],3,0),"")</f>
        <v>MDE2025-009A</v>
      </c>
      <c r="F52" s="86">
        <v>223.5</v>
      </c>
      <c r="G52" s="86">
        <v>0</v>
      </c>
      <c r="H52" s="74">
        <v>223.5</v>
      </c>
      <c r="I52" s="200" t="str">
        <f t="shared" si="0"/>
        <v>CORRECTO</v>
      </c>
      <c r="J52" s="88" t="s">
        <v>963</v>
      </c>
      <c r="K52" s="69" t="s">
        <v>364</v>
      </c>
      <c r="L52" s="84" t="s">
        <v>227</v>
      </c>
      <c r="M52" s="135">
        <v>45870</v>
      </c>
      <c r="N52" s="75"/>
      <c r="P52" s="89"/>
      <c r="Q52" s="89"/>
    </row>
    <row r="53" spans="1:17" x14ac:dyDescent="0.3">
      <c r="A53" s="16" t="s">
        <v>963</v>
      </c>
      <c r="B53" s="16" t="s">
        <v>2452</v>
      </c>
      <c r="C53" s="28" t="s">
        <v>222</v>
      </c>
      <c r="D53" s="28" t="str">
        <f>IFERROR(VLOOKUP($C53,CUENTAS[],2,0),"")</f>
        <v>MANTENIMIENTO</v>
      </c>
      <c r="E53" s="28" t="str">
        <f>IFERROR(VLOOKUP($C53,CUENTAS[],3,0),"")</f>
        <v>MDE2025-009A</v>
      </c>
      <c r="F53" s="86">
        <v>150</v>
      </c>
      <c r="G53" s="86">
        <v>0</v>
      </c>
      <c r="H53" s="74">
        <v>150</v>
      </c>
      <c r="I53" s="200" t="str">
        <f t="shared" si="0"/>
        <v>CORRECTO</v>
      </c>
      <c r="J53" s="88" t="s">
        <v>963</v>
      </c>
      <c r="K53" s="69" t="s">
        <v>364</v>
      </c>
      <c r="L53" s="84" t="s">
        <v>227</v>
      </c>
      <c r="M53" s="135">
        <v>45870</v>
      </c>
      <c r="N53" s="75"/>
      <c r="P53" s="89"/>
      <c r="Q53" s="89"/>
    </row>
    <row r="54" spans="1:17" x14ac:dyDescent="0.3">
      <c r="A54" s="16" t="s">
        <v>963</v>
      </c>
      <c r="B54" s="16" t="s">
        <v>2453</v>
      </c>
      <c r="C54" s="28" t="s">
        <v>222</v>
      </c>
      <c r="D54" s="28" t="str">
        <f>IFERROR(VLOOKUP($C54,CUENTAS[],2,0),"")</f>
        <v>MANTENIMIENTO</v>
      </c>
      <c r="E54" s="28" t="str">
        <f>IFERROR(VLOOKUP($C54,CUENTAS[],3,0),"")</f>
        <v>MDE2025-009A</v>
      </c>
      <c r="F54" s="86">
        <v>300</v>
      </c>
      <c r="G54" s="86">
        <v>0</v>
      </c>
      <c r="H54" s="74">
        <v>300</v>
      </c>
      <c r="I54" s="200" t="str">
        <f t="shared" si="0"/>
        <v>CORRECTO</v>
      </c>
      <c r="J54" s="88" t="s">
        <v>963</v>
      </c>
      <c r="K54" s="69" t="s">
        <v>364</v>
      </c>
      <c r="L54" s="84" t="s">
        <v>227</v>
      </c>
      <c r="M54" s="135">
        <v>45875</v>
      </c>
      <c r="N54" s="75"/>
      <c r="P54" s="89"/>
      <c r="Q54" s="89"/>
    </row>
    <row r="55" spans="1:17" x14ac:dyDescent="0.3">
      <c r="A55" s="16" t="s">
        <v>963</v>
      </c>
      <c r="B55" s="16" t="s">
        <v>2454</v>
      </c>
      <c r="C55" s="28" t="s">
        <v>222</v>
      </c>
      <c r="D55" s="28" t="str">
        <f>IFERROR(VLOOKUP($C55,CUENTAS[],2,0),"")</f>
        <v>MANTENIMIENTO</v>
      </c>
      <c r="E55" s="28" t="str">
        <f>IFERROR(VLOOKUP($C55,CUENTAS[],3,0),"")</f>
        <v>MDE2025-009A</v>
      </c>
      <c r="F55" s="86">
        <v>51</v>
      </c>
      <c r="G55" s="86">
        <v>0</v>
      </c>
      <c r="H55" s="74">
        <v>51</v>
      </c>
      <c r="I55" s="200" t="str">
        <f t="shared" si="0"/>
        <v>CORRECTO</v>
      </c>
      <c r="J55" s="88" t="s">
        <v>963</v>
      </c>
      <c r="K55" s="69" t="s">
        <v>364</v>
      </c>
      <c r="L55" s="84" t="s">
        <v>227</v>
      </c>
      <c r="M55" s="135">
        <v>45875</v>
      </c>
      <c r="N55" s="75"/>
      <c r="P55" s="89"/>
      <c r="Q55" s="89"/>
    </row>
    <row r="56" spans="1:17" x14ac:dyDescent="0.3">
      <c r="A56" s="16" t="s">
        <v>963</v>
      </c>
      <c r="B56" s="16" t="s">
        <v>2455</v>
      </c>
      <c r="C56" s="28" t="s">
        <v>222</v>
      </c>
      <c r="D56" s="28" t="str">
        <f>IFERROR(VLOOKUP($C56,CUENTAS[],2,0),"")</f>
        <v>MANTENIMIENTO</v>
      </c>
      <c r="E56" s="28" t="str">
        <f>IFERROR(VLOOKUP($C56,CUENTAS[],3,0),"")</f>
        <v>MDE2025-009A</v>
      </c>
      <c r="F56" s="86">
        <v>196</v>
      </c>
      <c r="G56" s="86">
        <v>0</v>
      </c>
      <c r="H56" s="74">
        <v>196</v>
      </c>
      <c r="I56" s="200" t="str">
        <f t="shared" si="0"/>
        <v>CORRECTO</v>
      </c>
      <c r="J56" s="88" t="s">
        <v>963</v>
      </c>
      <c r="K56" s="69" t="s">
        <v>364</v>
      </c>
      <c r="L56" s="84" t="s">
        <v>227</v>
      </c>
      <c r="M56" s="135">
        <v>45875</v>
      </c>
      <c r="N56" s="75"/>
      <c r="P56" s="89"/>
      <c r="Q56" s="89"/>
    </row>
    <row r="57" spans="1:17" x14ac:dyDescent="0.3">
      <c r="A57" s="16" t="s">
        <v>963</v>
      </c>
      <c r="B57" s="16" t="s">
        <v>2456</v>
      </c>
      <c r="C57" s="28" t="s">
        <v>222</v>
      </c>
      <c r="D57" s="28" t="str">
        <f>IFERROR(VLOOKUP($C57,CUENTAS[],2,0),"")</f>
        <v>MANTENIMIENTO</v>
      </c>
      <c r="E57" s="28" t="str">
        <f>IFERROR(VLOOKUP($C57,CUENTAS[],3,0),"")</f>
        <v>MDE2025-009A</v>
      </c>
      <c r="F57" s="86">
        <v>191</v>
      </c>
      <c r="G57" s="86">
        <v>0</v>
      </c>
      <c r="H57" s="74">
        <v>191</v>
      </c>
      <c r="I57" s="200" t="str">
        <f t="shared" si="0"/>
        <v>CORRECTO</v>
      </c>
      <c r="J57" s="88" t="s">
        <v>963</v>
      </c>
      <c r="K57" s="69" t="s">
        <v>364</v>
      </c>
      <c r="L57" s="84" t="s">
        <v>227</v>
      </c>
      <c r="M57" s="135">
        <v>45875</v>
      </c>
      <c r="N57" s="75"/>
      <c r="P57" s="89"/>
      <c r="Q57" s="89"/>
    </row>
    <row r="58" spans="1:17" x14ac:dyDescent="0.3">
      <c r="A58" s="16" t="s">
        <v>963</v>
      </c>
      <c r="B58" s="16" t="s">
        <v>2457</v>
      </c>
      <c r="C58" s="28" t="s">
        <v>222</v>
      </c>
      <c r="D58" s="28" t="str">
        <f>IFERROR(VLOOKUP($C58,CUENTAS[],2,0),"")</f>
        <v>MANTENIMIENTO</v>
      </c>
      <c r="E58" s="28" t="str">
        <f>IFERROR(VLOOKUP($C58,CUENTAS[],3,0),"")</f>
        <v>MDE2025-009A</v>
      </c>
      <c r="F58" s="86">
        <v>12</v>
      </c>
      <c r="G58" s="86">
        <v>0</v>
      </c>
      <c r="H58" s="74">
        <v>12</v>
      </c>
      <c r="I58" s="200" t="str">
        <f t="shared" si="0"/>
        <v>CORRECTO</v>
      </c>
      <c r="J58" s="88" t="s">
        <v>963</v>
      </c>
      <c r="K58" s="69" t="s">
        <v>364</v>
      </c>
      <c r="L58" s="84" t="s">
        <v>227</v>
      </c>
      <c r="M58" s="135">
        <v>45875</v>
      </c>
      <c r="N58" s="75"/>
      <c r="P58" s="89"/>
      <c r="Q58" s="89"/>
    </row>
    <row r="59" spans="1:17" x14ac:dyDescent="0.3">
      <c r="A59" s="16" t="s">
        <v>963</v>
      </c>
      <c r="B59" s="16" t="s">
        <v>2458</v>
      </c>
      <c r="C59" s="28" t="s">
        <v>222</v>
      </c>
      <c r="D59" s="28" t="str">
        <f>IFERROR(VLOOKUP($C59,CUENTAS[],2,0),"")</f>
        <v>MANTENIMIENTO</v>
      </c>
      <c r="E59" s="28" t="str">
        <f>IFERROR(VLOOKUP($C59,CUENTAS[],3,0),"")</f>
        <v>MDE2025-009A</v>
      </c>
      <c r="F59" s="86">
        <v>428.65</v>
      </c>
      <c r="G59" s="86">
        <v>0</v>
      </c>
      <c r="H59" s="74">
        <v>428.65</v>
      </c>
      <c r="I59" s="200" t="str">
        <f t="shared" si="0"/>
        <v>CORRECTO</v>
      </c>
      <c r="J59" s="88" t="s">
        <v>963</v>
      </c>
      <c r="K59" s="69" t="s">
        <v>364</v>
      </c>
      <c r="L59" s="84" t="s">
        <v>227</v>
      </c>
      <c r="M59" s="135">
        <v>45876</v>
      </c>
      <c r="N59" s="75"/>
      <c r="P59" s="89"/>
      <c r="Q59" s="89"/>
    </row>
    <row r="60" spans="1:17" x14ac:dyDescent="0.3">
      <c r="A60" s="16" t="s">
        <v>963</v>
      </c>
      <c r="B60" s="16" t="s">
        <v>2459</v>
      </c>
      <c r="C60" s="28" t="s">
        <v>222</v>
      </c>
      <c r="D60" s="28" t="str">
        <f>IFERROR(VLOOKUP($C60,CUENTAS[],2,0),"")</f>
        <v>MANTENIMIENTO</v>
      </c>
      <c r="E60" s="28" t="str">
        <f>IFERROR(VLOOKUP($C60,CUENTAS[],3,0),"")</f>
        <v>MDE2025-009A</v>
      </c>
      <c r="F60" s="86">
        <v>83.5</v>
      </c>
      <c r="G60" s="86">
        <v>0</v>
      </c>
      <c r="H60" s="74">
        <v>83.5</v>
      </c>
      <c r="I60" s="200" t="str">
        <f t="shared" si="0"/>
        <v>CORRECTO</v>
      </c>
      <c r="J60" s="88" t="s">
        <v>963</v>
      </c>
      <c r="K60" s="69" t="s">
        <v>364</v>
      </c>
      <c r="L60" s="84" t="s">
        <v>227</v>
      </c>
      <c r="M60" s="135">
        <v>45876</v>
      </c>
      <c r="N60" s="75"/>
      <c r="P60" s="89"/>
      <c r="Q60" s="89"/>
    </row>
    <row r="61" spans="1:17" x14ac:dyDescent="0.3">
      <c r="A61" s="16" t="s">
        <v>963</v>
      </c>
      <c r="B61" s="16" t="s">
        <v>2460</v>
      </c>
      <c r="C61" s="28" t="s">
        <v>222</v>
      </c>
      <c r="D61" s="28" t="str">
        <f>IFERROR(VLOOKUP($C61,CUENTAS[],2,0),"")</f>
        <v>MANTENIMIENTO</v>
      </c>
      <c r="E61" s="28" t="str">
        <f>IFERROR(VLOOKUP($C61,CUENTAS[],3,0),"")</f>
        <v>MDE2025-009A</v>
      </c>
      <c r="F61" s="86">
        <v>130</v>
      </c>
      <c r="G61" s="86">
        <v>0</v>
      </c>
      <c r="H61" s="74">
        <v>130</v>
      </c>
      <c r="I61" s="200" t="str">
        <f t="shared" si="0"/>
        <v>CORRECTO</v>
      </c>
      <c r="J61" s="88" t="s">
        <v>963</v>
      </c>
      <c r="K61" s="69" t="s">
        <v>364</v>
      </c>
      <c r="L61" s="84" t="s">
        <v>227</v>
      </c>
      <c r="M61" s="135">
        <v>45876</v>
      </c>
      <c r="N61" s="75"/>
      <c r="P61" s="89"/>
      <c r="Q61" s="89"/>
    </row>
    <row r="62" spans="1:17" x14ac:dyDescent="0.3">
      <c r="A62" s="16" t="s">
        <v>963</v>
      </c>
      <c r="B62" s="16" t="s">
        <v>2461</v>
      </c>
      <c r="C62" s="28" t="s">
        <v>222</v>
      </c>
      <c r="D62" s="28" t="str">
        <f>IFERROR(VLOOKUP($C62,CUENTAS[],2,0),"")</f>
        <v>MANTENIMIENTO</v>
      </c>
      <c r="E62" s="28" t="str">
        <f>IFERROR(VLOOKUP($C62,CUENTAS[],3,0),"")</f>
        <v>MDE2025-009A</v>
      </c>
      <c r="F62" s="86">
        <v>58</v>
      </c>
      <c r="G62" s="86">
        <v>0</v>
      </c>
      <c r="H62" s="74">
        <v>58</v>
      </c>
      <c r="I62" s="200" t="str">
        <f t="shared" si="0"/>
        <v>CORRECTO</v>
      </c>
      <c r="J62" s="88" t="s">
        <v>963</v>
      </c>
      <c r="K62" s="69" t="s">
        <v>364</v>
      </c>
      <c r="L62" s="84" t="s">
        <v>227</v>
      </c>
      <c r="M62" s="135">
        <v>45876</v>
      </c>
      <c r="N62" s="75"/>
      <c r="P62" s="89"/>
      <c r="Q62" s="89"/>
    </row>
    <row r="63" spans="1:17" x14ac:dyDescent="0.3">
      <c r="A63" s="16" t="s">
        <v>963</v>
      </c>
      <c r="B63" s="16" t="s">
        <v>2461</v>
      </c>
      <c r="C63" s="28" t="s">
        <v>222</v>
      </c>
      <c r="D63" s="28" t="str">
        <f>IFERROR(VLOOKUP($C63,CUENTAS[],2,0),"")</f>
        <v>MANTENIMIENTO</v>
      </c>
      <c r="E63" s="28" t="str">
        <f>IFERROR(VLOOKUP($C63,CUENTAS[],3,0),"")</f>
        <v>MDE2025-009A</v>
      </c>
      <c r="F63" s="86">
        <v>58</v>
      </c>
      <c r="G63" s="86">
        <v>0</v>
      </c>
      <c r="H63" s="74">
        <v>58</v>
      </c>
      <c r="I63" s="200" t="str">
        <f t="shared" si="0"/>
        <v>CORRECTO</v>
      </c>
      <c r="J63" s="88" t="s">
        <v>963</v>
      </c>
      <c r="K63" s="69" t="s">
        <v>364</v>
      </c>
      <c r="L63" s="84" t="s">
        <v>227</v>
      </c>
      <c r="M63" s="135">
        <v>45876</v>
      </c>
      <c r="N63" s="75"/>
      <c r="P63" s="89"/>
      <c r="Q63" s="89"/>
    </row>
    <row r="64" spans="1:17" x14ac:dyDescent="0.3">
      <c r="A64" s="16" t="s">
        <v>963</v>
      </c>
      <c r="B64" s="16" t="s">
        <v>1849</v>
      </c>
      <c r="C64" s="28" t="s">
        <v>222</v>
      </c>
      <c r="D64" s="28" t="str">
        <f>IFERROR(VLOOKUP($C64,CUENTAS[],2,0),"")</f>
        <v>MANTENIMIENTO</v>
      </c>
      <c r="E64" s="28" t="str">
        <f>IFERROR(VLOOKUP($C64,CUENTAS[],3,0),"")</f>
        <v>MDE2025-009A</v>
      </c>
      <c r="F64" s="86">
        <v>29.5</v>
      </c>
      <c r="G64" s="86">
        <v>0</v>
      </c>
      <c r="H64" s="74">
        <v>29.5</v>
      </c>
      <c r="I64" s="200" t="str">
        <f t="shared" si="0"/>
        <v>CORRECTO</v>
      </c>
      <c r="J64" s="88" t="s">
        <v>963</v>
      </c>
      <c r="K64" s="69" t="s">
        <v>623</v>
      </c>
      <c r="L64" s="84" t="s">
        <v>227</v>
      </c>
      <c r="M64" s="135">
        <v>45879</v>
      </c>
      <c r="N64" s="75"/>
      <c r="P64" s="89"/>
      <c r="Q64" s="89"/>
    </row>
    <row r="65" spans="1:17" x14ac:dyDescent="0.3">
      <c r="A65" s="16" t="s">
        <v>963</v>
      </c>
      <c r="B65" s="16" t="s">
        <v>2462</v>
      </c>
      <c r="C65" s="28" t="s">
        <v>222</v>
      </c>
      <c r="D65" s="28" t="str">
        <f>IFERROR(VLOOKUP($C65,CUENTAS[],2,0),"")</f>
        <v>MANTENIMIENTO</v>
      </c>
      <c r="E65" s="28" t="str">
        <f>IFERROR(VLOOKUP($C65,CUENTAS[],3,0),"")</f>
        <v>MDE2025-009A</v>
      </c>
      <c r="F65" s="86">
        <v>100</v>
      </c>
      <c r="G65" s="86">
        <v>0</v>
      </c>
      <c r="H65" s="74">
        <v>100</v>
      </c>
      <c r="I65" s="200" t="str">
        <f t="shared" si="0"/>
        <v>CORRECTO</v>
      </c>
      <c r="J65" s="88" t="s">
        <v>963</v>
      </c>
      <c r="K65" s="69" t="s">
        <v>2472</v>
      </c>
      <c r="L65" s="84" t="s">
        <v>227</v>
      </c>
      <c r="M65" s="135">
        <v>45879</v>
      </c>
      <c r="N65" s="75"/>
      <c r="P65" s="89"/>
      <c r="Q65" s="89"/>
    </row>
    <row r="66" spans="1:17" x14ac:dyDescent="0.3">
      <c r="A66" s="16" t="s">
        <v>963</v>
      </c>
      <c r="B66" s="16" t="s">
        <v>2463</v>
      </c>
      <c r="C66" s="28" t="s">
        <v>222</v>
      </c>
      <c r="D66" s="28" t="str">
        <f>IFERROR(VLOOKUP($C66,CUENTAS[],2,0),"")</f>
        <v>MANTENIMIENTO</v>
      </c>
      <c r="E66" s="28" t="str">
        <f>IFERROR(VLOOKUP($C66,CUENTAS[],3,0),"")</f>
        <v>MDE2025-009A</v>
      </c>
      <c r="F66" s="86">
        <v>60</v>
      </c>
      <c r="G66" s="86">
        <v>0</v>
      </c>
      <c r="H66" s="74">
        <v>60</v>
      </c>
      <c r="I66" s="200" t="str">
        <f t="shared" si="0"/>
        <v>CORRECTO</v>
      </c>
      <c r="J66" s="88" t="s">
        <v>963</v>
      </c>
      <c r="K66" s="69" t="s">
        <v>2472</v>
      </c>
      <c r="L66" s="84" t="s">
        <v>227</v>
      </c>
      <c r="M66" s="135">
        <v>45879</v>
      </c>
      <c r="N66" s="75"/>
      <c r="P66" s="89"/>
      <c r="Q66" s="89"/>
    </row>
    <row r="67" spans="1:17" x14ac:dyDescent="0.3">
      <c r="A67" s="16" t="s">
        <v>963</v>
      </c>
      <c r="B67" s="16" t="s">
        <v>2464</v>
      </c>
      <c r="C67" s="28" t="s">
        <v>222</v>
      </c>
      <c r="D67" s="28" t="str">
        <f>IFERROR(VLOOKUP($C67,CUENTAS[],2,0),"")</f>
        <v>MANTENIMIENTO</v>
      </c>
      <c r="E67" s="28" t="str">
        <f>IFERROR(VLOOKUP($C67,CUENTAS[],3,0),"")</f>
        <v>MDE2025-009A</v>
      </c>
      <c r="F67" s="86">
        <v>16</v>
      </c>
      <c r="G67" s="86">
        <v>0</v>
      </c>
      <c r="H67" s="74">
        <v>16</v>
      </c>
      <c r="I67" s="200" t="str">
        <f t="shared" ref="I67:I130" si="1">IFERROR(IF(F67+G67&lt;&gt;H67,"REVISAR","CORRECTO"),"")</f>
        <v>CORRECTO</v>
      </c>
      <c r="J67" s="88" t="s">
        <v>963</v>
      </c>
      <c r="K67" s="69" t="s">
        <v>364</v>
      </c>
      <c r="L67" s="84" t="s">
        <v>227</v>
      </c>
      <c r="M67" s="135">
        <v>45879</v>
      </c>
      <c r="N67" s="75"/>
      <c r="P67" s="89"/>
      <c r="Q67" s="89"/>
    </row>
    <row r="68" spans="1:17" x14ac:dyDescent="0.3">
      <c r="A68" s="16" t="s">
        <v>963</v>
      </c>
      <c r="B68" s="16" t="s">
        <v>2465</v>
      </c>
      <c r="C68" s="28" t="s">
        <v>222</v>
      </c>
      <c r="D68" s="28" t="str">
        <f>IFERROR(VLOOKUP($C68,CUENTAS[],2,0),"")</f>
        <v>MANTENIMIENTO</v>
      </c>
      <c r="E68" s="28" t="str">
        <f>IFERROR(VLOOKUP($C68,CUENTAS[],3,0),"")</f>
        <v>MDE2025-009A</v>
      </c>
      <c r="F68" s="86">
        <v>2</v>
      </c>
      <c r="G68" s="86">
        <v>0</v>
      </c>
      <c r="H68" s="74">
        <v>2</v>
      </c>
      <c r="I68" s="200" t="str">
        <f t="shared" si="1"/>
        <v>CORRECTO</v>
      </c>
      <c r="J68" s="88" t="s">
        <v>963</v>
      </c>
      <c r="K68" s="69" t="s">
        <v>364</v>
      </c>
      <c r="L68" s="84" t="s">
        <v>227</v>
      </c>
      <c r="M68" s="135">
        <v>45888</v>
      </c>
      <c r="N68" s="75"/>
      <c r="P68" s="89"/>
      <c r="Q68" s="89"/>
    </row>
    <row r="69" spans="1:17" x14ac:dyDescent="0.3">
      <c r="A69" s="16" t="s">
        <v>963</v>
      </c>
      <c r="B69" s="16" t="s">
        <v>2466</v>
      </c>
      <c r="C69" s="28" t="s">
        <v>222</v>
      </c>
      <c r="D69" s="28" t="str">
        <f>IFERROR(VLOOKUP($C69,CUENTAS[],2,0),"")</f>
        <v>MANTENIMIENTO</v>
      </c>
      <c r="E69" s="28" t="str">
        <f>IFERROR(VLOOKUP($C69,CUENTAS[],3,0),"")</f>
        <v>MDE2025-009A</v>
      </c>
      <c r="F69" s="86">
        <v>576</v>
      </c>
      <c r="G69" s="86">
        <v>0</v>
      </c>
      <c r="H69" s="74">
        <v>576</v>
      </c>
      <c r="I69" s="200" t="str">
        <f t="shared" si="1"/>
        <v>CORRECTO</v>
      </c>
      <c r="J69" s="88" t="s">
        <v>963</v>
      </c>
      <c r="K69" s="69" t="s">
        <v>364</v>
      </c>
      <c r="L69" s="84" t="s">
        <v>227</v>
      </c>
      <c r="M69" s="135">
        <v>45888</v>
      </c>
      <c r="N69" s="75"/>
      <c r="P69" s="89"/>
      <c r="Q69" s="89"/>
    </row>
    <row r="70" spans="1:17" x14ac:dyDescent="0.3">
      <c r="A70" s="16" t="s">
        <v>963</v>
      </c>
      <c r="B70" s="16" t="s">
        <v>2467</v>
      </c>
      <c r="C70" s="28" t="s">
        <v>222</v>
      </c>
      <c r="D70" s="28" t="str">
        <f>IFERROR(VLOOKUP($C70,CUENTAS[],2,0),"")</f>
        <v>MANTENIMIENTO</v>
      </c>
      <c r="E70" s="28" t="str">
        <f>IFERROR(VLOOKUP($C70,CUENTAS[],3,0),"")</f>
        <v>MDE2025-009A</v>
      </c>
      <c r="F70" s="86">
        <v>172</v>
      </c>
      <c r="G70" s="86">
        <v>0</v>
      </c>
      <c r="H70" s="74">
        <v>172</v>
      </c>
      <c r="I70" s="200" t="str">
        <f t="shared" si="1"/>
        <v>CORRECTO</v>
      </c>
      <c r="J70" s="88" t="s">
        <v>963</v>
      </c>
      <c r="K70" s="69" t="s">
        <v>364</v>
      </c>
      <c r="L70" s="84" t="s">
        <v>227</v>
      </c>
      <c r="M70" s="135">
        <v>45888</v>
      </c>
      <c r="N70" s="75"/>
      <c r="P70" s="89"/>
      <c r="Q70" s="89"/>
    </row>
    <row r="71" spans="1:17" x14ac:dyDescent="0.3">
      <c r="A71" s="16" t="s">
        <v>963</v>
      </c>
      <c r="B71" s="16" t="s">
        <v>2468</v>
      </c>
      <c r="C71" s="28" t="s">
        <v>222</v>
      </c>
      <c r="D71" s="28" t="str">
        <f>IFERROR(VLOOKUP($C71,CUENTAS[],2,0),"")</f>
        <v>MANTENIMIENTO</v>
      </c>
      <c r="E71" s="28" t="str">
        <f>IFERROR(VLOOKUP($C71,CUENTAS[],3,0),"")</f>
        <v>MDE2025-009A</v>
      </c>
      <c r="F71" s="86">
        <v>270</v>
      </c>
      <c r="G71" s="86">
        <v>0</v>
      </c>
      <c r="H71" s="74">
        <v>270</v>
      </c>
      <c r="I71" s="200" t="str">
        <f t="shared" si="1"/>
        <v>CORRECTO</v>
      </c>
      <c r="J71" s="88" t="s">
        <v>963</v>
      </c>
      <c r="K71" s="69" t="s">
        <v>364</v>
      </c>
      <c r="L71" s="84" t="s">
        <v>227</v>
      </c>
      <c r="M71" s="135">
        <v>45888</v>
      </c>
      <c r="N71" s="75"/>
      <c r="P71" s="89"/>
      <c r="Q71" s="89"/>
    </row>
    <row r="72" spans="1:17" x14ac:dyDescent="0.3">
      <c r="A72" s="16" t="s">
        <v>963</v>
      </c>
      <c r="B72" s="16" t="s">
        <v>2469</v>
      </c>
      <c r="C72" s="28" t="s">
        <v>222</v>
      </c>
      <c r="D72" s="28" t="str">
        <f>IFERROR(VLOOKUP($C72,CUENTAS[],2,0),"")</f>
        <v>MANTENIMIENTO</v>
      </c>
      <c r="E72" s="28" t="str">
        <f>IFERROR(VLOOKUP($C72,CUENTAS[],3,0),"")</f>
        <v>MDE2025-009A</v>
      </c>
      <c r="F72" s="86">
        <v>15</v>
      </c>
      <c r="G72" s="86">
        <v>0</v>
      </c>
      <c r="H72" s="74">
        <v>15</v>
      </c>
      <c r="I72" s="200" t="str">
        <f t="shared" si="1"/>
        <v>CORRECTO</v>
      </c>
      <c r="J72" s="88" t="s">
        <v>963</v>
      </c>
      <c r="K72" s="69" t="s">
        <v>364</v>
      </c>
      <c r="L72" s="84" t="s">
        <v>227</v>
      </c>
      <c r="M72" s="135">
        <v>45888</v>
      </c>
      <c r="N72" s="75"/>
      <c r="P72" s="89"/>
      <c r="Q72" s="89"/>
    </row>
    <row r="73" spans="1:17" x14ac:dyDescent="0.3">
      <c r="A73" s="16" t="s">
        <v>963</v>
      </c>
      <c r="B73" s="16" t="s">
        <v>2461</v>
      </c>
      <c r="C73" s="28" t="s">
        <v>222</v>
      </c>
      <c r="D73" s="28" t="str">
        <f>IFERROR(VLOOKUP($C73,CUENTAS[],2,0),"")</f>
        <v>MANTENIMIENTO</v>
      </c>
      <c r="E73" s="28" t="str">
        <f>IFERROR(VLOOKUP($C73,CUENTAS[],3,0),"")</f>
        <v>MDE2025-009A</v>
      </c>
      <c r="F73" s="86">
        <v>58</v>
      </c>
      <c r="G73" s="86">
        <v>0</v>
      </c>
      <c r="H73" s="74">
        <v>58</v>
      </c>
      <c r="I73" s="200" t="str">
        <f t="shared" si="1"/>
        <v>CORRECTO</v>
      </c>
      <c r="J73" s="88" t="s">
        <v>963</v>
      </c>
      <c r="K73" s="69" t="s">
        <v>2230</v>
      </c>
      <c r="L73" s="84" t="s">
        <v>227</v>
      </c>
      <c r="M73" s="135">
        <v>45888</v>
      </c>
      <c r="N73" s="75"/>
      <c r="P73" s="89"/>
      <c r="Q73" s="89"/>
    </row>
    <row r="74" spans="1:17" x14ac:dyDescent="0.3">
      <c r="A74" s="16" t="s">
        <v>963</v>
      </c>
      <c r="B74" s="16" t="s">
        <v>2461</v>
      </c>
      <c r="C74" s="28" t="s">
        <v>222</v>
      </c>
      <c r="D74" s="28" t="str">
        <f>IFERROR(VLOOKUP($C74,CUENTAS[],2,0),"")</f>
        <v>MANTENIMIENTO</v>
      </c>
      <c r="E74" s="28" t="str">
        <f>IFERROR(VLOOKUP($C74,CUENTAS[],3,0),"")</f>
        <v>MDE2025-009A</v>
      </c>
      <c r="F74" s="86">
        <v>58</v>
      </c>
      <c r="G74" s="86">
        <v>0</v>
      </c>
      <c r="H74" s="74">
        <v>58</v>
      </c>
      <c r="I74" s="200" t="str">
        <f t="shared" si="1"/>
        <v>CORRECTO</v>
      </c>
      <c r="J74" s="88" t="s">
        <v>963</v>
      </c>
      <c r="K74" s="69" t="s">
        <v>2230</v>
      </c>
      <c r="L74" s="84" t="s">
        <v>227</v>
      </c>
      <c r="M74" s="135">
        <v>45888</v>
      </c>
      <c r="N74" s="75"/>
      <c r="P74" s="89"/>
      <c r="Q74" s="89"/>
    </row>
    <row r="75" spans="1:17" x14ac:dyDescent="0.3">
      <c r="A75" s="16" t="s">
        <v>963</v>
      </c>
      <c r="B75" s="16" t="s">
        <v>2470</v>
      </c>
      <c r="C75" s="28" t="s">
        <v>222</v>
      </c>
      <c r="D75" s="28" t="str">
        <f>IFERROR(VLOOKUP($C75,CUENTAS[],2,0),"")</f>
        <v>MANTENIMIENTO</v>
      </c>
      <c r="E75" s="28" t="str">
        <f>IFERROR(VLOOKUP($C75,CUENTAS[],3,0),"")</f>
        <v>MDE2025-009A</v>
      </c>
      <c r="F75" s="86">
        <v>80</v>
      </c>
      <c r="G75" s="86">
        <v>0</v>
      </c>
      <c r="H75" s="74">
        <v>80</v>
      </c>
      <c r="I75" s="200" t="str">
        <f t="shared" si="1"/>
        <v>CORRECTO</v>
      </c>
      <c r="J75" s="88" t="s">
        <v>963</v>
      </c>
      <c r="K75" s="69" t="s">
        <v>2230</v>
      </c>
      <c r="L75" s="84" t="s">
        <v>227</v>
      </c>
      <c r="M75" s="135">
        <v>45888</v>
      </c>
      <c r="N75" s="75"/>
      <c r="P75" s="89"/>
      <c r="Q75" s="89"/>
    </row>
    <row r="76" spans="1:17" x14ac:dyDescent="0.3">
      <c r="A76" s="16" t="s">
        <v>963</v>
      </c>
      <c r="B76" s="16" t="s">
        <v>2459</v>
      </c>
      <c r="C76" s="28" t="s">
        <v>222</v>
      </c>
      <c r="D76" s="28" t="str">
        <f>IFERROR(VLOOKUP($C76,CUENTAS[],2,0),"")</f>
        <v>MANTENIMIENTO</v>
      </c>
      <c r="E76" s="28" t="str">
        <f>IFERROR(VLOOKUP($C76,CUENTAS[],3,0),"")</f>
        <v>MDE2025-009A</v>
      </c>
      <c r="F76" s="86">
        <v>208.8</v>
      </c>
      <c r="G76" s="86">
        <v>0</v>
      </c>
      <c r="H76" s="74">
        <v>208.8</v>
      </c>
      <c r="I76" s="200" t="str">
        <f t="shared" si="1"/>
        <v>CORRECTO</v>
      </c>
      <c r="J76" s="88" t="s">
        <v>963</v>
      </c>
      <c r="K76" s="69" t="s">
        <v>364</v>
      </c>
      <c r="L76" s="84" t="s">
        <v>227</v>
      </c>
      <c r="M76" s="135">
        <v>45891</v>
      </c>
      <c r="N76" s="75"/>
      <c r="P76" s="89"/>
      <c r="Q76" s="89"/>
    </row>
    <row r="77" spans="1:17" x14ac:dyDescent="0.3">
      <c r="A77" s="16" t="s">
        <v>963</v>
      </c>
      <c r="B77" s="16" t="s">
        <v>2461</v>
      </c>
      <c r="C77" s="28" t="s">
        <v>222</v>
      </c>
      <c r="D77" s="28" t="str">
        <f>IFERROR(VLOOKUP($C77,CUENTAS[],2,0),"")</f>
        <v>MANTENIMIENTO</v>
      </c>
      <c r="E77" s="28" t="str">
        <f>IFERROR(VLOOKUP($C77,CUENTAS[],3,0),"")</f>
        <v>MDE2025-009A</v>
      </c>
      <c r="F77" s="86">
        <v>58</v>
      </c>
      <c r="G77" s="86">
        <v>0</v>
      </c>
      <c r="H77" s="74">
        <v>58</v>
      </c>
      <c r="I77" s="200" t="str">
        <f t="shared" si="1"/>
        <v>CORRECTO</v>
      </c>
      <c r="J77" s="88" t="s">
        <v>963</v>
      </c>
      <c r="K77" s="69" t="s">
        <v>2472</v>
      </c>
      <c r="L77" s="84" t="s">
        <v>227</v>
      </c>
      <c r="M77" s="135">
        <v>45895</v>
      </c>
      <c r="N77" s="75"/>
      <c r="P77" s="89"/>
      <c r="Q77" s="89"/>
    </row>
    <row r="78" spans="1:17" x14ac:dyDescent="0.3">
      <c r="A78" s="16" t="s">
        <v>963</v>
      </c>
      <c r="B78" s="16" t="s">
        <v>2471</v>
      </c>
      <c r="C78" s="28" t="s">
        <v>222</v>
      </c>
      <c r="D78" s="28" t="str">
        <f>IFERROR(VLOOKUP($C78,CUENTAS[],2,0),"")</f>
        <v>MANTENIMIENTO</v>
      </c>
      <c r="E78" s="28" t="str">
        <f>IFERROR(VLOOKUP($C78,CUENTAS[],3,0),"")</f>
        <v>MDE2025-009A</v>
      </c>
      <c r="F78" s="86">
        <v>30</v>
      </c>
      <c r="G78" s="86">
        <v>0</v>
      </c>
      <c r="H78" s="74">
        <v>30</v>
      </c>
      <c r="I78" s="200" t="str">
        <f t="shared" si="1"/>
        <v>CORRECTO</v>
      </c>
      <c r="J78" s="88" t="s">
        <v>963</v>
      </c>
      <c r="K78" s="69" t="s">
        <v>364</v>
      </c>
      <c r="L78" s="84" t="s">
        <v>227</v>
      </c>
      <c r="M78" s="135">
        <v>45897</v>
      </c>
      <c r="N78" s="75"/>
      <c r="P78" s="89"/>
      <c r="Q78" s="89"/>
    </row>
    <row r="79" spans="1:17" x14ac:dyDescent="0.3">
      <c r="A79" s="16" t="s">
        <v>2196</v>
      </c>
      <c r="B79" s="16" t="s">
        <v>2473</v>
      </c>
      <c r="C79" s="28" t="s">
        <v>167</v>
      </c>
      <c r="D79" s="28" t="str">
        <f>IFERROR(VLOOKUP($C79,CUENTAS[],2,0),"")</f>
        <v>LOGÍSTICA</v>
      </c>
      <c r="E79" s="28" t="str">
        <f>IFERROR(VLOOKUP($C79,CUENTAS[],3,0),"")</f>
        <v>MDE2025-006D</v>
      </c>
      <c r="F79" s="86">
        <v>1545.64</v>
      </c>
      <c r="G79" s="86">
        <v>247.3</v>
      </c>
      <c r="H79" s="74">
        <v>1792.94</v>
      </c>
      <c r="I79" s="200" t="str">
        <f t="shared" si="1"/>
        <v>CORRECTO</v>
      </c>
      <c r="J79" s="88" t="s">
        <v>1272</v>
      </c>
      <c r="K79" s="69" t="s">
        <v>2478</v>
      </c>
      <c r="L79" s="84" t="s">
        <v>227</v>
      </c>
      <c r="M79" s="135">
        <v>45881</v>
      </c>
      <c r="N79" s="75" t="s">
        <v>2479</v>
      </c>
      <c r="P79" s="89"/>
      <c r="Q79" s="89"/>
    </row>
    <row r="80" spans="1:17" x14ac:dyDescent="0.3">
      <c r="A80" s="16" t="s">
        <v>2196</v>
      </c>
      <c r="B80" s="16" t="s">
        <v>2474</v>
      </c>
      <c r="C80" s="28" t="s">
        <v>109</v>
      </c>
      <c r="D80" s="28" t="str">
        <f>IFERROR(VLOOKUP($C80,CUENTAS[],2,0),"")</f>
        <v>LOGÍSTICA</v>
      </c>
      <c r="E80" s="28" t="str">
        <f>IFERROR(VLOOKUP($C80,CUENTAS[],3,0),"")</f>
        <v>MDE2025-006A</v>
      </c>
      <c r="F80" s="86">
        <v>298.66000000000003</v>
      </c>
      <c r="G80" s="86">
        <v>47.79</v>
      </c>
      <c r="H80" s="74">
        <v>346.45</v>
      </c>
      <c r="I80" s="200" t="str">
        <f t="shared" si="1"/>
        <v>CORRECTO</v>
      </c>
      <c r="J80" s="88" t="s">
        <v>1272</v>
      </c>
      <c r="K80" s="69" t="s">
        <v>922</v>
      </c>
      <c r="L80" s="84" t="s">
        <v>227</v>
      </c>
      <c r="M80" s="135">
        <v>45881</v>
      </c>
      <c r="N80" s="75" t="s">
        <v>2479</v>
      </c>
      <c r="P80" s="89"/>
      <c r="Q80" s="89"/>
    </row>
    <row r="81" spans="1:17" x14ac:dyDescent="0.3">
      <c r="A81" s="16" t="s">
        <v>2196</v>
      </c>
      <c r="B81" s="16" t="s">
        <v>2475</v>
      </c>
      <c r="C81" s="28" t="s">
        <v>167</v>
      </c>
      <c r="D81" s="28" t="str">
        <f>IFERROR(VLOOKUP($C81,CUENTAS[],2,0),"")</f>
        <v>LOGÍSTICA</v>
      </c>
      <c r="E81" s="28" t="str">
        <f>IFERROR(VLOOKUP($C81,CUENTAS[],3,0),"")</f>
        <v>MDE2025-006D</v>
      </c>
      <c r="F81" s="86">
        <v>1686.72</v>
      </c>
      <c r="G81" s="86">
        <v>269.88</v>
      </c>
      <c r="H81" s="74">
        <v>1956.6</v>
      </c>
      <c r="I81" s="200" t="str">
        <f t="shared" si="1"/>
        <v>CORRECTO</v>
      </c>
      <c r="J81" s="88" t="s">
        <v>1272</v>
      </c>
      <c r="K81" s="69" t="s">
        <v>360</v>
      </c>
      <c r="L81" s="84" t="s">
        <v>227</v>
      </c>
      <c r="M81" s="135">
        <v>45891</v>
      </c>
      <c r="N81" s="75" t="s">
        <v>2480</v>
      </c>
      <c r="P81" s="89"/>
      <c r="Q81" s="89"/>
    </row>
    <row r="82" spans="1:17" x14ac:dyDescent="0.3">
      <c r="A82" s="16" t="s">
        <v>2196</v>
      </c>
      <c r="B82" s="16" t="s">
        <v>2476</v>
      </c>
      <c r="C82" s="28" t="s">
        <v>167</v>
      </c>
      <c r="D82" s="28" t="str">
        <f>IFERROR(VLOOKUP($C82,CUENTAS[],2,0),"")</f>
        <v>LOGÍSTICA</v>
      </c>
      <c r="E82" s="28" t="str">
        <f>IFERROR(VLOOKUP($C82,CUENTAS[],3,0),"")</f>
        <v>MDE2025-006D</v>
      </c>
      <c r="F82" s="86">
        <v>1608.62</v>
      </c>
      <c r="G82" s="86">
        <v>257.38</v>
      </c>
      <c r="H82" s="74">
        <v>1866</v>
      </c>
      <c r="I82" s="200" t="str">
        <f t="shared" si="1"/>
        <v>CORRECTO</v>
      </c>
      <c r="J82" s="88" t="s">
        <v>1272</v>
      </c>
      <c r="K82" s="69" t="s">
        <v>360</v>
      </c>
      <c r="L82" s="84" t="s">
        <v>227</v>
      </c>
      <c r="M82" s="135">
        <v>45903</v>
      </c>
      <c r="N82" s="75" t="s">
        <v>2481</v>
      </c>
      <c r="P82" s="89"/>
      <c r="Q82" s="89"/>
    </row>
    <row r="83" spans="1:17" x14ac:dyDescent="0.3">
      <c r="A83" s="16" t="s">
        <v>2196</v>
      </c>
      <c r="B83" s="16" t="s">
        <v>2477</v>
      </c>
      <c r="C83" s="28" t="s">
        <v>167</v>
      </c>
      <c r="D83" s="28" t="str">
        <f>IFERROR(VLOOKUP($C83,CUENTAS[],2,0),"")</f>
        <v>LOGÍSTICA</v>
      </c>
      <c r="E83" s="28" t="str">
        <f>IFERROR(VLOOKUP($C83,CUENTAS[],3,0),"")</f>
        <v>MDE2025-006D</v>
      </c>
      <c r="F83" s="86">
        <v>157.76</v>
      </c>
      <c r="G83" s="86">
        <v>25.24</v>
      </c>
      <c r="H83" s="74">
        <v>183</v>
      </c>
      <c r="I83" s="200" t="str">
        <f t="shared" si="1"/>
        <v>CORRECTO</v>
      </c>
      <c r="J83" s="88" t="s">
        <v>1272</v>
      </c>
      <c r="K83" s="69" t="s">
        <v>360</v>
      </c>
      <c r="L83" s="84" t="s">
        <v>227</v>
      </c>
      <c r="M83" s="135">
        <v>45903</v>
      </c>
      <c r="N83" s="75" t="s">
        <v>2481</v>
      </c>
      <c r="P83" s="89"/>
      <c r="Q83" s="89"/>
    </row>
    <row r="84" spans="1:17" x14ac:dyDescent="0.3">
      <c r="A84" s="5" t="s">
        <v>228</v>
      </c>
      <c r="B84" s="100" t="s">
        <v>2482</v>
      </c>
      <c r="C84" s="28" t="s">
        <v>134</v>
      </c>
      <c r="D84" s="28" t="str">
        <f>IFERROR(VLOOKUP($C84,CUENTAS[],2,0),"")</f>
        <v>GASTOS FIJOS</v>
      </c>
      <c r="E84" s="28" t="str">
        <f>IFERROR(VLOOKUP($C84,CUENTAS[],3,0),"")</f>
        <v>MDE2025-002J</v>
      </c>
      <c r="F84" s="144">
        <v>563.37</v>
      </c>
      <c r="G84" s="144">
        <v>0</v>
      </c>
      <c r="H84" s="128">
        <v>563.37</v>
      </c>
      <c r="I84" s="200" t="str">
        <f t="shared" si="1"/>
        <v>CORRECTO</v>
      </c>
      <c r="J84" s="187" t="s">
        <v>133</v>
      </c>
      <c r="K84" s="141" t="s">
        <v>2491</v>
      </c>
      <c r="L84" s="142" t="s">
        <v>227</v>
      </c>
      <c r="M84" s="139" t="s">
        <v>2492</v>
      </c>
      <c r="N84" s="143" t="s">
        <v>371</v>
      </c>
      <c r="P84" s="89"/>
      <c r="Q84" s="89"/>
    </row>
    <row r="85" spans="1:17" x14ac:dyDescent="0.3">
      <c r="A85" s="5" t="s">
        <v>228</v>
      </c>
      <c r="B85" s="100" t="s">
        <v>1276</v>
      </c>
      <c r="C85" s="28" t="s">
        <v>168</v>
      </c>
      <c r="D85" s="28" t="str">
        <f>IFERROR(VLOOKUP($C85,CUENTAS[],2,0),"")</f>
        <v>ACTIVOS FIJOS</v>
      </c>
      <c r="E85" s="28" t="str">
        <f>IFERROR(VLOOKUP($C85,CUENTAS[],3,0),"")</f>
        <v>MDE2025-007B</v>
      </c>
      <c r="F85" s="144">
        <v>9990</v>
      </c>
      <c r="G85" s="144">
        <v>0</v>
      </c>
      <c r="H85" s="128">
        <v>9990</v>
      </c>
      <c r="I85" s="200" t="str">
        <f t="shared" si="1"/>
        <v>CORRECTO</v>
      </c>
      <c r="J85" s="187" t="s">
        <v>133</v>
      </c>
      <c r="K85" s="141" t="s">
        <v>360</v>
      </c>
      <c r="L85" s="142" t="s">
        <v>227</v>
      </c>
      <c r="M85" s="139" t="s">
        <v>2493</v>
      </c>
      <c r="N85" s="143" t="s">
        <v>371</v>
      </c>
      <c r="P85" s="89"/>
      <c r="Q85" s="89"/>
    </row>
    <row r="86" spans="1:17" x14ac:dyDescent="0.3">
      <c r="A86" s="5" t="s">
        <v>1004</v>
      </c>
      <c r="B86" s="100" t="s">
        <v>2205</v>
      </c>
      <c r="C86" s="28" t="s">
        <v>151</v>
      </c>
      <c r="D86" s="28" t="str">
        <f>IFERROR(VLOOKUP($C86,CUENTAS[],2,0),"")</f>
        <v>GASTOS FIJOS</v>
      </c>
      <c r="E86" s="28" t="str">
        <f>IFERROR(VLOOKUP($C86,CUENTAS[],3,0),"")</f>
        <v>MDE2025-002F</v>
      </c>
      <c r="F86" s="144">
        <v>2701.62</v>
      </c>
      <c r="G86" s="144">
        <v>0</v>
      </c>
      <c r="H86" s="128">
        <v>2701.62</v>
      </c>
      <c r="I86" s="200" t="str">
        <f t="shared" si="1"/>
        <v>CORRECTO</v>
      </c>
      <c r="J86" s="187" t="s">
        <v>133</v>
      </c>
      <c r="K86" s="141" t="s">
        <v>1278</v>
      </c>
      <c r="L86" s="142" t="s">
        <v>227</v>
      </c>
      <c r="M86" s="139" t="s">
        <v>2494</v>
      </c>
      <c r="N86" s="143" t="s">
        <v>371</v>
      </c>
      <c r="P86" s="89"/>
      <c r="Q86" s="89"/>
    </row>
    <row r="87" spans="1:17" x14ac:dyDescent="0.3">
      <c r="A87" s="5" t="s">
        <v>1004</v>
      </c>
      <c r="B87" s="100" t="s">
        <v>2483</v>
      </c>
      <c r="C87" s="28" t="s">
        <v>128</v>
      </c>
      <c r="D87" s="28" t="str">
        <f>IFERROR(VLOOKUP($C87,CUENTAS[],2,0),"")</f>
        <v>GASTOS FIJOS</v>
      </c>
      <c r="E87" s="28" t="str">
        <f>IFERROR(VLOOKUP($C87,CUENTAS[],3,0),"")</f>
        <v>MDE2025-002I</v>
      </c>
      <c r="F87" s="144">
        <v>599</v>
      </c>
      <c r="G87" s="144">
        <v>0</v>
      </c>
      <c r="H87" s="128">
        <v>599</v>
      </c>
      <c r="I87" s="200" t="str">
        <f t="shared" si="1"/>
        <v>CORRECTO</v>
      </c>
      <c r="J87" s="187" t="s">
        <v>133</v>
      </c>
      <c r="K87" s="141" t="s">
        <v>1278</v>
      </c>
      <c r="L87" s="142" t="s">
        <v>227</v>
      </c>
      <c r="M87" s="139">
        <v>45859</v>
      </c>
      <c r="N87" s="143" t="s">
        <v>371</v>
      </c>
      <c r="P87" s="89"/>
      <c r="Q87" s="89"/>
    </row>
    <row r="88" spans="1:17" x14ac:dyDescent="0.3">
      <c r="A88" s="5" t="s">
        <v>228</v>
      </c>
      <c r="B88" s="100" t="s">
        <v>1574</v>
      </c>
      <c r="C88" s="28" t="s">
        <v>168</v>
      </c>
      <c r="D88" s="28" t="str">
        <f>IFERROR(VLOOKUP($C88,CUENTAS[],2,0),"")</f>
        <v>ACTIVOS FIJOS</v>
      </c>
      <c r="E88" s="28" t="str">
        <f>IFERROR(VLOOKUP($C88,CUENTAS[],3,0),"")</f>
        <v>MDE2025-007B</v>
      </c>
      <c r="F88" s="144">
        <v>8999.67</v>
      </c>
      <c r="G88" s="144">
        <v>0</v>
      </c>
      <c r="H88" s="128">
        <v>8999.67</v>
      </c>
      <c r="I88" s="200" t="str">
        <f t="shared" si="1"/>
        <v>CORRECTO</v>
      </c>
      <c r="J88" s="187" t="s">
        <v>133</v>
      </c>
      <c r="K88" s="141" t="s">
        <v>360</v>
      </c>
      <c r="L88" s="142" t="s">
        <v>227</v>
      </c>
      <c r="M88" s="139">
        <v>45858</v>
      </c>
      <c r="N88" s="143" t="s">
        <v>371</v>
      </c>
      <c r="P88" s="89"/>
      <c r="Q88" s="89"/>
    </row>
    <row r="89" spans="1:17" x14ac:dyDescent="0.3">
      <c r="A89" s="21" t="s">
        <v>228</v>
      </c>
      <c r="B89" s="104" t="s">
        <v>1007</v>
      </c>
      <c r="C89" s="28" t="s">
        <v>168</v>
      </c>
      <c r="D89" s="28" t="str">
        <f>IFERROR(VLOOKUP($C89,CUENTAS[],2,0),"")</f>
        <v>ACTIVOS FIJOS</v>
      </c>
      <c r="E89" s="28" t="str">
        <f>IFERROR(VLOOKUP($C89,CUENTAS[],3,0),"")</f>
        <v>MDE2025-007B</v>
      </c>
      <c r="F89" s="144">
        <v>7649.65</v>
      </c>
      <c r="G89" s="144">
        <v>0</v>
      </c>
      <c r="H89" s="128">
        <v>7649.65</v>
      </c>
      <c r="I89" s="200" t="str">
        <f t="shared" si="1"/>
        <v>CORRECTO</v>
      </c>
      <c r="J89" s="187" t="s">
        <v>133</v>
      </c>
      <c r="K89" s="141" t="s">
        <v>360</v>
      </c>
      <c r="L89" s="142" t="s">
        <v>227</v>
      </c>
      <c r="M89" s="139">
        <v>45858</v>
      </c>
      <c r="N89" s="146" t="s">
        <v>371</v>
      </c>
      <c r="P89" s="89"/>
      <c r="Q89" s="89"/>
    </row>
    <row r="90" spans="1:17" x14ac:dyDescent="0.3">
      <c r="A90" s="21" t="s">
        <v>1004</v>
      </c>
      <c r="B90" s="104" t="s">
        <v>2484</v>
      </c>
      <c r="C90" s="28" t="s">
        <v>141</v>
      </c>
      <c r="D90" s="28" t="str">
        <f>IFERROR(VLOOKUP($C90,CUENTAS[],2,0),"")</f>
        <v>GASTOS VARIOS</v>
      </c>
      <c r="E90" s="28" t="str">
        <f>IFERROR(VLOOKUP($C90,CUENTAS[],3,0),"")</f>
        <v>MDE2025-003L</v>
      </c>
      <c r="F90" s="144">
        <v>30229</v>
      </c>
      <c r="G90" s="144">
        <v>0</v>
      </c>
      <c r="H90" s="128">
        <v>30229</v>
      </c>
      <c r="I90" s="200" t="str">
        <f t="shared" si="1"/>
        <v>CORRECTO</v>
      </c>
      <c r="J90" s="187" t="s">
        <v>133</v>
      </c>
      <c r="K90" s="141" t="s">
        <v>1278</v>
      </c>
      <c r="L90" s="142" t="s">
        <v>227</v>
      </c>
      <c r="M90" s="139">
        <v>45859</v>
      </c>
      <c r="N90" s="146" t="s">
        <v>371</v>
      </c>
      <c r="P90" s="89"/>
      <c r="Q90" s="89"/>
    </row>
    <row r="91" spans="1:17" x14ac:dyDescent="0.3">
      <c r="A91" s="21" t="s">
        <v>1004</v>
      </c>
      <c r="B91" s="104" t="s">
        <v>2485</v>
      </c>
      <c r="C91" s="28" t="s">
        <v>141</v>
      </c>
      <c r="D91" s="28" t="str">
        <f>IFERROR(VLOOKUP($C91,CUENTAS[],2,0),"")</f>
        <v>GASTOS VARIOS</v>
      </c>
      <c r="E91" s="28" t="str">
        <f>IFERROR(VLOOKUP($C91,CUENTAS[],3,0),"")</f>
        <v>MDE2025-003L</v>
      </c>
      <c r="F91" s="144">
        <v>28647.93</v>
      </c>
      <c r="G91" s="144">
        <v>0</v>
      </c>
      <c r="H91" s="128">
        <v>28647.93</v>
      </c>
      <c r="I91" s="200" t="str">
        <f t="shared" si="1"/>
        <v>CORRECTO</v>
      </c>
      <c r="J91" s="187" t="s">
        <v>133</v>
      </c>
      <c r="K91" s="141" t="s">
        <v>1278</v>
      </c>
      <c r="L91" s="142" t="s">
        <v>227</v>
      </c>
      <c r="M91" s="139">
        <v>45859</v>
      </c>
      <c r="N91" s="146" t="s">
        <v>371</v>
      </c>
      <c r="P91" s="89"/>
      <c r="Q91" s="89"/>
    </row>
    <row r="92" spans="1:17" x14ac:dyDescent="0.3">
      <c r="A92" s="21" t="s">
        <v>1004</v>
      </c>
      <c r="B92" s="104" t="s">
        <v>1577</v>
      </c>
      <c r="C92" s="28" t="s">
        <v>134</v>
      </c>
      <c r="D92" s="28" t="str">
        <f>IFERROR(VLOOKUP($C92,CUENTAS[],2,0),"")</f>
        <v>GASTOS FIJOS</v>
      </c>
      <c r="E92" s="28" t="str">
        <f>IFERROR(VLOOKUP($C92,CUENTAS[],3,0),"")</f>
        <v>MDE2025-002J</v>
      </c>
      <c r="F92" s="144">
        <v>5599</v>
      </c>
      <c r="G92" s="144">
        <v>0</v>
      </c>
      <c r="H92" s="128">
        <v>5599</v>
      </c>
      <c r="I92" s="200" t="str">
        <f t="shared" si="1"/>
        <v>CORRECTO</v>
      </c>
      <c r="J92" s="187" t="s">
        <v>133</v>
      </c>
      <c r="K92" s="141" t="s">
        <v>367</v>
      </c>
      <c r="L92" s="142" t="s">
        <v>227</v>
      </c>
      <c r="M92" s="139" t="s">
        <v>2495</v>
      </c>
      <c r="N92" s="146" t="s">
        <v>368</v>
      </c>
      <c r="P92" s="89"/>
      <c r="Q92" s="89"/>
    </row>
    <row r="93" spans="1:17" x14ac:dyDescent="0.3">
      <c r="A93" s="21" t="s">
        <v>1004</v>
      </c>
      <c r="B93" s="104" t="s">
        <v>2486</v>
      </c>
      <c r="C93" s="28" t="s">
        <v>134</v>
      </c>
      <c r="D93" s="28" t="str">
        <f>IFERROR(VLOOKUP($C93,CUENTAS[],2,0),"")</f>
        <v>GASTOS FIJOS</v>
      </c>
      <c r="E93" s="28" t="str">
        <f>IFERROR(VLOOKUP($C93,CUENTAS[],3,0),"")</f>
        <v>MDE2025-002J</v>
      </c>
      <c r="F93" s="144">
        <v>275.18</v>
      </c>
      <c r="G93" s="144">
        <v>0</v>
      </c>
      <c r="H93" s="128">
        <v>275.18</v>
      </c>
      <c r="I93" s="200" t="str">
        <f t="shared" si="1"/>
        <v>CORRECTO</v>
      </c>
      <c r="J93" s="187" t="s">
        <v>133</v>
      </c>
      <c r="K93" s="141" t="s">
        <v>1277</v>
      </c>
      <c r="L93" s="142" t="s">
        <v>227</v>
      </c>
      <c r="M93" s="139">
        <v>45881</v>
      </c>
      <c r="N93" s="146" t="s">
        <v>371</v>
      </c>
      <c r="P93" s="89"/>
      <c r="Q93" s="89"/>
    </row>
    <row r="94" spans="1:17" x14ac:dyDescent="0.3">
      <c r="A94" s="21" t="s">
        <v>228</v>
      </c>
      <c r="B94" s="104" t="s">
        <v>1861</v>
      </c>
      <c r="C94" s="28" t="s">
        <v>141</v>
      </c>
      <c r="D94" s="28" t="str">
        <f>IFERROR(VLOOKUP($C94,CUENTAS[],2,0),"")</f>
        <v>GASTOS VARIOS</v>
      </c>
      <c r="E94" s="28" t="str">
        <f>IFERROR(VLOOKUP($C94,CUENTAS[],3,0),"")</f>
        <v>MDE2025-003L</v>
      </c>
      <c r="F94" s="144">
        <v>149</v>
      </c>
      <c r="G94" s="144">
        <v>0</v>
      </c>
      <c r="H94" s="128">
        <v>149</v>
      </c>
      <c r="I94" s="200" t="str">
        <f t="shared" si="1"/>
        <v>CORRECTO</v>
      </c>
      <c r="J94" s="187" t="s">
        <v>133</v>
      </c>
      <c r="K94" s="141" t="s">
        <v>360</v>
      </c>
      <c r="L94" s="142" t="s">
        <v>227</v>
      </c>
      <c r="M94" s="139" t="s">
        <v>2496</v>
      </c>
      <c r="N94" s="146" t="s">
        <v>371</v>
      </c>
      <c r="P94" s="89"/>
      <c r="Q94" s="89"/>
    </row>
    <row r="95" spans="1:17" x14ac:dyDescent="0.3">
      <c r="A95" s="21" t="s">
        <v>228</v>
      </c>
      <c r="B95" s="104" t="s">
        <v>1578</v>
      </c>
      <c r="C95" s="28" t="s">
        <v>134</v>
      </c>
      <c r="D95" s="28" t="str">
        <f>IFERROR(VLOOKUP($C95,CUENTAS[],2,0),"")</f>
        <v>GASTOS FIJOS</v>
      </c>
      <c r="E95" s="28" t="str">
        <f>IFERROR(VLOOKUP($C95,CUENTAS[],3,0),"")</f>
        <v>MDE2025-002J</v>
      </c>
      <c r="F95" s="144">
        <v>441.15</v>
      </c>
      <c r="G95" s="144">
        <v>0</v>
      </c>
      <c r="H95" s="128">
        <v>441.15</v>
      </c>
      <c r="I95" s="200" t="str">
        <f t="shared" si="1"/>
        <v>CORRECTO</v>
      </c>
      <c r="J95" s="187" t="s">
        <v>133</v>
      </c>
      <c r="K95" s="141" t="s">
        <v>360</v>
      </c>
      <c r="L95" s="142" t="s">
        <v>227</v>
      </c>
      <c r="M95" s="139" t="s">
        <v>2497</v>
      </c>
      <c r="N95" s="146" t="s">
        <v>371</v>
      </c>
      <c r="P95" s="89"/>
      <c r="Q95" s="89"/>
    </row>
    <row r="96" spans="1:17" x14ac:dyDescent="0.3">
      <c r="A96" s="21" t="s">
        <v>1004</v>
      </c>
      <c r="B96" s="104" t="s">
        <v>2487</v>
      </c>
      <c r="C96" s="28" t="s">
        <v>141</v>
      </c>
      <c r="D96" s="28" t="str">
        <f>IFERROR(VLOOKUP($C96,CUENTAS[],2,0),"")</f>
        <v>GASTOS VARIOS</v>
      </c>
      <c r="E96" s="28" t="str">
        <f>IFERROR(VLOOKUP($C96,CUENTAS[],3,0),"")</f>
        <v>MDE2025-003L</v>
      </c>
      <c r="F96" s="144">
        <v>3001.98</v>
      </c>
      <c r="G96" s="144">
        <v>0</v>
      </c>
      <c r="H96" s="128">
        <v>3001.98</v>
      </c>
      <c r="I96" s="200" t="str">
        <f t="shared" si="1"/>
        <v>CORRECTO</v>
      </c>
      <c r="J96" s="187" t="s">
        <v>133</v>
      </c>
      <c r="K96" s="141" t="s">
        <v>360</v>
      </c>
      <c r="L96" s="142" t="s">
        <v>227</v>
      </c>
      <c r="M96" s="139" t="s">
        <v>2498</v>
      </c>
      <c r="N96" s="143" t="s">
        <v>371</v>
      </c>
      <c r="P96" s="89"/>
      <c r="Q96" s="89"/>
    </row>
    <row r="97" spans="1:17" x14ac:dyDescent="0.3">
      <c r="A97" s="21" t="s">
        <v>228</v>
      </c>
      <c r="B97" s="104" t="s">
        <v>2488</v>
      </c>
      <c r="C97" s="28" t="s">
        <v>141</v>
      </c>
      <c r="D97" s="28" t="str">
        <f>IFERROR(VLOOKUP($C97,CUENTAS[],2,0),"")</f>
        <v>GASTOS VARIOS</v>
      </c>
      <c r="E97" s="28" t="str">
        <f>IFERROR(VLOOKUP($C97,CUENTAS[],3,0),"")</f>
        <v>MDE2025-003L</v>
      </c>
      <c r="F97" s="144">
        <v>1749.96</v>
      </c>
      <c r="G97" s="144">
        <v>0</v>
      </c>
      <c r="H97" s="128">
        <v>1749.96</v>
      </c>
      <c r="I97" s="200" t="str">
        <f t="shared" si="1"/>
        <v>CORRECTO</v>
      </c>
      <c r="J97" s="187" t="s">
        <v>133</v>
      </c>
      <c r="K97" s="141" t="s">
        <v>360</v>
      </c>
      <c r="L97" s="142" t="s">
        <v>227</v>
      </c>
      <c r="M97" s="139" t="s">
        <v>2499</v>
      </c>
      <c r="N97" s="143" t="s">
        <v>371</v>
      </c>
      <c r="P97" s="89"/>
      <c r="Q97" s="89"/>
    </row>
    <row r="98" spans="1:17" x14ac:dyDescent="0.3">
      <c r="A98" s="21" t="s">
        <v>228</v>
      </c>
      <c r="B98" s="104" t="s">
        <v>2489</v>
      </c>
      <c r="C98" s="28" t="s">
        <v>141</v>
      </c>
      <c r="D98" s="28" t="str">
        <f>IFERROR(VLOOKUP($C98,CUENTAS[],2,0),"")</f>
        <v>GASTOS VARIOS</v>
      </c>
      <c r="E98" s="28" t="str">
        <f>IFERROR(VLOOKUP($C98,CUENTAS[],3,0),"")</f>
        <v>MDE2025-003L</v>
      </c>
      <c r="F98" s="144">
        <v>10786</v>
      </c>
      <c r="G98" s="144">
        <v>0</v>
      </c>
      <c r="H98" s="128">
        <v>10786</v>
      </c>
      <c r="I98" s="200" t="str">
        <f t="shared" si="1"/>
        <v>CORRECTO</v>
      </c>
      <c r="J98" s="187" t="s">
        <v>133</v>
      </c>
      <c r="K98" s="141" t="s">
        <v>360</v>
      </c>
      <c r="L98" s="142" t="s">
        <v>227</v>
      </c>
      <c r="M98" s="139" t="s">
        <v>2500</v>
      </c>
      <c r="N98" s="146"/>
      <c r="P98" s="89"/>
      <c r="Q98" s="89"/>
    </row>
    <row r="99" spans="1:17" x14ac:dyDescent="0.3">
      <c r="A99" s="21" t="s">
        <v>228</v>
      </c>
      <c r="B99" s="104" t="s">
        <v>2489</v>
      </c>
      <c r="C99" s="28" t="s">
        <v>141</v>
      </c>
      <c r="D99" s="28" t="str">
        <f>IFERROR(VLOOKUP($C99,CUENTAS[],2,0),"")</f>
        <v>GASTOS VARIOS</v>
      </c>
      <c r="E99" s="28" t="str">
        <f>IFERROR(VLOOKUP($C99,CUENTAS[],3,0),"")</f>
        <v>MDE2025-003L</v>
      </c>
      <c r="F99" s="144">
        <v>-10786</v>
      </c>
      <c r="G99" s="144">
        <v>0</v>
      </c>
      <c r="H99" s="128">
        <v>-10786</v>
      </c>
      <c r="I99" s="200" t="str">
        <f t="shared" si="1"/>
        <v>CORRECTO</v>
      </c>
      <c r="J99" s="187" t="s">
        <v>133</v>
      </c>
      <c r="K99" s="141" t="s">
        <v>360</v>
      </c>
      <c r="L99" s="142" t="s">
        <v>227</v>
      </c>
      <c r="M99" s="139" t="s">
        <v>2500</v>
      </c>
      <c r="N99" s="146"/>
      <c r="P99" s="89"/>
      <c r="Q99" s="89"/>
    </row>
    <row r="100" spans="1:17" x14ac:dyDescent="0.3">
      <c r="A100" s="21" t="s">
        <v>1004</v>
      </c>
      <c r="B100" s="104" t="s">
        <v>2490</v>
      </c>
      <c r="C100" s="28" t="s">
        <v>134</v>
      </c>
      <c r="D100" s="28" t="str">
        <f>IFERROR(VLOOKUP($C100,CUENTAS[],2,0),"")</f>
        <v>GASTOS FIJOS</v>
      </c>
      <c r="E100" s="28" t="str">
        <f>IFERROR(VLOOKUP($C100,CUENTAS[],3,0),"")</f>
        <v>MDE2025-002J</v>
      </c>
      <c r="F100" s="144">
        <v>4087.48</v>
      </c>
      <c r="G100" s="144">
        <v>0</v>
      </c>
      <c r="H100" s="128">
        <v>4087.48</v>
      </c>
      <c r="I100" s="200" t="str">
        <f t="shared" si="1"/>
        <v>CORRECTO</v>
      </c>
      <c r="J100" s="187" t="s">
        <v>133</v>
      </c>
      <c r="K100" s="141" t="s">
        <v>1277</v>
      </c>
      <c r="L100" s="142" t="s">
        <v>227</v>
      </c>
      <c r="M100" s="139" t="s">
        <v>2498</v>
      </c>
      <c r="N100" s="143" t="s">
        <v>368</v>
      </c>
      <c r="P100" s="89"/>
      <c r="Q100" s="89"/>
    </row>
    <row r="101" spans="1:17" x14ac:dyDescent="0.3">
      <c r="A101" s="6" t="s">
        <v>619</v>
      </c>
      <c r="B101" s="109" t="s">
        <v>2316</v>
      </c>
      <c r="C101" s="28" t="s">
        <v>224</v>
      </c>
      <c r="D101" s="28" t="str">
        <f>IFERROR(VLOOKUP($C101,CUENTAS[],2,0),"")</f>
        <v>MATERIALES</v>
      </c>
      <c r="E101" s="28" t="str">
        <f>IFERROR(VLOOKUP($C101,CUENTAS[],3,0),"")</f>
        <v>MDE2025-004</v>
      </c>
      <c r="F101" s="86">
        <v>85.34</v>
      </c>
      <c r="G101" s="129">
        <v>13.66</v>
      </c>
      <c r="H101" s="126">
        <v>99</v>
      </c>
      <c r="I101" s="200" t="str">
        <f t="shared" si="1"/>
        <v>CORRECTO</v>
      </c>
      <c r="J101" s="229" t="s">
        <v>3252</v>
      </c>
      <c r="K101" s="101" t="s">
        <v>472</v>
      </c>
      <c r="L101" s="95" t="s">
        <v>227</v>
      </c>
      <c r="M101" s="184">
        <v>45891</v>
      </c>
      <c r="N101" s="8" t="s">
        <v>2317</v>
      </c>
      <c r="P101" s="89"/>
      <c r="Q101" s="89"/>
    </row>
    <row r="102" spans="1:17" x14ac:dyDescent="0.3">
      <c r="A102" s="6" t="s">
        <v>1028</v>
      </c>
      <c r="B102" s="111" t="s">
        <v>2501</v>
      </c>
      <c r="C102" s="28" t="s">
        <v>223</v>
      </c>
      <c r="D102" s="28" t="str">
        <f>IFERROR(VLOOKUP($C102,CUENTAS[],2,0),"")</f>
        <v>MANTENIMIENTO</v>
      </c>
      <c r="E102" s="28" t="str">
        <f>IFERROR(VLOOKUP($C102,CUENTAS[],3,0),"")</f>
        <v>MDE2025-009B</v>
      </c>
      <c r="F102" s="86">
        <v>82.35</v>
      </c>
      <c r="G102" s="129">
        <v>12.81</v>
      </c>
      <c r="H102" s="127">
        <v>95.16</v>
      </c>
      <c r="I102" s="200" t="str">
        <f t="shared" si="1"/>
        <v>CORRECTO</v>
      </c>
      <c r="J102" s="229" t="s">
        <v>3251</v>
      </c>
      <c r="K102" s="112" t="s">
        <v>2230</v>
      </c>
      <c r="L102" s="95" t="s">
        <v>227</v>
      </c>
      <c r="M102" s="185">
        <v>45870</v>
      </c>
      <c r="N102" s="9" t="s">
        <v>2511</v>
      </c>
      <c r="P102" s="89"/>
      <c r="Q102" s="89"/>
    </row>
    <row r="103" spans="1:17" x14ac:dyDescent="0.3">
      <c r="A103" s="6" t="s">
        <v>2502</v>
      </c>
      <c r="B103" s="111" t="s">
        <v>1863</v>
      </c>
      <c r="C103" s="28" t="s">
        <v>117</v>
      </c>
      <c r="D103" s="28" t="str">
        <f>IFERROR(VLOOKUP($C103,CUENTAS[],2,0),"")</f>
        <v>GASTOS VARIOS</v>
      </c>
      <c r="E103" s="28" t="str">
        <f>IFERROR(VLOOKUP($C103,CUENTAS[],3,0),"")</f>
        <v>MDE2025-003D</v>
      </c>
      <c r="F103" s="86">
        <v>259.67</v>
      </c>
      <c r="G103" s="129">
        <v>40.33</v>
      </c>
      <c r="H103" s="127">
        <v>300</v>
      </c>
      <c r="I103" s="200" t="str">
        <f t="shared" si="1"/>
        <v>CORRECTO</v>
      </c>
      <c r="J103" s="229" t="s">
        <v>3251</v>
      </c>
      <c r="K103" s="112" t="s">
        <v>2230</v>
      </c>
      <c r="L103" s="95" t="s">
        <v>227</v>
      </c>
      <c r="M103" s="185">
        <v>45880</v>
      </c>
      <c r="N103" s="9" t="s">
        <v>2512</v>
      </c>
      <c r="P103" s="89"/>
      <c r="Q103" s="89"/>
    </row>
    <row r="104" spans="1:17" x14ac:dyDescent="0.3">
      <c r="A104" s="6" t="s">
        <v>421</v>
      </c>
      <c r="B104" s="111" t="s">
        <v>2503</v>
      </c>
      <c r="C104" s="28" t="s">
        <v>117</v>
      </c>
      <c r="D104" s="28" t="str">
        <f>IFERROR(VLOOKUP($C104,CUENTAS[],2,0),"")</f>
        <v>GASTOS VARIOS</v>
      </c>
      <c r="E104" s="28" t="str">
        <f>IFERROR(VLOOKUP($C104,CUENTAS[],3,0),"")</f>
        <v>MDE2025-003D</v>
      </c>
      <c r="F104" s="86">
        <v>520.52</v>
      </c>
      <c r="G104" s="129">
        <v>79.48</v>
      </c>
      <c r="H104" s="127">
        <v>600</v>
      </c>
      <c r="I104" s="200" t="str">
        <f t="shared" si="1"/>
        <v>CORRECTO</v>
      </c>
      <c r="J104" s="229" t="s">
        <v>3251</v>
      </c>
      <c r="K104" s="112" t="s">
        <v>2230</v>
      </c>
      <c r="L104" s="95" t="s">
        <v>227</v>
      </c>
      <c r="M104" s="185" t="s">
        <v>2513</v>
      </c>
      <c r="N104" s="9" t="s">
        <v>2514</v>
      </c>
      <c r="P104" s="89"/>
      <c r="Q104" s="89"/>
    </row>
    <row r="105" spans="1:17" x14ac:dyDescent="0.3">
      <c r="A105" s="6" t="s">
        <v>2504</v>
      </c>
      <c r="B105" s="111" t="s">
        <v>2505</v>
      </c>
      <c r="C105" s="28" t="s">
        <v>117</v>
      </c>
      <c r="D105" s="28" t="str">
        <f>IFERROR(VLOOKUP($C105,CUENTAS[],2,0),"")</f>
        <v>GASTOS VARIOS</v>
      </c>
      <c r="E105" s="28" t="str">
        <f>IFERROR(VLOOKUP($C105,CUENTAS[],3,0),"")</f>
        <v>MDE2025-003D</v>
      </c>
      <c r="F105" s="86">
        <v>259.64</v>
      </c>
      <c r="G105" s="129">
        <v>40.36</v>
      </c>
      <c r="H105" s="127">
        <v>300</v>
      </c>
      <c r="I105" s="200" t="str">
        <f t="shared" si="1"/>
        <v>CORRECTO</v>
      </c>
      <c r="J105" s="229" t="s">
        <v>3251</v>
      </c>
      <c r="K105" s="112" t="s">
        <v>2230</v>
      </c>
      <c r="L105" s="95" t="s">
        <v>227</v>
      </c>
      <c r="M105" s="185">
        <v>45884</v>
      </c>
      <c r="N105" s="9" t="s">
        <v>2515</v>
      </c>
      <c r="P105" s="89"/>
      <c r="Q105" s="89"/>
    </row>
    <row r="106" spans="1:17" x14ac:dyDescent="0.3">
      <c r="A106" s="6" t="s">
        <v>1028</v>
      </c>
      <c r="B106" s="111" t="s">
        <v>2506</v>
      </c>
      <c r="C106" s="28" t="s">
        <v>117</v>
      </c>
      <c r="D106" s="28" t="str">
        <f>IFERROR(VLOOKUP($C106,CUENTAS[],2,0),"")</f>
        <v>GASTOS VARIOS</v>
      </c>
      <c r="E106" s="28" t="str">
        <f>IFERROR(VLOOKUP($C106,CUENTAS[],3,0),"")</f>
        <v>MDE2025-003D</v>
      </c>
      <c r="F106" s="86">
        <v>259.61</v>
      </c>
      <c r="G106" s="129">
        <v>40.39</v>
      </c>
      <c r="H106" s="127">
        <v>300</v>
      </c>
      <c r="I106" s="200" t="str">
        <f t="shared" si="1"/>
        <v>CORRECTO</v>
      </c>
      <c r="J106" s="229" t="s">
        <v>3251</v>
      </c>
      <c r="K106" s="112" t="s">
        <v>2230</v>
      </c>
      <c r="L106" s="95" t="s">
        <v>227</v>
      </c>
      <c r="M106" s="185">
        <v>45889</v>
      </c>
      <c r="N106" s="9" t="s">
        <v>2516</v>
      </c>
      <c r="P106" s="89"/>
      <c r="Q106" s="89"/>
    </row>
    <row r="107" spans="1:17" x14ac:dyDescent="0.3">
      <c r="A107" s="6" t="s">
        <v>2220</v>
      </c>
      <c r="B107" s="111" t="s">
        <v>2507</v>
      </c>
      <c r="C107" s="28" t="s">
        <v>117</v>
      </c>
      <c r="D107" s="28" t="str">
        <f>IFERROR(VLOOKUP($C107,CUENTAS[],2,0),"")</f>
        <v>GASTOS VARIOS</v>
      </c>
      <c r="E107" s="28" t="str">
        <f>IFERROR(VLOOKUP($C107,CUENTAS[],3,0),"")</f>
        <v>MDE2025-003D</v>
      </c>
      <c r="F107" s="86">
        <v>259.61</v>
      </c>
      <c r="G107" s="129">
        <v>40.39</v>
      </c>
      <c r="H107" s="127">
        <v>300</v>
      </c>
      <c r="I107" s="200" t="str">
        <f t="shared" si="1"/>
        <v>CORRECTO</v>
      </c>
      <c r="J107" s="229" t="s">
        <v>3251</v>
      </c>
      <c r="K107" s="112" t="s">
        <v>2230</v>
      </c>
      <c r="L107" s="95" t="s">
        <v>227</v>
      </c>
      <c r="M107" s="185">
        <v>45889</v>
      </c>
      <c r="N107" s="9" t="s">
        <v>2517</v>
      </c>
      <c r="P107" s="89"/>
      <c r="Q107" s="89"/>
    </row>
    <row r="108" spans="1:17" x14ac:dyDescent="0.3">
      <c r="A108" s="6" t="s">
        <v>1028</v>
      </c>
      <c r="B108" s="111" t="s">
        <v>2506</v>
      </c>
      <c r="C108" s="28" t="s">
        <v>117</v>
      </c>
      <c r="D108" s="28" t="str">
        <f>IFERROR(VLOOKUP($C108,CUENTAS[],2,0),"")</f>
        <v>GASTOS VARIOS</v>
      </c>
      <c r="E108" s="28" t="str">
        <f>IFERROR(VLOOKUP($C108,CUENTAS[],3,0),"")</f>
        <v>MDE2025-003D</v>
      </c>
      <c r="F108" s="86">
        <v>259.61</v>
      </c>
      <c r="G108" s="129">
        <v>40.39</v>
      </c>
      <c r="H108" s="127">
        <v>300</v>
      </c>
      <c r="I108" s="200" t="str">
        <f t="shared" si="1"/>
        <v>CORRECTO</v>
      </c>
      <c r="J108" s="229" t="s">
        <v>3251</v>
      </c>
      <c r="K108" s="112" t="s">
        <v>2230</v>
      </c>
      <c r="L108" s="95" t="s">
        <v>227</v>
      </c>
      <c r="M108" s="185">
        <v>45895</v>
      </c>
      <c r="N108" s="9" t="s">
        <v>2518</v>
      </c>
      <c r="P108" s="89"/>
      <c r="Q108" s="89"/>
    </row>
    <row r="109" spans="1:17" x14ac:dyDescent="0.3">
      <c r="A109" s="6" t="s">
        <v>2508</v>
      </c>
      <c r="B109" s="111" t="s">
        <v>2506</v>
      </c>
      <c r="C109" s="28" t="s">
        <v>117</v>
      </c>
      <c r="D109" s="28" t="str">
        <f>IFERROR(VLOOKUP($C109,CUENTAS[],2,0),"")</f>
        <v>GASTOS VARIOS</v>
      </c>
      <c r="E109" s="28" t="str">
        <f>IFERROR(VLOOKUP($C109,CUENTAS[],3,0),"")</f>
        <v>MDE2025-003D</v>
      </c>
      <c r="F109" s="86">
        <v>432.67</v>
      </c>
      <c r="G109" s="129">
        <v>67.33</v>
      </c>
      <c r="H109" s="127">
        <v>500</v>
      </c>
      <c r="I109" s="200" t="str">
        <f t="shared" si="1"/>
        <v>CORRECTO</v>
      </c>
      <c r="J109" s="229" t="s">
        <v>3251</v>
      </c>
      <c r="K109" s="112" t="s">
        <v>2230</v>
      </c>
      <c r="L109" s="95" t="s">
        <v>227</v>
      </c>
      <c r="M109" s="185">
        <v>45896</v>
      </c>
      <c r="N109" s="9" t="s">
        <v>2519</v>
      </c>
      <c r="P109" s="89"/>
      <c r="Q109" s="89"/>
    </row>
    <row r="110" spans="1:17" x14ac:dyDescent="0.3">
      <c r="A110" s="2" t="s">
        <v>2509</v>
      </c>
      <c r="B110" s="111" t="s">
        <v>2510</v>
      </c>
      <c r="C110" s="28" t="s">
        <v>117</v>
      </c>
      <c r="D110" s="28" t="str">
        <f>IFERROR(VLOOKUP($C110,CUENTAS[],2,0),"")</f>
        <v>GASTOS VARIOS</v>
      </c>
      <c r="E110" s="28" t="str">
        <f>IFERROR(VLOOKUP($C110,CUENTAS[],3,0),"")</f>
        <v>MDE2025-003D</v>
      </c>
      <c r="F110" s="86">
        <v>648.48</v>
      </c>
      <c r="G110" s="129">
        <v>101.56</v>
      </c>
      <c r="H110" s="127">
        <v>750.04</v>
      </c>
      <c r="I110" s="200" t="str">
        <f t="shared" si="1"/>
        <v>CORRECTO</v>
      </c>
      <c r="J110" s="229" t="s">
        <v>3251</v>
      </c>
      <c r="K110" s="112" t="s">
        <v>2230</v>
      </c>
      <c r="L110" s="95" t="s">
        <v>227</v>
      </c>
      <c r="M110" s="185">
        <v>45898</v>
      </c>
      <c r="N110" s="114" t="s">
        <v>2520</v>
      </c>
      <c r="P110" s="89"/>
      <c r="Q110" s="89"/>
    </row>
    <row r="111" spans="1:17" ht="14.25" customHeight="1" x14ac:dyDescent="0.3">
      <c r="A111" s="115" t="s">
        <v>236</v>
      </c>
      <c r="B111" s="115" t="s">
        <v>1088</v>
      </c>
      <c r="C111" s="28" t="s">
        <v>201</v>
      </c>
      <c r="D111" s="28" t="str">
        <f>IFERROR(VLOOKUP($C111,CUENTAS[],2,0),"")</f>
        <v>ACTIVOS FIJOS</v>
      </c>
      <c r="E111" s="28" t="str">
        <f>IFERROR(VLOOKUP($C111,CUENTAS[],3,0),"")</f>
        <v>MDE2025-007I</v>
      </c>
      <c r="F111" s="86">
        <v>3500</v>
      </c>
      <c r="G111" s="129">
        <v>0</v>
      </c>
      <c r="H111" s="130">
        <v>3500</v>
      </c>
      <c r="I111" s="200" t="str">
        <f t="shared" si="1"/>
        <v>CORRECTO</v>
      </c>
      <c r="J111" s="88" t="s">
        <v>175</v>
      </c>
      <c r="K111" s="116" t="s">
        <v>363</v>
      </c>
      <c r="L111" s="95" t="s">
        <v>227</v>
      </c>
      <c r="M111" s="159">
        <v>45874</v>
      </c>
      <c r="N111" s="118" t="s">
        <v>371</v>
      </c>
      <c r="P111" s="89"/>
      <c r="Q111" s="89"/>
    </row>
    <row r="112" spans="1:17" ht="14.25" customHeight="1" x14ac:dyDescent="0.3">
      <c r="A112" s="115" t="s">
        <v>238</v>
      </c>
      <c r="B112" s="115" t="s">
        <v>1088</v>
      </c>
      <c r="C112" s="28" t="s">
        <v>201</v>
      </c>
      <c r="D112" s="28" t="str">
        <f>IFERROR(VLOOKUP($C112,CUENTAS[],2,0),"")</f>
        <v>ACTIVOS FIJOS</v>
      </c>
      <c r="E112" s="28" t="str">
        <f>IFERROR(VLOOKUP($C112,CUENTAS[],3,0),"")</f>
        <v>MDE2025-007I</v>
      </c>
      <c r="F112" s="86">
        <v>3200</v>
      </c>
      <c r="G112" s="129">
        <v>0</v>
      </c>
      <c r="H112" s="131">
        <v>3200</v>
      </c>
      <c r="I112" s="200" t="str">
        <f t="shared" si="1"/>
        <v>CORRECTO</v>
      </c>
      <c r="J112" s="88" t="s">
        <v>175</v>
      </c>
      <c r="K112" s="116" t="s">
        <v>363</v>
      </c>
      <c r="L112" s="95" t="s">
        <v>227</v>
      </c>
      <c r="M112" s="159">
        <v>45874</v>
      </c>
      <c r="N112" s="22" t="s">
        <v>371</v>
      </c>
      <c r="P112" s="89"/>
      <c r="Q112" s="89"/>
    </row>
    <row r="113" spans="1:17" ht="14.25" customHeight="1" x14ac:dyDescent="0.3">
      <c r="A113" s="115" t="s">
        <v>341</v>
      </c>
      <c r="B113" s="115" t="s">
        <v>2330</v>
      </c>
      <c r="C113" s="28" t="s">
        <v>109</v>
      </c>
      <c r="D113" s="28" t="str">
        <f>IFERROR(VLOOKUP($C113,CUENTAS[],2,0),"")</f>
        <v>LOGÍSTICA</v>
      </c>
      <c r="E113" s="28" t="str">
        <f>IFERROR(VLOOKUP($C113,CUENTAS[],3,0),"")</f>
        <v>MDE2025-006A</v>
      </c>
      <c r="F113" s="86">
        <v>750</v>
      </c>
      <c r="G113" s="129">
        <v>0</v>
      </c>
      <c r="H113" s="131">
        <v>750</v>
      </c>
      <c r="I113" s="200" t="str">
        <f t="shared" si="1"/>
        <v>CORRECTO</v>
      </c>
      <c r="J113" s="88" t="s">
        <v>175</v>
      </c>
      <c r="K113" s="116" t="s">
        <v>1954</v>
      </c>
      <c r="L113" s="95" t="s">
        <v>227</v>
      </c>
      <c r="M113" s="159">
        <v>45874</v>
      </c>
      <c r="N113" s="22" t="s">
        <v>2394</v>
      </c>
      <c r="P113" s="89"/>
      <c r="Q113" s="89"/>
    </row>
    <row r="114" spans="1:17" ht="14.25" customHeight="1" x14ac:dyDescent="0.3">
      <c r="A114" s="115" t="s">
        <v>2251</v>
      </c>
      <c r="B114" s="115" t="s">
        <v>2252</v>
      </c>
      <c r="C114" s="28" t="s">
        <v>139</v>
      </c>
      <c r="D114" s="28" t="str">
        <f>IFERROR(VLOOKUP($C114,CUENTAS[],2,0),"")</f>
        <v>ACTIVOS FIJOS</v>
      </c>
      <c r="E114" s="28" t="str">
        <f>IFERROR(VLOOKUP($C114,CUENTAS[],3,0),"")</f>
        <v>MDE2025-007E</v>
      </c>
      <c r="F114" s="86">
        <v>2000</v>
      </c>
      <c r="G114" s="129">
        <v>0</v>
      </c>
      <c r="H114" s="131">
        <v>2000</v>
      </c>
      <c r="I114" s="200" t="str">
        <f t="shared" si="1"/>
        <v>CORRECTO</v>
      </c>
      <c r="J114" s="88" t="s">
        <v>175</v>
      </c>
      <c r="K114" s="116" t="s">
        <v>364</v>
      </c>
      <c r="L114" s="95" t="s">
        <v>227</v>
      </c>
      <c r="M114" s="159">
        <v>45874</v>
      </c>
      <c r="N114" s="22" t="s">
        <v>371</v>
      </c>
      <c r="P114" s="89"/>
      <c r="Q114" s="89"/>
    </row>
    <row r="115" spans="1:17" ht="14.25" customHeight="1" x14ac:dyDescent="0.3">
      <c r="A115" s="115" t="s">
        <v>1724</v>
      </c>
      <c r="B115" s="115" t="s">
        <v>2331</v>
      </c>
      <c r="C115" s="28" t="s">
        <v>224</v>
      </c>
      <c r="D115" s="28" t="str">
        <f>IFERROR(VLOOKUP($C115,CUENTAS[],2,0),"")</f>
        <v>MATERIALES</v>
      </c>
      <c r="E115" s="28" t="str">
        <f>IFERROR(VLOOKUP($C115,CUENTAS[],3,0),"")</f>
        <v>MDE2025-004</v>
      </c>
      <c r="F115" s="86">
        <v>3116.56</v>
      </c>
      <c r="G115" s="129">
        <v>498.65</v>
      </c>
      <c r="H115" s="131">
        <v>3615.21</v>
      </c>
      <c r="I115" s="200" t="str">
        <f t="shared" si="1"/>
        <v>CORRECTO</v>
      </c>
      <c r="J115" s="88" t="s">
        <v>1522</v>
      </c>
      <c r="K115" s="116" t="s">
        <v>980</v>
      </c>
      <c r="L115" s="95" t="s">
        <v>227</v>
      </c>
      <c r="M115" s="159">
        <v>45875</v>
      </c>
      <c r="N115" s="22" t="s">
        <v>2395</v>
      </c>
      <c r="P115" s="89"/>
      <c r="Q115" s="89"/>
    </row>
    <row r="116" spans="1:17" ht="14.25" customHeight="1" x14ac:dyDescent="0.3">
      <c r="A116" s="115" t="s">
        <v>1604</v>
      </c>
      <c r="B116" s="115" t="s">
        <v>2332</v>
      </c>
      <c r="C116" s="28" t="s">
        <v>224</v>
      </c>
      <c r="D116" s="28" t="str">
        <f>IFERROR(VLOOKUP($C116,CUENTAS[],2,0),"")</f>
        <v>MATERIALES</v>
      </c>
      <c r="E116" s="28" t="str">
        <f>IFERROR(VLOOKUP($C116,CUENTAS[],3,0),"")</f>
        <v>MDE2025-004</v>
      </c>
      <c r="F116" s="86">
        <v>1963.58</v>
      </c>
      <c r="G116" s="129">
        <v>314.18</v>
      </c>
      <c r="H116" s="131">
        <v>2277.7600000000002</v>
      </c>
      <c r="I116" s="200" t="str">
        <f t="shared" si="1"/>
        <v>CORRECTO</v>
      </c>
      <c r="J116" s="88" t="s">
        <v>1522</v>
      </c>
      <c r="K116" s="116" t="s">
        <v>980</v>
      </c>
      <c r="L116" s="95" t="s">
        <v>227</v>
      </c>
      <c r="M116" s="159">
        <v>45875</v>
      </c>
      <c r="N116" s="22" t="s">
        <v>2396</v>
      </c>
      <c r="P116" s="89"/>
      <c r="Q116" s="89"/>
    </row>
    <row r="117" spans="1:17" ht="14.25" customHeight="1" x14ac:dyDescent="0.3">
      <c r="A117" s="115" t="s">
        <v>1780</v>
      </c>
      <c r="B117" s="115" t="s">
        <v>2333</v>
      </c>
      <c r="C117" s="28" t="s">
        <v>224</v>
      </c>
      <c r="D117" s="28" t="str">
        <f>IFERROR(VLOOKUP($C117,CUENTAS[],2,0),"")</f>
        <v>MATERIALES</v>
      </c>
      <c r="E117" s="28" t="str">
        <f>IFERROR(VLOOKUP($C117,CUENTAS[],3,0),"")</f>
        <v>MDE2025-004</v>
      </c>
      <c r="F117" s="86">
        <v>223.28</v>
      </c>
      <c r="G117" s="129">
        <v>35.72</v>
      </c>
      <c r="H117" s="131">
        <v>259</v>
      </c>
      <c r="I117" s="200" t="str">
        <f t="shared" si="1"/>
        <v>CORRECTO</v>
      </c>
      <c r="J117" s="88" t="s">
        <v>1522</v>
      </c>
      <c r="K117" s="116" t="s">
        <v>980</v>
      </c>
      <c r="L117" s="95" t="s">
        <v>227</v>
      </c>
      <c r="M117" s="159">
        <v>45875</v>
      </c>
      <c r="N117" s="22" t="s">
        <v>2397</v>
      </c>
      <c r="P117" s="89"/>
      <c r="Q117" s="89"/>
    </row>
    <row r="118" spans="1:17" ht="14.25" customHeight="1" x14ac:dyDescent="0.3">
      <c r="A118" s="115" t="s">
        <v>855</v>
      </c>
      <c r="B118" s="115" t="s">
        <v>2334</v>
      </c>
      <c r="C118" s="28" t="s">
        <v>224</v>
      </c>
      <c r="D118" s="28" t="str">
        <f>IFERROR(VLOOKUP($C118,CUENTAS[],2,0),"")</f>
        <v>MATERIALES</v>
      </c>
      <c r="E118" s="28" t="str">
        <f>IFERROR(VLOOKUP($C118,CUENTAS[],3,0),"")</f>
        <v>MDE2025-004</v>
      </c>
      <c r="F118" s="86">
        <v>5603.45</v>
      </c>
      <c r="G118" s="129">
        <v>896.55</v>
      </c>
      <c r="H118" s="131">
        <v>6500</v>
      </c>
      <c r="I118" s="200" t="str">
        <f t="shared" si="1"/>
        <v>CORRECTO</v>
      </c>
      <c r="J118" s="88" t="s">
        <v>1522</v>
      </c>
      <c r="K118" s="116" t="s">
        <v>980</v>
      </c>
      <c r="L118" s="95" t="s">
        <v>227</v>
      </c>
      <c r="M118" s="159">
        <v>45875</v>
      </c>
      <c r="N118" s="22" t="s">
        <v>2398</v>
      </c>
      <c r="P118" s="89"/>
      <c r="Q118" s="89"/>
    </row>
    <row r="119" spans="1:17" ht="14.25" customHeight="1" x14ac:dyDescent="0.3">
      <c r="A119" s="115" t="s">
        <v>857</v>
      </c>
      <c r="B119" s="115" t="s">
        <v>2335</v>
      </c>
      <c r="C119" s="28" t="s">
        <v>224</v>
      </c>
      <c r="D119" s="28" t="str">
        <f>IFERROR(VLOOKUP($C119,CUENTAS[],2,0),"")</f>
        <v>MATERIALES</v>
      </c>
      <c r="E119" s="28" t="str">
        <f>IFERROR(VLOOKUP($C119,CUENTAS[],3,0),"")</f>
        <v>MDE2025-004</v>
      </c>
      <c r="F119" s="86">
        <v>938.79</v>
      </c>
      <c r="G119" s="129">
        <v>150.21</v>
      </c>
      <c r="H119" s="131">
        <v>1089</v>
      </c>
      <c r="I119" s="200" t="str">
        <f t="shared" si="1"/>
        <v>CORRECTO</v>
      </c>
      <c r="J119" s="88" t="s">
        <v>1522</v>
      </c>
      <c r="K119" s="116" t="s">
        <v>980</v>
      </c>
      <c r="L119" s="95" t="s">
        <v>227</v>
      </c>
      <c r="M119" s="159">
        <v>45877</v>
      </c>
      <c r="N119" s="22" t="s">
        <v>2399</v>
      </c>
      <c r="P119" s="89"/>
      <c r="Q119" s="89"/>
    </row>
    <row r="120" spans="1:17" ht="14.25" customHeight="1" x14ac:dyDescent="0.3">
      <c r="A120" s="115" t="s">
        <v>1604</v>
      </c>
      <c r="B120" s="115" t="s">
        <v>2336</v>
      </c>
      <c r="C120" s="28" t="s">
        <v>224</v>
      </c>
      <c r="D120" s="28" t="str">
        <f>IFERROR(VLOOKUP($C120,CUENTAS[],2,0),"")</f>
        <v>MATERIALES</v>
      </c>
      <c r="E120" s="28" t="str">
        <f>IFERROR(VLOOKUP($C120,CUENTAS[],3,0),"")</f>
        <v>MDE2025-004</v>
      </c>
      <c r="F120" s="131">
        <v>1699.93</v>
      </c>
      <c r="G120" s="129">
        <v>0</v>
      </c>
      <c r="H120" s="131">
        <v>1699.93</v>
      </c>
      <c r="I120" s="200" t="str">
        <f t="shared" si="1"/>
        <v>CORRECTO</v>
      </c>
      <c r="J120" s="88" t="s">
        <v>1522</v>
      </c>
      <c r="K120" s="116" t="s">
        <v>980</v>
      </c>
      <c r="L120" s="95" t="s">
        <v>227</v>
      </c>
      <c r="M120" s="159">
        <v>45877</v>
      </c>
      <c r="N120" s="22" t="s">
        <v>2400</v>
      </c>
      <c r="P120" s="89"/>
      <c r="Q120" s="89"/>
    </row>
    <row r="121" spans="1:17" ht="14.25" customHeight="1" x14ac:dyDescent="0.3">
      <c r="A121" s="115" t="s">
        <v>878</v>
      </c>
      <c r="B121" s="115" t="s">
        <v>2337</v>
      </c>
      <c r="C121" s="28" t="s">
        <v>224</v>
      </c>
      <c r="D121" s="28" t="str">
        <f>IFERROR(VLOOKUP($C121,CUENTAS[],2,0),"")</f>
        <v>MATERIALES</v>
      </c>
      <c r="E121" s="28" t="str">
        <f>IFERROR(VLOOKUP($C121,CUENTAS[],3,0),"")</f>
        <v>MDE2025-004</v>
      </c>
      <c r="F121" s="86">
        <v>3022</v>
      </c>
      <c r="G121" s="129">
        <v>483.52</v>
      </c>
      <c r="H121" s="131">
        <v>3505.52</v>
      </c>
      <c r="I121" s="200" t="str">
        <f t="shared" si="1"/>
        <v>CORRECTO</v>
      </c>
      <c r="J121" s="88" t="s">
        <v>1522</v>
      </c>
      <c r="K121" s="116" t="s">
        <v>980</v>
      </c>
      <c r="L121" s="95" t="s">
        <v>227</v>
      </c>
      <c r="M121" s="159">
        <v>45880</v>
      </c>
      <c r="N121" s="22" t="s">
        <v>2401</v>
      </c>
      <c r="P121" s="89"/>
      <c r="Q121" s="89"/>
    </row>
    <row r="122" spans="1:17" ht="14.25" customHeight="1" x14ac:dyDescent="0.3">
      <c r="A122" s="115" t="s">
        <v>1604</v>
      </c>
      <c r="B122" s="115" t="s">
        <v>2338</v>
      </c>
      <c r="C122" s="28" t="s">
        <v>224</v>
      </c>
      <c r="D122" s="28" t="str">
        <f>IFERROR(VLOOKUP($C122,CUENTAS[],2,0),"")</f>
        <v>MATERIALES</v>
      </c>
      <c r="E122" s="28" t="str">
        <f>IFERROR(VLOOKUP($C122,CUENTAS[],3,0),"")</f>
        <v>MDE2025-004</v>
      </c>
      <c r="F122" s="86">
        <v>775.8</v>
      </c>
      <c r="G122" s="129">
        <v>124.13</v>
      </c>
      <c r="H122" s="131">
        <v>899.93</v>
      </c>
      <c r="I122" s="200" t="str">
        <f t="shared" si="1"/>
        <v>CORRECTO</v>
      </c>
      <c r="J122" s="88" t="s">
        <v>1522</v>
      </c>
      <c r="K122" s="116" t="s">
        <v>980</v>
      </c>
      <c r="L122" s="95" t="s">
        <v>227</v>
      </c>
      <c r="M122" s="159">
        <v>45877</v>
      </c>
      <c r="N122" s="22" t="s">
        <v>2400</v>
      </c>
      <c r="P122" s="89"/>
      <c r="Q122" s="89"/>
    </row>
    <row r="123" spans="1:17" ht="14.25" customHeight="1" x14ac:dyDescent="0.3">
      <c r="A123" s="115" t="s">
        <v>890</v>
      </c>
      <c r="B123" s="115" t="s">
        <v>2339</v>
      </c>
      <c r="C123" s="28" t="s">
        <v>224</v>
      </c>
      <c r="D123" s="28" t="str">
        <f>IFERROR(VLOOKUP($C123,CUENTAS[],2,0),"")</f>
        <v>MATERIALES</v>
      </c>
      <c r="E123" s="28" t="str">
        <f>IFERROR(VLOOKUP($C123,CUENTAS[],3,0),"")</f>
        <v>MDE2025-004</v>
      </c>
      <c r="F123" s="86">
        <v>2204</v>
      </c>
      <c r="G123" s="129">
        <v>352.64</v>
      </c>
      <c r="H123" s="131">
        <v>2556.64</v>
      </c>
      <c r="I123" s="200" t="str">
        <f t="shared" si="1"/>
        <v>CORRECTO</v>
      </c>
      <c r="J123" s="88" t="s">
        <v>1522</v>
      </c>
      <c r="K123" s="116" t="s">
        <v>980</v>
      </c>
      <c r="L123" s="95" t="s">
        <v>227</v>
      </c>
      <c r="M123" s="159">
        <v>45880</v>
      </c>
      <c r="N123" s="22" t="s">
        <v>2402</v>
      </c>
      <c r="P123" s="89"/>
      <c r="Q123" s="89"/>
    </row>
    <row r="124" spans="1:17" ht="14.25" customHeight="1" x14ac:dyDescent="0.3">
      <c r="A124" s="115" t="s">
        <v>2340</v>
      </c>
      <c r="B124" s="115" t="s">
        <v>2341</v>
      </c>
      <c r="C124" s="28" t="s">
        <v>224</v>
      </c>
      <c r="D124" s="28" t="str">
        <f>IFERROR(VLOOKUP($C124,CUENTAS[],2,0),"")</f>
        <v>MATERIALES</v>
      </c>
      <c r="E124" s="28" t="str">
        <f>IFERROR(VLOOKUP($C124,CUENTAS[],3,0),"")</f>
        <v>MDE2025-004</v>
      </c>
      <c r="F124" s="86">
        <v>4804</v>
      </c>
      <c r="G124" s="129">
        <v>768.64</v>
      </c>
      <c r="H124" s="131">
        <v>5572.64</v>
      </c>
      <c r="I124" s="200" t="str">
        <f t="shared" si="1"/>
        <v>CORRECTO</v>
      </c>
      <c r="J124" s="88" t="s">
        <v>1522</v>
      </c>
      <c r="K124" s="116" t="s">
        <v>980</v>
      </c>
      <c r="L124" s="95" t="s">
        <v>227</v>
      </c>
      <c r="M124" s="159">
        <v>45880</v>
      </c>
      <c r="N124" s="22" t="s">
        <v>2403</v>
      </c>
      <c r="P124" s="89"/>
      <c r="Q124" s="89"/>
    </row>
    <row r="125" spans="1:17" ht="14.25" customHeight="1" x14ac:dyDescent="0.3">
      <c r="A125" s="115" t="s">
        <v>2342</v>
      </c>
      <c r="B125" s="115" t="s">
        <v>2343</v>
      </c>
      <c r="C125" s="28" t="s">
        <v>224</v>
      </c>
      <c r="D125" s="28" t="str">
        <f>IFERROR(VLOOKUP($C125,CUENTAS[],2,0),"")</f>
        <v>MATERIALES</v>
      </c>
      <c r="E125" s="28" t="str">
        <f>IFERROR(VLOOKUP($C125,CUENTAS[],3,0),"")</f>
        <v>MDE2025-004</v>
      </c>
      <c r="F125" s="86">
        <v>960</v>
      </c>
      <c r="G125" s="129">
        <v>0</v>
      </c>
      <c r="H125" s="131">
        <v>960</v>
      </c>
      <c r="I125" s="200" t="str">
        <f t="shared" si="1"/>
        <v>CORRECTO</v>
      </c>
      <c r="J125" s="88" t="s">
        <v>1522</v>
      </c>
      <c r="K125" s="116" t="s">
        <v>980</v>
      </c>
      <c r="L125" s="95" t="s">
        <v>227</v>
      </c>
      <c r="M125" s="159">
        <v>45880</v>
      </c>
      <c r="N125" s="22" t="s">
        <v>2404</v>
      </c>
      <c r="P125" s="89"/>
      <c r="Q125" s="89"/>
    </row>
    <row r="126" spans="1:17" ht="14.25" customHeight="1" x14ac:dyDescent="0.3">
      <c r="A126" s="115" t="s">
        <v>2340</v>
      </c>
      <c r="B126" s="115" t="s">
        <v>2344</v>
      </c>
      <c r="C126" s="28" t="s">
        <v>224</v>
      </c>
      <c r="D126" s="28" t="str">
        <f>IFERROR(VLOOKUP($C126,CUENTAS[],2,0),"")</f>
        <v>MATERIALES</v>
      </c>
      <c r="E126" s="28" t="str">
        <f>IFERROR(VLOOKUP($C126,CUENTAS[],3,0),"")</f>
        <v>MDE2025-004</v>
      </c>
      <c r="F126" s="86">
        <v>831</v>
      </c>
      <c r="G126" s="129">
        <v>132.96</v>
      </c>
      <c r="H126" s="131">
        <v>963.96</v>
      </c>
      <c r="I126" s="200" t="str">
        <f t="shared" si="1"/>
        <v>CORRECTO</v>
      </c>
      <c r="J126" s="88" t="s">
        <v>1522</v>
      </c>
      <c r="K126" s="116" t="s">
        <v>980</v>
      </c>
      <c r="L126" s="95" t="s">
        <v>227</v>
      </c>
      <c r="M126" s="159">
        <v>45880</v>
      </c>
      <c r="N126" s="22" t="s">
        <v>2405</v>
      </c>
      <c r="P126" s="89"/>
      <c r="Q126" s="89"/>
    </row>
    <row r="127" spans="1:17" ht="14.25" customHeight="1" x14ac:dyDescent="0.3">
      <c r="A127" s="115" t="s">
        <v>1045</v>
      </c>
      <c r="B127" s="115" t="s">
        <v>2345</v>
      </c>
      <c r="C127" s="28" t="s">
        <v>224</v>
      </c>
      <c r="D127" s="28" t="str">
        <f>IFERROR(VLOOKUP($C127,CUENTAS[],2,0),"")</f>
        <v>MATERIALES</v>
      </c>
      <c r="E127" s="28" t="str">
        <f>IFERROR(VLOOKUP($C127,CUENTAS[],3,0),"")</f>
        <v>MDE2025-004</v>
      </c>
      <c r="F127" s="86">
        <v>319.39999999999998</v>
      </c>
      <c r="G127" s="129">
        <v>51.1</v>
      </c>
      <c r="H127" s="131">
        <v>370.5</v>
      </c>
      <c r="I127" s="200" t="str">
        <f t="shared" si="1"/>
        <v>CORRECTO</v>
      </c>
      <c r="J127" s="88" t="s">
        <v>1522</v>
      </c>
      <c r="K127" s="116" t="s">
        <v>980</v>
      </c>
      <c r="L127" s="95" t="s">
        <v>227</v>
      </c>
      <c r="M127" s="159">
        <v>45880</v>
      </c>
      <c r="N127" s="22" t="s">
        <v>2406</v>
      </c>
      <c r="P127" s="89"/>
      <c r="Q127" s="89"/>
    </row>
    <row r="128" spans="1:17" ht="14.25" customHeight="1" x14ac:dyDescent="0.3">
      <c r="A128" s="115" t="s">
        <v>2346</v>
      </c>
      <c r="B128" s="115" t="s">
        <v>2347</v>
      </c>
      <c r="C128" s="28" t="s">
        <v>224</v>
      </c>
      <c r="D128" s="28" t="str">
        <f>IFERROR(VLOOKUP($C128,CUENTAS[],2,0),"")</f>
        <v>MATERIALES</v>
      </c>
      <c r="E128" s="28" t="str">
        <f>IFERROR(VLOOKUP($C128,CUENTAS[],3,0),"")</f>
        <v>MDE2025-004</v>
      </c>
      <c r="F128" s="86">
        <v>25.86</v>
      </c>
      <c r="G128" s="129">
        <v>4.1399999999999997</v>
      </c>
      <c r="H128" s="131">
        <v>30</v>
      </c>
      <c r="I128" s="200" t="str">
        <f t="shared" si="1"/>
        <v>CORRECTO</v>
      </c>
      <c r="J128" s="88" t="s">
        <v>1522</v>
      </c>
      <c r="K128" s="116" t="s">
        <v>980</v>
      </c>
      <c r="L128" s="95" t="s">
        <v>227</v>
      </c>
      <c r="M128" s="159">
        <v>45880</v>
      </c>
      <c r="N128" s="22" t="s">
        <v>2407</v>
      </c>
      <c r="P128" s="89"/>
      <c r="Q128" s="89"/>
    </row>
    <row r="129" spans="1:17" ht="14.25" customHeight="1" x14ac:dyDescent="0.3">
      <c r="A129" s="115" t="s">
        <v>2039</v>
      </c>
      <c r="B129" s="115" t="s">
        <v>2348</v>
      </c>
      <c r="C129" s="28" t="s">
        <v>109</v>
      </c>
      <c r="D129" s="28" t="str">
        <f>IFERROR(VLOOKUP($C129,CUENTAS[],2,0),"")</f>
        <v>LOGÍSTICA</v>
      </c>
      <c r="E129" s="28" t="str">
        <f>IFERROR(VLOOKUP($C129,CUENTAS[],3,0),"")</f>
        <v>MDE2025-006A</v>
      </c>
      <c r="F129" s="86">
        <v>2643.97</v>
      </c>
      <c r="G129" s="129">
        <v>423.03</v>
      </c>
      <c r="H129" s="131">
        <v>3067</v>
      </c>
      <c r="I129" s="200" t="str">
        <f t="shared" si="1"/>
        <v>CORRECTO</v>
      </c>
      <c r="J129" s="88" t="s">
        <v>1522</v>
      </c>
      <c r="K129" s="116" t="s">
        <v>980</v>
      </c>
      <c r="L129" s="95" t="s">
        <v>227</v>
      </c>
      <c r="M129" s="159">
        <v>45880</v>
      </c>
      <c r="N129" s="22" t="s">
        <v>2408</v>
      </c>
      <c r="P129" s="89"/>
      <c r="Q129" s="89"/>
    </row>
    <row r="130" spans="1:17" ht="14.25" customHeight="1" x14ac:dyDescent="0.3">
      <c r="A130" s="115" t="s">
        <v>236</v>
      </c>
      <c r="B130" s="115" t="s">
        <v>1088</v>
      </c>
      <c r="C130" s="28" t="s">
        <v>201</v>
      </c>
      <c r="D130" s="28" t="str">
        <f>IFERROR(VLOOKUP($C130,CUENTAS[],2,0),"")</f>
        <v>ACTIVOS FIJOS</v>
      </c>
      <c r="E130" s="28" t="str">
        <f>IFERROR(VLOOKUP($C130,CUENTAS[],3,0),"")</f>
        <v>MDE2025-007I</v>
      </c>
      <c r="F130" s="86">
        <v>3500</v>
      </c>
      <c r="G130" s="129">
        <v>0</v>
      </c>
      <c r="H130" s="131">
        <v>3500</v>
      </c>
      <c r="I130" s="200" t="str">
        <f t="shared" si="1"/>
        <v>CORRECTO</v>
      </c>
      <c r="J130" s="88" t="s">
        <v>175</v>
      </c>
      <c r="K130" s="116" t="s">
        <v>363</v>
      </c>
      <c r="L130" s="95" t="s">
        <v>227</v>
      </c>
      <c r="M130" s="159">
        <v>45880</v>
      </c>
      <c r="N130" s="22" t="s">
        <v>371</v>
      </c>
      <c r="P130" s="89"/>
      <c r="Q130" s="89"/>
    </row>
    <row r="131" spans="1:17" ht="14.25" customHeight="1" x14ac:dyDescent="0.3">
      <c r="A131" s="115" t="s">
        <v>238</v>
      </c>
      <c r="B131" s="115" t="s">
        <v>1088</v>
      </c>
      <c r="C131" s="28" t="s">
        <v>201</v>
      </c>
      <c r="D131" s="28" t="str">
        <f>IFERROR(VLOOKUP($C131,CUENTAS[],2,0),"")</f>
        <v>ACTIVOS FIJOS</v>
      </c>
      <c r="E131" s="28" t="str">
        <f>IFERROR(VLOOKUP($C131,CUENTAS[],3,0),"")</f>
        <v>MDE2025-007I</v>
      </c>
      <c r="F131" s="86">
        <v>3200</v>
      </c>
      <c r="G131" s="129">
        <v>0</v>
      </c>
      <c r="H131" s="131">
        <v>3200</v>
      </c>
      <c r="I131" s="200" t="str">
        <f t="shared" ref="I131:I194" si="2">IFERROR(IF(F131+G131&lt;&gt;H131,"REVISAR","CORRECTO"),"")</f>
        <v>CORRECTO</v>
      </c>
      <c r="J131" s="88" t="s">
        <v>175</v>
      </c>
      <c r="K131" s="116" t="s">
        <v>363</v>
      </c>
      <c r="L131" s="95" t="s">
        <v>227</v>
      </c>
      <c r="M131" s="159">
        <v>45880</v>
      </c>
      <c r="N131" s="22" t="s">
        <v>371</v>
      </c>
      <c r="P131" s="89"/>
      <c r="Q131" s="89"/>
    </row>
    <row r="132" spans="1:17" ht="14.25" customHeight="1" x14ac:dyDescent="0.3">
      <c r="A132" s="115" t="s">
        <v>619</v>
      </c>
      <c r="B132" s="115" t="s">
        <v>2349</v>
      </c>
      <c r="C132" s="28" t="s">
        <v>222</v>
      </c>
      <c r="D132" s="28" t="str">
        <f>IFERROR(VLOOKUP($C132,CUENTAS[],2,0),"")</f>
        <v>MANTENIMIENTO</v>
      </c>
      <c r="E132" s="28" t="str">
        <f>IFERROR(VLOOKUP($C132,CUENTAS[],3,0),"")</f>
        <v>MDE2025-009A</v>
      </c>
      <c r="F132" s="86">
        <v>86.21</v>
      </c>
      <c r="G132" s="129">
        <v>13.79</v>
      </c>
      <c r="H132" s="131">
        <v>100</v>
      </c>
      <c r="I132" s="200" t="str">
        <f t="shared" si="2"/>
        <v>CORRECTO</v>
      </c>
      <c r="J132" s="88" t="s">
        <v>175</v>
      </c>
      <c r="K132" s="116" t="s">
        <v>364</v>
      </c>
      <c r="L132" s="95" t="s">
        <v>227</v>
      </c>
      <c r="M132" s="159">
        <v>45881</v>
      </c>
      <c r="N132" s="22" t="s">
        <v>2409</v>
      </c>
      <c r="P132" s="89"/>
      <c r="Q132" s="89"/>
    </row>
    <row r="133" spans="1:17" ht="14.25" customHeight="1" x14ac:dyDescent="0.3">
      <c r="A133" s="115" t="s">
        <v>2350</v>
      </c>
      <c r="B133" s="115" t="s">
        <v>2351</v>
      </c>
      <c r="C133" s="28" t="s">
        <v>224</v>
      </c>
      <c r="D133" s="28" t="str">
        <f>IFERROR(VLOOKUP($C133,CUENTAS[],2,0),"")</f>
        <v>MATERIALES</v>
      </c>
      <c r="E133" s="28" t="str">
        <f>IFERROR(VLOOKUP($C133,CUENTAS[],3,0),"")</f>
        <v>MDE2025-004</v>
      </c>
      <c r="F133" s="86">
        <v>380</v>
      </c>
      <c r="G133" s="129">
        <v>60.8</v>
      </c>
      <c r="H133" s="131">
        <v>440.8</v>
      </c>
      <c r="I133" s="200" t="str">
        <f t="shared" si="2"/>
        <v>CORRECTO</v>
      </c>
      <c r="J133" s="88" t="s">
        <v>1522</v>
      </c>
      <c r="K133" s="116" t="s">
        <v>980</v>
      </c>
      <c r="L133" s="95" t="s">
        <v>227</v>
      </c>
      <c r="M133" s="159">
        <v>45881</v>
      </c>
      <c r="N133" s="22" t="s">
        <v>2410</v>
      </c>
      <c r="P133" s="89"/>
      <c r="Q133" s="89"/>
    </row>
    <row r="134" spans="1:17" ht="14.25" customHeight="1" x14ac:dyDescent="0.3">
      <c r="A134" s="115" t="s">
        <v>2352</v>
      </c>
      <c r="B134" s="115" t="s">
        <v>2353</v>
      </c>
      <c r="C134" s="28" t="s">
        <v>224</v>
      </c>
      <c r="D134" s="28" t="str">
        <f>IFERROR(VLOOKUP($C134,CUENTAS[],2,0),"")</f>
        <v>MATERIALES</v>
      </c>
      <c r="E134" s="28" t="str">
        <f>IFERROR(VLOOKUP($C134,CUENTAS[],3,0),"")</f>
        <v>MDE2025-004</v>
      </c>
      <c r="F134" s="86">
        <v>620.69000000000005</v>
      </c>
      <c r="G134" s="129">
        <v>99.31</v>
      </c>
      <c r="H134" s="131">
        <v>720</v>
      </c>
      <c r="I134" s="200" t="str">
        <f t="shared" si="2"/>
        <v>CORRECTO</v>
      </c>
      <c r="J134" s="88" t="s">
        <v>1522</v>
      </c>
      <c r="K134" s="116" t="s">
        <v>980</v>
      </c>
      <c r="L134" s="95" t="s">
        <v>227</v>
      </c>
      <c r="M134" s="159">
        <v>45881</v>
      </c>
      <c r="N134" s="22" t="s">
        <v>2411</v>
      </c>
      <c r="P134" s="89"/>
      <c r="Q134" s="89"/>
    </row>
    <row r="135" spans="1:17" ht="14.25" customHeight="1" x14ac:dyDescent="0.3">
      <c r="A135" s="115" t="s">
        <v>2074</v>
      </c>
      <c r="B135" s="115" t="s">
        <v>2354</v>
      </c>
      <c r="C135" s="28" t="s">
        <v>159</v>
      </c>
      <c r="D135" s="28" t="str">
        <f>IFERROR(VLOOKUP($C135,CUENTAS[],2,0),"")</f>
        <v>GASTOS VARIOS</v>
      </c>
      <c r="E135" s="28" t="str">
        <f>IFERROR(VLOOKUP($C135,CUENTAS[],3,0),"")</f>
        <v>MDE2025-003A</v>
      </c>
      <c r="F135" s="86">
        <v>231.03</v>
      </c>
      <c r="G135" s="129">
        <v>36.97</v>
      </c>
      <c r="H135" s="131">
        <v>268</v>
      </c>
      <c r="I135" s="200" t="str">
        <f t="shared" si="2"/>
        <v>CORRECTO</v>
      </c>
      <c r="J135" s="88" t="s">
        <v>1522</v>
      </c>
      <c r="K135" s="116" t="s">
        <v>360</v>
      </c>
      <c r="L135" s="95" t="s">
        <v>227</v>
      </c>
      <c r="M135" s="159">
        <v>45881</v>
      </c>
      <c r="N135" s="22" t="s">
        <v>2412</v>
      </c>
      <c r="P135" s="89"/>
      <c r="Q135" s="89"/>
    </row>
    <row r="136" spans="1:17" ht="14.25" customHeight="1" x14ac:dyDescent="0.3">
      <c r="A136" s="115" t="s">
        <v>2350</v>
      </c>
      <c r="B136" s="115" t="s">
        <v>2355</v>
      </c>
      <c r="C136" s="28" t="s">
        <v>224</v>
      </c>
      <c r="D136" s="28" t="str">
        <f>IFERROR(VLOOKUP($C136,CUENTAS[],2,0),"")</f>
        <v>MATERIALES</v>
      </c>
      <c r="E136" s="28" t="str">
        <f>IFERROR(VLOOKUP($C136,CUENTAS[],3,0),"")</f>
        <v>MDE2025-004</v>
      </c>
      <c r="F136" s="86">
        <v>465</v>
      </c>
      <c r="G136" s="129">
        <v>74.400000000000006</v>
      </c>
      <c r="H136" s="131">
        <v>539.4</v>
      </c>
      <c r="I136" s="200" t="str">
        <f t="shared" si="2"/>
        <v>CORRECTO</v>
      </c>
      <c r="J136" s="88" t="s">
        <v>1522</v>
      </c>
      <c r="K136" s="116" t="s">
        <v>980</v>
      </c>
      <c r="L136" s="95" t="s">
        <v>227</v>
      </c>
      <c r="M136" s="159">
        <v>45882</v>
      </c>
      <c r="N136" s="22" t="s">
        <v>2413</v>
      </c>
      <c r="P136" s="89"/>
      <c r="Q136" s="89"/>
    </row>
    <row r="137" spans="1:17" ht="14.25" customHeight="1" x14ac:dyDescent="0.3">
      <c r="A137" s="115" t="s">
        <v>2356</v>
      </c>
      <c r="B137" s="115" t="s">
        <v>2357</v>
      </c>
      <c r="C137" s="28" t="s">
        <v>168</v>
      </c>
      <c r="D137" s="28" t="str">
        <f>IFERROR(VLOOKUP($C137,CUENTAS[],2,0),"")</f>
        <v>ACTIVOS FIJOS</v>
      </c>
      <c r="E137" s="28" t="str">
        <f>IFERROR(VLOOKUP($C137,CUENTAS[],3,0),"")</f>
        <v>MDE2025-007B</v>
      </c>
      <c r="F137" s="86">
        <v>7631.91</v>
      </c>
      <c r="G137" s="129">
        <v>1221.0999999999999</v>
      </c>
      <c r="H137" s="131">
        <v>8853.01</v>
      </c>
      <c r="I137" s="200" t="str">
        <f t="shared" si="2"/>
        <v>CORRECTO</v>
      </c>
      <c r="J137" s="88" t="s">
        <v>1522</v>
      </c>
      <c r="K137" s="116" t="s">
        <v>360</v>
      </c>
      <c r="L137" s="95" t="s">
        <v>227</v>
      </c>
      <c r="M137" s="159">
        <v>45882</v>
      </c>
      <c r="N137" s="22" t="s">
        <v>2414</v>
      </c>
      <c r="P137" s="89"/>
      <c r="Q137" s="89"/>
    </row>
    <row r="138" spans="1:17" ht="14.25" customHeight="1" x14ac:dyDescent="0.3">
      <c r="A138" s="115" t="s">
        <v>2356</v>
      </c>
      <c r="B138" s="115" t="s">
        <v>2357</v>
      </c>
      <c r="C138" s="28" t="s">
        <v>168</v>
      </c>
      <c r="D138" s="28" t="str">
        <f>IFERROR(VLOOKUP($C138,CUENTAS[],2,0),"")</f>
        <v>ACTIVOS FIJOS</v>
      </c>
      <c r="E138" s="28" t="str">
        <f>IFERROR(VLOOKUP($C138,CUENTAS[],3,0),"")</f>
        <v>MDE2025-007B</v>
      </c>
      <c r="F138" s="86">
        <v>7631.91</v>
      </c>
      <c r="G138" s="129">
        <v>1221.0999999999999</v>
      </c>
      <c r="H138" s="131">
        <v>8853.01</v>
      </c>
      <c r="I138" s="200" t="str">
        <f t="shared" si="2"/>
        <v>CORRECTO</v>
      </c>
      <c r="J138" s="88" t="s">
        <v>1522</v>
      </c>
      <c r="K138" s="116" t="s">
        <v>360</v>
      </c>
      <c r="L138" s="95" t="s">
        <v>227</v>
      </c>
      <c r="M138" s="159">
        <v>45882</v>
      </c>
      <c r="N138" s="22" t="s">
        <v>2415</v>
      </c>
      <c r="P138" s="89"/>
      <c r="Q138" s="89"/>
    </row>
    <row r="139" spans="1:17" ht="14.25" customHeight="1" x14ac:dyDescent="0.3">
      <c r="A139" s="115" t="s">
        <v>2356</v>
      </c>
      <c r="B139" s="115" t="s">
        <v>2357</v>
      </c>
      <c r="C139" s="28" t="s">
        <v>168</v>
      </c>
      <c r="D139" s="28" t="str">
        <f>IFERROR(VLOOKUP($C139,CUENTAS[],2,0),"")</f>
        <v>ACTIVOS FIJOS</v>
      </c>
      <c r="E139" s="28" t="str">
        <f>IFERROR(VLOOKUP($C139,CUENTAS[],3,0),"")</f>
        <v>MDE2025-007B</v>
      </c>
      <c r="F139" s="86">
        <v>7631.91</v>
      </c>
      <c r="G139" s="129">
        <v>1221.0999999999999</v>
      </c>
      <c r="H139" s="131">
        <v>8853.01</v>
      </c>
      <c r="I139" s="200" t="str">
        <f t="shared" si="2"/>
        <v>CORRECTO</v>
      </c>
      <c r="J139" s="88" t="s">
        <v>1522</v>
      </c>
      <c r="K139" s="116" t="s">
        <v>360</v>
      </c>
      <c r="L139" s="95" t="s">
        <v>227</v>
      </c>
      <c r="M139" s="159">
        <v>45882</v>
      </c>
      <c r="N139" s="22" t="s">
        <v>2416</v>
      </c>
      <c r="P139" s="89"/>
      <c r="Q139" s="89"/>
    </row>
    <row r="140" spans="1:17" ht="14.25" customHeight="1" x14ac:dyDescent="0.3">
      <c r="A140" s="115" t="s">
        <v>1253</v>
      </c>
      <c r="B140" s="115" t="s">
        <v>2358</v>
      </c>
      <c r="C140" s="28" t="s">
        <v>125</v>
      </c>
      <c r="D140" s="28" t="str">
        <f>IFERROR(VLOOKUP($C140,CUENTAS[],2,0),"")</f>
        <v>GASTOS FIJOS</v>
      </c>
      <c r="E140" s="28" t="str">
        <f>IFERROR(VLOOKUP($C140,CUENTAS[],3,0),"")</f>
        <v>MDE2025-002B</v>
      </c>
      <c r="F140" s="86">
        <v>900</v>
      </c>
      <c r="G140" s="129">
        <v>0</v>
      </c>
      <c r="H140" s="131">
        <v>900</v>
      </c>
      <c r="I140" s="200" t="str">
        <f t="shared" si="2"/>
        <v>CORRECTO</v>
      </c>
      <c r="J140" s="88" t="s">
        <v>175</v>
      </c>
      <c r="K140" s="116" t="s">
        <v>363</v>
      </c>
      <c r="L140" s="95" t="s">
        <v>227</v>
      </c>
      <c r="M140" s="159">
        <v>45883</v>
      </c>
      <c r="N140" s="22" t="s">
        <v>2417</v>
      </c>
      <c r="P140" s="89"/>
      <c r="Q140" s="89"/>
    </row>
    <row r="141" spans="1:17" ht="14.25" customHeight="1" x14ac:dyDescent="0.3">
      <c r="A141" s="115" t="s">
        <v>619</v>
      </c>
      <c r="B141" s="115" t="s">
        <v>2359</v>
      </c>
      <c r="C141" s="28" t="s">
        <v>223</v>
      </c>
      <c r="D141" s="28" t="str">
        <f>IFERROR(VLOOKUP($C141,CUENTAS[],2,0),"")</f>
        <v>MANTENIMIENTO</v>
      </c>
      <c r="E141" s="28" t="str">
        <f>IFERROR(VLOOKUP($C141,CUENTAS[],3,0),"")</f>
        <v>MDE2025-009B</v>
      </c>
      <c r="F141" s="86">
        <v>960</v>
      </c>
      <c r="G141" s="129">
        <v>0</v>
      </c>
      <c r="H141" s="131">
        <v>960</v>
      </c>
      <c r="I141" s="200" t="str">
        <f t="shared" si="2"/>
        <v>CORRECTO</v>
      </c>
      <c r="J141" s="88" t="s">
        <v>175</v>
      </c>
      <c r="K141" s="116" t="s">
        <v>1232</v>
      </c>
      <c r="L141" s="95" t="s">
        <v>227</v>
      </c>
      <c r="M141" s="159">
        <v>45884</v>
      </c>
      <c r="N141" s="22" t="s">
        <v>2418</v>
      </c>
      <c r="P141" s="89"/>
      <c r="Q141" s="89"/>
    </row>
    <row r="142" spans="1:17" ht="14.25" customHeight="1" x14ac:dyDescent="0.3">
      <c r="A142" s="115" t="s">
        <v>236</v>
      </c>
      <c r="B142" s="115" t="s">
        <v>1088</v>
      </c>
      <c r="C142" s="28" t="s">
        <v>201</v>
      </c>
      <c r="D142" s="28" t="str">
        <f>IFERROR(VLOOKUP($C142,CUENTAS[],2,0),"")</f>
        <v>ACTIVOS FIJOS</v>
      </c>
      <c r="E142" s="28" t="str">
        <f>IFERROR(VLOOKUP($C142,CUENTAS[],3,0),"")</f>
        <v>MDE2025-007I</v>
      </c>
      <c r="F142" s="86">
        <v>3500</v>
      </c>
      <c r="G142" s="129">
        <v>0</v>
      </c>
      <c r="H142" s="131">
        <v>3500</v>
      </c>
      <c r="I142" s="200" t="str">
        <f t="shared" si="2"/>
        <v>CORRECTO</v>
      </c>
      <c r="J142" s="88" t="s">
        <v>175</v>
      </c>
      <c r="K142" s="116" t="s">
        <v>363</v>
      </c>
      <c r="L142" s="95" t="s">
        <v>227</v>
      </c>
      <c r="M142" s="159">
        <v>45887</v>
      </c>
      <c r="N142" s="22" t="s">
        <v>371</v>
      </c>
      <c r="P142" s="89"/>
      <c r="Q142" s="89"/>
    </row>
    <row r="143" spans="1:17" ht="14.25" customHeight="1" x14ac:dyDescent="0.3">
      <c r="A143" s="115" t="s">
        <v>238</v>
      </c>
      <c r="B143" s="115" t="s">
        <v>1088</v>
      </c>
      <c r="C143" s="28" t="s">
        <v>201</v>
      </c>
      <c r="D143" s="28" t="str">
        <f>IFERROR(VLOOKUP($C143,CUENTAS[],2,0),"")</f>
        <v>ACTIVOS FIJOS</v>
      </c>
      <c r="E143" s="28" t="str">
        <f>IFERROR(VLOOKUP($C143,CUENTAS[],3,0),"")</f>
        <v>MDE2025-007I</v>
      </c>
      <c r="F143" s="86">
        <v>3200</v>
      </c>
      <c r="G143" s="129">
        <v>0</v>
      </c>
      <c r="H143" s="131">
        <v>3200</v>
      </c>
      <c r="I143" s="200" t="str">
        <f t="shared" si="2"/>
        <v>CORRECTO</v>
      </c>
      <c r="J143" s="88" t="s">
        <v>175</v>
      </c>
      <c r="K143" s="116" t="s">
        <v>363</v>
      </c>
      <c r="L143" s="95" t="s">
        <v>227</v>
      </c>
      <c r="M143" s="159">
        <v>45887</v>
      </c>
      <c r="N143" s="22" t="s">
        <v>371</v>
      </c>
      <c r="P143" s="89"/>
      <c r="Q143" s="89"/>
    </row>
    <row r="144" spans="1:17" ht="14.25" customHeight="1" x14ac:dyDescent="0.3">
      <c r="A144" s="115" t="s">
        <v>2360</v>
      </c>
      <c r="B144" s="115" t="s">
        <v>2361</v>
      </c>
      <c r="C144" s="28" t="s">
        <v>223</v>
      </c>
      <c r="D144" s="28" t="str">
        <f>IFERROR(VLOOKUP($C144,CUENTAS[],2,0),"")</f>
        <v>MANTENIMIENTO</v>
      </c>
      <c r="E144" s="28" t="str">
        <f>IFERROR(VLOOKUP($C144,CUENTAS[],3,0),"")</f>
        <v>MDE2025-009B</v>
      </c>
      <c r="F144" s="86">
        <v>400</v>
      </c>
      <c r="G144" s="129">
        <v>0</v>
      </c>
      <c r="H144" s="131">
        <v>400</v>
      </c>
      <c r="I144" s="200" t="str">
        <f t="shared" si="2"/>
        <v>CORRECTO</v>
      </c>
      <c r="J144" s="88" t="s">
        <v>175</v>
      </c>
      <c r="K144" s="116" t="s">
        <v>360</v>
      </c>
      <c r="L144" s="95" t="s">
        <v>227</v>
      </c>
      <c r="M144" s="159">
        <v>45887</v>
      </c>
      <c r="N144" s="22" t="s">
        <v>371</v>
      </c>
      <c r="P144" s="89"/>
      <c r="Q144" s="89"/>
    </row>
    <row r="145" spans="1:17" ht="14.25" customHeight="1" x14ac:dyDescent="0.3">
      <c r="A145" s="115" t="s">
        <v>855</v>
      </c>
      <c r="B145" s="115" t="s">
        <v>2362</v>
      </c>
      <c r="C145" s="28" t="s">
        <v>223</v>
      </c>
      <c r="D145" s="28" t="str">
        <f>IFERROR(VLOOKUP($C145,CUENTAS[],2,0),"")</f>
        <v>MANTENIMIENTO</v>
      </c>
      <c r="E145" s="28" t="str">
        <f>IFERROR(VLOOKUP($C145,CUENTAS[],3,0),"")</f>
        <v>MDE2025-009B</v>
      </c>
      <c r="F145" s="86">
        <v>2743.45</v>
      </c>
      <c r="G145" s="129">
        <v>438.95</v>
      </c>
      <c r="H145" s="131">
        <v>3182.4</v>
      </c>
      <c r="I145" s="200" t="str">
        <f t="shared" si="2"/>
        <v>CORRECTO</v>
      </c>
      <c r="J145" s="88" t="s">
        <v>1522</v>
      </c>
      <c r="K145" s="116" t="s">
        <v>360</v>
      </c>
      <c r="L145" s="95" t="s">
        <v>227</v>
      </c>
      <c r="M145" s="159">
        <v>45888</v>
      </c>
      <c r="N145" s="22" t="s">
        <v>2419</v>
      </c>
      <c r="P145" s="89"/>
      <c r="Q145" s="89"/>
    </row>
    <row r="146" spans="1:17" ht="14.25" customHeight="1" x14ac:dyDescent="0.3">
      <c r="A146" s="115" t="s">
        <v>1604</v>
      </c>
      <c r="B146" s="115" t="s">
        <v>2363</v>
      </c>
      <c r="C146" s="28" t="s">
        <v>224</v>
      </c>
      <c r="D146" s="28" t="str">
        <f>IFERROR(VLOOKUP($C146,CUENTAS[],2,0),"")</f>
        <v>MATERIALES</v>
      </c>
      <c r="E146" s="28" t="str">
        <f>IFERROR(VLOOKUP($C146,CUENTAS[],3,0),"")</f>
        <v>MDE2025-004</v>
      </c>
      <c r="F146" s="86">
        <v>763.8</v>
      </c>
      <c r="G146" s="129">
        <v>122.21</v>
      </c>
      <c r="H146" s="131">
        <v>886.01</v>
      </c>
      <c r="I146" s="200" t="str">
        <f t="shared" si="2"/>
        <v>CORRECTO</v>
      </c>
      <c r="J146" s="88" t="s">
        <v>1522</v>
      </c>
      <c r="K146" s="116" t="s">
        <v>360</v>
      </c>
      <c r="L146" s="95" t="s">
        <v>227</v>
      </c>
      <c r="M146" s="159">
        <v>45888</v>
      </c>
      <c r="N146" s="22" t="s">
        <v>2420</v>
      </c>
      <c r="P146" s="89"/>
      <c r="Q146" s="89"/>
    </row>
    <row r="147" spans="1:17" ht="14.25" customHeight="1" x14ac:dyDescent="0.3">
      <c r="A147" s="115" t="s">
        <v>1229</v>
      </c>
      <c r="B147" s="115" t="s">
        <v>2364</v>
      </c>
      <c r="C147" s="28" t="s">
        <v>151</v>
      </c>
      <c r="D147" s="28" t="str">
        <f>IFERROR(VLOOKUP($C147,CUENTAS[],2,0),"")</f>
        <v>GASTOS FIJOS</v>
      </c>
      <c r="E147" s="28" t="str">
        <f>IFERROR(VLOOKUP($C147,CUENTAS[],3,0),"")</f>
        <v>MDE2025-002F</v>
      </c>
      <c r="F147" s="86">
        <v>799</v>
      </c>
      <c r="G147" s="129">
        <v>0</v>
      </c>
      <c r="H147" s="131">
        <v>799</v>
      </c>
      <c r="I147" s="200" t="str">
        <f t="shared" si="2"/>
        <v>CORRECTO</v>
      </c>
      <c r="J147" s="88" t="s">
        <v>175</v>
      </c>
      <c r="K147" s="116" t="s">
        <v>363</v>
      </c>
      <c r="L147" s="95" t="s">
        <v>227</v>
      </c>
      <c r="M147" s="159">
        <v>45891</v>
      </c>
      <c r="N147" s="22" t="s">
        <v>371</v>
      </c>
      <c r="P147" s="89"/>
      <c r="Q147" s="89"/>
    </row>
    <row r="148" spans="1:17" ht="14.25" customHeight="1" x14ac:dyDescent="0.3">
      <c r="A148" s="115" t="s">
        <v>1229</v>
      </c>
      <c r="B148" s="115" t="s">
        <v>2365</v>
      </c>
      <c r="C148" s="28" t="s">
        <v>151</v>
      </c>
      <c r="D148" s="28" t="str">
        <f>IFERROR(VLOOKUP($C148,CUENTAS[],2,0),"")</f>
        <v>GASTOS FIJOS</v>
      </c>
      <c r="E148" s="28" t="str">
        <f>IFERROR(VLOOKUP($C148,CUENTAS[],3,0),"")</f>
        <v>MDE2025-002F</v>
      </c>
      <c r="F148" s="86">
        <v>799</v>
      </c>
      <c r="G148" s="129">
        <v>0</v>
      </c>
      <c r="H148" s="131">
        <v>799</v>
      </c>
      <c r="I148" s="200" t="str">
        <f t="shared" si="2"/>
        <v>CORRECTO</v>
      </c>
      <c r="J148" s="88" t="s">
        <v>175</v>
      </c>
      <c r="K148" s="116" t="s">
        <v>363</v>
      </c>
      <c r="L148" s="95" t="s">
        <v>227</v>
      </c>
      <c r="M148" s="159">
        <v>45891</v>
      </c>
      <c r="N148" s="22" t="s">
        <v>371</v>
      </c>
      <c r="P148" s="89"/>
      <c r="Q148" s="89"/>
    </row>
    <row r="149" spans="1:17" ht="14.25" customHeight="1" x14ac:dyDescent="0.3">
      <c r="A149" s="115" t="s">
        <v>2366</v>
      </c>
      <c r="B149" s="115" t="s">
        <v>2367</v>
      </c>
      <c r="C149" s="28" t="s">
        <v>223</v>
      </c>
      <c r="D149" s="28" t="str">
        <f>IFERROR(VLOOKUP($C149,CUENTAS[],2,0),"")</f>
        <v>MANTENIMIENTO</v>
      </c>
      <c r="E149" s="28" t="str">
        <f>IFERROR(VLOOKUP($C149,CUENTAS[],3,0),"")</f>
        <v>MDE2025-009B</v>
      </c>
      <c r="F149" s="86">
        <v>3060.34</v>
      </c>
      <c r="G149" s="129">
        <v>489.66</v>
      </c>
      <c r="H149" s="131">
        <v>3550</v>
      </c>
      <c r="I149" s="200" t="str">
        <f t="shared" si="2"/>
        <v>CORRECTO</v>
      </c>
      <c r="J149" s="88"/>
      <c r="K149" s="116" t="s">
        <v>2230</v>
      </c>
      <c r="L149" s="95" t="s">
        <v>227</v>
      </c>
      <c r="M149" s="159">
        <v>45891</v>
      </c>
      <c r="N149" s="22" t="s">
        <v>798</v>
      </c>
      <c r="P149" s="89"/>
      <c r="Q149" s="89"/>
    </row>
    <row r="150" spans="1:17" ht="14.25" customHeight="1" x14ac:dyDescent="0.3">
      <c r="A150" s="115" t="s">
        <v>236</v>
      </c>
      <c r="B150" s="115" t="s">
        <v>1088</v>
      </c>
      <c r="C150" s="28" t="s">
        <v>201</v>
      </c>
      <c r="D150" s="28" t="str">
        <f>IFERROR(VLOOKUP($C150,CUENTAS[],2,0),"")</f>
        <v>ACTIVOS FIJOS</v>
      </c>
      <c r="E150" s="28" t="str">
        <f>IFERROR(VLOOKUP($C150,CUENTAS[],3,0),"")</f>
        <v>MDE2025-007I</v>
      </c>
      <c r="F150" s="86">
        <v>3033.33</v>
      </c>
      <c r="G150" s="129">
        <v>0</v>
      </c>
      <c r="H150" s="131">
        <v>3033.33</v>
      </c>
      <c r="I150" s="200" t="str">
        <f t="shared" si="2"/>
        <v>CORRECTO</v>
      </c>
      <c r="J150" s="88" t="s">
        <v>175</v>
      </c>
      <c r="K150" s="116" t="s">
        <v>363</v>
      </c>
      <c r="L150" s="95" t="s">
        <v>227</v>
      </c>
      <c r="M150" s="159">
        <v>45894</v>
      </c>
      <c r="N150" s="22" t="s">
        <v>371</v>
      </c>
      <c r="P150" s="89"/>
      <c r="Q150" s="89"/>
    </row>
    <row r="151" spans="1:17" ht="14.25" customHeight="1" x14ac:dyDescent="0.3">
      <c r="A151" s="115" t="s">
        <v>238</v>
      </c>
      <c r="B151" s="115" t="s">
        <v>1088</v>
      </c>
      <c r="C151" s="28" t="s">
        <v>223</v>
      </c>
      <c r="D151" s="28" t="str">
        <f>IFERROR(VLOOKUP($C151,CUENTAS[],2,0),"")</f>
        <v>MANTENIMIENTO</v>
      </c>
      <c r="E151" s="28" t="str">
        <f>IFERROR(VLOOKUP($C151,CUENTAS[],3,0),"")</f>
        <v>MDE2025-009B</v>
      </c>
      <c r="F151" s="86">
        <v>3200</v>
      </c>
      <c r="G151" s="129">
        <v>0</v>
      </c>
      <c r="H151" s="131">
        <v>3200</v>
      </c>
      <c r="I151" s="200" t="str">
        <f t="shared" si="2"/>
        <v>CORRECTO</v>
      </c>
      <c r="J151" s="88" t="s">
        <v>175</v>
      </c>
      <c r="K151" s="116" t="s">
        <v>363</v>
      </c>
      <c r="L151" s="95" t="s">
        <v>227</v>
      </c>
      <c r="M151" s="159">
        <v>45894</v>
      </c>
      <c r="N151" s="22" t="s">
        <v>371</v>
      </c>
      <c r="P151" s="89"/>
      <c r="Q151" s="89"/>
    </row>
    <row r="152" spans="1:17" ht="14.25" customHeight="1" x14ac:dyDescent="0.3">
      <c r="A152" s="115" t="s">
        <v>619</v>
      </c>
      <c r="B152" s="115" t="s">
        <v>2368</v>
      </c>
      <c r="C152" s="28" t="s">
        <v>223</v>
      </c>
      <c r="D152" s="28" t="str">
        <f>IFERROR(VLOOKUP($C152,CUENTAS[],2,0),"")</f>
        <v>MANTENIMIENTO</v>
      </c>
      <c r="E152" s="28" t="str">
        <f>IFERROR(VLOOKUP($C152,CUENTAS[],3,0),"")</f>
        <v>MDE2025-009B</v>
      </c>
      <c r="F152" s="86">
        <v>300</v>
      </c>
      <c r="G152" s="129">
        <v>0</v>
      </c>
      <c r="H152" s="131">
        <v>300</v>
      </c>
      <c r="I152" s="200" t="str">
        <f t="shared" si="2"/>
        <v>CORRECTO</v>
      </c>
      <c r="J152" s="88" t="s">
        <v>1522</v>
      </c>
      <c r="K152" s="116" t="s">
        <v>472</v>
      </c>
      <c r="L152" s="95" t="s">
        <v>227</v>
      </c>
      <c r="M152" s="159">
        <v>45895</v>
      </c>
      <c r="N152" s="22" t="s">
        <v>2421</v>
      </c>
      <c r="P152" s="89"/>
      <c r="Q152" s="89"/>
    </row>
    <row r="153" spans="1:17" ht="14.25" customHeight="1" x14ac:dyDescent="0.3">
      <c r="A153" s="115" t="s">
        <v>878</v>
      </c>
      <c r="B153" s="115" t="s">
        <v>2369</v>
      </c>
      <c r="C153" s="28" t="s">
        <v>224</v>
      </c>
      <c r="D153" s="28" t="str">
        <f>IFERROR(VLOOKUP($C153,CUENTAS[],2,0),"")</f>
        <v>MATERIALES</v>
      </c>
      <c r="E153" s="28" t="str">
        <f>IFERROR(VLOOKUP($C153,CUENTAS[],3,0),"")</f>
        <v>MDE2025-004</v>
      </c>
      <c r="F153" s="86">
        <v>466.51</v>
      </c>
      <c r="G153" s="129">
        <v>74.64</v>
      </c>
      <c r="H153" s="131">
        <v>541.15</v>
      </c>
      <c r="I153" s="200" t="str">
        <f t="shared" si="2"/>
        <v>CORRECTO</v>
      </c>
      <c r="J153" s="88" t="s">
        <v>1522</v>
      </c>
      <c r="K153" s="116" t="s">
        <v>980</v>
      </c>
      <c r="L153" s="95" t="s">
        <v>227</v>
      </c>
      <c r="M153" s="159">
        <v>45895</v>
      </c>
      <c r="N153" s="22" t="s">
        <v>2422</v>
      </c>
      <c r="P153" s="89"/>
      <c r="Q153" s="89"/>
    </row>
    <row r="154" spans="1:17" ht="14.25" customHeight="1" x14ac:dyDescent="0.3">
      <c r="A154" s="115" t="s">
        <v>857</v>
      </c>
      <c r="B154" s="115" t="s">
        <v>2370</v>
      </c>
      <c r="C154" s="28" t="s">
        <v>224</v>
      </c>
      <c r="D154" s="28" t="str">
        <f>IFERROR(VLOOKUP($C154,CUENTAS[],2,0),"")</f>
        <v>MATERIALES</v>
      </c>
      <c r="E154" s="28" t="str">
        <f>IFERROR(VLOOKUP($C154,CUENTAS[],3,0),"")</f>
        <v>MDE2025-004</v>
      </c>
      <c r="F154" s="86">
        <v>191.38</v>
      </c>
      <c r="G154" s="129">
        <v>30.62</v>
      </c>
      <c r="H154" s="131">
        <v>222</v>
      </c>
      <c r="I154" s="200" t="str">
        <f t="shared" si="2"/>
        <v>CORRECTO</v>
      </c>
      <c r="J154" s="88" t="s">
        <v>1522</v>
      </c>
      <c r="K154" s="116" t="s">
        <v>980</v>
      </c>
      <c r="L154" s="95" t="s">
        <v>227</v>
      </c>
      <c r="M154" s="159">
        <v>45895</v>
      </c>
      <c r="N154" s="22" t="s">
        <v>2423</v>
      </c>
      <c r="P154" s="89"/>
      <c r="Q154" s="89"/>
    </row>
    <row r="155" spans="1:17" ht="14.25" customHeight="1" x14ac:dyDescent="0.3">
      <c r="A155" s="115" t="s">
        <v>1604</v>
      </c>
      <c r="B155" s="115" t="s">
        <v>2371</v>
      </c>
      <c r="C155" s="28" t="s">
        <v>224</v>
      </c>
      <c r="D155" s="28" t="str">
        <f>IFERROR(VLOOKUP($C155,CUENTAS[],2,0),"")</f>
        <v>MATERIALES</v>
      </c>
      <c r="E155" s="28" t="str">
        <f>IFERROR(VLOOKUP($C155,CUENTAS[],3,0),"")</f>
        <v>MDE2025-004</v>
      </c>
      <c r="F155" s="86">
        <v>125</v>
      </c>
      <c r="G155" s="129">
        <v>20</v>
      </c>
      <c r="H155" s="131">
        <v>145</v>
      </c>
      <c r="I155" s="200" t="str">
        <f t="shared" si="2"/>
        <v>CORRECTO</v>
      </c>
      <c r="J155" s="88" t="s">
        <v>1522</v>
      </c>
      <c r="K155" s="116" t="s">
        <v>980</v>
      </c>
      <c r="L155" s="95" t="s">
        <v>227</v>
      </c>
      <c r="M155" s="159">
        <v>45895</v>
      </c>
      <c r="N155" s="22" t="s">
        <v>2424</v>
      </c>
      <c r="P155" s="89"/>
      <c r="Q155" s="89"/>
    </row>
    <row r="156" spans="1:17" ht="14.25" customHeight="1" x14ac:dyDescent="0.3">
      <c r="A156" s="115" t="s">
        <v>2060</v>
      </c>
      <c r="B156" s="115" t="s">
        <v>2372</v>
      </c>
      <c r="C156" s="28" t="s">
        <v>224</v>
      </c>
      <c r="D156" s="28" t="str">
        <f>IFERROR(VLOOKUP($C156,CUENTAS[],2,0),"")</f>
        <v>MATERIALES</v>
      </c>
      <c r="E156" s="28" t="str">
        <f>IFERROR(VLOOKUP($C156,CUENTAS[],3,0),"")</f>
        <v>MDE2025-004</v>
      </c>
      <c r="F156" s="86">
        <v>281.02999999999997</v>
      </c>
      <c r="G156" s="129">
        <v>44.97</v>
      </c>
      <c r="H156" s="131">
        <v>326</v>
      </c>
      <c r="I156" s="200" t="str">
        <f t="shared" si="2"/>
        <v>CORRECTO</v>
      </c>
      <c r="J156" s="88" t="s">
        <v>1522</v>
      </c>
      <c r="K156" s="116" t="s">
        <v>980</v>
      </c>
      <c r="L156" s="95" t="s">
        <v>227</v>
      </c>
      <c r="M156" s="159">
        <v>45895</v>
      </c>
      <c r="N156" s="22" t="s">
        <v>2425</v>
      </c>
      <c r="P156" s="89"/>
      <c r="Q156" s="89"/>
    </row>
    <row r="157" spans="1:17" ht="14.25" customHeight="1" x14ac:dyDescent="0.3">
      <c r="A157" s="115" t="s">
        <v>1760</v>
      </c>
      <c r="B157" s="115" t="s">
        <v>2373</v>
      </c>
      <c r="C157" s="28" t="s">
        <v>224</v>
      </c>
      <c r="D157" s="28" t="str">
        <f>IFERROR(VLOOKUP($C157,CUENTAS[],2,0),"")</f>
        <v>MATERIALES</v>
      </c>
      <c r="E157" s="28" t="str">
        <f>IFERROR(VLOOKUP($C157,CUENTAS[],3,0),"")</f>
        <v>MDE2025-004</v>
      </c>
      <c r="F157" s="86">
        <v>378.44</v>
      </c>
      <c r="G157" s="129">
        <v>60.56</v>
      </c>
      <c r="H157" s="131">
        <v>439</v>
      </c>
      <c r="I157" s="200" t="str">
        <f t="shared" si="2"/>
        <v>CORRECTO</v>
      </c>
      <c r="J157" s="88" t="s">
        <v>1522</v>
      </c>
      <c r="K157" s="116" t="s">
        <v>980</v>
      </c>
      <c r="L157" s="95" t="s">
        <v>227</v>
      </c>
      <c r="M157" s="159">
        <v>45895</v>
      </c>
      <c r="N157" s="22" t="s">
        <v>2426</v>
      </c>
      <c r="P157" s="89"/>
      <c r="Q157" s="89"/>
    </row>
    <row r="158" spans="1:17" ht="14.25" customHeight="1" x14ac:dyDescent="0.3">
      <c r="A158" s="115" t="s">
        <v>1721</v>
      </c>
      <c r="B158" s="115" t="s">
        <v>2374</v>
      </c>
      <c r="C158" s="28" t="s">
        <v>224</v>
      </c>
      <c r="D158" s="28" t="str">
        <f>IFERROR(VLOOKUP($C158,CUENTAS[],2,0),"")</f>
        <v>MATERIALES</v>
      </c>
      <c r="E158" s="28" t="str">
        <f>IFERROR(VLOOKUP($C158,CUENTAS[],3,0),"")</f>
        <v>MDE2025-004</v>
      </c>
      <c r="F158" s="86">
        <v>1063.79</v>
      </c>
      <c r="G158" s="129">
        <v>170.21</v>
      </c>
      <c r="H158" s="131">
        <v>1234</v>
      </c>
      <c r="I158" s="200" t="str">
        <f t="shared" si="2"/>
        <v>CORRECTO</v>
      </c>
      <c r="J158" s="88" t="s">
        <v>1522</v>
      </c>
      <c r="K158" s="116" t="s">
        <v>980</v>
      </c>
      <c r="L158" s="95" t="s">
        <v>227</v>
      </c>
      <c r="M158" s="159">
        <v>45895</v>
      </c>
      <c r="N158" s="22" t="s">
        <v>2427</v>
      </c>
      <c r="P158" s="89"/>
      <c r="Q158" s="89"/>
    </row>
    <row r="159" spans="1:17" ht="14.25" customHeight="1" x14ac:dyDescent="0.3">
      <c r="A159" s="115" t="s">
        <v>619</v>
      </c>
      <c r="B159" s="115" t="s">
        <v>2375</v>
      </c>
      <c r="C159" s="28" t="s">
        <v>223</v>
      </c>
      <c r="D159" s="28" t="str">
        <f>IFERROR(VLOOKUP($C159,CUENTAS[],2,0),"")</f>
        <v>MANTENIMIENTO</v>
      </c>
      <c r="E159" s="28" t="str">
        <f>IFERROR(VLOOKUP($C159,CUENTAS[],3,0),"")</f>
        <v>MDE2025-009B</v>
      </c>
      <c r="F159" s="86">
        <v>1473</v>
      </c>
      <c r="G159" s="129">
        <v>0</v>
      </c>
      <c r="H159" s="131">
        <v>1473</v>
      </c>
      <c r="I159" s="200" t="str">
        <f t="shared" si="2"/>
        <v>CORRECTO</v>
      </c>
      <c r="J159" s="88" t="s">
        <v>1522</v>
      </c>
      <c r="K159" s="116" t="s">
        <v>472</v>
      </c>
      <c r="L159" s="95" t="s">
        <v>227</v>
      </c>
      <c r="M159" s="159">
        <v>45896</v>
      </c>
      <c r="N159" s="22" t="s">
        <v>2439</v>
      </c>
      <c r="P159" s="89"/>
      <c r="Q159" s="89"/>
    </row>
    <row r="160" spans="1:17" ht="14.25" customHeight="1" x14ac:dyDescent="0.3">
      <c r="A160" s="115" t="s">
        <v>857</v>
      </c>
      <c r="B160" s="115" t="s">
        <v>2376</v>
      </c>
      <c r="C160" s="28" t="s">
        <v>224</v>
      </c>
      <c r="D160" s="28" t="str">
        <f>IFERROR(VLOOKUP($C160,CUENTAS[],2,0),"")</f>
        <v>MATERIALES</v>
      </c>
      <c r="E160" s="28" t="str">
        <f>IFERROR(VLOOKUP($C160,CUENTAS[],3,0),"")</f>
        <v>MDE2025-004</v>
      </c>
      <c r="F160" s="86">
        <v>1103.79</v>
      </c>
      <c r="G160" s="129">
        <v>176.61</v>
      </c>
      <c r="H160" s="131">
        <v>1280.4000000000001</v>
      </c>
      <c r="I160" s="200" t="str">
        <f t="shared" si="2"/>
        <v>CORRECTO</v>
      </c>
      <c r="J160" s="88" t="s">
        <v>1522</v>
      </c>
      <c r="K160" s="116" t="s">
        <v>980</v>
      </c>
      <c r="L160" s="95" t="s">
        <v>227</v>
      </c>
      <c r="M160" s="159">
        <v>45896</v>
      </c>
      <c r="N160" s="22" t="s">
        <v>2428</v>
      </c>
      <c r="P160" s="89"/>
      <c r="Q160" s="89"/>
    </row>
    <row r="161" spans="1:17" ht="14.25" customHeight="1" x14ac:dyDescent="0.3">
      <c r="A161" s="115" t="s">
        <v>857</v>
      </c>
      <c r="B161" s="115" t="s">
        <v>2377</v>
      </c>
      <c r="C161" s="28" t="s">
        <v>224</v>
      </c>
      <c r="D161" s="28" t="str">
        <f>IFERROR(VLOOKUP($C161,CUENTAS[],2,0),"")</f>
        <v>MATERIALES</v>
      </c>
      <c r="E161" s="28" t="str">
        <f>IFERROR(VLOOKUP($C161,CUENTAS[],3,0),"")</f>
        <v>MDE2025-004</v>
      </c>
      <c r="F161" s="86">
        <v>624.14</v>
      </c>
      <c r="G161" s="129">
        <v>99.86</v>
      </c>
      <c r="H161" s="131">
        <v>724</v>
      </c>
      <c r="I161" s="200" t="str">
        <f t="shared" si="2"/>
        <v>CORRECTO</v>
      </c>
      <c r="J161" s="88" t="s">
        <v>1522</v>
      </c>
      <c r="K161" s="116" t="s">
        <v>980</v>
      </c>
      <c r="L161" s="95" t="s">
        <v>227</v>
      </c>
      <c r="M161" s="159">
        <v>45896</v>
      </c>
      <c r="N161" s="22" t="s">
        <v>2429</v>
      </c>
      <c r="P161" s="89"/>
      <c r="Q161" s="89"/>
    </row>
    <row r="162" spans="1:17" ht="14.25" customHeight="1" x14ac:dyDescent="0.3">
      <c r="A162" s="115" t="s">
        <v>878</v>
      </c>
      <c r="B162" s="115" t="s">
        <v>2378</v>
      </c>
      <c r="C162" s="28" t="s">
        <v>224</v>
      </c>
      <c r="D162" s="28" t="str">
        <f>IFERROR(VLOOKUP($C162,CUENTAS[],2,0),"")</f>
        <v>MATERIALES</v>
      </c>
      <c r="E162" s="28" t="str">
        <f>IFERROR(VLOOKUP($C162,CUENTAS[],3,0),"")</f>
        <v>MDE2025-004</v>
      </c>
      <c r="F162" s="86">
        <v>393.05</v>
      </c>
      <c r="G162" s="129">
        <v>62.89</v>
      </c>
      <c r="H162" s="131">
        <v>455.94</v>
      </c>
      <c r="I162" s="200" t="str">
        <f t="shared" si="2"/>
        <v>CORRECTO</v>
      </c>
      <c r="J162" s="88" t="s">
        <v>1522</v>
      </c>
      <c r="K162" s="116" t="s">
        <v>980</v>
      </c>
      <c r="L162" s="95" t="s">
        <v>227</v>
      </c>
      <c r="M162" s="159">
        <v>45896</v>
      </c>
      <c r="N162" s="22" t="s">
        <v>2430</v>
      </c>
      <c r="P162" s="89"/>
      <c r="Q162" s="89"/>
    </row>
    <row r="163" spans="1:17" ht="14.25" customHeight="1" x14ac:dyDescent="0.3">
      <c r="A163" s="115" t="s">
        <v>2052</v>
      </c>
      <c r="B163" s="115" t="s">
        <v>2379</v>
      </c>
      <c r="C163" s="28" t="s">
        <v>224</v>
      </c>
      <c r="D163" s="28" t="str">
        <f>IFERROR(VLOOKUP($C163,CUENTAS[],2,0),"")</f>
        <v>MATERIALES</v>
      </c>
      <c r="E163" s="28" t="str">
        <f>IFERROR(VLOOKUP($C163,CUENTAS[],3,0),"")</f>
        <v>MDE2025-004</v>
      </c>
      <c r="F163" s="86">
        <v>517.24</v>
      </c>
      <c r="G163" s="129">
        <v>82.76</v>
      </c>
      <c r="H163" s="131">
        <v>600</v>
      </c>
      <c r="I163" s="200" t="str">
        <f t="shared" si="2"/>
        <v>CORRECTO</v>
      </c>
      <c r="J163" s="88" t="s">
        <v>1522</v>
      </c>
      <c r="K163" s="116" t="s">
        <v>980</v>
      </c>
      <c r="L163" s="95" t="s">
        <v>227</v>
      </c>
      <c r="M163" s="159">
        <v>45896</v>
      </c>
      <c r="N163" s="22" t="s">
        <v>2431</v>
      </c>
      <c r="P163" s="89"/>
      <c r="Q163" s="89"/>
    </row>
    <row r="164" spans="1:17" ht="14.25" customHeight="1" x14ac:dyDescent="0.3">
      <c r="A164" s="115" t="s">
        <v>857</v>
      </c>
      <c r="B164" s="115" t="s">
        <v>2380</v>
      </c>
      <c r="C164" s="28" t="s">
        <v>224</v>
      </c>
      <c r="D164" s="28" t="str">
        <f>IFERROR(VLOOKUP($C164,CUENTAS[],2,0),"")</f>
        <v>MATERIALES</v>
      </c>
      <c r="E164" s="28" t="str">
        <f>IFERROR(VLOOKUP($C164,CUENTAS[],3,0),"")</f>
        <v>MDE2025-004</v>
      </c>
      <c r="F164" s="86">
        <v>1837.07</v>
      </c>
      <c r="G164" s="129">
        <v>293.93</v>
      </c>
      <c r="H164" s="131">
        <v>2131</v>
      </c>
      <c r="I164" s="200" t="str">
        <f t="shared" si="2"/>
        <v>CORRECTO</v>
      </c>
      <c r="J164" s="88" t="s">
        <v>1522</v>
      </c>
      <c r="K164" s="116" t="s">
        <v>980</v>
      </c>
      <c r="L164" s="95" t="s">
        <v>227</v>
      </c>
      <c r="M164" s="159">
        <v>45896</v>
      </c>
      <c r="N164" s="22" t="s">
        <v>2432</v>
      </c>
      <c r="P164" s="89"/>
      <c r="Q164" s="89"/>
    </row>
    <row r="165" spans="1:17" ht="14.25" customHeight="1" x14ac:dyDescent="0.3">
      <c r="A165" s="115" t="s">
        <v>845</v>
      </c>
      <c r="B165" s="115" t="s">
        <v>2381</v>
      </c>
      <c r="C165" s="28" t="s">
        <v>224</v>
      </c>
      <c r="D165" s="28" t="str">
        <f>IFERROR(VLOOKUP($C165,CUENTAS[],2,0),"")</f>
        <v>MATERIALES</v>
      </c>
      <c r="E165" s="28" t="str">
        <f>IFERROR(VLOOKUP($C165,CUENTAS[],3,0),"")</f>
        <v>MDE2025-004</v>
      </c>
      <c r="F165" s="86">
        <v>344.8</v>
      </c>
      <c r="G165" s="129">
        <v>55.17</v>
      </c>
      <c r="H165" s="131">
        <v>399.97</v>
      </c>
      <c r="I165" s="200" t="str">
        <f t="shared" si="2"/>
        <v>CORRECTO</v>
      </c>
      <c r="J165" s="88" t="s">
        <v>1522</v>
      </c>
      <c r="K165" s="116" t="s">
        <v>980</v>
      </c>
      <c r="L165" s="95" t="s">
        <v>227</v>
      </c>
      <c r="M165" s="159">
        <v>45896</v>
      </c>
      <c r="N165" s="22" t="s">
        <v>2433</v>
      </c>
      <c r="P165" s="89"/>
      <c r="Q165" s="89"/>
    </row>
    <row r="166" spans="1:17" ht="14.25" customHeight="1" x14ac:dyDescent="0.3">
      <c r="A166" s="115" t="s">
        <v>619</v>
      </c>
      <c r="B166" s="115" t="s">
        <v>2382</v>
      </c>
      <c r="C166" s="28" t="s">
        <v>222</v>
      </c>
      <c r="D166" s="28" t="str">
        <f>IFERROR(VLOOKUP($C166,CUENTAS[],2,0),"")</f>
        <v>MANTENIMIENTO</v>
      </c>
      <c r="E166" s="28" t="str">
        <f>IFERROR(VLOOKUP($C166,CUENTAS[],3,0),"")</f>
        <v>MDE2025-009A</v>
      </c>
      <c r="F166" s="86">
        <v>709</v>
      </c>
      <c r="G166" s="129">
        <v>0</v>
      </c>
      <c r="H166" s="131">
        <v>709</v>
      </c>
      <c r="I166" s="200" t="str">
        <f t="shared" si="2"/>
        <v>CORRECTO</v>
      </c>
      <c r="J166" s="88" t="s">
        <v>175</v>
      </c>
      <c r="K166" s="116" t="s">
        <v>980</v>
      </c>
      <c r="L166" s="95" t="s">
        <v>227</v>
      </c>
      <c r="M166" s="159">
        <v>45897</v>
      </c>
      <c r="N166" s="22" t="s">
        <v>2440</v>
      </c>
      <c r="P166" s="89"/>
      <c r="Q166" s="89"/>
    </row>
    <row r="167" spans="1:17" ht="14.25" customHeight="1" x14ac:dyDescent="0.3">
      <c r="A167" s="115" t="s">
        <v>2383</v>
      </c>
      <c r="B167" s="115" t="s">
        <v>2384</v>
      </c>
      <c r="C167" s="28" t="s">
        <v>109</v>
      </c>
      <c r="D167" s="28" t="str">
        <f>IFERROR(VLOOKUP($C167,CUENTAS[],2,0),"")</f>
        <v>LOGÍSTICA</v>
      </c>
      <c r="E167" s="28" t="str">
        <f>IFERROR(VLOOKUP($C167,CUENTAS[],3,0),"")</f>
        <v>MDE2025-006A</v>
      </c>
      <c r="F167" s="86">
        <v>7589.66</v>
      </c>
      <c r="G167" s="129">
        <v>1214.3399999999999</v>
      </c>
      <c r="H167" s="131">
        <v>8804</v>
      </c>
      <c r="I167" s="200" t="str">
        <f t="shared" si="2"/>
        <v>CORRECTO</v>
      </c>
      <c r="J167" s="88" t="s">
        <v>1522</v>
      </c>
      <c r="K167" s="116" t="s">
        <v>2230</v>
      </c>
      <c r="L167" s="95" t="s">
        <v>227</v>
      </c>
      <c r="M167" s="159">
        <v>45897</v>
      </c>
      <c r="N167" s="22" t="s">
        <v>2434</v>
      </c>
      <c r="P167" s="89"/>
      <c r="Q167" s="89"/>
    </row>
    <row r="168" spans="1:17" ht="14.25" customHeight="1" x14ac:dyDescent="0.3">
      <c r="A168" s="115" t="s">
        <v>1721</v>
      </c>
      <c r="B168" s="115" t="s">
        <v>2385</v>
      </c>
      <c r="C168" s="28" t="s">
        <v>224</v>
      </c>
      <c r="D168" s="28" t="str">
        <f>IFERROR(VLOOKUP($C168,CUENTAS[],2,0),"")</f>
        <v>MATERIALES</v>
      </c>
      <c r="E168" s="28" t="str">
        <f>IFERROR(VLOOKUP($C168,CUENTAS[],3,0),"")</f>
        <v>MDE2025-004</v>
      </c>
      <c r="F168" s="86">
        <v>983.62</v>
      </c>
      <c r="G168" s="129">
        <v>157.38</v>
      </c>
      <c r="H168" s="131">
        <v>1141</v>
      </c>
      <c r="I168" s="200" t="str">
        <f t="shared" si="2"/>
        <v>CORRECTO</v>
      </c>
      <c r="J168" s="88" t="s">
        <v>1522</v>
      </c>
      <c r="K168" s="116" t="s">
        <v>980</v>
      </c>
      <c r="L168" s="95" t="s">
        <v>227</v>
      </c>
      <c r="M168" s="159">
        <v>45897</v>
      </c>
      <c r="N168" s="22" t="s">
        <v>2435</v>
      </c>
      <c r="P168" s="89"/>
      <c r="Q168" s="89"/>
    </row>
    <row r="169" spans="1:17" ht="14.25" customHeight="1" x14ac:dyDescent="0.3">
      <c r="A169" s="115" t="s">
        <v>448</v>
      </c>
      <c r="B169" s="115" t="s">
        <v>2386</v>
      </c>
      <c r="C169" s="28" t="s">
        <v>113</v>
      </c>
      <c r="D169" s="28" t="str">
        <f>IFERROR(VLOOKUP($C169,CUENTAS[],2,0),"")</f>
        <v>GASTOS VARIOS</v>
      </c>
      <c r="E169" s="28" t="str">
        <f>IFERROR(VLOOKUP($C169,CUENTAS[],3,0),"")</f>
        <v>MDE2025-003B</v>
      </c>
      <c r="F169" s="86">
        <v>1189.6500000000001</v>
      </c>
      <c r="G169" s="129">
        <v>190.35</v>
      </c>
      <c r="H169" s="131">
        <v>1380</v>
      </c>
      <c r="I169" s="200" t="str">
        <f t="shared" si="2"/>
        <v>CORRECTO</v>
      </c>
      <c r="J169" s="88" t="s">
        <v>1522</v>
      </c>
      <c r="K169" s="116" t="s">
        <v>360</v>
      </c>
      <c r="L169" s="95" t="s">
        <v>227</v>
      </c>
      <c r="M169" s="159">
        <v>45897</v>
      </c>
      <c r="N169" s="22" t="s">
        <v>2436</v>
      </c>
      <c r="P169" s="89"/>
      <c r="Q169" s="89"/>
    </row>
    <row r="170" spans="1:17" ht="14.25" customHeight="1" x14ac:dyDescent="0.3">
      <c r="A170" s="115" t="s">
        <v>2387</v>
      </c>
      <c r="B170" s="115" t="s">
        <v>2388</v>
      </c>
      <c r="C170" s="28" t="s">
        <v>224</v>
      </c>
      <c r="D170" s="28" t="str">
        <f>IFERROR(VLOOKUP($C170,CUENTAS[],2,0),"")</f>
        <v>MATERIALES</v>
      </c>
      <c r="E170" s="28" t="str">
        <f>IFERROR(VLOOKUP($C170,CUENTAS[],3,0),"")</f>
        <v>MDE2025-004</v>
      </c>
      <c r="F170" s="86">
        <v>5000</v>
      </c>
      <c r="G170" s="129">
        <v>0</v>
      </c>
      <c r="H170" s="131">
        <v>5000</v>
      </c>
      <c r="I170" s="200" t="str">
        <f t="shared" si="2"/>
        <v>CORRECTO</v>
      </c>
      <c r="J170" s="88" t="s">
        <v>175</v>
      </c>
      <c r="K170" s="116" t="s">
        <v>2230</v>
      </c>
      <c r="L170" s="95" t="s">
        <v>227</v>
      </c>
      <c r="M170" s="159">
        <v>45898</v>
      </c>
      <c r="N170" s="22" t="s">
        <v>2437</v>
      </c>
      <c r="P170" s="89"/>
      <c r="Q170" s="89"/>
    </row>
    <row r="171" spans="1:17" ht="14.25" customHeight="1" x14ac:dyDescent="0.3">
      <c r="A171" s="115" t="s">
        <v>619</v>
      </c>
      <c r="B171" s="115" t="s">
        <v>2389</v>
      </c>
      <c r="C171" s="28" t="s">
        <v>224</v>
      </c>
      <c r="D171" s="28" t="str">
        <f>IFERROR(VLOOKUP($C171,CUENTAS[],2,0),"")</f>
        <v>MATERIALES</v>
      </c>
      <c r="E171" s="28" t="str">
        <f>IFERROR(VLOOKUP($C171,CUENTAS[],3,0),"")</f>
        <v>MDE2025-004</v>
      </c>
      <c r="F171" s="86">
        <v>997.41</v>
      </c>
      <c r="G171" s="129">
        <v>159.59</v>
      </c>
      <c r="H171" s="131">
        <v>1157</v>
      </c>
      <c r="I171" s="200" t="str">
        <f t="shared" si="2"/>
        <v>CORRECTO</v>
      </c>
      <c r="J171" s="88" t="s">
        <v>1522</v>
      </c>
      <c r="K171" s="116" t="s">
        <v>980</v>
      </c>
      <c r="L171" s="95" t="s">
        <v>227</v>
      </c>
      <c r="M171" s="159">
        <v>45898</v>
      </c>
      <c r="N171" s="22" t="s">
        <v>2438</v>
      </c>
      <c r="P171" s="89"/>
      <c r="Q171" s="89"/>
    </row>
    <row r="172" spans="1:17" ht="14.25" customHeight="1" x14ac:dyDescent="0.3">
      <c r="A172" s="115" t="s">
        <v>2390</v>
      </c>
      <c r="B172" s="115" t="s">
        <v>2391</v>
      </c>
      <c r="C172" s="28" t="s">
        <v>202</v>
      </c>
      <c r="D172" s="28" t="str">
        <f>IFERROR(VLOOKUP($C172,CUENTAS[],2,0),"")</f>
        <v>ACTIVOS FIJOS</v>
      </c>
      <c r="E172" s="28" t="str">
        <f>IFERROR(VLOOKUP($C172,CUENTAS[],3,0),"")</f>
        <v>MDE2025-007J</v>
      </c>
      <c r="F172" s="86">
        <v>23980</v>
      </c>
      <c r="G172" s="129">
        <v>0</v>
      </c>
      <c r="H172" s="131">
        <v>23980</v>
      </c>
      <c r="I172" s="200" t="str">
        <f t="shared" si="2"/>
        <v>CORRECTO</v>
      </c>
      <c r="J172" s="88" t="s">
        <v>175</v>
      </c>
      <c r="K172" s="116" t="s">
        <v>360</v>
      </c>
      <c r="L172" s="95" t="s">
        <v>227</v>
      </c>
      <c r="M172" s="159">
        <v>45898</v>
      </c>
      <c r="N172" s="22" t="s">
        <v>368</v>
      </c>
      <c r="P172" s="89"/>
      <c r="Q172" s="89"/>
    </row>
    <row r="173" spans="1:17" ht="14.25" customHeight="1" x14ac:dyDescent="0.3">
      <c r="A173" s="115" t="s">
        <v>2392</v>
      </c>
      <c r="B173" s="115" t="s">
        <v>2393</v>
      </c>
      <c r="C173" s="28" t="s">
        <v>162</v>
      </c>
      <c r="D173" s="28" t="str">
        <f>IFERROR(VLOOKUP($C173,CUENTAS[],2,0),"")</f>
        <v>GASTOS VARIOS</v>
      </c>
      <c r="E173" s="28" t="str">
        <f>IFERROR(VLOOKUP($C173,CUENTAS[],3,0),"")</f>
        <v>MDE2025-003F</v>
      </c>
      <c r="F173" s="86">
        <v>566.01</v>
      </c>
      <c r="G173" s="129">
        <v>0</v>
      </c>
      <c r="H173" s="131">
        <v>566.01</v>
      </c>
      <c r="I173" s="200" t="str">
        <f t="shared" si="2"/>
        <v>CORRECTO</v>
      </c>
      <c r="J173" s="88" t="s">
        <v>175</v>
      </c>
      <c r="K173" s="116" t="s">
        <v>2230</v>
      </c>
      <c r="L173" s="95" t="s">
        <v>227</v>
      </c>
      <c r="M173" s="159">
        <v>45898</v>
      </c>
      <c r="N173" s="22" t="s">
        <v>368</v>
      </c>
      <c r="P173" s="89"/>
      <c r="Q173" s="89"/>
    </row>
    <row r="174" spans="1:17" ht="14.25" customHeight="1" x14ac:dyDescent="0.3">
      <c r="A174" s="115" t="s">
        <v>2441</v>
      </c>
      <c r="B174" s="115" t="s">
        <v>2442</v>
      </c>
      <c r="C174" s="28" t="s">
        <v>140</v>
      </c>
      <c r="D174" s="28" t="str">
        <f>IFERROR(VLOOKUP($C174,CUENTAS[],2,0),"")</f>
        <v>LOGÍSTICA</v>
      </c>
      <c r="E174" s="28" t="str">
        <f>IFERROR(VLOOKUP($C174,CUENTAS[],3,0),"")</f>
        <v>MDE2025-006B</v>
      </c>
      <c r="F174" s="86">
        <v>566</v>
      </c>
      <c r="G174" s="129">
        <v>0</v>
      </c>
      <c r="H174" s="131">
        <v>566</v>
      </c>
      <c r="I174" s="200" t="str">
        <f t="shared" si="2"/>
        <v>CORRECTO</v>
      </c>
      <c r="J174" s="88" t="s">
        <v>176</v>
      </c>
      <c r="K174" s="116" t="s">
        <v>2230</v>
      </c>
      <c r="L174" s="95" t="s">
        <v>227</v>
      </c>
      <c r="M174" s="159">
        <v>45896</v>
      </c>
      <c r="N174" s="22" t="s">
        <v>368</v>
      </c>
      <c r="P174" s="89"/>
      <c r="Q174" s="89"/>
    </row>
    <row r="175" spans="1:17" ht="14.25" customHeight="1" x14ac:dyDescent="0.3">
      <c r="A175" s="115" t="s">
        <v>1045</v>
      </c>
      <c r="B175" s="115" t="s">
        <v>2443</v>
      </c>
      <c r="C175" s="28" t="s">
        <v>224</v>
      </c>
      <c r="D175" s="28" t="str">
        <f>IFERROR(VLOOKUP($C175,CUENTAS[],2,0),"")</f>
        <v>MATERIALES</v>
      </c>
      <c r="E175" s="28" t="str">
        <f>IFERROR(VLOOKUP($C175,CUENTAS[],3,0),"")</f>
        <v>MDE2025-004</v>
      </c>
      <c r="F175" s="86">
        <v>19.47</v>
      </c>
      <c r="G175" s="129">
        <v>0</v>
      </c>
      <c r="H175" s="131">
        <v>19.47</v>
      </c>
      <c r="I175" s="200" t="str">
        <f t="shared" si="2"/>
        <v>CORRECTO</v>
      </c>
      <c r="J175" s="88" t="s">
        <v>176</v>
      </c>
      <c r="K175" s="116" t="s">
        <v>980</v>
      </c>
      <c r="L175" s="95" t="s">
        <v>227</v>
      </c>
      <c r="M175" s="159">
        <v>45880</v>
      </c>
      <c r="N175" s="22" t="s">
        <v>2448</v>
      </c>
      <c r="P175" s="89"/>
      <c r="Q175" s="89"/>
    </row>
    <row r="176" spans="1:17" ht="14.25" customHeight="1" x14ac:dyDescent="0.3">
      <c r="A176" s="115" t="s">
        <v>2441</v>
      </c>
      <c r="B176" s="115" t="s">
        <v>2444</v>
      </c>
      <c r="C176" s="28" t="s">
        <v>140</v>
      </c>
      <c r="D176" s="28" t="str">
        <f>IFERROR(VLOOKUP($C176,CUENTAS[],2,0),"")</f>
        <v>LOGÍSTICA</v>
      </c>
      <c r="E176" s="28" t="str">
        <f>IFERROR(VLOOKUP($C176,CUENTAS[],3,0),"")</f>
        <v>MDE2025-006B</v>
      </c>
      <c r="F176" s="86">
        <v>566</v>
      </c>
      <c r="G176" s="129">
        <v>0</v>
      </c>
      <c r="H176" s="131">
        <v>566</v>
      </c>
      <c r="I176" s="200" t="str">
        <f t="shared" si="2"/>
        <v>CORRECTO</v>
      </c>
      <c r="J176" s="88" t="s">
        <v>176</v>
      </c>
      <c r="K176" s="116" t="s">
        <v>2230</v>
      </c>
      <c r="L176" s="95" t="s">
        <v>227</v>
      </c>
      <c r="M176" s="159">
        <v>45897</v>
      </c>
      <c r="N176" s="22" t="s">
        <v>470</v>
      </c>
      <c r="P176" s="89"/>
      <c r="Q176" s="89"/>
    </row>
    <row r="177" spans="1:17" ht="14.25" customHeight="1" x14ac:dyDescent="0.3">
      <c r="A177" s="115" t="s">
        <v>2441</v>
      </c>
      <c r="B177" s="115" t="s">
        <v>2445</v>
      </c>
      <c r="C177" s="28" t="s">
        <v>140</v>
      </c>
      <c r="D177" s="28" t="str">
        <f>IFERROR(VLOOKUP($C177,CUENTAS[],2,0),"")</f>
        <v>LOGÍSTICA</v>
      </c>
      <c r="E177" s="28" t="str">
        <f>IFERROR(VLOOKUP($C177,CUENTAS[],3,0),"")</f>
        <v>MDE2025-006B</v>
      </c>
      <c r="F177" s="86">
        <v>200</v>
      </c>
      <c r="G177" s="129">
        <v>0</v>
      </c>
      <c r="H177" s="131">
        <v>200</v>
      </c>
      <c r="I177" s="200" t="str">
        <f t="shared" si="2"/>
        <v>CORRECTO</v>
      </c>
      <c r="J177" s="88" t="s">
        <v>176</v>
      </c>
      <c r="K177" s="116" t="s">
        <v>2230</v>
      </c>
      <c r="L177" s="95" t="s">
        <v>227</v>
      </c>
      <c r="M177" s="159">
        <v>45897</v>
      </c>
      <c r="N177" s="22" t="s">
        <v>470</v>
      </c>
      <c r="P177" s="89"/>
      <c r="Q177" s="89"/>
    </row>
    <row r="178" spans="1:17" ht="14.25" customHeight="1" x14ac:dyDescent="0.3">
      <c r="A178" s="115" t="s">
        <v>2446</v>
      </c>
      <c r="B178" s="115" t="s">
        <v>2447</v>
      </c>
      <c r="C178" s="28" t="s">
        <v>222</v>
      </c>
      <c r="D178" s="28" t="str">
        <f>IFERROR(VLOOKUP($C178,CUENTAS[],2,0),"")</f>
        <v>MANTENIMIENTO</v>
      </c>
      <c r="E178" s="28" t="str">
        <f>IFERROR(VLOOKUP($C178,CUENTAS[],3,0),"")</f>
        <v>MDE2025-009A</v>
      </c>
      <c r="F178" s="86">
        <v>250</v>
      </c>
      <c r="G178" s="129">
        <v>0</v>
      </c>
      <c r="H178" s="131">
        <v>250</v>
      </c>
      <c r="I178" s="200" t="str">
        <f t="shared" si="2"/>
        <v>CORRECTO</v>
      </c>
      <c r="J178" s="88" t="s">
        <v>176</v>
      </c>
      <c r="K178" s="116" t="s">
        <v>623</v>
      </c>
      <c r="L178" s="95" t="s">
        <v>227</v>
      </c>
      <c r="M178" s="159">
        <v>45875</v>
      </c>
      <c r="N178" s="22" t="s">
        <v>2449</v>
      </c>
      <c r="P178" s="89"/>
      <c r="Q178" s="89"/>
    </row>
    <row r="179" spans="1:17" ht="14.25" customHeight="1" x14ac:dyDescent="0.3">
      <c r="A179" s="115" t="s">
        <v>480</v>
      </c>
      <c r="B179" s="115" t="s">
        <v>2521</v>
      </c>
      <c r="C179" s="28" t="s">
        <v>167</v>
      </c>
      <c r="D179" s="28" t="str">
        <f>IFERROR(VLOOKUP($C179,CUENTAS[],2,0),"")</f>
        <v>LOGÍSTICA</v>
      </c>
      <c r="E179" s="28" t="str">
        <f>IFERROR(VLOOKUP($C179,CUENTAS[],3,0),"")</f>
        <v>MDE2025-006D</v>
      </c>
      <c r="F179" s="131">
        <v>12428.35</v>
      </c>
      <c r="G179" s="129">
        <v>0</v>
      </c>
      <c r="H179" s="131">
        <v>12428.35</v>
      </c>
      <c r="I179" s="200" t="str">
        <f t="shared" si="2"/>
        <v>CORRECTO</v>
      </c>
      <c r="J179" s="88"/>
      <c r="K179" s="116" t="s">
        <v>363</v>
      </c>
      <c r="L179" s="95" t="s">
        <v>227</v>
      </c>
      <c r="M179" s="159">
        <v>45873</v>
      </c>
      <c r="N179" s="22"/>
      <c r="P179" s="89"/>
      <c r="Q179" s="89"/>
    </row>
    <row r="180" spans="1:17" ht="14.25" customHeight="1" x14ac:dyDescent="0.3">
      <c r="A180" s="115" t="s">
        <v>480</v>
      </c>
      <c r="B180" s="115" t="s">
        <v>2161</v>
      </c>
      <c r="C180" s="28" t="s">
        <v>196</v>
      </c>
      <c r="D180" s="28" t="str">
        <f>IFERROR(VLOOKUP($C180,CUENTAS[],2,0),"")</f>
        <v>CAJA CHICA</v>
      </c>
      <c r="E180" s="28" t="str">
        <f>IFERROR(VLOOKUP($C180,CUENTAS[],3,0),"")</f>
        <v>MDE2025-005</v>
      </c>
      <c r="F180" s="86">
        <v>105571.85</v>
      </c>
      <c r="G180" s="129">
        <v>0</v>
      </c>
      <c r="H180" s="131">
        <v>105571.85</v>
      </c>
      <c r="I180" s="200" t="str">
        <f t="shared" si="2"/>
        <v>CORRECTO</v>
      </c>
      <c r="J180" s="88" t="s">
        <v>118</v>
      </c>
      <c r="K180" s="116" t="s">
        <v>363</v>
      </c>
      <c r="L180" s="95" t="s">
        <v>227</v>
      </c>
      <c r="M180" s="159">
        <v>45873</v>
      </c>
      <c r="N180" s="22" t="s">
        <v>1840</v>
      </c>
      <c r="P180" s="89"/>
      <c r="Q180" s="89"/>
    </row>
    <row r="181" spans="1:17" ht="14.25" customHeight="1" x14ac:dyDescent="0.3">
      <c r="A181" s="115" t="s">
        <v>480</v>
      </c>
      <c r="B181" s="115" t="s">
        <v>2161</v>
      </c>
      <c r="C181" s="28" t="s">
        <v>196</v>
      </c>
      <c r="D181" s="28" t="str">
        <f>IFERROR(VLOOKUP($C181,CUENTAS[],2,0),"")</f>
        <v>CAJA CHICA</v>
      </c>
      <c r="E181" s="28" t="str">
        <f>IFERROR(VLOOKUP($C181,CUENTAS[],3,0),"")</f>
        <v>MDE2025-005</v>
      </c>
      <c r="F181" s="86">
        <v>75844.2</v>
      </c>
      <c r="G181" s="129">
        <v>0</v>
      </c>
      <c r="H181" s="131">
        <v>75844.2</v>
      </c>
      <c r="I181" s="200" t="str">
        <f t="shared" si="2"/>
        <v>CORRECTO</v>
      </c>
      <c r="J181" s="88" t="s">
        <v>118</v>
      </c>
      <c r="K181" s="116" t="s">
        <v>363</v>
      </c>
      <c r="L181" s="95" t="s">
        <v>227</v>
      </c>
      <c r="M181" s="159">
        <v>45877</v>
      </c>
      <c r="N181" s="22" t="s">
        <v>1840</v>
      </c>
      <c r="P181" s="89"/>
      <c r="Q181" s="89"/>
    </row>
    <row r="182" spans="1:17" ht="14.25" customHeight="1" x14ac:dyDescent="0.3">
      <c r="A182" s="115" t="s">
        <v>480</v>
      </c>
      <c r="B182" s="115" t="s">
        <v>2161</v>
      </c>
      <c r="C182" s="28" t="s">
        <v>196</v>
      </c>
      <c r="D182" s="28" t="str">
        <f>IFERROR(VLOOKUP($C182,CUENTAS[],2,0),"")</f>
        <v>CAJA CHICA</v>
      </c>
      <c r="E182" s="28" t="str">
        <f>IFERROR(VLOOKUP($C182,CUENTAS[],3,0),"")</f>
        <v>MDE2025-005</v>
      </c>
      <c r="F182" s="86">
        <v>54649.51</v>
      </c>
      <c r="G182" s="129">
        <v>0</v>
      </c>
      <c r="H182" s="131">
        <v>54649.51</v>
      </c>
      <c r="I182" s="200" t="str">
        <f t="shared" si="2"/>
        <v>CORRECTO</v>
      </c>
      <c r="J182" s="88" t="s">
        <v>118</v>
      </c>
      <c r="K182" s="116" t="s">
        <v>363</v>
      </c>
      <c r="L182" s="95" t="s">
        <v>227</v>
      </c>
      <c r="M182" s="159">
        <v>45881</v>
      </c>
      <c r="N182" s="22" t="s">
        <v>1840</v>
      </c>
      <c r="P182" s="89"/>
      <c r="Q182" s="89"/>
    </row>
    <row r="183" spans="1:17" ht="14.25" customHeight="1" x14ac:dyDescent="0.3">
      <c r="A183" s="115" t="s">
        <v>480</v>
      </c>
      <c r="B183" s="115" t="s">
        <v>2161</v>
      </c>
      <c r="C183" s="28" t="s">
        <v>196</v>
      </c>
      <c r="D183" s="28" t="str">
        <f>IFERROR(VLOOKUP($C183,CUENTAS[],2,0),"")</f>
        <v>CAJA CHICA</v>
      </c>
      <c r="E183" s="28" t="str">
        <f>IFERROR(VLOOKUP($C183,CUENTAS[],3,0),"")</f>
        <v>MDE2025-005</v>
      </c>
      <c r="F183" s="86">
        <v>82464.2</v>
      </c>
      <c r="G183" s="129">
        <v>0</v>
      </c>
      <c r="H183" s="131">
        <v>82464.2</v>
      </c>
      <c r="I183" s="200" t="str">
        <f t="shared" si="2"/>
        <v>CORRECTO</v>
      </c>
      <c r="J183" s="88" t="s">
        <v>118</v>
      </c>
      <c r="K183" s="116" t="s">
        <v>363</v>
      </c>
      <c r="L183" s="95" t="s">
        <v>227</v>
      </c>
      <c r="M183" s="159">
        <v>45765</v>
      </c>
      <c r="N183" s="22" t="s">
        <v>1840</v>
      </c>
      <c r="P183" s="89"/>
      <c r="Q183" s="89"/>
    </row>
    <row r="184" spans="1:17" ht="14.25" customHeight="1" x14ac:dyDescent="0.3">
      <c r="A184" s="115" t="s">
        <v>480</v>
      </c>
      <c r="B184" s="115" t="s">
        <v>2161</v>
      </c>
      <c r="C184" s="28" t="s">
        <v>196</v>
      </c>
      <c r="D184" s="28" t="str">
        <f>IFERROR(VLOOKUP($C184,CUENTAS[],2,0),"")</f>
        <v>CAJA CHICA</v>
      </c>
      <c r="E184" s="28" t="str">
        <f>IFERROR(VLOOKUP($C184,CUENTAS[],3,0),"")</f>
        <v>MDE2025-005</v>
      </c>
      <c r="F184" s="131">
        <v>24988.41</v>
      </c>
      <c r="G184" s="129">
        <v>0</v>
      </c>
      <c r="H184" s="131">
        <v>24988.41</v>
      </c>
      <c r="I184" s="200" t="str">
        <f t="shared" si="2"/>
        <v>CORRECTO</v>
      </c>
      <c r="J184" s="88"/>
      <c r="K184" s="116" t="s">
        <v>363</v>
      </c>
      <c r="L184" s="95" t="s">
        <v>227</v>
      </c>
      <c r="M184" s="159">
        <v>45890</v>
      </c>
      <c r="N184" s="22" t="s">
        <v>1840</v>
      </c>
      <c r="P184" s="89"/>
      <c r="Q184" s="89"/>
    </row>
    <row r="185" spans="1:17" ht="14.25" customHeight="1" x14ac:dyDescent="0.3">
      <c r="A185" s="115" t="s">
        <v>480</v>
      </c>
      <c r="B185" s="115" t="s">
        <v>2522</v>
      </c>
      <c r="C185" s="28" t="s">
        <v>196</v>
      </c>
      <c r="D185" s="28" t="str">
        <f>IFERROR(VLOOKUP($C185,CUENTAS[],2,0),"")</f>
        <v>CAJA CHICA</v>
      </c>
      <c r="E185" s="28" t="str">
        <f>IFERROR(VLOOKUP($C185,CUENTAS[],3,0),"")</f>
        <v>MDE2025-005</v>
      </c>
      <c r="F185" s="131">
        <v>50000</v>
      </c>
      <c r="G185" s="129">
        <v>0</v>
      </c>
      <c r="H185" s="131">
        <v>50000</v>
      </c>
      <c r="I185" s="200" t="str">
        <f t="shared" si="2"/>
        <v>CORRECTO</v>
      </c>
      <c r="J185" s="88"/>
      <c r="K185" s="116" t="s">
        <v>363</v>
      </c>
      <c r="L185" s="95" t="s">
        <v>227</v>
      </c>
      <c r="M185" s="159">
        <v>45890</v>
      </c>
      <c r="N185" s="22" t="s">
        <v>371</v>
      </c>
      <c r="P185" s="89"/>
      <c r="Q185" s="89"/>
    </row>
    <row r="186" spans="1:17" x14ac:dyDescent="0.3">
      <c r="A186" s="120" t="s">
        <v>2318</v>
      </c>
      <c r="B186" s="120" t="s">
        <v>2319</v>
      </c>
      <c r="C186" s="28" t="s">
        <v>178</v>
      </c>
      <c r="D186" s="28" t="str">
        <f>IFERROR(VLOOKUP($C186,CUENTAS[],2,0),"")</f>
        <v>GASTOS FIJOS</v>
      </c>
      <c r="E186" s="28" t="str">
        <f>IFERROR(VLOOKUP($C186,CUENTAS[],3,0),"")</f>
        <v>MDE2025-002O</v>
      </c>
      <c r="F186" s="86">
        <v>2680.68</v>
      </c>
      <c r="G186" s="129">
        <v>0</v>
      </c>
      <c r="H186" s="132">
        <v>2680.68</v>
      </c>
      <c r="I186" s="200" t="str">
        <f t="shared" si="2"/>
        <v>CORRECTO</v>
      </c>
      <c r="J186" s="88" t="s">
        <v>175</v>
      </c>
      <c r="K186" s="121" t="s">
        <v>364</v>
      </c>
      <c r="L186" s="95" t="s">
        <v>227</v>
      </c>
      <c r="M186" s="186">
        <v>45874</v>
      </c>
      <c r="N186" s="123" t="s">
        <v>371</v>
      </c>
    </row>
    <row r="187" spans="1:17" x14ac:dyDescent="0.3">
      <c r="A187" s="120" t="s">
        <v>116</v>
      </c>
      <c r="B187" s="120" t="s">
        <v>2320</v>
      </c>
      <c r="C187" s="28" t="s">
        <v>153</v>
      </c>
      <c r="D187" s="28" t="str">
        <f>IFERROR(VLOOKUP($C187,CUENTAS[],2,0),"")</f>
        <v>GASTOS FIJOS</v>
      </c>
      <c r="E187" s="28" t="str">
        <f>IFERROR(VLOOKUP($C187,CUENTAS[],3,0),"")</f>
        <v>MDE2025-002L</v>
      </c>
      <c r="F187" s="86">
        <v>31247.61</v>
      </c>
      <c r="G187" s="129">
        <v>0</v>
      </c>
      <c r="H187" s="132">
        <v>31247.61</v>
      </c>
      <c r="I187" s="200" t="str">
        <f t="shared" si="2"/>
        <v>CORRECTO</v>
      </c>
      <c r="J187" s="88"/>
      <c r="K187" s="121" t="s">
        <v>364</v>
      </c>
      <c r="L187" s="95" t="s">
        <v>227</v>
      </c>
      <c r="M187" s="186">
        <v>45873</v>
      </c>
      <c r="N187" s="123" t="s">
        <v>371</v>
      </c>
    </row>
    <row r="188" spans="1:17" x14ac:dyDescent="0.3">
      <c r="A188" s="120" t="s">
        <v>116</v>
      </c>
      <c r="B188" s="120" t="s">
        <v>2319</v>
      </c>
      <c r="C188" s="28" t="s">
        <v>178</v>
      </c>
      <c r="D188" s="28" t="str">
        <f>IFERROR(VLOOKUP($C188,CUENTAS[],2,0),"")</f>
        <v>GASTOS FIJOS</v>
      </c>
      <c r="E188" s="28" t="str">
        <f>IFERROR(VLOOKUP($C188,CUENTAS[],3,0),"")</f>
        <v>MDE2025-002O</v>
      </c>
      <c r="F188" s="86">
        <v>3172.6</v>
      </c>
      <c r="G188" s="129">
        <v>0</v>
      </c>
      <c r="H188" s="132">
        <v>3172.6</v>
      </c>
      <c r="I188" s="200" t="str">
        <f t="shared" si="2"/>
        <v>CORRECTO</v>
      </c>
      <c r="J188" s="88" t="s">
        <v>3244</v>
      </c>
      <c r="K188" s="121" t="s">
        <v>364</v>
      </c>
      <c r="L188" s="95" t="s">
        <v>227</v>
      </c>
      <c r="M188" s="186">
        <v>45881</v>
      </c>
      <c r="N188" s="123" t="s">
        <v>371</v>
      </c>
    </row>
    <row r="189" spans="1:17" x14ac:dyDescent="0.3">
      <c r="A189" s="120" t="s">
        <v>116</v>
      </c>
      <c r="B189" s="120" t="s">
        <v>2321</v>
      </c>
      <c r="C189" s="28" t="s">
        <v>153</v>
      </c>
      <c r="D189" s="28" t="str">
        <f>IFERROR(VLOOKUP($C189,CUENTAS[],2,0),"")</f>
        <v>GASTOS FIJOS</v>
      </c>
      <c r="E189" s="28" t="str">
        <f>IFERROR(VLOOKUP($C189,CUENTAS[],3,0),"")</f>
        <v>MDE2025-002L</v>
      </c>
      <c r="F189" s="86">
        <v>34421.39</v>
      </c>
      <c r="G189" s="129">
        <v>0</v>
      </c>
      <c r="H189" s="132">
        <v>34421.39</v>
      </c>
      <c r="I189" s="200" t="str">
        <f t="shared" si="2"/>
        <v>CORRECTO</v>
      </c>
      <c r="J189" s="88"/>
      <c r="K189" s="121" t="s">
        <v>364</v>
      </c>
      <c r="L189" s="95" t="s">
        <v>227</v>
      </c>
      <c r="M189" s="186">
        <v>45880</v>
      </c>
      <c r="N189" s="123" t="s">
        <v>371</v>
      </c>
    </row>
    <row r="190" spans="1:17" x14ac:dyDescent="0.3">
      <c r="A190" s="120" t="s">
        <v>116</v>
      </c>
      <c r="B190" s="120" t="s">
        <v>2321</v>
      </c>
      <c r="C190" s="28" t="s">
        <v>109</v>
      </c>
      <c r="D190" s="28" t="str">
        <f>IFERROR(VLOOKUP($C190,CUENTAS[],2,0),"")</f>
        <v>LOGÍSTICA</v>
      </c>
      <c r="E190" s="28" t="str">
        <f>IFERROR(VLOOKUP($C190,CUENTAS[],3,0),"")</f>
        <v>MDE2025-006A</v>
      </c>
      <c r="F190" s="86">
        <v>166.68</v>
      </c>
      <c r="G190" s="129">
        <v>0</v>
      </c>
      <c r="H190" s="132">
        <v>166.68</v>
      </c>
      <c r="I190" s="200" t="str">
        <f t="shared" si="2"/>
        <v>CORRECTO</v>
      </c>
      <c r="J190" s="88"/>
      <c r="K190" s="121" t="s">
        <v>364</v>
      </c>
      <c r="L190" s="95" t="s">
        <v>227</v>
      </c>
      <c r="M190" s="186">
        <v>45880</v>
      </c>
      <c r="N190" s="123" t="s">
        <v>371</v>
      </c>
    </row>
    <row r="191" spans="1:17" x14ac:dyDescent="0.3">
      <c r="A191" s="120" t="s">
        <v>1293</v>
      </c>
      <c r="B191" s="120" t="s">
        <v>2322</v>
      </c>
      <c r="C191" s="28" t="s">
        <v>178</v>
      </c>
      <c r="D191" s="28" t="str">
        <f>IFERROR(VLOOKUP($C191,CUENTAS[],2,0),"")</f>
        <v>GASTOS FIJOS</v>
      </c>
      <c r="E191" s="28" t="str">
        <f>IFERROR(VLOOKUP($C191,CUENTAS[],3,0),"")</f>
        <v>MDE2025-002O</v>
      </c>
      <c r="F191" s="86">
        <v>1000</v>
      </c>
      <c r="G191" s="129">
        <v>0</v>
      </c>
      <c r="H191" s="132">
        <v>1000</v>
      </c>
      <c r="I191" s="200" t="str">
        <f t="shared" si="2"/>
        <v>CORRECTO</v>
      </c>
      <c r="J191" s="88"/>
      <c r="K191" s="121" t="s">
        <v>364</v>
      </c>
      <c r="L191" s="95" t="s">
        <v>227</v>
      </c>
      <c r="M191" s="186">
        <v>45884</v>
      </c>
      <c r="N191" s="123" t="s">
        <v>371</v>
      </c>
    </row>
    <row r="192" spans="1:17" x14ac:dyDescent="0.3">
      <c r="A192" s="120" t="s">
        <v>116</v>
      </c>
      <c r="B192" s="120" t="s">
        <v>2323</v>
      </c>
      <c r="C192" s="28" t="s">
        <v>178</v>
      </c>
      <c r="D192" s="28" t="str">
        <f>IFERROR(VLOOKUP($C192,CUENTAS[],2,0),"")</f>
        <v>GASTOS FIJOS</v>
      </c>
      <c r="E192" s="28" t="str">
        <f>IFERROR(VLOOKUP($C192,CUENTAS[],3,0),"")</f>
        <v>MDE2025-002O</v>
      </c>
      <c r="F192" s="86">
        <v>27284.52</v>
      </c>
      <c r="G192" s="129">
        <v>0</v>
      </c>
      <c r="H192" s="132">
        <v>27284.52</v>
      </c>
      <c r="I192" s="200" t="str">
        <f t="shared" si="2"/>
        <v>CORRECTO</v>
      </c>
      <c r="J192" s="88"/>
      <c r="K192" s="121" t="s">
        <v>364</v>
      </c>
      <c r="L192" s="95" t="s">
        <v>227</v>
      </c>
      <c r="M192" s="186">
        <v>45887</v>
      </c>
      <c r="N192" s="123" t="s">
        <v>371</v>
      </c>
    </row>
    <row r="193" spans="1:16" x14ac:dyDescent="0.3">
      <c r="A193" s="120" t="s">
        <v>116</v>
      </c>
      <c r="B193" s="120" t="s">
        <v>2324</v>
      </c>
      <c r="C193" s="28" t="s">
        <v>153</v>
      </c>
      <c r="D193" s="28" t="str">
        <f>IFERROR(VLOOKUP($C193,CUENTAS[],2,0),"")</f>
        <v>GASTOS FIJOS</v>
      </c>
      <c r="E193" s="28" t="str">
        <f>IFERROR(VLOOKUP($C193,CUENTAS[],3,0),"")</f>
        <v>MDE2025-002L</v>
      </c>
      <c r="F193" s="86">
        <v>26542.95</v>
      </c>
      <c r="G193" s="129">
        <v>0</v>
      </c>
      <c r="H193" s="132">
        <v>26542.95</v>
      </c>
      <c r="I193" s="200" t="str">
        <f t="shared" si="2"/>
        <v>CORRECTO</v>
      </c>
      <c r="J193" s="88"/>
      <c r="K193" s="121" t="s">
        <v>364</v>
      </c>
      <c r="L193" s="95" t="s">
        <v>227</v>
      </c>
      <c r="M193" s="186">
        <v>45894</v>
      </c>
      <c r="N193" s="123" t="s">
        <v>371</v>
      </c>
    </row>
    <row r="194" spans="1:16" x14ac:dyDescent="0.3">
      <c r="A194" s="120" t="s">
        <v>116</v>
      </c>
      <c r="B194" s="120" t="s">
        <v>2324</v>
      </c>
      <c r="C194" s="28" t="s">
        <v>109</v>
      </c>
      <c r="D194" s="28" t="str">
        <f>IFERROR(VLOOKUP($C194,CUENTAS[],2,0),"")</f>
        <v>LOGÍSTICA</v>
      </c>
      <c r="E194" s="28" t="str">
        <f>IFERROR(VLOOKUP($C194,CUENTAS[],3,0),"")</f>
        <v>MDE2025-006A</v>
      </c>
      <c r="F194" s="86">
        <v>428.57</v>
      </c>
      <c r="G194" s="129">
        <v>0</v>
      </c>
      <c r="H194" s="132">
        <v>428.57</v>
      </c>
      <c r="I194" s="200" t="str">
        <f t="shared" si="2"/>
        <v>CORRECTO</v>
      </c>
      <c r="J194" s="88"/>
      <c r="K194" s="121" t="s">
        <v>364</v>
      </c>
      <c r="L194" s="95" t="s">
        <v>227</v>
      </c>
      <c r="M194" s="186">
        <v>45894</v>
      </c>
      <c r="N194" s="123" t="s">
        <v>371</v>
      </c>
    </row>
    <row r="195" spans="1:16" x14ac:dyDescent="0.3">
      <c r="A195" s="120" t="s">
        <v>116</v>
      </c>
      <c r="B195" s="120" t="s">
        <v>2325</v>
      </c>
      <c r="C195" s="28" t="s">
        <v>153</v>
      </c>
      <c r="D195" s="28" t="str">
        <f>IFERROR(VLOOKUP($C195,CUENTAS[],2,0),"")</f>
        <v>GASTOS FIJOS</v>
      </c>
      <c r="E195" s="28" t="str">
        <f>IFERROR(VLOOKUP($C195,CUENTAS[],3,0),"")</f>
        <v>MDE2025-002L</v>
      </c>
      <c r="F195" s="86">
        <v>22350.97</v>
      </c>
      <c r="G195" s="129">
        <v>0</v>
      </c>
      <c r="H195" s="132">
        <v>22350.97</v>
      </c>
      <c r="I195" s="200" t="str">
        <f t="shared" ref="I195:I202" si="3">IFERROR(IF(F195+G195&lt;&gt;H195,"REVISAR","CORRECTO"),"")</f>
        <v>CORRECTO</v>
      </c>
      <c r="J195" s="88"/>
      <c r="K195" s="121" t="s">
        <v>364</v>
      </c>
      <c r="L195" s="95" t="s">
        <v>227</v>
      </c>
      <c r="M195" s="186">
        <v>45901</v>
      </c>
      <c r="N195" s="123" t="s">
        <v>371</v>
      </c>
    </row>
    <row r="196" spans="1:16" x14ac:dyDescent="0.3">
      <c r="A196" s="120" t="s">
        <v>116</v>
      </c>
      <c r="B196" s="120" t="s">
        <v>2325</v>
      </c>
      <c r="C196" s="28" t="s">
        <v>109</v>
      </c>
      <c r="D196" s="28" t="str">
        <f>IFERROR(VLOOKUP($C196,CUENTAS[],2,0),"")</f>
        <v>LOGÍSTICA</v>
      </c>
      <c r="E196" s="28" t="str">
        <f>IFERROR(VLOOKUP($C196,CUENTAS[],3,0),"")</f>
        <v>MDE2025-006A</v>
      </c>
      <c r="F196" s="86">
        <v>449.29</v>
      </c>
      <c r="G196" s="129">
        <v>0</v>
      </c>
      <c r="H196" s="132">
        <v>449.29</v>
      </c>
      <c r="I196" s="200" t="str">
        <f t="shared" si="3"/>
        <v>CORRECTO</v>
      </c>
      <c r="J196" s="88"/>
      <c r="K196" s="121" t="s">
        <v>364</v>
      </c>
      <c r="L196" s="95" t="s">
        <v>227</v>
      </c>
      <c r="M196" s="186">
        <v>45901</v>
      </c>
      <c r="N196" s="123" t="s">
        <v>371</v>
      </c>
    </row>
    <row r="197" spans="1:16" x14ac:dyDescent="0.3">
      <c r="A197" s="120" t="s">
        <v>116</v>
      </c>
      <c r="B197" s="120" t="s">
        <v>2325</v>
      </c>
      <c r="C197" s="28" t="s">
        <v>140</v>
      </c>
      <c r="D197" s="28" t="str">
        <f>IFERROR(VLOOKUP($C197,CUENTAS[],2,0),"")</f>
        <v>LOGÍSTICA</v>
      </c>
      <c r="E197" s="28" t="str">
        <f>IFERROR(VLOOKUP($C197,CUENTAS[],3,0),"")</f>
        <v>MDE2025-006B</v>
      </c>
      <c r="F197" s="86">
        <v>227.15</v>
      </c>
      <c r="G197" s="129">
        <v>0</v>
      </c>
      <c r="H197" s="132">
        <v>227.15</v>
      </c>
      <c r="I197" s="200" t="str">
        <f t="shared" si="3"/>
        <v>CORRECTO</v>
      </c>
      <c r="J197" s="88"/>
      <c r="K197" s="121" t="s">
        <v>364</v>
      </c>
      <c r="L197" s="95" t="s">
        <v>227</v>
      </c>
      <c r="M197" s="186">
        <v>45901</v>
      </c>
      <c r="N197" s="123" t="s">
        <v>371</v>
      </c>
    </row>
    <row r="198" spans="1:16" x14ac:dyDescent="0.3">
      <c r="A198" s="120" t="s">
        <v>116</v>
      </c>
      <c r="B198" s="120" t="s">
        <v>2326</v>
      </c>
      <c r="C198" s="28" t="s">
        <v>178</v>
      </c>
      <c r="D198" s="28" t="str">
        <f>IFERROR(VLOOKUP($C198,CUENTAS[],2,0),"")</f>
        <v>GASTOS FIJOS</v>
      </c>
      <c r="E198" s="28" t="str">
        <f>IFERROR(VLOOKUP($C198,CUENTAS[],3,0),"")</f>
        <v>MDE2025-002O</v>
      </c>
      <c r="F198" s="86">
        <v>65875.360000000001</v>
      </c>
      <c r="G198" s="129">
        <v>0</v>
      </c>
      <c r="H198" s="132">
        <v>65875.360000000001</v>
      </c>
      <c r="I198" s="200" t="str">
        <f t="shared" si="3"/>
        <v>CORRECTO</v>
      </c>
      <c r="J198" s="88"/>
      <c r="K198" s="121" t="s">
        <v>364</v>
      </c>
      <c r="L198" s="95" t="s">
        <v>227</v>
      </c>
      <c r="M198" s="186">
        <v>45884</v>
      </c>
      <c r="N198" s="123" t="s">
        <v>371</v>
      </c>
    </row>
    <row r="199" spans="1:16" x14ac:dyDescent="0.3">
      <c r="A199" s="120" t="s">
        <v>116</v>
      </c>
      <c r="B199" s="120" t="s">
        <v>2327</v>
      </c>
      <c r="C199" s="28" t="s">
        <v>178</v>
      </c>
      <c r="D199" s="28" t="str">
        <f>IFERROR(VLOOKUP($C199,CUENTAS[],2,0),"")</f>
        <v>GASTOS FIJOS</v>
      </c>
      <c r="E199" s="28" t="str">
        <f>IFERROR(VLOOKUP($C199,CUENTAS[],3,0),"")</f>
        <v>MDE2025-002O</v>
      </c>
      <c r="F199" s="86">
        <v>183136.64000000001</v>
      </c>
      <c r="G199" s="129">
        <v>0</v>
      </c>
      <c r="H199" s="132">
        <v>183136.64000000001</v>
      </c>
      <c r="I199" s="200" t="str">
        <f t="shared" si="3"/>
        <v>CORRECTO</v>
      </c>
      <c r="J199" s="88"/>
      <c r="K199" s="121" t="s">
        <v>364</v>
      </c>
      <c r="L199" s="95" t="s">
        <v>227</v>
      </c>
      <c r="M199" s="186">
        <v>45884</v>
      </c>
      <c r="N199" s="123" t="s">
        <v>371</v>
      </c>
    </row>
    <row r="200" spans="1:16" x14ac:dyDescent="0.3">
      <c r="A200" s="120" t="s">
        <v>116</v>
      </c>
      <c r="B200" s="120" t="s">
        <v>2328</v>
      </c>
      <c r="C200" s="28" t="s">
        <v>178</v>
      </c>
      <c r="D200" s="28" t="str">
        <f>IFERROR(VLOOKUP($C200,CUENTAS[],2,0),"")</f>
        <v>GASTOS FIJOS</v>
      </c>
      <c r="E200" s="28" t="str">
        <f>IFERROR(VLOOKUP($C200,CUENTAS[],3,0),"")</f>
        <v>MDE2025-002O</v>
      </c>
      <c r="F200" s="86">
        <v>69992.570000000007</v>
      </c>
      <c r="G200" s="129">
        <v>0</v>
      </c>
      <c r="H200" s="132">
        <v>69992.570000000007</v>
      </c>
      <c r="I200" s="200" t="str">
        <f t="shared" si="3"/>
        <v>CORRECTO</v>
      </c>
      <c r="J200" s="88"/>
      <c r="K200" s="121" t="s">
        <v>364</v>
      </c>
      <c r="L200" s="95" t="s">
        <v>227</v>
      </c>
      <c r="M200" s="186">
        <v>45900</v>
      </c>
      <c r="N200" s="123" t="s">
        <v>371</v>
      </c>
    </row>
    <row r="201" spans="1:16" x14ac:dyDescent="0.3">
      <c r="A201" s="120" t="s">
        <v>116</v>
      </c>
      <c r="B201" s="120" t="s">
        <v>2329</v>
      </c>
      <c r="C201" s="28" t="s">
        <v>178</v>
      </c>
      <c r="D201" s="28" t="str">
        <f>IFERROR(VLOOKUP($C201,CUENTAS[],2,0),"")</f>
        <v>GASTOS FIJOS</v>
      </c>
      <c r="E201" s="28" t="str">
        <f>IFERROR(VLOOKUP($C201,CUENTAS[],3,0),"")</f>
        <v>MDE2025-002O</v>
      </c>
      <c r="F201" s="86">
        <v>190319.43</v>
      </c>
      <c r="G201" s="129">
        <v>0</v>
      </c>
      <c r="H201" s="132">
        <v>190319.43</v>
      </c>
      <c r="I201" s="200" t="str">
        <f t="shared" si="3"/>
        <v>CORRECTO</v>
      </c>
      <c r="J201" s="88"/>
      <c r="K201" s="121" t="s">
        <v>364</v>
      </c>
      <c r="L201" s="95" t="s">
        <v>227</v>
      </c>
      <c r="M201" s="186">
        <v>45900</v>
      </c>
      <c r="N201" s="123" t="s">
        <v>371</v>
      </c>
    </row>
    <row r="202" spans="1:16" x14ac:dyDescent="0.3">
      <c r="A202" s="120" t="s">
        <v>929</v>
      </c>
      <c r="B202" s="120" t="s">
        <v>935</v>
      </c>
      <c r="C202" s="28" t="s">
        <v>157</v>
      </c>
      <c r="D202" s="28" t="str">
        <f>IFERROR(VLOOKUP($C202,CUENTAS[],2,0),"")</f>
        <v>GASTOS FIJOS</v>
      </c>
      <c r="E202" s="28" t="str">
        <f>IFERROR(VLOOKUP($C202,CUENTAS[],3,0),"")</f>
        <v>MDE2025-002Q</v>
      </c>
      <c r="F202" s="86">
        <v>-3000</v>
      </c>
      <c r="G202" s="129">
        <v>0</v>
      </c>
      <c r="H202" s="132">
        <v>-3000</v>
      </c>
      <c r="I202" s="200" t="str">
        <f t="shared" si="3"/>
        <v>CORRECTO</v>
      </c>
      <c r="J202" s="88" t="s">
        <v>118</v>
      </c>
      <c r="K202" s="121" t="s">
        <v>364</v>
      </c>
      <c r="L202" s="95" t="s">
        <v>227</v>
      </c>
      <c r="M202" s="186">
        <v>45823</v>
      </c>
      <c r="N202" s="123" t="s">
        <v>371</v>
      </c>
    </row>
    <row r="203" spans="1:16" x14ac:dyDescent="0.3">
      <c r="A203" s="77"/>
      <c r="B203" s="106"/>
      <c r="F203" s="124"/>
      <c r="G203" s="125"/>
      <c r="J203" s="125"/>
      <c r="L203" s="107"/>
      <c r="M203" s="183"/>
      <c r="N203" s="108"/>
    </row>
    <row r="204" spans="1:16" x14ac:dyDescent="0.3">
      <c r="A204" s="77"/>
      <c r="B204" s="106"/>
      <c r="F204" s="124"/>
      <c r="G204" s="125"/>
      <c r="J204" s="125"/>
      <c r="L204" s="107"/>
      <c r="M204" s="183"/>
      <c r="N204" s="108"/>
    </row>
    <row r="205" spans="1:16" ht="13.8" x14ac:dyDescent="0.3">
      <c r="A205" s="77"/>
      <c r="B205" s="106"/>
      <c r="F205" s="124"/>
      <c r="L205" s="107"/>
      <c r="M205" s="183"/>
      <c r="N205" s="4" t="s">
        <v>106</v>
      </c>
      <c r="O205" s="7">
        <f>+SUM(F:F)</f>
        <v>1909091.96</v>
      </c>
    </row>
    <row r="206" spans="1:16" ht="13.8" x14ac:dyDescent="0.3">
      <c r="A206" s="77"/>
      <c r="B206" s="106"/>
      <c r="F206" s="124"/>
      <c r="L206" s="107"/>
      <c r="M206" s="183"/>
      <c r="N206" s="4" t="s">
        <v>107</v>
      </c>
      <c r="O206" s="7">
        <f>+SUM(G:G)</f>
        <v>104468.56000000003</v>
      </c>
    </row>
    <row r="207" spans="1:16" ht="15.6" x14ac:dyDescent="0.3">
      <c r="A207" s="77"/>
      <c r="B207" s="106"/>
      <c r="F207" s="124"/>
      <c r="L207" s="107"/>
      <c r="M207" s="183"/>
      <c r="N207" s="29" t="s">
        <v>149</v>
      </c>
      <c r="O207" s="7">
        <f>+SUM(H:H)</f>
        <v>2013560.52</v>
      </c>
      <c r="P207" s="31">
        <f>O207-O206-O205</f>
        <v>0</v>
      </c>
    </row>
    <row r="208" spans="1:16" x14ac:dyDescent="0.3">
      <c r="A208" s="77"/>
      <c r="B208" s="106"/>
      <c r="F208" s="124"/>
      <c r="G208" s="77"/>
      <c r="L208" s="107"/>
      <c r="M208" s="183"/>
      <c r="N208" s="77"/>
      <c r="O208" s="67" t="str">
        <f>IF(P207&lt;&gt;0,"REVISAR CAPTURA","")</f>
        <v/>
      </c>
    </row>
    <row r="209" spans="1:14" x14ac:dyDescent="0.3">
      <c r="A209" s="77"/>
      <c r="B209" s="106"/>
      <c r="F209" s="124"/>
      <c r="G209" s="125"/>
      <c r="J209" s="125"/>
      <c r="L209" s="107"/>
      <c r="M209" s="183"/>
      <c r="N209" s="108"/>
    </row>
    <row r="210" spans="1:14" x14ac:dyDescent="0.3">
      <c r="A210" s="77"/>
      <c r="B210" s="106"/>
      <c r="F210" s="124"/>
      <c r="G210" s="125"/>
      <c r="J210" s="125"/>
      <c r="L210" s="107"/>
      <c r="M210" s="183"/>
      <c r="N210" s="108"/>
    </row>
    <row r="211" spans="1:14" x14ac:dyDescent="0.3">
      <c r="A211" s="77"/>
      <c r="B211" s="106"/>
      <c r="F211" s="124"/>
      <c r="G211" s="125"/>
      <c r="J211" s="125"/>
      <c r="L211" s="107"/>
      <c r="M211" s="183"/>
      <c r="N211" s="108"/>
    </row>
    <row r="212" spans="1:14" x14ac:dyDescent="0.3">
      <c r="A212" s="77"/>
      <c r="B212" s="106"/>
      <c r="F212" s="124"/>
      <c r="G212" s="125"/>
      <c r="J212" s="125"/>
      <c r="L212" s="107"/>
      <c r="M212" s="183"/>
      <c r="N212" s="108"/>
    </row>
    <row r="213" spans="1:14" x14ac:dyDescent="0.3">
      <c r="A213" s="77"/>
      <c r="B213" s="106"/>
      <c r="F213" s="124"/>
      <c r="G213" s="125"/>
      <c r="J213" s="125"/>
      <c r="L213" s="107"/>
      <c r="M213" s="183"/>
      <c r="N213" s="108"/>
    </row>
    <row r="214" spans="1:14" x14ac:dyDescent="0.3">
      <c r="A214" s="77"/>
      <c r="B214" s="106"/>
      <c r="F214" s="124"/>
      <c r="G214" s="125"/>
      <c r="J214" s="125"/>
      <c r="L214" s="107"/>
      <c r="M214" s="183"/>
      <c r="N214" s="108"/>
    </row>
    <row r="215" spans="1:14" x14ac:dyDescent="0.3">
      <c r="A215" s="77"/>
      <c r="B215" s="106"/>
      <c r="F215" s="124"/>
      <c r="G215" s="125"/>
      <c r="J215" s="125"/>
      <c r="L215" s="107"/>
      <c r="M215" s="183"/>
      <c r="N215" s="108"/>
    </row>
    <row r="216" spans="1:14" x14ac:dyDescent="0.3">
      <c r="A216" s="77"/>
      <c r="B216" s="106"/>
      <c r="F216" s="124"/>
      <c r="G216" s="125"/>
      <c r="J216" s="125"/>
      <c r="L216" s="107"/>
      <c r="M216" s="183"/>
      <c r="N216" s="108"/>
    </row>
    <row r="217" spans="1:14" x14ac:dyDescent="0.3">
      <c r="A217" s="77"/>
      <c r="B217" s="106"/>
      <c r="F217" s="124"/>
      <c r="G217" s="125"/>
      <c r="J217" s="125"/>
      <c r="L217" s="107"/>
      <c r="M217" s="183"/>
      <c r="N217" s="108"/>
    </row>
    <row r="218" spans="1:14" x14ac:dyDescent="0.3">
      <c r="A218" s="77"/>
      <c r="B218" s="106"/>
      <c r="F218" s="124"/>
      <c r="G218" s="125"/>
      <c r="J218" s="125"/>
      <c r="L218" s="107"/>
      <c r="M218" s="183"/>
      <c r="N218" s="108"/>
    </row>
    <row r="219" spans="1:14" x14ac:dyDescent="0.3">
      <c r="A219" s="77"/>
      <c r="B219" s="106"/>
      <c r="F219" s="124"/>
      <c r="G219" s="125"/>
      <c r="J219" s="125"/>
      <c r="L219" s="107"/>
      <c r="M219" s="183"/>
      <c r="N219" s="108"/>
    </row>
    <row r="220" spans="1:14" x14ac:dyDescent="0.3">
      <c r="A220" s="77"/>
      <c r="B220" s="106"/>
      <c r="F220" s="124"/>
      <c r="G220" s="125"/>
      <c r="J220" s="125"/>
      <c r="L220" s="107"/>
      <c r="M220" s="183"/>
      <c r="N220" s="108"/>
    </row>
    <row r="221" spans="1:14" x14ac:dyDescent="0.3">
      <c r="A221" s="77"/>
      <c r="B221" s="106"/>
      <c r="F221" s="124"/>
      <c r="G221" s="125"/>
      <c r="J221" s="125"/>
      <c r="L221" s="107"/>
      <c r="M221" s="183"/>
      <c r="N221" s="108"/>
    </row>
    <row r="222" spans="1:14" x14ac:dyDescent="0.3">
      <c r="A222" s="77"/>
      <c r="B222" s="106"/>
      <c r="F222" s="124"/>
      <c r="G222" s="125"/>
      <c r="J222" s="125"/>
      <c r="L222" s="107"/>
      <c r="M222" s="183"/>
      <c r="N222" s="108"/>
    </row>
    <row r="223" spans="1:14" x14ac:dyDescent="0.3">
      <c r="A223" s="77"/>
      <c r="B223" s="106"/>
      <c r="F223" s="124"/>
      <c r="G223" s="125"/>
      <c r="J223" s="125"/>
      <c r="L223" s="107"/>
      <c r="M223" s="183"/>
      <c r="N223" s="108"/>
    </row>
    <row r="224" spans="1:14" x14ac:dyDescent="0.3">
      <c r="A224" s="77"/>
      <c r="B224" s="106"/>
      <c r="F224" s="124"/>
      <c r="G224" s="125"/>
      <c r="J224" s="125"/>
      <c r="L224" s="107"/>
      <c r="M224" s="183"/>
      <c r="N224" s="108"/>
    </row>
    <row r="225" spans="1:14" x14ac:dyDescent="0.3">
      <c r="A225" s="77"/>
      <c r="B225" s="106"/>
      <c r="F225" s="124"/>
      <c r="G225" s="125"/>
      <c r="J225" s="125"/>
      <c r="L225" s="107"/>
      <c r="M225" s="183"/>
      <c r="N225" s="108"/>
    </row>
    <row r="226" spans="1:14" x14ac:dyDescent="0.3">
      <c r="A226" s="77"/>
      <c r="B226" s="106"/>
      <c r="F226" s="124"/>
      <c r="G226" s="125"/>
      <c r="J226" s="125"/>
      <c r="L226" s="107"/>
      <c r="M226" s="183"/>
      <c r="N226" s="108"/>
    </row>
    <row r="227" spans="1:14" x14ac:dyDescent="0.3">
      <c r="A227" s="77"/>
      <c r="B227" s="106"/>
      <c r="F227" s="124"/>
      <c r="G227" s="125"/>
      <c r="J227" s="125"/>
      <c r="L227" s="107"/>
      <c r="M227" s="183"/>
      <c r="N227" s="108"/>
    </row>
    <row r="228" spans="1:14" x14ac:dyDescent="0.3">
      <c r="A228" s="77"/>
      <c r="B228" s="106"/>
      <c r="F228" s="124"/>
      <c r="G228" s="125"/>
      <c r="J228" s="125"/>
      <c r="L228" s="107"/>
      <c r="M228" s="183"/>
      <c r="N228" s="108"/>
    </row>
    <row r="229" spans="1:14" x14ac:dyDescent="0.3">
      <c r="A229" s="77"/>
      <c r="B229" s="106"/>
      <c r="F229" s="124"/>
      <c r="G229" s="125"/>
      <c r="J229" s="125"/>
      <c r="L229" s="107"/>
      <c r="M229" s="183"/>
      <c r="N229" s="108"/>
    </row>
    <row r="230" spans="1:14" x14ac:dyDescent="0.3">
      <c r="A230" s="77"/>
      <c r="B230" s="106"/>
      <c r="F230" s="124"/>
      <c r="G230" s="125"/>
      <c r="J230" s="125"/>
      <c r="L230" s="107"/>
      <c r="M230" s="183"/>
      <c r="N230" s="108"/>
    </row>
    <row r="231" spans="1:14" x14ac:dyDescent="0.3">
      <c r="A231" s="77"/>
      <c r="B231" s="106"/>
      <c r="F231" s="124"/>
      <c r="G231" s="125"/>
      <c r="J231" s="125"/>
      <c r="L231" s="107"/>
      <c r="M231" s="183"/>
      <c r="N231" s="108"/>
    </row>
    <row r="232" spans="1:14" x14ac:dyDescent="0.3">
      <c r="A232" s="77"/>
      <c r="B232" s="106"/>
      <c r="F232" s="124"/>
      <c r="G232" s="125"/>
      <c r="J232" s="125"/>
      <c r="L232" s="107"/>
      <c r="M232" s="183"/>
      <c r="N232" s="108"/>
    </row>
    <row r="233" spans="1:14" x14ac:dyDescent="0.3">
      <c r="A233" s="77"/>
      <c r="B233" s="106"/>
      <c r="F233" s="124"/>
      <c r="G233" s="125"/>
      <c r="J233" s="125"/>
      <c r="L233" s="107"/>
      <c r="M233" s="183"/>
      <c r="N233" s="108"/>
    </row>
    <row r="234" spans="1:14" x14ac:dyDescent="0.3">
      <c r="A234" s="77"/>
      <c r="B234" s="106"/>
      <c r="F234" s="124"/>
      <c r="G234" s="125"/>
      <c r="J234" s="125"/>
      <c r="L234" s="107"/>
      <c r="M234" s="183"/>
      <c r="N234" s="108"/>
    </row>
    <row r="235" spans="1:14" x14ac:dyDescent="0.3">
      <c r="A235" s="77"/>
      <c r="B235" s="106"/>
      <c r="F235" s="124"/>
      <c r="G235" s="125"/>
      <c r="J235" s="125"/>
      <c r="L235" s="107"/>
      <c r="M235" s="183"/>
      <c r="N235" s="108"/>
    </row>
    <row r="236" spans="1:14" x14ac:dyDescent="0.3">
      <c r="A236" s="77"/>
      <c r="B236" s="106"/>
      <c r="F236" s="124"/>
      <c r="G236" s="125"/>
      <c r="J236" s="125"/>
      <c r="L236" s="107"/>
      <c r="M236" s="183"/>
      <c r="N236" s="108"/>
    </row>
    <row r="237" spans="1:14" x14ac:dyDescent="0.3">
      <c r="A237" s="77"/>
      <c r="B237" s="106"/>
      <c r="F237" s="124"/>
      <c r="G237" s="125"/>
      <c r="J237" s="125"/>
      <c r="L237" s="107"/>
      <c r="M237" s="183"/>
      <c r="N237" s="108"/>
    </row>
    <row r="238" spans="1:14" x14ac:dyDescent="0.3">
      <c r="A238" s="77"/>
      <c r="B238" s="106"/>
      <c r="F238" s="124"/>
      <c r="G238" s="125"/>
      <c r="J238" s="125"/>
      <c r="L238" s="107"/>
      <c r="M238" s="183"/>
      <c r="N238" s="108"/>
    </row>
    <row r="239" spans="1:14" x14ac:dyDescent="0.3">
      <c r="A239" s="77"/>
      <c r="B239" s="106"/>
      <c r="F239" s="124"/>
      <c r="G239" s="125"/>
      <c r="J239" s="125"/>
      <c r="L239" s="107"/>
      <c r="M239" s="183"/>
      <c r="N239" s="108"/>
    </row>
    <row r="240" spans="1:14" x14ac:dyDescent="0.3">
      <c r="A240" s="77"/>
      <c r="B240" s="106"/>
      <c r="F240" s="124"/>
      <c r="G240" s="125"/>
      <c r="J240" s="125"/>
      <c r="L240" s="107"/>
      <c r="M240" s="183"/>
      <c r="N240" s="108"/>
    </row>
    <row r="241" spans="1:14" x14ac:dyDescent="0.3">
      <c r="A241" s="77"/>
      <c r="B241" s="106"/>
      <c r="F241" s="124"/>
      <c r="G241" s="125"/>
      <c r="J241" s="125"/>
      <c r="L241" s="107"/>
      <c r="M241" s="183"/>
      <c r="N241" s="108"/>
    </row>
    <row r="242" spans="1:14" x14ac:dyDescent="0.3">
      <c r="A242" s="77"/>
      <c r="B242" s="106"/>
      <c r="F242" s="124"/>
      <c r="G242" s="125"/>
      <c r="J242" s="125"/>
      <c r="L242" s="107"/>
      <c r="M242" s="183"/>
      <c r="N242" s="108"/>
    </row>
    <row r="243" spans="1:14" x14ac:dyDescent="0.3">
      <c r="A243" s="77"/>
      <c r="B243" s="106"/>
      <c r="F243" s="124"/>
      <c r="G243" s="125"/>
      <c r="J243" s="125"/>
      <c r="L243" s="107"/>
      <c r="M243" s="183"/>
      <c r="N243" s="108"/>
    </row>
    <row r="244" spans="1:14" x14ac:dyDescent="0.3">
      <c r="A244" s="77"/>
      <c r="B244" s="106"/>
      <c r="F244" s="124"/>
      <c r="G244" s="125"/>
      <c r="J244" s="125"/>
      <c r="L244" s="107"/>
      <c r="M244" s="183"/>
      <c r="N244" s="108"/>
    </row>
    <row r="245" spans="1:14" x14ac:dyDescent="0.3">
      <c r="A245" s="77"/>
      <c r="B245" s="106"/>
      <c r="F245" s="124"/>
      <c r="G245" s="125"/>
      <c r="J245" s="125"/>
      <c r="L245" s="107"/>
      <c r="M245" s="183"/>
      <c r="N245" s="108"/>
    </row>
    <row r="246" spans="1:14" x14ac:dyDescent="0.3">
      <c r="A246" s="77"/>
      <c r="B246" s="106"/>
      <c r="F246" s="124"/>
      <c r="G246" s="125"/>
      <c r="J246" s="125"/>
      <c r="L246" s="107"/>
      <c r="M246" s="183"/>
      <c r="N246" s="108"/>
    </row>
    <row r="247" spans="1:14" x14ac:dyDescent="0.3">
      <c r="A247" s="77"/>
      <c r="B247" s="106"/>
      <c r="F247" s="124"/>
      <c r="G247" s="125"/>
      <c r="J247" s="125"/>
      <c r="L247" s="107"/>
      <c r="M247" s="183"/>
      <c r="N247" s="108"/>
    </row>
    <row r="248" spans="1:14" x14ac:dyDescent="0.3">
      <c r="A248" s="77"/>
      <c r="B248" s="106"/>
      <c r="F248" s="124"/>
      <c r="G248" s="125"/>
      <c r="J248" s="125"/>
      <c r="L248" s="107"/>
      <c r="M248" s="183"/>
      <c r="N248" s="108"/>
    </row>
    <row r="249" spans="1:14" x14ac:dyDescent="0.3">
      <c r="A249" s="77"/>
      <c r="B249" s="106"/>
      <c r="F249" s="124"/>
      <c r="G249" s="125"/>
      <c r="J249" s="125"/>
      <c r="L249" s="107"/>
      <c r="M249" s="183"/>
      <c r="N249" s="108"/>
    </row>
    <row r="250" spans="1:14" x14ac:dyDescent="0.3">
      <c r="A250" s="77"/>
      <c r="B250" s="106"/>
      <c r="F250" s="124"/>
      <c r="G250" s="125"/>
      <c r="J250" s="125"/>
      <c r="L250" s="107"/>
      <c r="M250" s="183"/>
      <c r="N250" s="108"/>
    </row>
    <row r="251" spans="1:14" x14ac:dyDescent="0.3">
      <c r="A251" s="77"/>
      <c r="B251" s="106"/>
      <c r="F251" s="124"/>
      <c r="G251" s="125"/>
      <c r="J251" s="125"/>
      <c r="L251" s="107"/>
      <c r="M251" s="183"/>
      <c r="N251" s="108"/>
    </row>
    <row r="252" spans="1:14" x14ac:dyDescent="0.3">
      <c r="A252" s="77"/>
      <c r="B252" s="106"/>
      <c r="F252" s="124"/>
      <c r="G252" s="125"/>
      <c r="J252" s="125"/>
      <c r="L252" s="107"/>
      <c r="M252" s="183"/>
      <c r="N252" s="108"/>
    </row>
    <row r="253" spans="1:14" x14ac:dyDescent="0.3">
      <c r="A253" s="77"/>
      <c r="B253" s="106"/>
      <c r="F253" s="124"/>
      <c r="G253" s="125"/>
      <c r="J253" s="125"/>
      <c r="L253" s="107"/>
      <c r="M253" s="183"/>
      <c r="N253" s="108"/>
    </row>
    <row r="254" spans="1:14" x14ac:dyDescent="0.3">
      <c r="A254" s="77"/>
      <c r="B254" s="106"/>
      <c r="F254" s="124"/>
      <c r="G254" s="125"/>
      <c r="J254" s="125"/>
      <c r="L254" s="107"/>
      <c r="M254" s="183"/>
      <c r="N254" s="108"/>
    </row>
    <row r="255" spans="1:14" x14ac:dyDescent="0.3">
      <c r="A255" s="77"/>
      <c r="B255" s="106"/>
      <c r="F255" s="124"/>
      <c r="G255" s="125"/>
      <c r="J255" s="125"/>
      <c r="L255" s="107"/>
      <c r="M255" s="183"/>
      <c r="N255" s="108"/>
    </row>
    <row r="256" spans="1:14" x14ac:dyDescent="0.3">
      <c r="A256" s="77"/>
      <c r="B256" s="106"/>
      <c r="F256" s="124"/>
      <c r="G256" s="125"/>
      <c r="J256" s="125"/>
      <c r="L256" s="107"/>
      <c r="M256" s="183"/>
      <c r="N256" s="108"/>
    </row>
    <row r="257" spans="1:14" x14ac:dyDescent="0.3">
      <c r="A257" s="77"/>
      <c r="B257" s="106"/>
      <c r="F257" s="124"/>
      <c r="G257" s="125"/>
      <c r="J257" s="125"/>
      <c r="L257" s="107"/>
      <c r="M257" s="183"/>
      <c r="N257" s="108"/>
    </row>
    <row r="258" spans="1:14" x14ac:dyDescent="0.3">
      <c r="A258" s="77"/>
      <c r="B258" s="106"/>
      <c r="F258" s="124"/>
      <c r="G258" s="125"/>
      <c r="J258" s="125"/>
      <c r="L258" s="107"/>
      <c r="M258" s="183"/>
      <c r="N258" s="108"/>
    </row>
    <row r="259" spans="1:14" x14ac:dyDescent="0.3">
      <c r="A259" s="77"/>
      <c r="B259" s="106"/>
      <c r="F259" s="124"/>
      <c r="G259" s="125"/>
      <c r="J259" s="125"/>
      <c r="L259" s="107"/>
      <c r="M259" s="183"/>
      <c r="N259" s="108"/>
    </row>
    <row r="260" spans="1:14" x14ac:dyDescent="0.3">
      <c r="A260" s="77"/>
      <c r="B260" s="106"/>
      <c r="F260" s="124"/>
      <c r="G260" s="125"/>
      <c r="J260" s="125"/>
      <c r="L260" s="107"/>
      <c r="M260" s="183"/>
      <c r="N260" s="108"/>
    </row>
    <row r="261" spans="1:14" x14ac:dyDescent="0.3">
      <c r="A261" s="77"/>
      <c r="B261" s="106"/>
      <c r="F261" s="124"/>
      <c r="G261" s="125"/>
      <c r="J261" s="125"/>
      <c r="L261" s="107"/>
      <c r="M261" s="183"/>
      <c r="N261" s="108"/>
    </row>
    <row r="262" spans="1:14" x14ac:dyDescent="0.3">
      <c r="A262" s="77"/>
      <c r="B262" s="106"/>
      <c r="F262" s="124"/>
      <c r="G262" s="125"/>
      <c r="J262" s="125"/>
      <c r="L262" s="107"/>
      <c r="M262" s="183"/>
      <c r="N262" s="108"/>
    </row>
    <row r="263" spans="1:14" x14ac:dyDescent="0.3">
      <c r="A263" s="77"/>
      <c r="B263" s="106"/>
      <c r="F263" s="124"/>
      <c r="G263" s="125"/>
      <c r="J263" s="125"/>
      <c r="L263" s="107"/>
      <c r="M263" s="183"/>
      <c r="N263" s="108"/>
    </row>
    <row r="264" spans="1:14" x14ac:dyDescent="0.3">
      <c r="A264" s="77"/>
      <c r="B264" s="106"/>
      <c r="F264" s="124"/>
      <c r="G264" s="125"/>
      <c r="J264" s="125"/>
      <c r="L264" s="107"/>
      <c r="M264" s="183"/>
      <c r="N264" s="108"/>
    </row>
    <row r="265" spans="1:14" x14ac:dyDescent="0.3">
      <c r="A265" s="77"/>
      <c r="B265" s="106"/>
      <c r="F265" s="124"/>
      <c r="G265" s="125"/>
      <c r="J265" s="125"/>
      <c r="L265" s="107"/>
      <c r="M265" s="183"/>
      <c r="N265" s="108"/>
    </row>
    <row r="266" spans="1:14" x14ac:dyDescent="0.3">
      <c r="A266" s="77"/>
      <c r="B266" s="106"/>
      <c r="F266" s="124"/>
      <c r="G266" s="125"/>
      <c r="J266" s="125"/>
      <c r="L266" s="107"/>
      <c r="M266" s="183"/>
      <c r="N266" s="108"/>
    </row>
    <row r="267" spans="1:14" x14ac:dyDescent="0.3">
      <c r="A267" s="77"/>
      <c r="B267" s="106"/>
      <c r="F267" s="124"/>
      <c r="G267" s="125"/>
      <c r="J267" s="125"/>
      <c r="L267" s="107"/>
      <c r="M267" s="183"/>
      <c r="N267" s="108"/>
    </row>
    <row r="268" spans="1:14" x14ac:dyDescent="0.3">
      <c r="A268" s="77"/>
      <c r="B268" s="106"/>
      <c r="F268" s="124"/>
      <c r="G268" s="125"/>
      <c r="J268" s="125"/>
      <c r="L268" s="107"/>
      <c r="M268" s="183"/>
      <c r="N268" s="108"/>
    </row>
    <row r="269" spans="1:14" x14ac:dyDescent="0.3">
      <c r="A269" s="77"/>
      <c r="B269" s="106"/>
      <c r="F269" s="124"/>
      <c r="G269" s="125"/>
      <c r="J269" s="125"/>
      <c r="L269" s="107"/>
      <c r="M269" s="183"/>
      <c r="N269" s="108"/>
    </row>
    <row r="270" spans="1:14" x14ac:dyDescent="0.3">
      <c r="A270" s="77"/>
      <c r="B270" s="106"/>
      <c r="F270" s="124"/>
      <c r="G270" s="125"/>
      <c r="J270" s="125"/>
      <c r="L270" s="107"/>
      <c r="M270" s="183"/>
      <c r="N270" s="108"/>
    </row>
    <row r="271" spans="1:14" x14ac:dyDescent="0.3">
      <c r="A271" s="77"/>
      <c r="B271" s="106"/>
      <c r="F271" s="124"/>
      <c r="G271" s="125"/>
      <c r="J271" s="125"/>
      <c r="L271" s="107"/>
      <c r="M271" s="183"/>
      <c r="N271" s="108"/>
    </row>
    <row r="272" spans="1:14" x14ac:dyDescent="0.3">
      <c r="A272" s="77"/>
      <c r="B272" s="106"/>
      <c r="F272" s="124"/>
      <c r="G272" s="125"/>
      <c r="J272" s="125"/>
      <c r="L272" s="107"/>
      <c r="M272" s="183"/>
      <c r="N272" s="108"/>
    </row>
    <row r="273" spans="1:14" x14ac:dyDescent="0.3">
      <c r="A273" s="77"/>
      <c r="B273" s="106"/>
      <c r="F273" s="124"/>
      <c r="G273" s="125"/>
      <c r="J273" s="125"/>
      <c r="L273" s="107"/>
      <c r="M273" s="183"/>
      <c r="N273" s="108"/>
    </row>
    <row r="274" spans="1:14" x14ac:dyDescent="0.3">
      <c r="A274" s="77"/>
      <c r="B274" s="106"/>
      <c r="F274" s="124"/>
      <c r="G274" s="125"/>
      <c r="J274" s="125"/>
      <c r="L274" s="107"/>
      <c r="M274" s="183"/>
      <c r="N274" s="108"/>
    </row>
    <row r="275" spans="1:14" x14ac:dyDescent="0.3">
      <c r="A275" s="77"/>
      <c r="B275" s="106"/>
      <c r="F275" s="124"/>
      <c r="G275" s="125"/>
      <c r="J275" s="125"/>
      <c r="L275" s="107"/>
      <c r="M275" s="183"/>
      <c r="N275" s="108"/>
    </row>
    <row r="276" spans="1:14" x14ac:dyDescent="0.3">
      <c r="A276" s="77"/>
      <c r="B276" s="106"/>
      <c r="F276" s="124"/>
      <c r="G276" s="125"/>
      <c r="J276" s="125"/>
      <c r="L276" s="107"/>
      <c r="M276" s="183"/>
      <c r="N276" s="108"/>
    </row>
    <row r="277" spans="1:14" x14ac:dyDescent="0.3">
      <c r="A277" s="77"/>
      <c r="B277" s="106"/>
      <c r="F277" s="124"/>
      <c r="G277" s="125"/>
      <c r="J277" s="125"/>
      <c r="L277" s="107"/>
      <c r="M277" s="183"/>
      <c r="N277" s="108"/>
    </row>
    <row r="278" spans="1:14" x14ac:dyDescent="0.3">
      <c r="A278" s="77"/>
      <c r="B278" s="106"/>
      <c r="F278" s="124"/>
      <c r="G278" s="125"/>
      <c r="J278" s="125"/>
      <c r="L278" s="107"/>
      <c r="M278" s="183"/>
      <c r="N278" s="108"/>
    </row>
    <row r="279" spans="1:14" x14ac:dyDescent="0.3">
      <c r="A279" s="77"/>
      <c r="B279" s="106"/>
      <c r="F279" s="124"/>
      <c r="G279" s="125"/>
      <c r="J279" s="125"/>
      <c r="L279" s="107"/>
      <c r="M279" s="183"/>
      <c r="N279" s="108"/>
    </row>
    <row r="280" spans="1:14" x14ac:dyDescent="0.3">
      <c r="A280" s="77"/>
      <c r="B280" s="106"/>
      <c r="F280" s="124"/>
      <c r="G280" s="125"/>
      <c r="J280" s="125"/>
      <c r="L280" s="107"/>
      <c r="M280" s="183"/>
      <c r="N280" s="108"/>
    </row>
    <row r="281" spans="1:14" x14ac:dyDescent="0.3">
      <c r="A281" s="77"/>
      <c r="B281" s="106"/>
      <c r="F281" s="124"/>
      <c r="G281" s="125"/>
      <c r="J281" s="125"/>
      <c r="L281" s="107"/>
      <c r="M281" s="183"/>
      <c r="N281" s="108"/>
    </row>
    <row r="282" spans="1:14" x14ac:dyDescent="0.3">
      <c r="A282" s="77"/>
      <c r="B282" s="106"/>
      <c r="F282" s="124"/>
      <c r="G282" s="125"/>
      <c r="J282" s="125"/>
      <c r="L282" s="107"/>
      <c r="M282" s="183"/>
      <c r="N282" s="108"/>
    </row>
    <row r="283" spans="1:14" x14ac:dyDescent="0.3">
      <c r="A283" s="77"/>
      <c r="B283" s="106"/>
      <c r="F283" s="124"/>
      <c r="G283" s="125"/>
      <c r="J283" s="125"/>
      <c r="L283" s="107"/>
      <c r="M283" s="183"/>
      <c r="N283" s="108"/>
    </row>
    <row r="284" spans="1:14" x14ac:dyDescent="0.3">
      <c r="A284" s="77"/>
      <c r="B284" s="106"/>
      <c r="F284" s="124"/>
      <c r="G284" s="125"/>
      <c r="J284" s="125"/>
      <c r="L284" s="107"/>
      <c r="M284" s="183"/>
      <c r="N284" s="108"/>
    </row>
    <row r="285" spans="1:14" x14ac:dyDescent="0.3">
      <c r="A285" s="77"/>
      <c r="B285" s="106"/>
      <c r="F285" s="124"/>
      <c r="G285" s="125"/>
      <c r="J285" s="125"/>
      <c r="L285" s="107"/>
      <c r="M285" s="183"/>
      <c r="N285" s="108"/>
    </row>
    <row r="286" spans="1:14" x14ac:dyDescent="0.3">
      <c r="A286" s="77"/>
      <c r="B286" s="106"/>
      <c r="F286" s="124"/>
      <c r="G286" s="125"/>
      <c r="J286" s="125"/>
      <c r="L286" s="107"/>
      <c r="M286" s="183"/>
      <c r="N286" s="108"/>
    </row>
    <row r="287" spans="1:14" x14ac:dyDescent="0.3">
      <c r="A287" s="77"/>
      <c r="B287" s="106"/>
      <c r="F287" s="124"/>
      <c r="G287" s="125"/>
      <c r="J287" s="125"/>
      <c r="L287" s="107"/>
      <c r="M287" s="183"/>
      <c r="N287" s="108"/>
    </row>
    <row r="288" spans="1:14" x14ac:dyDescent="0.3">
      <c r="A288" s="77"/>
      <c r="B288" s="106"/>
      <c r="F288" s="124"/>
      <c r="G288" s="125"/>
      <c r="J288" s="125"/>
      <c r="L288" s="107"/>
      <c r="M288" s="183"/>
      <c r="N288" s="108"/>
    </row>
    <row r="289" spans="1:14" x14ac:dyDescent="0.3">
      <c r="A289" s="77"/>
      <c r="B289" s="106"/>
      <c r="F289" s="124"/>
      <c r="G289" s="125"/>
      <c r="J289" s="125"/>
      <c r="L289" s="107"/>
      <c r="M289" s="183"/>
      <c r="N289" s="108"/>
    </row>
    <row r="290" spans="1:14" x14ac:dyDescent="0.3">
      <c r="A290" s="77"/>
      <c r="B290" s="106"/>
      <c r="F290" s="124"/>
      <c r="G290" s="125"/>
      <c r="J290" s="125"/>
      <c r="L290" s="107"/>
      <c r="M290" s="183"/>
      <c r="N290" s="108"/>
    </row>
    <row r="291" spans="1:14" x14ac:dyDescent="0.3">
      <c r="A291" s="77"/>
      <c r="B291" s="106"/>
      <c r="F291" s="124"/>
      <c r="G291" s="125"/>
      <c r="J291" s="125"/>
      <c r="L291" s="107"/>
      <c r="M291" s="183"/>
      <c r="N291" s="108"/>
    </row>
    <row r="292" spans="1:14" x14ac:dyDescent="0.3">
      <c r="A292" s="77"/>
      <c r="B292" s="106"/>
      <c r="F292" s="124"/>
      <c r="G292" s="125"/>
      <c r="J292" s="125"/>
      <c r="L292" s="107"/>
      <c r="M292" s="183"/>
      <c r="N292" s="108"/>
    </row>
    <row r="293" spans="1:14" x14ac:dyDescent="0.3">
      <c r="A293" s="77"/>
      <c r="B293" s="106"/>
      <c r="F293" s="124"/>
      <c r="G293" s="125"/>
      <c r="J293" s="125"/>
      <c r="L293" s="107"/>
      <c r="M293" s="183"/>
      <c r="N293" s="108"/>
    </row>
    <row r="294" spans="1:14" x14ac:dyDescent="0.3">
      <c r="A294" s="77"/>
      <c r="B294" s="106"/>
      <c r="F294" s="124"/>
      <c r="G294" s="125"/>
      <c r="J294" s="125"/>
      <c r="L294" s="107"/>
      <c r="M294" s="183"/>
      <c r="N294" s="108"/>
    </row>
    <row r="295" spans="1:14" x14ac:dyDescent="0.3">
      <c r="A295" s="77"/>
      <c r="B295" s="106"/>
      <c r="F295" s="124"/>
      <c r="G295" s="125"/>
      <c r="J295" s="125"/>
      <c r="L295" s="107"/>
      <c r="M295" s="183"/>
      <c r="N295" s="108"/>
    </row>
    <row r="296" spans="1:14" x14ac:dyDescent="0.3">
      <c r="A296" s="77"/>
      <c r="B296" s="106"/>
      <c r="F296" s="124"/>
      <c r="G296" s="125"/>
      <c r="J296" s="125"/>
      <c r="L296" s="107"/>
      <c r="M296" s="183"/>
      <c r="N296" s="108"/>
    </row>
    <row r="297" spans="1:14" x14ac:dyDescent="0.3">
      <c r="A297" s="77"/>
      <c r="B297" s="106"/>
      <c r="F297" s="124"/>
      <c r="G297" s="125"/>
      <c r="J297" s="125"/>
      <c r="L297" s="107"/>
      <c r="M297" s="183"/>
      <c r="N297" s="108"/>
    </row>
    <row r="298" spans="1:14" x14ac:dyDescent="0.3">
      <c r="A298" s="77"/>
      <c r="B298" s="106"/>
      <c r="F298" s="124"/>
      <c r="G298" s="125"/>
      <c r="J298" s="125"/>
      <c r="L298" s="107"/>
      <c r="M298" s="183"/>
      <c r="N298" s="108"/>
    </row>
    <row r="299" spans="1:14" x14ac:dyDescent="0.3">
      <c r="A299" s="77"/>
      <c r="B299" s="106"/>
      <c r="F299" s="124"/>
      <c r="G299" s="125"/>
      <c r="J299" s="125"/>
      <c r="L299" s="107"/>
      <c r="M299" s="183"/>
      <c r="N299" s="108"/>
    </row>
    <row r="300" spans="1:14" x14ac:dyDescent="0.3">
      <c r="A300" s="77"/>
      <c r="B300" s="106"/>
      <c r="F300" s="124"/>
      <c r="G300" s="125"/>
      <c r="J300" s="125"/>
      <c r="L300" s="107"/>
      <c r="M300" s="183"/>
      <c r="N300" s="108"/>
    </row>
    <row r="301" spans="1:14" x14ac:dyDescent="0.3">
      <c r="A301" s="77"/>
      <c r="B301" s="106"/>
      <c r="F301" s="124"/>
      <c r="G301" s="125"/>
      <c r="J301" s="125"/>
      <c r="L301" s="107"/>
      <c r="M301" s="183"/>
      <c r="N301" s="108"/>
    </row>
    <row r="302" spans="1:14" x14ac:dyDescent="0.3">
      <c r="A302" s="77"/>
      <c r="B302" s="106"/>
      <c r="F302" s="124"/>
      <c r="G302" s="125"/>
      <c r="J302" s="125"/>
      <c r="L302" s="107"/>
      <c r="M302" s="183"/>
      <c r="N302" s="108"/>
    </row>
    <row r="303" spans="1:14" x14ac:dyDescent="0.3">
      <c r="A303" s="77"/>
      <c r="B303" s="106"/>
      <c r="F303" s="124"/>
      <c r="G303" s="125"/>
      <c r="J303" s="125"/>
      <c r="L303" s="107"/>
      <c r="M303" s="183"/>
      <c r="N303" s="108"/>
    </row>
    <row r="304" spans="1:14" x14ac:dyDescent="0.3">
      <c r="A304" s="77"/>
      <c r="B304" s="106"/>
      <c r="F304" s="124"/>
      <c r="G304" s="125"/>
      <c r="J304" s="125"/>
      <c r="L304" s="107"/>
      <c r="M304" s="183"/>
      <c r="N304" s="108"/>
    </row>
    <row r="305" spans="1:14" x14ac:dyDescent="0.3">
      <c r="A305" s="77"/>
      <c r="B305" s="106"/>
      <c r="F305" s="124"/>
      <c r="G305" s="125"/>
      <c r="J305" s="125"/>
      <c r="L305" s="107"/>
      <c r="M305" s="183"/>
      <c r="N305" s="108"/>
    </row>
    <row r="306" spans="1:14" x14ac:dyDescent="0.3">
      <c r="A306" s="77"/>
      <c r="B306" s="106"/>
      <c r="F306" s="124"/>
      <c r="G306" s="125"/>
      <c r="J306" s="125"/>
      <c r="L306" s="107"/>
      <c r="M306" s="183"/>
      <c r="N306" s="108"/>
    </row>
    <row r="307" spans="1:14" x14ac:dyDescent="0.3">
      <c r="A307" s="77"/>
      <c r="B307" s="106"/>
      <c r="F307" s="124"/>
      <c r="G307" s="125"/>
      <c r="J307" s="125"/>
      <c r="L307" s="107"/>
      <c r="M307" s="183"/>
      <c r="N307" s="108"/>
    </row>
    <row r="308" spans="1:14" x14ac:dyDescent="0.3">
      <c r="A308" s="77"/>
      <c r="B308" s="106"/>
      <c r="F308" s="124"/>
      <c r="G308" s="125"/>
      <c r="J308" s="125"/>
      <c r="L308" s="107"/>
      <c r="M308" s="183"/>
      <c r="N308" s="108"/>
    </row>
    <row r="309" spans="1:14" x14ac:dyDescent="0.3">
      <c r="A309" s="77"/>
      <c r="B309" s="106"/>
      <c r="F309" s="124"/>
      <c r="G309" s="125"/>
      <c r="J309" s="125"/>
      <c r="L309" s="107"/>
      <c r="M309" s="183"/>
      <c r="N309" s="108"/>
    </row>
    <row r="310" spans="1:14" x14ac:dyDescent="0.3">
      <c r="A310" s="77"/>
      <c r="B310" s="106"/>
      <c r="F310" s="124"/>
      <c r="G310" s="125"/>
      <c r="J310" s="125"/>
      <c r="L310" s="107"/>
      <c r="M310" s="183"/>
      <c r="N310" s="108"/>
    </row>
    <row r="311" spans="1:14" x14ac:dyDescent="0.3">
      <c r="A311" s="77"/>
      <c r="B311" s="106"/>
      <c r="F311" s="124"/>
      <c r="G311" s="125"/>
      <c r="J311" s="125"/>
      <c r="L311" s="107"/>
      <c r="M311" s="183"/>
      <c r="N311" s="108"/>
    </row>
    <row r="312" spans="1:14" x14ac:dyDescent="0.3">
      <c r="A312" s="77"/>
      <c r="B312" s="106"/>
      <c r="F312" s="124"/>
      <c r="G312" s="125"/>
      <c r="J312" s="125"/>
      <c r="L312" s="107"/>
      <c r="M312" s="183"/>
      <c r="N312" s="108"/>
    </row>
    <row r="313" spans="1:14" x14ac:dyDescent="0.3">
      <c r="A313" s="77"/>
      <c r="B313" s="106"/>
      <c r="F313" s="124"/>
      <c r="G313" s="125"/>
      <c r="J313" s="125"/>
      <c r="L313" s="107"/>
      <c r="M313" s="183"/>
      <c r="N313" s="108"/>
    </row>
    <row r="314" spans="1:14" x14ac:dyDescent="0.3">
      <c r="A314" s="77"/>
      <c r="B314" s="106"/>
      <c r="F314" s="124"/>
      <c r="G314" s="125"/>
      <c r="J314" s="125"/>
      <c r="L314" s="107"/>
      <c r="M314" s="183"/>
      <c r="N314" s="108"/>
    </row>
    <row r="315" spans="1:14" x14ac:dyDescent="0.3">
      <c r="A315" s="77"/>
      <c r="B315" s="106"/>
      <c r="F315" s="124"/>
      <c r="G315" s="125"/>
      <c r="J315" s="125"/>
      <c r="L315" s="107"/>
      <c r="M315" s="183"/>
      <c r="N315" s="108"/>
    </row>
    <row r="316" spans="1:14" x14ac:dyDescent="0.3">
      <c r="A316" s="77"/>
      <c r="B316" s="106"/>
      <c r="F316" s="124"/>
      <c r="G316" s="125"/>
      <c r="J316" s="125"/>
      <c r="L316" s="107"/>
      <c r="M316" s="183"/>
      <c r="N316" s="108"/>
    </row>
    <row r="317" spans="1:14" x14ac:dyDescent="0.3">
      <c r="A317" s="77"/>
      <c r="B317" s="106"/>
      <c r="F317" s="124"/>
      <c r="G317" s="125"/>
      <c r="J317" s="125"/>
      <c r="L317" s="107"/>
      <c r="M317" s="183"/>
      <c r="N317" s="108"/>
    </row>
    <row r="318" spans="1:14" x14ac:dyDescent="0.3">
      <c r="A318" s="77"/>
      <c r="B318" s="106"/>
      <c r="F318" s="124"/>
      <c r="G318" s="125"/>
      <c r="J318" s="125"/>
      <c r="L318" s="107"/>
      <c r="M318" s="183"/>
      <c r="N318" s="108"/>
    </row>
    <row r="319" spans="1:14" x14ac:dyDescent="0.3">
      <c r="A319" s="77"/>
      <c r="B319" s="106"/>
      <c r="F319" s="124"/>
      <c r="G319" s="125"/>
      <c r="J319" s="125"/>
      <c r="L319" s="107"/>
      <c r="M319" s="183"/>
      <c r="N319" s="108"/>
    </row>
    <row r="320" spans="1:14" x14ac:dyDescent="0.3">
      <c r="A320" s="77"/>
      <c r="B320" s="106"/>
      <c r="F320" s="124"/>
      <c r="G320" s="125"/>
      <c r="J320" s="125"/>
      <c r="L320" s="107"/>
      <c r="M320" s="183"/>
      <c r="N320" s="108"/>
    </row>
    <row r="321" spans="1:14" x14ac:dyDescent="0.3">
      <c r="A321" s="77"/>
      <c r="B321" s="106"/>
      <c r="F321" s="124"/>
      <c r="G321" s="125"/>
      <c r="J321" s="125"/>
      <c r="L321" s="107"/>
      <c r="M321" s="183"/>
      <c r="N321" s="108"/>
    </row>
    <row r="322" spans="1:14" x14ac:dyDescent="0.3">
      <c r="A322" s="77"/>
      <c r="B322" s="106"/>
      <c r="F322" s="124"/>
      <c r="G322" s="125"/>
      <c r="J322" s="125"/>
      <c r="L322" s="107"/>
      <c r="M322" s="183"/>
      <c r="N322" s="108"/>
    </row>
    <row r="323" spans="1:14" x14ac:dyDescent="0.3">
      <c r="A323" s="77"/>
      <c r="B323" s="106"/>
      <c r="F323" s="124"/>
      <c r="G323" s="125"/>
      <c r="J323" s="125"/>
      <c r="L323" s="107"/>
      <c r="M323" s="183"/>
      <c r="N323" s="108"/>
    </row>
    <row r="324" spans="1:14" x14ac:dyDescent="0.3">
      <c r="A324" s="77"/>
      <c r="B324" s="106"/>
      <c r="F324" s="124"/>
      <c r="G324" s="125"/>
      <c r="J324" s="125"/>
      <c r="L324" s="107"/>
      <c r="M324" s="183"/>
      <c r="N324" s="108"/>
    </row>
    <row r="325" spans="1:14" x14ac:dyDescent="0.3">
      <c r="A325" s="77"/>
      <c r="B325" s="106"/>
      <c r="F325" s="124"/>
      <c r="G325" s="125"/>
      <c r="J325" s="125"/>
      <c r="L325" s="107"/>
      <c r="M325" s="183"/>
      <c r="N325" s="108"/>
    </row>
    <row r="326" spans="1:14" x14ac:dyDescent="0.3">
      <c r="A326" s="77"/>
      <c r="B326" s="106"/>
      <c r="F326" s="124"/>
      <c r="G326" s="125"/>
      <c r="J326" s="125"/>
      <c r="L326" s="107"/>
      <c r="M326" s="183"/>
      <c r="N326" s="108"/>
    </row>
    <row r="327" spans="1:14" x14ac:dyDescent="0.3">
      <c r="A327" s="77"/>
      <c r="B327" s="106"/>
      <c r="F327" s="124"/>
      <c r="G327" s="125"/>
      <c r="J327" s="125"/>
      <c r="L327" s="107"/>
      <c r="M327" s="183"/>
      <c r="N327" s="108"/>
    </row>
    <row r="328" spans="1:14" x14ac:dyDescent="0.3">
      <c r="A328" s="77"/>
      <c r="B328" s="106"/>
      <c r="F328" s="124"/>
      <c r="G328" s="125"/>
      <c r="J328" s="125"/>
      <c r="L328" s="107"/>
      <c r="M328" s="183"/>
      <c r="N328" s="108"/>
    </row>
    <row r="329" spans="1:14" x14ac:dyDescent="0.3">
      <c r="A329" s="77"/>
      <c r="B329" s="106"/>
      <c r="F329" s="124"/>
      <c r="G329" s="125"/>
      <c r="J329" s="125"/>
      <c r="L329" s="107"/>
      <c r="M329" s="183"/>
      <c r="N329" s="108"/>
    </row>
    <row r="330" spans="1:14" x14ac:dyDescent="0.3">
      <c r="A330" s="77"/>
      <c r="B330" s="106"/>
      <c r="F330" s="124"/>
      <c r="G330" s="125"/>
      <c r="J330" s="125"/>
      <c r="L330" s="107"/>
      <c r="M330" s="183"/>
      <c r="N330" s="108"/>
    </row>
    <row r="331" spans="1:14" x14ac:dyDescent="0.3">
      <c r="A331" s="77"/>
      <c r="B331" s="106"/>
      <c r="F331" s="124"/>
      <c r="G331" s="125"/>
      <c r="J331" s="125"/>
      <c r="L331" s="107"/>
      <c r="M331" s="183"/>
      <c r="N331" s="108"/>
    </row>
    <row r="332" spans="1:14" x14ac:dyDescent="0.3">
      <c r="A332" s="77"/>
      <c r="B332" s="106"/>
      <c r="F332" s="124"/>
      <c r="G332" s="125"/>
      <c r="J332" s="125"/>
      <c r="L332" s="107"/>
      <c r="M332" s="183"/>
      <c r="N332" s="108"/>
    </row>
    <row r="333" spans="1:14" x14ac:dyDescent="0.3">
      <c r="A333" s="77"/>
      <c r="B333" s="106"/>
      <c r="F333" s="124"/>
      <c r="G333" s="125"/>
      <c r="J333" s="125"/>
      <c r="L333" s="107"/>
      <c r="M333" s="183"/>
      <c r="N333" s="108"/>
    </row>
    <row r="334" spans="1:14" x14ac:dyDescent="0.3">
      <c r="A334" s="77"/>
      <c r="B334" s="106"/>
      <c r="F334" s="124"/>
      <c r="G334" s="125"/>
      <c r="J334" s="125"/>
      <c r="L334" s="107"/>
      <c r="M334" s="183"/>
      <c r="N334" s="108"/>
    </row>
    <row r="335" spans="1:14" x14ac:dyDescent="0.3">
      <c r="A335" s="77"/>
      <c r="B335" s="106"/>
      <c r="F335" s="124"/>
      <c r="G335" s="125"/>
      <c r="J335" s="125"/>
      <c r="L335" s="107"/>
      <c r="M335" s="183"/>
      <c r="N335" s="108"/>
    </row>
    <row r="336" spans="1:14" x14ac:dyDescent="0.3">
      <c r="A336" s="77"/>
      <c r="B336" s="106"/>
      <c r="F336" s="124"/>
      <c r="G336" s="125"/>
      <c r="J336" s="125"/>
      <c r="L336" s="107"/>
      <c r="M336" s="183"/>
      <c r="N336" s="108"/>
    </row>
    <row r="337" spans="1:14" x14ac:dyDescent="0.3">
      <c r="A337" s="77"/>
      <c r="B337" s="106"/>
      <c r="F337" s="124"/>
      <c r="G337" s="125"/>
      <c r="J337" s="125"/>
      <c r="L337" s="107"/>
      <c r="M337" s="183"/>
      <c r="N337" s="108"/>
    </row>
    <row r="338" spans="1:14" x14ac:dyDescent="0.3">
      <c r="A338" s="77"/>
      <c r="B338" s="106"/>
      <c r="F338" s="124"/>
      <c r="G338" s="125"/>
      <c r="J338" s="125"/>
      <c r="L338" s="107"/>
      <c r="M338" s="183"/>
      <c r="N338" s="108"/>
    </row>
    <row r="339" spans="1:14" x14ac:dyDescent="0.3">
      <c r="A339" s="77"/>
      <c r="B339" s="106"/>
      <c r="F339" s="124"/>
      <c r="G339" s="125"/>
      <c r="J339" s="125"/>
      <c r="L339" s="107"/>
      <c r="M339" s="183"/>
      <c r="N339" s="108"/>
    </row>
    <row r="340" spans="1:14" x14ac:dyDescent="0.3">
      <c r="A340" s="77"/>
      <c r="B340" s="106"/>
      <c r="F340" s="124"/>
      <c r="G340" s="125"/>
      <c r="J340" s="125"/>
      <c r="L340" s="107"/>
      <c r="M340" s="183"/>
      <c r="N340" s="108"/>
    </row>
    <row r="341" spans="1:14" x14ac:dyDescent="0.3">
      <c r="A341" s="77"/>
      <c r="B341" s="106"/>
      <c r="F341" s="124"/>
      <c r="G341" s="125"/>
      <c r="J341" s="125"/>
      <c r="L341" s="107"/>
      <c r="M341" s="183"/>
      <c r="N341" s="108"/>
    </row>
    <row r="342" spans="1:14" x14ac:dyDescent="0.3">
      <c r="A342" s="77"/>
      <c r="B342" s="106"/>
      <c r="F342" s="124"/>
      <c r="G342" s="125"/>
      <c r="J342" s="125"/>
      <c r="L342" s="107"/>
      <c r="M342" s="183"/>
      <c r="N342" s="108"/>
    </row>
    <row r="343" spans="1:14" x14ac:dyDescent="0.3">
      <c r="A343" s="77"/>
      <c r="B343" s="106"/>
      <c r="F343" s="124"/>
      <c r="G343" s="125"/>
      <c r="J343" s="125"/>
      <c r="L343" s="107"/>
      <c r="M343" s="183"/>
      <c r="N343" s="108"/>
    </row>
    <row r="344" spans="1:14" x14ac:dyDescent="0.3">
      <c r="A344" s="77"/>
      <c r="B344" s="106"/>
      <c r="F344" s="124"/>
      <c r="G344" s="125"/>
      <c r="J344" s="125"/>
      <c r="L344" s="107"/>
      <c r="M344" s="183"/>
      <c r="N344" s="108"/>
    </row>
    <row r="345" spans="1:14" x14ac:dyDescent="0.3">
      <c r="A345" s="77"/>
      <c r="B345" s="106"/>
      <c r="F345" s="124"/>
      <c r="G345" s="125"/>
      <c r="J345" s="125"/>
      <c r="L345" s="107"/>
      <c r="M345" s="183"/>
      <c r="N345" s="108"/>
    </row>
    <row r="346" spans="1:14" x14ac:dyDescent="0.3">
      <c r="A346" s="77"/>
      <c r="B346" s="106"/>
      <c r="F346" s="124"/>
      <c r="G346" s="125"/>
      <c r="J346" s="125"/>
      <c r="L346" s="107"/>
      <c r="M346" s="183"/>
      <c r="N346" s="108"/>
    </row>
    <row r="347" spans="1:14" x14ac:dyDescent="0.3">
      <c r="A347" s="77"/>
      <c r="B347" s="106"/>
      <c r="F347" s="124"/>
      <c r="G347" s="125"/>
      <c r="J347" s="125"/>
      <c r="L347" s="107"/>
      <c r="M347" s="183"/>
      <c r="N347" s="108"/>
    </row>
    <row r="348" spans="1:14" x14ac:dyDescent="0.3">
      <c r="A348" s="77"/>
      <c r="B348" s="106"/>
      <c r="F348" s="124"/>
      <c r="G348" s="125"/>
      <c r="J348" s="125"/>
      <c r="L348" s="107"/>
      <c r="M348" s="183"/>
      <c r="N348" s="108"/>
    </row>
    <row r="349" spans="1:14" x14ac:dyDescent="0.3">
      <c r="A349" s="77"/>
      <c r="B349" s="106"/>
      <c r="F349" s="124"/>
      <c r="G349" s="125"/>
      <c r="J349" s="125"/>
      <c r="L349" s="107"/>
      <c r="M349" s="183"/>
      <c r="N349" s="108"/>
    </row>
    <row r="350" spans="1:14" x14ac:dyDescent="0.3">
      <c r="A350" s="77"/>
      <c r="B350" s="106"/>
      <c r="F350" s="124"/>
      <c r="G350" s="125"/>
      <c r="J350" s="125"/>
      <c r="L350" s="107"/>
      <c r="M350" s="183"/>
      <c r="N350" s="108"/>
    </row>
    <row r="351" spans="1:14" x14ac:dyDescent="0.3">
      <c r="A351" s="77"/>
      <c r="B351" s="106"/>
      <c r="F351" s="124"/>
      <c r="G351" s="125"/>
      <c r="J351" s="125"/>
      <c r="L351" s="107"/>
      <c r="M351" s="183"/>
      <c r="N351" s="108"/>
    </row>
    <row r="352" spans="1:14" x14ac:dyDescent="0.3">
      <c r="A352" s="77"/>
      <c r="B352" s="106"/>
      <c r="F352" s="124"/>
      <c r="G352" s="125"/>
      <c r="J352" s="125"/>
      <c r="L352" s="107"/>
      <c r="M352" s="183"/>
      <c r="N352" s="108"/>
    </row>
    <row r="353" spans="1:14" x14ac:dyDescent="0.3">
      <c r="A353" s="77"/>
      <c r="B353" s="106"/>
      <c r="F353" s="124"/>
      <c r="G353" s="125"/>
      <c r="J353" s="125"/>
      <c r="L353" s="107"/>
      <c r="M353" s="183"/>
      <c r="N353" s="108"/>
    </row>
    <row r="354" spans="1:14" x14ac:dyDescent="0.3">
      <c r="A354" s="77"/>
      <c r="B354" s="106"/>
      <c r="F354" s="124"/>
      <c r="G354" s="125"/>
      <c r="J354" s="125"/>
      <c r="L354" s="107"/>
      <c r="M354" s="183"/>
      <c r="N354" s="108"/>
    </row>
    <row r="355" spans="1:14" x14ac:dyDescent="0.3">
      <c r="A355" s="77"/>
      <c r="B355" s="106"/>
      <c r="F355" s="124"/>
      <c r="G355" s="125"/>
      <c r="J355" s="125"/>
      <c r="L355" s="107"/>
      <c r="M355" s="183"/>
      <c r="N355" s="108"/>
    </row>
    <row r="356" spans="1:14" x14ac:dyDescent="0.3">
      <c r="A356" s="77"/>
      <c r="B356" s="106"/>
      <c r="F356" s="124"/>
      <c r="G356" s="125"/>
      <c r="J356" s="125"/>
      <c r="L356" s="107"/>
      <c r="M356" s="183"/>
      <c r="N356" s="108"/>
    </row>
    <row r="357" spans="1:14" x14ac:dyDescent="0.3">
      <c r="A357" s="77"/>
      <c r="B357" s="106"/>
      <c r="F357" s="124"/>
      <c r="G357" s="125"/>
      <c r="J357" s="125"/>
      <c r="L357" s="107"/>
      <c r="M357" s="183"/>
      <c r="N357" s="108"/>
    </row>
    <row r="358" spans="1:14" x14ac:dyDescent="0.3">
      <c r="A358" s="77"/>
      <c r="B358" s="106"/>
      <c r="F358" s="124"/>
      <c r="G358" s="125"/>
      <c r="J358" s="125"/>
      <c r="L358" s="107"/>
      <c r="M358" s="183"/>
      <c r="N358" s="108"/>
    </row>
    <row r="359" spans="1:14" x14ac:dyDescent="0.3">
      <c r="A359" s="77"/>
      <c r="B359" s="106"/>
      <c r="F359" s="124"/>
      <c r="G359" s="125"/>
      <c r="J359" s="125"/>
      <c r="L359" s="107"/>
      <c r="M359" s="183"/>
      <c r="N359" s="108"/>
    </row>
    <row r="360" spans="1:14" x14ac:dyDescent="0.3">
      <c r="A360" s="77"/>
      <c r="B360" s="106"/>
      <c r="F360" s="124"/>
      <c r="G360" s="125"/>
      <c r="J360" s="125"/>
      <c r="L360" s="107"/>
      <c r="M360" s="183"/>
      <c r="N360" s="108"/>
    </row>
    <row r="361" spans="1:14" x14ac:dyDescent="0.3">
      <c r="A361" s="77"/>
      <c r="B361" s="106"/>
      <c r="F361" s="124"/>
      <c r="G361" s="125"/>
      <c r="J361" s="125"/>
      <c r="L361" s="107"/>
      <c r="M361" s="183"/>
      <c r="N361" s="108"/>
    </row>
    <row r="362" spans="1:14" x14ac:dyDescent="0.3">
      <c r="A362" s="77"/>
      <c r="B362" s="106"/>
      <c r="F362" s="124"/>
      <c r="G362" s="125"/>
      <c r="J362" s="125"/>
      <c r="L362" s="107"/>
      <c r="M362" s="183"/>
      <c r="N362" s="108"/>
    </row>
    <row r="363" spans="1:14" x14ac:dyDescent="0.3">
      <c r="A363" s="77"/>
      <c r="B363" s="106"/>
      <c r="F363" s="124"/>
      <c r="G363" s="125"/>
      <c r="J363" s="125"/>
      <c r="L363" s="107"/>
      <c r="M363" s="183"/>
      <c r="N363" s="108"/>
    </row>
    <row r="364" spans="1:14" x14ac:dyDescent="0.3">
      <c r="A364" s="77"/>
      <c r="B364" s="106"/>
      <c r="F364" s="124"/>
      <c r="G364" s="125"/>
      <c r="J364" s="125"/>
      <c r="L364" s="107"/>
      <c r="M364" s="183"/>
      <c r="N364" s="108"/>
    </row>
    <row r="365" spans="1:14" x14ac:dyDescent="0.3">
      <c r="A365" s="77"/>
      <c r="B365" s="106"/>
      <c r="F365" s="124"/>
      <c r="G365" s="125"/>
      <c r="J365" s="125"/>
      <c r="L365" s="107"/>
      <c r="M365" s="183"/>
      <c r="N365" s="108"/>
    </row>
    <row r="366" spans="1:14" x14ac:dyDescent="0.3">
      <c r="A366" s="77"/>
      <c r="B366" s="106"/>
      <c r="F366" s="124"/>
      <c r="G366" s="125"/>
      <c r="J366" s="125"/>
      <c r="L366" s="107"/>
      <c r="M366" s="183"/>
      <c r="N366" s="108"/>
    </row>
    <row r="367" spans="1:14" x14ac:dyDescent="0.3">
      <c r="A367" s="77"/>
      <c r="B367" s="106"/>
      <c r="F367" s="124"/>
      <c r="G367" s="125"/>
      <c r="J367" s="125"/>
      <c r="L367" s="107"/>
      <c r="M367" s="183"/>
      <c r="N367" s="108"/>
    </row>
    <row r="368" spans="1:14" x14ac:dyDescent="0.3">
      <c r="A368" s="77"/>
      <c r="B368" s="106"/>
      <c r="F368" s="124"/>
      <c r="G368" s="125"/>
      <c r="J368" s="125"/>
      <c r="L368" s="107"/>
      <c r="M368" s="183"/>
      <c r="N368" s="108"/>
    </row>
    <row r="369" spans="1:14" x14ac:dyDescent="0.3">
      <c r="A369" s="77"/>
      <c r="B369" s="106"/>
      <c r="F369" s="124"/>
      <c r="G369" s="125"/>
      <c r="J369" s="125"/>
      <c r="L369" s="107"/>
      <c r="M369" s="183"/>
      <c r="N369" s="108"/>
    </row>
    <row r="370" spans="1:14" x14ac:dyDescent="0.3">
      <c r="A370" s="77"/>
      <c r="B370" s="106"/>
      <c r="F370" s="124"/>
      <c r="G370" s="125"/>
      <c r="J370" s="125"/>
      <c r="L370" s="107"/>
      <c r="M370" s="183"/>
      <c r="N370" s="108"/>
    </row>
    <row r="371" spans="1:14" x14ac:dyDescent="0.3">
      <c r="A371" s="77"/>
      <c r="B371" s="106"/>
      <c r="F371" s="124"/>
      <c r="G371" s="125"/>
      <c r="J371" s="125"/>
      <c r="L371" s="107"/>
      <c r="M371" s="183"/>
      <c r="N371" s="108"/>
    </row>
    <row r="372" spans="1:14" x14ac:dyDescent="0.3">
      <c r="A372" s="77"/>
      <c r="B372" s="106"/>
      <c r="F372" s="124"/>
      <c r="G372" s="125"/>
      <c r="J372" s="125"/>
      <c r="L372" s="107"/>
      <c r="M372" s="183"/>
      <c r="N372" s="108"/>
    </row>
    <row r="373" spans="1:14" x14ac:dyDescent="0.3">
      <c r="A373" s="77"/>
      <c r="B373" s="106"/>
      <c r="F373" s="124"/>
      <c r="G373" s="125"/>
      <c r="J373" s="125"/>
      <c r="L373" s="107"/>
      <c r="M373" s="183"/>
      <c r="N373" s="108"/>
    </row>
    <row r="374" spans="1:14" x14ac:dyDescent="0.3">
      <c r="A374" s="77"/>
      <c r="B374" s="106"/>
      <c r="F374" s="124"/>
      <c r="G374" s="125"/>
      <c r="J374" s="125"/>
      <c r="L374" s="107"/>
      <c r="M374" s="183"/>
      <c r="N374" s="108"/>
    </row>
    <row r="375" spans="1:14" x14ac:dyDescent="0.3">
      <c r="A375" s="77"/>
      <c r="B375" s="106"/>
      <c r="F375" s="124"/>
      <c r="G375" s="125"/>
      <c r="J375" s="125"/>
      <c r="L375" s="107"/>
      <c r="M375" s="183"/>
      <c r="N375" s="108"/>
    </row>
    <row r="376" spans="1:14" x14ac:dyDescent="0.3">
      <c r="A376" s="77"/>
      <c r="B376" s="106"/>
      <c r="F376" s="124"/>
      <c r="G376" s="125"/>
      <c r="J376" s="125"/>
      <c r="L376" s="107"/>
      <c r="M376" s="183"/>
      <c r="N376" s="108"/>
    </row>
    <row r="377" spans="1:14" x14ac:dyDescent="0.3">
      <c r="A377" s="77"/>
      <c r="B377" s="106"/>
      <c r="F377" s="124"/>
      <c r="G377" s="125"/>
      <c r="J377" s="125"/>
      <c r="L377" s="107"/>
      <c r="M377" s="183"/>
      <c r="N377" s="108"/>
    </row>
    <row r="378" spans="1:14" x14ac:dyDescent="0.3">
      <c r="A378" s="77"/>
      <c r="B378" s="106"/>
      <c r="F378" s="124"/>
      <c r="G378" s="125"/>
      <c r="J378" s="125"/>
      <c r="L378" s="107"/>
      <c r="M378" s="183"/>
      <c r="N378" s="108"/>
    </row>
    <row r="379" spans="1:14" x14ac:dyDescent="0.3">
      <c r="A379" s="77"/>
      <c r="B379" s="106"/>
      <c r="F379" s="124"/>
      <c r="G379" s="125"/>
      <c r="J379" s="125"/>
      <c r="L379" s="107"/>
      <c r="M379" s="183"/>
      <c r="N379" s="108"/>
    </row>
    <row r="380" spans="1:14" x14ac:dyDescent="0.3">
      <c r="A380" s="77"/>
      <c r="B380" s="106"/>
      <c r="F380" s="124"/>
      <c r="G380" s="125"/>
      <c r="J380" s="125"/>
      <c r="L380" s="107"/>
      <c r="M380" s="183"/>
      <c r="N380" s="108"/>
    </row>
    <row r="381" spans="1:14" x14ac:dyDescent="0.3">
      <c r="A381" s="77"/>
      <c r="B381" s="106"/>
      <c r="F381" s="124"/>
      <c r="G381" s="125"/>
      <c r="J381" s="125"/>
      <c r="L381" s="107"/>
      <c r="M381" s="183"/>
      <c r="N381" s="108"/>
    </row>
    <row r="382" spans="1:14" x14ac:dyDescent="0.3">
      <c r="A382" s="77"/>
      <c r="B382" s="106"/>
      <c r="F382" s="124"/>
      <c r="G382" s="125"/>
      <c r="J382" s="125"/>
      <c r="L382" s="107"/>
      <c r="M382" s="183"/>
      <c r="N382" s="108"/>
    </row>
    <row r="383" spans="1:14" x14ac:dyDescent="0.3">
      <c r="A383" s="77"/>
      <c r="B383" s="106"/>
      <c r="F383" s="124"/>
      <c r="G383" s="125"/>
      <c r="J383" s="125"/>
      <c r="L383" s="107"/>
      <c r="M383" s="183"/>
      <c r="N383" s="108"/>
    </row>
    <row r="384" spans="1:14" x14ac:dyDescent="0.3">
      <c r="A384" s="77"/>
      <c r="B384" s="106"/>
      <c r="F384" s="124"/>
      <c r="G384" s="125"/>
      <c r="J384" s="125"/>
      <c r="L384" s="107"/>
      <c r="M384" s="183"/>
      <c r="N384" s="108"/>
    </row>
    <row r="385" spans="1:14" x14ac:dyDescent="0.3">
      <c r="A385" s="77"/>
      <c r="B385" s="106"/>
      <c r="F385" s="124"/>
      <c r="G385" s="125"/>
      <c r="J385" s="125"/>
      <c r="L385" s="107"/>
      <c r="M385" s="183"/>
      <c r="N385" s="108"/>
    </row>
    <row r="386" spans="1:14" x14ac:dyDescent="0.3">
      <c r="A386" s="77"/>
      <c r="B386" s="106"/>
      <c r="F386" s="124"/>
      <c r="G386" s="125"/>
      <c r="J386" s="125"/>
      <c r="L386" s="107"/>
      <c r="M386" s="183"/>
      <c r="N386" s="108"/>
    </row>
    <row r="387" spans="1:14" x14ac:dyDescent="0.3">
      <c r="A387" s="77"/>
      <c r="B387" s="106"/>
      <c r="F387" s="124"/>
      <c r="G387" s="125"/>
      <c r="J387" s="125"/>
      <c r="L387" s="107"/>
      <c r="M387" s="183"/>
      <c r="N387" s="108"/>
    </row>
    <row r="388" spans="1:14" x14ac:dyDescent="0.3">
      <c r="A388" s="77"/>
      <c r="B388" s="106"/>
      <c r="F388" s="124"/>
      <c r="G388" s="125"/>
      <c r="J388" s="125"/>
      <c r="L388" s="107"/>
      <c r="M388" s="183"/>
      <c r="N388" s="108"/>
    </row>
    <row r="389" spans="1:14" x14ac:dyDescent="0.3">
      <c r="A389" s="77"/>
      <c r="B389" s="106"/>
      <c r="F389" s="124"/>
      <c r="G389" s="125"/>
      <c r="J389" s="125"/>
      <c r="L389" s="107"/>
      <c r="M389" s="183"/>
      <c r="N389" s="108"/>
    </row>
    <row r="390" spans="1:14" x14ac:dyDescent="0.3">
      <c r="A390" s="77"/>
      <c r="B390" s="106"/>
      <c r="F390" s="124"/>
      <c r="G390" s="125"/>
      <c r="J390" s="125"/>
      <c r="L390" s="107"/>
      <c r="M390" s="183"/>
      <c r="N390" s="108"/>
    </row>
    <row r="391" spans="1:14" x14ac:dyDescent="0.3">
      <c r="A391" s="77"/>
      <c r="B391" s="106"/>
      <c r="F391" s="124"/>
      <c r="G391" s="125"/>
      <c r="J391" s="125"/>
      <c r="L391" s="107"/>
      <c r="M391" s="183"/>
      <c r="N391" s="108"/>
    </row>
    <row r="392" spans="1:14" x14ac:dyDescent="0.3">
      <c r="A392" s="77"/>
      <c r="B392" s="106"/>
      <c r="F392" s="124"/>
      <c r="G392" s="125"/>
      <c r="J392" s="125"/>
      <c r="L392" s="107"/>
      <c r="M392" s="183"/>
      <c r="N392" s="108"/>
    </row>
    <row r="393" spans="1:14" x14ac:dyDescent="0.3">
      <c r="A393" s="77"/>
      <c r="B393" s="106"/>
      <c r="F393" s="124"/>
      <c r="G393" s="125"/>
      <c r="J393" s="125"/>
      <c r="L393" s="107"/>
      <c r="M393" s="183"/>
      <c r="N393" s="108"/>
    </row>
    <row r="394" spans="1:14" x14ac:dyDescent="0.3">
      <c r="A394" s="77"/>
      <c r="B394" s="106"/>
      <c r="F394" s="124"/>
      <c r="G394" s="125"/>
      <c r="J394" s="125"/>
      <c r="L394" s="107"/>
      <c r="M394" s="183"/>
      <c r="N394" s="108"/>
    </row>
    <row r="395" spans="1:14" x14ac:dyDescent="0.3">
      <c r="A395" s="77"/>
      <c r="B395" s="106"/>
      <c r="F395" s="124"/>
      <c r="G395" s="125"/>
      <c r="J395" s="125"/>
      <c r="L395" s="107"/>
      <c r="M395" s="183"/>
      <c r="N395" s="108"/>
    </row>
    <row r="396" spans="1:14" x14ac:dyDescent="0.3">
      <c r="A396" s="77"/>
      <c r="B396" s="106"/>
      <c r="F396" s="124"/>
      <c r="G396" s="125"/>
      <c r="J396" s="125"/>
      <c r="L396" s="107"/>
      <c r="M396" s="183"/>
      <c r="N396" s="108"/>
    </row>
    <row r="397" spans="1:14" x14ac:dyDescent="0.3">
      <c r="A397" s="77"/>
      <c r="B397" s="106"/>
      <c r="F397" s="124"/>
      <c r="G397" s="125"/>
      <c r="J397" s="125"/>
      <c r="L397" s="107"/>
      <c r="M397" s="183"/>
      <c r="N397" s="108"/>
    </row>
    <row r="398" spans="1:14" x14ac:dyDescent="0.3">
      <c r="A398" s="77"/>
      <c r="B398" s="106"/>
      <c r="F398" s="124"/>
      <c r="G398" s="125"/>
      <c r="J398" s="125"/>
      <c r="L398" s="107"/>
      <c r="M398" s="183"/>
      <c r="N398" s="108"/>
    </row>
    <row r="399" spans="1:14" x14ac:dyDescent="0.3">
      <c r="A399" s="77"/>
      <c r="B399" s="106"/>
      <c r="F399" s="124"/>
      <c r="G399" s="125"/>
      <c r="J399" s="125"/>
      <c r="L399" s="107"/>
      <c r="M399" s="183"/>
      <c r="N399" s="108"/>
    </row>
    <row r="400" spans="1:14" x14ac:dyDescent="0.3">
      <c r="A400" s="77"/>
      <c r="B400" s="106"/>
      <c r="F400" s="124"/>
      <c r="G400" s="125"/>
      <c r="J400" s="125"/>
      <c r="L400" s="107"/>
      <c r="M400" s="183"/>
      <c r="N400" s="108"/>
    </row>
    <row r="401" spans="1:14" x14ac:dyDescent="0.3">
      <c r="A401" s="77"/>
      <c r="B401" s="106"/>
      <c r="F401" s="124"/>
      <c r="G401" s="125"/>
      <c r="J401" s="125"/>
      <c r="L401" s="107"/>
      <c r="M401" s="183"/>
      <c r="N401" s="108"/>
    </row>
    <row r="402" spans="1:14" x14ac:dyDescent="0.3">
      <c r="A402" s="77"/>
      <c r="B402" s="106"/>
      <c r="F402" s="124"/>
      <c r="G402" s="125"/>
      <c r="J402" s="125"/>
      <c r="L402" s="107"/>
      <c r="M402" s="183"/>
      <c r="N402" s="108"/>
    </row>
    <row r="403" spans="1:14" x14ac:dyDescent="0.3">
      <c r="A403" s="77"/>
      <c r="B403" s="106"/>
      <c r="F403" s="124"/>
      <c r="G403" s="125"/>
      <c r="J403" s="125"/>
      <c r="L403" s="107"/>
      <c r="M403" s="183"/>
      <c r="N403" s="108"/>
    </row>
    <row r="404" spans="1:14" x14ac:dyDescent="0.3">
      <c r="A404" s="77"/>
      <c r="B404" s="106"/>
      <c r="F404" s="124"/>
      <c r="G404" s="125"/>
      <c r="J404" s="125"/>
      <c r="L404" s="107"/>
      <c r="M404" s="183"/>
      <c r="N404" s="108"/>
    </row>
    <row r="405" spans="1:14" x14ac:dyDescent="0.3">
      <c r="A405" s="77"/>
      <c r="B405" s="106"/>
      <c r="F405" s="124"/>
      <c r="G405" s="125"/>
      <c r="J405" s="125"/>
      <c r="L405" s="107"/>
      <c r="M405" s="183"/>
      <c r="N405" s="108"/>
    </row>
    <row r="406" spans="1:14" x14ac:dyDescent="0.3">
      <c r="A406" s="77"/>
      <c r="B406" s="106"/>
      <c r="F406" s="124"/>
      <c r="G406" s="125"/>
      <c r="J406" s="125"/>
      <c r="L406" s="107"/>
      <c r="M406" s="183"/>
      <c r="N406" s="108"/>
    </row>
    <row r="407" spans="1:14" x14ac:dyDescent="0.3">
      <c r="A407" s="77"/>
      <c r="B407" s="106"/>
      <c r="F407" s="124"/>
      <c r="G407" s="125"/>
      <c r="J407" s="125"/>
      <c r="L407" s="107"/>
      <c r="M407" s="183"/>
      <c r="N407" s="108"/>
    </row>
    <row r="408" spans="1:14" x14ac:dyDescent="0.3">
      <c r="A408" s="77"/>
      <c r="B408" s="106"/>
      <c r="F408" s="124"/>
      <c r="G408" s="125"/>
      <c r="J408" s="125"/>
      <c r="L408" s="107"/>
      <c r="M408" s="183"/>
      <c r="N408" s="108"/>
    </row>
    <row r="409" spans="1:14" x14ac:dyDescent="0.3">
      <c r="A409" s="77"/>
      <c r="B409" s="106"/>
      <c r="F409" s="124"/>
      <c r="G409" s="125"/>
      <c r="J409" s="125"/>
      <c r="L409" s="107"/>
      <c r="M409" s="183"/>
      <c r="N409" s="108"/>
    </row>
    <row r="410" spans="1:14" x14ac:dyDescent="0.3">
      <c r="A410" s="77"/>
      <c r="B410" s="106"/>
      <c r="F410" s="124"/>
      <c r="G410" s="125"/>
      <c r="J410" s="125"/>
      <c r="L410" s="107"/>
      <c r="M410" s="183"/>
      <c r="N410" s="108"/>
    </row>
    <row r="411" spans="1:14" x14ac:dyDescent="0.3">
      <c r="A411" s="77"/>
      <c r="B411" s="106"/>
      <c r="F411" s="124"/>
      <c r="G411" s="125"/>
      <c r="J411" s="125"/>
      <c r="L411" s="107"/>
      <c r="M411" s="183"/>
      <c r="N411" s="108"/>
    </row>
    <row r="412" spans="1:14" x14ac:dyDescent="0.3">
      <c r="A412" s="77"/>
      <c r="B412" s="106"/>
      <c r="F412" s="124"/>
      <c r="G412" s="125"/>
      <c r="J412" s="125"/>
      <c r="L412" s="107"/>
      <c r="M412" s="183"/>
      <c r="N412" s="108"/>
    </row>
    <row r="413" spans="1:14" x14ac:dyDescent="0.3">
      <c r="A413" s="77"/>
      <c r="B413" s="106"/>
      <c r="F413" s="124"/>
      <c r="G413" s="125"/>
      <c r="J413" s="125"/>
      <c r="L413" s="107"/>
      <c r="M413" s="183"/>
      <c r="N413" s="108"/>
    </row>
    <row r="414" spans="1:14" x14ac:dyDescent="0.3">
      <c r="A414" s="77"/>
      <c r="B414" s="106"/>
      <c r="F414" s="124"/>
      <c r="G414" s="125"/>
      <c r="J414" s="125"/>
      <c r="L414" s="107"/>
      <c r="M414" s="183"/>
      <c r="N414" s="108"/>
    </row>
    <row r="415" spans="1:14" x14ac:dyDescent="0.3">
      <c r="A415" s="77"/>
      <c r="B415" s="106"/>
      <c r="F415" s="124"/>
      <c r="G415" s="125"/>
      <c r="J415" s="125"/>
      <c r="L415" s="107"/>
      <c r="M415" s="183"/>
      <c r="N415" s="108"/>
    </row>
    <row r="416" spans="1:14" x14ac:dyDescent="0.3">
      <c r="A416" s="77"/>
      <c r="B416" s="106"/>
      <c r="F416" s="124"/>
      <c r="G416" s="125"/>
      <c r="J416" s="125"/>
      <c r="L416" s="107"/>
      <c r="M416" s="183"/>
      <c r="N416" s="108"/>
    </row>
    <row r="417" spans="1:14" x14ac:dyDescent="0.3">
      <c r="A417" s="77"/>
      <c r="B417" s="106"/>
      <c r="F417" s="124"/>
      <c r="G417" s="125"/>
      <c r="J417" s="125"/>
      <c r="L417" s="107"/>
      <c r="M417" s="183"/>
      <c r="N417" s="108"/>
    </row>
    <row r="418" spans="1:14" x14ac:dyDescent="0.3">
      <c r="A418" s="77"/>
      <c r="B418" s="106"/>
      <c r="F418" s="124"/>
      <c r="G418" s="125"/>
      <c r="J418" s="125"/>
      <c r="L418" s="107"/>
      <c r="M418" s="183"/>
      <c r="N418" s="108"/>
    </row>
    <row r="419" spans="1:14" x14ac:dyDescent="0.3">
      <c r="A419" s="77"/>
      <c r="B419" s="106"/>
      <c r="F419" s="124"/>
      <c r="G419" s="125"/>
      <c r="J419" s="125"/>
      <c r="L419" s="107"/>
      <c r="M419" s="183"/>
      <c r="N419" s="108"/>
    </row>
    <row r="420" spans="1:14" x14ac:dyDescent="0.3">
      <c r="A420" s="77"/>
      <c r="B420" s="106"/>
      <c r="F420" s="124"/>
      <c r="G420" s="125"/>
      <c r="J420" s="125"/>
      <c r="L420" s="107"/>
      <c r="M420" s="183"/>
      <c r="N420" s="108"/>
    </row>
    <row r="421" spans="1:14" x14ac:dyDescent="0.3">
      <c r="A421" s="77"/>
      <c r="B421" s="106"/>
      <c r="F421" s="124"/>
      <c r="G421" s="125"/>
      <c r="J421" s="125"/>
      <c r="L421" s="107"/>
      <c r="M421" s="183"/>
      <c r="N421" s="108"/>
    </row>
    <row r="422" spans="1:14" x14ac:dyDescent="0.3">
      <c r="A422" s="77"/>
      <c r="B422" s="106"/>
      <c r="F422" s="124"/>
      <c r="G422" s="125"/>
      <c r="J422" s="125"/>
      <c r="L422" s="107"/>
      <c r="M422" s="183"/>
      <c r="N422" s="108"/>
    </row>
    <row r="423" spans="1:14" x14ac:dyDescent="0.3">
      <c r="A423" s="77"/>
      <c r="B423" s="106"/>
      <c r="F423" s="124"/>
      <c r="G423" s="125"/>
      <c r="J423" s="125"/>
      <c r="L423" s="107"/>
      <c r="M423" s="183"/>
      <c r="N423" s="108"/>
    </row>
    <row r="424" spans="1:14" x14ac:dyDescent="0.3">
      <c r="A424" s="77"/>
      <c r="B424" s="106"/>
      <c r="F424" s="124"/>
      <c r="G424" s="125"/>
      <c r="J424" s="125"/>
      <c r="L424" s="107"/>
      <c r="M424" s="183"/>
      <c r="N424" s="108"/>
    </row>
    <row r="425" spans="1:14" x14ac:dyDescent="0.3">
      <c r="A425" s="77"/>
      <c r="B425" s="106"/>
      <c r="F425" s="124"/>
      <c r="G425" s="125"/>
      <c r="J425" s="125"/>
      <c r="L425" s="107"/>
      <c r="M425" s="183"/>
      <c r="N425" s="108"/>
    </row>
    <row r="426" spans="1:14" x14ac:dyDescent="0.3">
      <c r="A426" s="77"/>
      <c r="B426" s="106"/>
      <c r="F426" s="124"/>
      <c r="G426" s="125"/>
      <c r="J426" s="125"/>
      <c r="L426" s="107"/>
      <c r="M426" s="183"/>
      <c r="N426" s="108"/>
    </row>
    <row r="427" spans="1:14" x14ac:dyDescent="0.3">
      <c r="A427" s="77"/>
      <c r="B427" s="106"/>
      <c r="F427" s="124"/>
      <c r="G427" s="125"/>
      <c r="J427" s="125"/>
      <c r="L427" s="107"/>
      <c r="M427" s="183"/>
      <c r="N427" s="108"/>
    </row>
    <row r="428" spans="1:14" x14ac:dyDescent="0.3">
      <c r="A428" s="77"/>
      <c r="B428" s="106"/>
      <c r="F428" s="124"/>
      <c r="G428" s="125"/>
      <c r="J428" s="125"/>
      <c r="L428" s="107"/>
      <c r="M428" s="183"/>
      <c r="N428" s="108"/>
    </row>
    <row r="429" spans="1:14" x14ac:dyDescent="0.3">
      <c r="A429" s="77"/>
      <c r="B429" s="106"/>
      <c r="F429" s="124"/>
      <c r="G429" s="125"/>
      <c r="J429" s="125"/>
      <c r="L429" s="107"/>
      <c r="M429" s="183"/>
      <c r="N429" s="108"/>
    </row>
    <row r="430" spans="1:14" x14ac:dyDescent="0.3">
      <c r="A430" s="77"/>
      <c r="B430" s="106"/>
      <c r="F430" s="124"/>
      <c r="G430" s="125"/>
      <c r="J430" s="125"/>
      <c r="L430" s="107"/>
      <c r="M430" s="183"/>
      <c r="N430" s="108"/>
    </row>
    <row r="431" spans="1:14" x14ac:dyDescent="0.3">
      <c r="A431" s="77"/>
      <c r="B431" s="106"/>
      <c r="F431" s="124"/>
      <c r="G431" s="125"/>
      <c r="J431" s="125"/>
      <c r="L431" s="107"/>
      <c r="M431" s="183"/>
      <c r="N431" s="108"/>
    </row>
    <row r="432" spans="1:14" x14ac:dyDescent="0.3">
      <c r="A432" s="77"/>
      <c r="B432" s="106"/>
      <c r="F432" s="124"/>
      <c r="G432" s="125"/>
      <c r="J432" s="125"/>
      <c r="L432" s="107"/>
      <c r="M432" s="183"/>
      <c r="N432" s="108"/>
    </row>
    <row r="433" spans="1:14" x14ac:dyDescent="0.3">
      <c r="A433" s="77"/>
      <c r="B433" s="106"/>
      <c r="F433" s="124"/>
      <c r="G433" s="125"/>
      <c r="J433" s="125"/>
      <c r="L433" s="107"/>
      <c r="M433" s="183"/>
      <c r="N433" s="108"/>
    </row>
    <row r="434" spans="1:14" x14ac:dyDescent="0.3">
      <c r="A434" s="77"/>
      <c r="B434" s="106"/>
      <c r="F434" s="124"/>
      <c r="G434" s="125"/>
      <c r="J434" s="125"/>
      <c r="L434" s="107"/>
      <c r="M434" s="183"/>
      <c r="N434" s="108"/>
    </row>
    <row r="435" spans="1:14" x14ac:dyDescent="0.3">
      <c r="A435" s="77"/>
      <c r="B435" s="106"/>
      <c r="F435" s="124"/>
      <c r="G435" s="125"/>
      <c r="J435" s="125"/>
      <c r="L435" s="107"/>
      <c r="M435" s="183"/>
      <c r="N435" s="108"/>
    </row>
    <row r="436" spans="1:14" x14ac:dyDescent="0.3">
      <c r="A436" s="77"/>
      <c r="B436" s="106"/>
      <c r="F436" s="124"/>
      <c r="G436" s="125"/>
      <c r="J436" s="125"/>
      <c r="L436" s="107"/>
      <c r="M436" s="183"/>
      <c r="N436" s="108"/>
    </row>
    <row r="437" spans="1:14" x14ac:dyDescent="0.3">
      <c r="A437" s="77"/>
      <c r="B437" s="106"/>
      <c r="F437" s="124"/>
      <c r="G437" s="125"/>
      <c r="J437" s="125"/>
      <c r="L437" s="107"/>
      <c r="M437" s="183"/>
      <c r="N437" s="108"/>
    </row>
    <row r="438" spans="1:14" x14ac:dyDescent="0.3">
      <c r="A438" s="77"/>
      <c r="B438" s="106"/>
      <c r="F438" s="124"/>
      <c r="G438" s="125"/>
      <c r="J438" s="125"/>
      <c r="L438" s="107"/>
      <c r="M438" s="183"/>
      <c r="N438" s="108"/>
    </row>
    <row r="439" spans="1:14" x14ac:dyDescent="0.3">
      <c r="A439" s="77"/>
      <c r="B439" s="106"/>
      <c r="F439" s="124"/>
      <c r="G439" s="125"/>
      <c r="J439" s="125"/>
      <c r="L439" s="107"/>
      <c r="M439" s="183"/>
      <c r="N439" s="108"/>
    </row>
    <row r="440" spans="1:14" x14ac:dyDescent="0.3">
      <c r="A440" s="77"/>
      <c r="B440" s="106"/>
      <c r="F440" s="124"/>
      <c r="G440" s="125"/>
      <c r="J440" s="125"/>
      <c r="L440" s="107"/>
      <c r="M440" s="183"/>
      <c r="N440" s="108"/>
    </row>
    <row r="441" spans="1:14" x14ac:dyDescent="0.3">
      <c r="A441" s="77"/>
      <c r="B441" s="106"/>
      <c r="F441" s="124"/>
      <c r="G441" s="125"/>
      <c r="J441" s="125"/>
      <c r="L441" s="107"/>
      <c r="M441" s="183"/>
      <c r="N441" s="108"/>
    </row>
    <row r="442" spans="1:14" x14ac:dyDescent="0.3">
      <c r="A442" s="77"/>
      <c r="B442" s="106"/>
      <c r="F442" s="124"/>
      <c r="G442" s="125"/>
      <c r="J442" s="125"/>
      <c r="L442" s="107"/>
      <c r="M442" s="183"/>
      <c r="N442" s="108"/>
    </row>
    <row r="443" spans="1:14" x14ac:dyDescent="0.3">
      <c r="A443" s="77"/>
      <c r="B443" s="106"/>
      <c r="F443" s="124"/>
      <c r="G443" s="125"/>
      <c r="J443" s="125"/>
      <c r="L443" s="107"/>
      <c r="M443" s="183"/>
      <c r="N443" s="108"/>
    </row>
    <row r="444" spans="1:14" x14ac:dyDescent="0.3">
      <c r="A444" s="77"/>
      <c r="B444" s="106"/>
      <c r="F444" s="124"/>
      <c r="G444" s="125"/>
      <c r="J444" s="125"/>
      <c r="L444" s="107"/>
      <c r="M444" s="183"/>
      <c r="N444" s="108"/>
    </row>
    <row r="445" spans="1:14" x14ac:dyDescent="0.3">
      <c r="A445" s="77"/>
      <c r="B445" s="106"/>
      <c r="F445" s="124"/>
      <c r="G445" s="125"/>
      <c r="J445" s="125"/>
      <c r="L445" s="107"/>
      <c r="M445" s="183"/>
      <c r="N445" s="108"/>
    </row>
    <row r="446" spans="1:14" x14ac:dyDescent="0.3">
      <c r="A446" s="77"/>
      <c r="B446" s="106"/>
      <c r="F446" s="124"/>
      <c r="G446" s="125"/>
      <c r="J446" s="125"/>
      <c r="L446" s="107"/>
      <c r="M446" s="183"/>
      <c r="N446" s="108"/>
    </row>
    <row r="447" spans="1:14" x14ac:dyDescent="0.3">
      <c r="A447" s="77"/>
      <c r="B447" s="106"/>
      <c r="F447" s="124"/>
      <c r="G447" s="125"/>
      <c r="J447" s="125"/>
      <c r="L447" s="107"/>
      <c r="M447" s="183"/>
      <c r="N447" s="108"/>
    </row>
    <row r="448" spans="1:14" x14ac:dyDescent="0.3">
      <c r="A448" s="77"/>
      <c r="B448" s="106"/>
      <c r="F448" s="124"/>
      <c r="G448" s="125"/>
      <c r="J448" s="125"/>
      <c r="L448" s="107"/>
      <c r="M448" s="183"/>
      <c r="N448" s="108"/>
    </row>
    <row r="449" spans="1:14" x14ac:dyDescent="0.3">
      <c r="A449" s="77"/>
      <c r="B449" s="106"/>
      <c r="F449" s="124"/>
      <c r="G449" s="125"/>
      <c r="J449" s="125"/>
      <c r="L449" s="107"/>
      <c r="M449" s="183"/>
      <c r="N449" s="108"/>
    </row>
    <row r="450" spans="1:14" x14ac:dyDescent="0.3">
      <c r="A450" s="77"/>
      <c r="B450" s="106"/>
      <c r="F450" s="124"/>
      <c r="G450" s="125"/>
      <c r="J450" s="125"/>
      <c r="L450" s="107"/>
      <c r="M450" s="183"/>
      <c r="N450" s="108"/>
    </row>
    <row r="451" spans="1:14" x14ac:dyDescent="0.3">
      <c r="A451" s="77"/>
      <c r="B451" s="106"/>
      <c r="F451" s="124"/>
      <c r="G451" s="125"/>
      <c r="J451" s="125"/>
      <c r="L451" s="107"/>
      <c r="M451" s="183"/>
      <c r="N451" s="108"/>
    </row>
    <row r="452" spans="1:14" x14ac:dyDescent="0.3">
      <c r="A452" s="77"/>
      <c r="B452" s="106"/>
      <c r="F452" s="124"/>
      <c r="G452" s="125"/>
      <c r="J452" s="125"/>
      <c r="L452" s="107"/>
      <c r="M452" s="183"/>
      <c r="N452" s="108"/>
    </row>
    <row r="453" spans="1:14" x14ac:dyDescent="0.3">
      <c r="A453" s="77"/>
      <c r="B453" s="106"/>
      <c r="F453" s="124"/>
      <c r="G453" s="125"/>
      <c r="J453" s="125"/>
      <c r="L453" s="107"/>
      <c r="M453" s="183"/>
      <c r="N453" s="108"/>
    </row>
    <row r="454" spans="1:14" x14ac:dyDescent="0.3">
      <c r="A454" s="77"/>
      <c r="B454" s="106"/>
      <c r="F454" s="124"/>
      <c r="G454" s="125"/>
      <c r="J454" s="125"/>
      <c r="L454" s="107"/>
      <c r="M454" s="183"/>
      <c r="N454" s="108"/>
    </row>
    <row r="455" spans="1:14" x14ac:dyDescent="0.3">
      <c r="A455" s="77"/>
      <c r="B455" s="106"/>
      <c r="F455" s="124"/>
      <c r="G455" s="125"/>
      <c r="J455" s="125"/>
      <c r="L455" s="107"/>
      <c r="M455" s="183"/>
      <c r="N455" s="108"/>
    </row>
    <row r="456" spans="1:14" x14ac:dyDescent="0.3">
      <c r="A456" s="77"/>
      <c r="B456" s="106"/>
      <c r="F456" s="124"/>
      <c r="G456" s="125"/>
      <c r="J456" s="125"/>
      <c r="L456" s="107"/>
      <c r="M456" s="183"/>
      <c r="N456" s="108"/>
    </row>
    <row r="457" spans="1:14" x14ac:dyDescent="0.3">
      <c r="A457" s="77"/>
      <c r="B457" s="106"/>
      <c r="F457" s="124"/>
      <c r="G457" s="125"/>
      <c r="J457" s="125"/>
      <c r="L457" s="107"/>
      <c r="M457" s="183"/>
      <c r="N457" s="108"/>
    </row>
    <row r="458" spans="1:14" x14ac:dyDescent="0.3">
      <c r="A458" s="77"/>
      <c r="B458" s="106"/>
      <c r="F458" s="124"/>
      <c r="G458" s="125"/>
      <c r="J458" s="125"/>
      <c r="L458" s="107"/>
      <c r="M458" s="183"/>
      <c r="N458" s="108"/>
    </row>
    <row r="459" spans="1:14" x14ac:dyDescent="0.3">
      <c r="A459" s="77"/>
      <c r="B459" s="106"/>
      <c r="F459" s="124"/>
      <c r="G459" s="125"/>
      <c r="J459" s="125"/>
      <c r="L459" s="107"/>
      <c r="M459" s="183"/>
      <c r="N459" s="108"/>
    </row>
    <row r="460" spans="1:14" x14ac:dyDescent="0.3">
      <c r="A460" s="77"/>
      <c r="B460" s="106"/>
      <c r="F460" s="124"/>
      <c r="G460" s="125"/>
      <c r="J460" s="125"/>
      <c r="L460" s="107"/>
      <c r="M460" s="183"/>
      <c r="N460" s="108"/>
    </row>
    <row r="461" spans="1:14" x14ac:dyDescent="0.3">
      <c r="A461" s="77"/>
      <c r="B461" s="106"/>
      <c r="F461" s="124"/>
      <c r="G461" s="125"/>
      <c r="J461" s="125"/>
      <c r="L461" s="107"/>
      <c r="M461" s="183"/>
      <c r="N461" s="108"/>
    </row>
    <row r="462" spans="1:14" x14ac:dyDescent="0.3">
      <c r="A462" s="77"/>
      <c r="B462" s="106"/>
      <c r="F462" s="124"/>
      <c r="G462" s="125"/>
      <c r="J462" s="125"/>
      <c r="L462" s="107"/>
      <c r="M462" s="183"/>
      <c r="N462" s="108"/>
    </row>
    <row r="463" spans="1:14" x14ac:dyDescent="0.3">
      <c r="A463" s="77"/>
      <c r="B463" s="106"/>
      <c r="F463" s="124"/>
      <c r="G463" s="125"/>
      <c r="J463" s="125"/>
      <c r="L463" s="107"/>
      <c r="M463" s="183"/>
      <c r="N463" s="108"/>
    </row>
    <row r="464" spans="1:14" x14ac:dyDescent="0.3">
      <c r="A464" s="77"/>
      <c r="B464" s="106"/>
      <c r="F464" s="124"/>
      <c r="G464" s="125"/>
      <c r="J464" s="125"/>
      <c r="L464" s="107"/>
      <c r="M464" s="183"/>
      <c r="N464" s="108"/>
    </row>
    <row r="465" spans="1:14" x14ac:dyDescent="0.3">
      <c r="A465" s="77"/>
      <c r="B465" s="106"/>
      <c r="F465" s="124"/>
      <c r="G465" s="125"/>
      <c r="J465" s="125"/>
      <c r="L465" s="107"/>
      <c r="M465" s="183"/>
      <c r="N465" s="108"/>
    </row>
    <row r="466" spans="1:14" x14ac:dyDescent="0.3">
      <c r="A466" s="77"/>
      <c r="B466" s="106"/>
      <c r="F466" s="124"/>
      <c r="G466" s="125"/>
      <c r="J466" s="125"/>
      <c r="L466" s="107"/>
      <c r="M466" s="183"/>
      <c r="N466" s="108"/>
    </row>
    <row r="467" spans="1:14" x14ac:dyDescent="0.3">
      <c r="A467" s="77"/>
      <c r="B467" s="106"/>
      <c r="F467" s="124"/>
      <c r="G467" s="125"/>
      <c r="J467" s="125"/>
      <c r="L467" s="107"/>
      <c r="M467" s="183"/>
      <c r="N467" s="108"/>
    </row>
    <row r="468" spans="1:14" x14ac:dyDescent="0.3">
      <c r="A468" s="77"/>
      <c r="B468" s="106"/>
      <c r="F468" s="124"/>
      <c r="G468" s="125"/>
      <c r="J468" s="125"/>
      <c r="L468" s="107"/>
      <c r="M468" s="183"/>
      <c r="N468" s="108"/>
    </row>
    <row r="469" spans="1:14" x14ac:dyDescent="0.3">
      <c r="A469" s="77"/>
      <c r="B469" s="106"/>
      <c r="F469" s="124"/>
      <c r="G469" s="125"/>
      <c r="J469" s="125"/>
      <c r="L469" s="107"/>
      <c r="M469" s="183"/>
      <c r="N469" s="108"/>
    </row>
    <row r="470" spans="1:14" x14ac:dyDescent="0.3">
      <c r="A470" s="77"/>
      <c r="B470" s="106"/>
      <c r="F470" s="124"/>
      <c r="G470" s="125"/>
      <c r="J470" s="125"/>
      <c r="L470" s="107"/>
      <c r="M470" s="183"/>
      <c r="N470" s="108"/>
    </row>
    <row r="471" spans="1:14" x14ac:dyDescent="0.3">
      <c r="A471" s="77"/>
      <c r="B471" s="106"/>
      <c r="F471" s="124"/>
      <c r="G471" s="125"/>
      <c r="J471" s="125"/>
      <c r="L471" s="107"/>
      <c r="M471" s="183"/>
      <c r="N471" s="108"/>
    </row>
    <row r="472" spans="1:14" x14ac:dyDescent="0.3">
      <c r="A472" s="77"/>
      <c r="B472" s="106"/>
      <c r="F472" s="124"/>
      <c r="G472" s="125"/>
      <c r="J472" s="125"/>
      <c r="L472" s="107"/>
      <c r="M472" s="183"/>
      <c r="N472" s="108"/>
    </row>
    <row r="473" spans="1:14" x14ac:dyDescent="0.3">
      <c r="A473" s="77"/>
      <c r="B473" s="106"/>
      <c r="F473" s="124"/>
      <c r="G473" s="125"/>
      <c r="J473" s="125"/>
      <c r="L473" s="107"/>
      <c r="M473" s="183"/>
      <c r="N473" s="108"/>
    </row>
    <row r="474" spans="1:14" x14ac:dyDescent="0.3">
      <c r="A474" s="77"/>
      <c r="B474" s="106"/>
      <c r="F474" s="124"/>
      <c r="G474" s="125"/>
      <c r="J474" s="125"/>
      <c r="L474" s="107"/>
      <c r="M474" s="183"/>
      <c r="N474" s="108"/>
    </row>
    <row r="475" spans="1:14" x14ac:dyDescent="0.3">
      <c r="A475" s="77"/>
      <c r="B475" s="106"/>
      <c r="F475" s="124"/>
      <c r="G475" s="125"/>
      <c r="J475" s="125"/>
      <c r="L475" s="107"/>
      <c r="M475" s="183"/>
      <c r="N475" s="108"/>
    </row>
    <row r="476" spans="1:14" x14ac:dyDescent="0.3">
      <c r="A476" s="77"/>
      <c r="B476" s="106"/>
      <c r="F476" s="124"/>
      <c r="G476" s="125"/>
      <c r="J476" s="125"/>
      <c r="L476" s="107"/>
      <c r="M476" s="183"/>
      <c r="N476" s="108"/>
    </row>
    <row r="477" spans="1:14" x14ac:dyDescent="0.3">
      <c r="A477" s="77"/>
      <c r="B477" s="106"/>
      <c r="F477" s="124"/>
      <c r="G477" s="125"/>
      <c r="J477" s="125"/>
      <c r="L477" s="107"/>
      <c r="M477" s="183"/>
      <c r="N477" s="108"/>
    </row>
    <row r="478" spans="1:14" x14ac:dyDescent="0.3">
      <c r="A478" s="77"/>
      <c r="B478" s="106"/>
      <c r="F478" s="124"/>
      <c r="G478" s="125"/>
      <c r="J478" s="125"/>
      <c r="L478" s="107"/>
      <c r="M478" s="183"/>
      <c r="N478" s="108"/>
    </row>
    <row r="479" spans="1:14" x14ac:dyDescent="0.3">
      <c r="A479" s="77"/>
      <c r="B479" s="106"/>
      <c r="F479" s="124"/>
      <c r="G479" s="125"/>
      <c r="J479" s="125"/>
      <c r="L479" s="107"/>
      <c r="M479" s="183"/>
      <c r="N479" s="108"/>
    </row>
    <row r="480" spans="1:14" x14ac:dyDescent="0.3">
      <c r="A480" s="77"/>
      <c r="B480" s="106"/>
      <c r="F480" s="124"/>
      <c r="G480" s="125"/>
      <c r="J480" s="125"/>
      <c r="L480" s="107"/>
      <c r="M480" s="183"/>
      <c r="N480" s="108"/>
    </row>
    <row r="481" spans="1:14" x14ac:dyDescent="0.3">
      <c r="A481" s="77"/>
      <c r="B481" s="106"/>
      <c r="F481" s="124"/>
      <c r="G481" s="125"/>
      <c r="J481" s="125"/>
      <c r="L481" s="107"/>
      <c r="M481" s="183"/>
      <c r="N481" s="108"/>
    </row>
    <row r="482" spans="1:14" x14ac:dyDescent="0.3">
      <c r="A482" s="77"/>
      <c r="B482" s="106"/>
      <c r="F482" s="124"/>
      <c r="G482" s="125"/>
      <c r="J482" s="125"/>
      <c r="L482" s="107"/>
      <c r="M482" s="183"/>
      <c r="N482" s="108"/>
    </row>
    <row r="483" spans="1:14" x14ac:dyDescent="0.3">
      <c r="A483" s="77"/>
      <c r="B483" s="106"/>
      <c r="F483" s="124"/>
      <c r="G483" s="125"/>
      <c r="J483" s="125"/>
      <c r="L483" s="107"/>
      <c r="M483" s="183"/>
      <c r="N483" s="108"/>
    </row>
    <row r="484" spans="1:14" x14ac:dyDescent="0.3">
      <c r="A484" s="77"/>
      <c r="B484" s="106"/>
      <c r="F484" s="124"/>
      <c r="G484" s="125"/>
      <c r="J484" s="125"/>
      <c r="L484" s="107"/>
      <c r="M484" s="183"/>
      <c r="N484" s="108"/>
    </row>
    <row r="485" spans="1:14" x14ac:dyDescent="0.3">
      <c r="A485" s="77"/>
      <c r="B485" s="106"/>
      <c r="F485" s="124"/>
      <c r="G485" s="125"/>
      <c r="J485" s="125"/>
      <c r="L485" s="107"/>
      <c r="M485" s="183"/>
      <c r="N485" s="108"/>
    </row>
    <row r="486" spans="1:14" x14ac:dyDescent="0.3">
      <c r="A486" s="77"/>
      <c r="B486" s="106"/>
      <c r="F486" s="124"/>
      <c r="G486" s="125"/>
      <c r="J486" s="125"/>
      <c r="L486" s="107"/>
      <c r="M486" s="183"/>
      <c r="N486" s="108"/>
    </row>
    <row r="487" spans="1:14" x14ac:dyDescent="0.3">
      <c r="A487" s="77"/>
      <c r="B487" s="106"/>
      <c r="F487" s="124"/>
      <c r="G487" s="125"/>
      <c r="J487" s="125"/>
      <c r="L487" s="107"/>
      <c r="M487" s="183"/>
      <c r="N487" s="108"/>
    </row>
    <row r="488" spans="1:14" x14ac:dyDescent="0.3">
      <c r="A488" s="77"/>
      <c r="B488" s="106"/>
      <c r="F488" s="124"/>
      <c r="G488" s="125"/>
      <c r="J488" s="125"/>
      <c r="L488" s="107"/>
      <c r="M488" s="183"/>
      <c r="N488" s="108"/>
    </row>
    <row r="489" spans="1:14" x14ac:dyDescent="0.3">
      <c r="A489" s="77"/>
      <c r="B489" s="106"/>
      <c r="F489" s="124"/>
      <c r="G489" s="125"/>
      <c r="J489" s="125"/>
      <c r="L489" s="107"/>
      <c r="M489" s="183"/>
      <c r="N489" s="108"/>
    </row>
    <row r="490" spans="1:14" x14ac:dyDescent="0.3">
      <c r="A490" s="77"/>
      <c r="B490" s="106"/>
      <c r="F490" s="124"/>
      <c r="G490" s="125"/>
      <c r="J490" s="125"/>
      <c r="L490" s="107"/>
      <c r="M490" s="183"/>
      <c r="N490" s="108"/>
    </row>
    <row r="491" spans="1:14" x14ac:dyDescent="0.3">
      <c r="A491" s="77"/>
      <c r="B491" s="106"/>
      <c r="F491" s="124"/>
      <c r="G491" s="125"/>
      <c r="J491" s="125"/>
      <c r="L491" s="107"/>
      <c r="M491" s="183"/>
      <c r="N491" s="108"/>
    </row>
    <row r="492" spans="1:14" x14ac:dyDescent="0.3">
      <c r="A492" s="77"/>
      <c r="B492" s="106"/>
      <c r="F492" s="124"/>
      <c r="G492" s="125"/>
      <c r="J492" s="125"/>
      <c r="L492" s="107"/>
      <c r="M492" s="183"/>
      <c r="N492" s="108"/>
    </row>
    <row r="493" spans="1:14" x14ac:dyDescent="0.3">
      <c r="A493" s="77"/>
      <c r="B493" s="106"/>
      <c r="F493" s="124"/>
      <c r="G493" s="125"/>
      <c r="J493" s="125"/>
      <c r="L493" s="107"/>
      <c r="M493" s="183"/>
      <c r="N493" s="108"/>
    </row>
    <row r="494" spans="1:14" x14ac:dyDescent="0.3">
      <c r="A494" s="77"/>
      <c r="B494" s="106"/>
      <c r="F494" s="124"/>
      <c r="G494" s="125"/>
      <c r="J494" s="125"/>
      <c r="L494" s="107"/>
      <c r="M494" s="183"/>
      <c r="N494" s="108"/>
    </row>
    <row r="495" spans="1:14" x14ac:dyDescent="0.3">
      <c r="A495" s="77"/>
      <c r="B495" s="106"/>
      <c r="F495" s="124"/>
      <c r="G495" s="125"/>
      <c r="J495" s="125"/>
      <c r="L495" s="107"/>
      <c r="M495" s="183"/>
      <c r="N495" s="108"/>
    </row>
    <row r="496" spans="1:14" x14ac:dyDescent="0.3">
      <c r="A496" s="77"/>
      <c r="B496" s="106"/>
      <c r="F496" s="124"/>
      <c r="G496" s="125"/>
      <c r="J496" s="125"/>
      <c r="L496" s="107"/>
      <c r="M496" s="183"/>
      <c r="N496" s="108"/>
    </row>
    <row r="497" spans="1:14" x14ac:dyDescent="0.3">
      <c r="A497" s="77"/>
      <c r="B497" s="106"/>
      <c r="F497" s="124"/>
      <c r="G497" s="125"/>
      <c r="J497" s="125"/>
      <c r="L497" s="107"/>
      <c r="M497" s="183"/>
      <c r="N497" s="108"/>
    </row>
    <row r="498" spans="1:14" x14ac:dyDescent="0.3">
      <c r="A498" s="77"/>
      <c r="B498" s="106"/>
      <c r="F498" s="124"/>
      <c r="G498" s="125"/>
      <c r="J498" s="125"/>
      <c r="L498" s="107"/>
      <c r="M498" s="183"/>
      <c r="N498" s="108"/>
    </row>
    <row r="499" spans="1:14" x14ac:dyDescent="0.3">
      <c r="A499" s="77"/>
      <c r="B499" s="106"/>
      <c r="F499" s="124"/>
      <c r="G499" s="125"/>
      <c r="J499" s="125"/>
      <c r="L499" s="107"/>
      <c r="M499" s="183"/>
      <c r="N499" s="108"/>
    </row>
    <row r="500" spans="1:14" x14ac:dyDescent="0.3">
      <c r="A500" s="77"/>
      <c r="B500" s="106"/>
      <c r="F500" s="124"/>
      <c r="G500" s="125"/>
      <c r="J500" s="125"/>
      <c r="L500" s="107"/>
      <c r="M500" s="183"/>
      <c r="N500" s="108"/>
    </row>
    <row r="501" spans="1:14" x14ac:dyDescent="0.3">
      <c r="A501" s="77"/>
      <c r="B501" s="106"/>
      <c r="F501" s="124"/>
      <c r="G501" s="125"/>
      <c r="J501" s="125"/>
      <c r="L501" s="107"/>
      <c r="M501" s="183"/>
      <c r="N501" s="108"/>
    </row>
    <row r="502" spans="1:14" x14ac:dyDescent="0.3">
      <c r="A502" s="77"/>
      <c r="B502" s="106"/>
      <c r="F502" s="124"/>
      <c r="G502" s="125"/>
      <c r="J502" s="125"/>
      <c r="L502" s="107"/>
      <c r="M502" s="183"/>
      <c r="N502" s="108"/>
    </row>
    <row r="503" spans="1:14" x14ac:dyDescent="0.3">
      <c r="A503" s="77"/>
      <c r="B503" s="106"/>
      <c r="F503" s="124"/>
      <c r="G503" s="125"/>
      <c r="J503" s="125"/>
      <c r="L503" s="107"/>
      <c r="M503" s="183"/>
      <c r="N503" s="108"/>
    </row>
    <row r="504" spans="1:14" x14ac:dyDescent="0.3">
      <c r="A504" s="77"/>
      <c r="B504" s="106"/>
      <c r="F504" s="124"/>
      <c r="G504" s="125"/>
      <c r="J504" s="125"/>
      <c r="L504" s="107"/>
      <c r="M504" s="183"/>
      <c r="N504" s="108"/>
    </row>
    <row r="505" spans="1:14" x14ac:dyDescent="0.3">
      <c r="A505" s="77"/>
      <c r="B505" s="106"/>
      <c r="F505" s="124"/>
      <c r="G505" s="125"/>
      <c r="J505" s="125"/>
      <c r="L505" s="107"/>
      <c r="M505" s="183"/>
      <c r="N505" s="108"/>
    </row>
    <row r="506" spans="1:14" x14ac:dyDescent="0.3">
      <c r="A506" s="77"/>
      <c r="B506" s="106"/>
      <c r="F506" s="124"/>
      <c r="G506" s="125"/>
      <c r="J506" s="125"/>
      <c r="L506" s="107"/>
      <c r="M506" s="183"/>
      <c r="N506" s="108"/>
    </row>
    <row r="507" spans="1:14" x14ac:dyDescent="0.3">
      <c r="A507" s="77"/>
      <c r="B507" s="106"/>
      <c r="F507" s="124"/>
      <c r="G507" s="125"/>
      <c r="J507" s="125"/>
      <c r="L507" s="107"/>
      <c r="M507" s="183"/>
      <c r="N507" s="108"/>
    </row>
    <row r="508" spans="1:14" x14ac:dyDescent="0.3">
      <c r="A508" s="77"/>
      <c r="B508" s="106"/>
      <c r="F508" s="124"/>
      <c r="G508" s="125"/>
      <c r="J508" s="125"/>
      <c r="L508" s="107"/>
      <c r="M508" s="183"/>
      <c r="N508" s="108"/>
    </row>
    <row r="509" spans="1:14" x14ac:dyDescent="0.3">
      <c r="A509" s="77"/>
      <c r="B509" s="106"/>
      <c r="F509" s="124"/>
      <c r="G509" s="125"/>
      <c r="J509" s="125"/>
      <c r="L509" s="107"/>
      <c r="M509" s="183"/>
      <c r="N509" s="108"/>
    </row>
    <row r="510" spans="1:14" x14ac:dyDescent="0.3">
      <c r="A510" s="77"/>
      <c r="B510" s="106"/>
      <c r="F510" s="124"/>
      <c r="G510" s="125"/>
      <c r="J510" s="125"/>
      <c r="L510" s="107"/>
      <c r="M510" s="183"/>
      <c r="N510" s="108"/>
    </row>
    <row r="511" spans="1:14" x14ac:dyDescent="0.3">
      <c r="A511" s="77"/>
      <c r="B511" s="106"/>
      <c r="F511" s="124"/>
      <c r="G511" s="125"/>
      <c r="J511" s="125"/>
      <c r="L511" s="107"/>
      <c r="M511" s="183"/>
      <c r="N511" s="108"/>
    </row>
    <row r="512" spans="1:14" x14ac:dyDescent="0.3">
      <c r="A512" s="77"/>
      <c r="B512" s="106"/>
      <c r="F512" s="124"/>
      <c r="G512" s="125"/>
      <c r="J512" s="125"/>
      <c r="L512" s="107"/>
      <c r="M512" s="183"/>
      <c r="N512" s="108"/>
    </row>
    <row r="513" spans="1:14" x14ac:dyDescent="0.3">
      <c r="A513" s="77"/>
      <c r="B513" s="106"/>
      <c r="F513" s="124"/>
      <c r="G513" s="125"/>
      <c r="J513" s="125"/>
      <c r="L513" s="107"/>
      <c r="M513" s="183"/>
      <c r="N513" s="108"/>
    </row>
    <row r="514" spans="1:14" x14ac:dyDescent="0.3">
      <c r="A514" s="77"/>
      <c r="B514" s="106"/>
      <c r="F514" s="124"/>
      <c r="G514" s="125"/>
      <c r="J514" s="125"/>
      <c r="L514" s="107"/>
      <c r="M514" s="183"/>
      <c r="N514" s="108"/>
    </row>
    <row r="515" spans="1:14" x14ac:dyDescent="0.3">
      <c r="A515" s="77"/>
      <c r="B515" s="106"/>
      <c r="F515" s="124"/>
      <c r="G515" s="125"/>
      <c r="J515" s="125"/>
      <c r="L515" s="107"/>
      <c r="M515" s="183"/>
      <c r="N515" s="108"/>
    </row>
    <row r="516" spans="1:14" x14ac:dyDescent="0.3">
      <c r="A516" s="77"/>
      <c r="B516" s="106"/>
      <c r="F516" s="124"/>
      <c r="G516" s="125"/>
      <c r="J516" s="125"/>
      <c r="L516" s="107"/>
      <c r="M516" s="183"/>
      <c r="N516" s="108"/>
    </row>
    <row r="517" spans="1:14" x14ac:dyDescent="0.3">
      <c r="A517" s="77"/>
      <c r="B517" s="106"/>
      <c r="F517" s="124"/>
      <c r="G517" s="125"/>
      <c r="J517" s="125"/>
      <c r="L517" s="107"/>
      <c r="M517" s="183"/>
      <c r="N517" s="108"/>
    </row>
    <row r="518" spans="1:14" x14ac:dyDescent="0.3">
      <c r="A518" s="77"/>
      <c r="B518" s="106"/>
      <c r="F518" s="124"/>
      <c r="G518" s="125"/>
      <c r="J518" s="125"/>
      <c r="L518" s="107"/>
      <c r="M518" s="183"/>
      <c r="N518" s="108"/>
    </row>
    <row r="519" spans="1:14" x14ac:dyDescent="0.3">
      <c r="A519" s="77"/>
      <c r="B519" s="106"/>
      <c r="F519" s="124"/>
      <c r="G519" s="125"/>
      <c r="J519" s="125"/>
      <c r="L519" s="107"/>
      <c r="M519" s="183"/>
      <c r="N519" s="108"/>
    </row>
    <row r="520" spans="1:14" x14ac:dyDescent="0.3">
      <c r="A520" s="77"/>
      <c r="B520" s="106"/>
      <c r="F520" s="124"/>
      <c r="G520" s="125"/>
      <c r="J520" s="125"/>
      <c r="L520" s="107"/>
      <c r="M520" s="183"/>
      <c r="N520" s="108"/>
    </row>
    <row r="521" spans="1:14" x14ac:dyDescent="0.3">
      <c r="A521" s="77"/>
      <c r="B521" s="106"/>
      <c r="F521" s="124"/>
      <c r="G521" s="125"/>
      <c r="J521" s="125"/>
      <c r="L521" s="107"/>
      <c r="M521" s="183"/>
      <c r="N521" s="108"/>
    </row>
    <row r="522" spans="1:14" x14ac:dyDescent="0.3">
      <c r="A522" s="77"/>
      <c r="B522" s="106"/>
      <c r="F522" s="124"/>
      <c r="G522" s="125"/>
      <c r="J522" s="125"/>
      <c r="L522" s="107"/>
      <c r="M522" s="183"/>
      <c r="N522" s="108"/>
    </row>
    <row r="523" spans="1:14" x14ac:dyDescent="0.3">
      <c r="A523" s="77"/>
      <c r="B523" s="106"/>
      <c r="F523" s="124"/>
      <c r="G523" s="125"/>
      <c r="J523" s="125"/>
      <c r="L523" s="107"/>
      <c r="M523" s="183"/>
      <c r="N523" s="108"/>
    </row>
    <row r="524" spans="1:14" x14ac:dyDescent="0.3">
      <c r="A524" s="77"/>
      <c r="B524" s="106"/>
      <c r="F524" s="124"/>
      <c r="G524" s="125"/>
      <c r="J524" s="125"/>
      <c r="L524" s="107"/>
      <c r="M524" s="183"/>
      <c r="N524" s="108"/>
    </row>
    <row r="525" spans="1:14" x14ac:dyDescent="0.3">
      <c r="A525" s="77"/>
      <c r="B525" s="106"/>
      <c r="F525" s="124"/>
      <c r="G525" s="125"/>
      <c r="J525" s="125"/>
      <c r="L525" s="107"/>
      <c r="M525" s="183"/>
      <c r="N525" s="108"/>
    </row>
    <row r="526" spans="1:14" x14ac:dyDescent="0.3">
      <c r="A526" s="77"/>
      <c r="B526" s="106"/>
      <c r="F526" s="124"/>
      <c r="G526" s="125"/>
      <c r="J526" s="125"/>
      <c r="L526" s="107"/>
      <c r="M526" s="183"/>
      <c r="N526" s="108"/>
    </row>
    <row r="527" spans="1:14" x14ac:dyDescent="0.3">
      <c r="A527" s="77"/>
      <c r="B527" s="106"/>
      <c r="F527" s="124"/>
      <c r="G527" s="125"/>
      <c r="J527" s="125"/>
      <c r="L527" s="107"/>
      <c r="M527" s="183"/>
      <c r="N527" s="108"/>
    </row>
    <row r="528" spans="1:14" x14ac:dyDescent="0.3">
      <c r="A528" s="77"/>
      <c r="B528" s="106"/>
      <c r="F528" s="124"/>
      <c r="G528" s="125"/>
      <c r="J528" s="125"/>
      <c r="L528" s="107"/>
      <c r="M528" s="183"/>
      <c r="N528" s="108"/>
    </row>
    <row r="529" spans="1:14" x14ac:dyDescent="0.3">
      <c r="A529" s="77"/>
      <c r="B529" s="106"/>
      <c r="F529" s="124"/>
      <c r="G529" s="125"/>
      <c r="J529" s="125"/>
      <c r="L529" s="107"/>
      <c r="M529" s="183"/>
      <c r="N529" s="108"/>
    </row>
    <row r="530" spans="1:14" x14ac:dyDescent="0.3">
      <c r="A530" s="77"/>
      <c r="B530" s="106"/>
      <c r="F530" s="124"/>
      <c r="G530" s="125"/>
      <c r="J530" s="125"/>
      <c r="L530" s="107"/>
      <c r="M530" s="183"/>
      <c r="N530" s="108"/>
    </row>
    <row r="531" spans="1:14" x14ac:dyDescent="0.3">
      <c r="A531" s="77"/>
      <c r="B531" s="106"/>
      <c r="F531" s="124"/>
      <c r="G531" s="125"/>
      <c r="J531" s="125"/>
      <c r="L531" s="107"/>
      <c r="M531" s="183"/>
      <c r="N531" s="108"/>
    </row>
    <row r="532" spans="1:14" x14ac:dyDescent="0.3">
      <c r="A532" s="77"/>
      <c r="B532" s="106"/>
      <c r="F532" s="124"/>
      <c r="G532" s="125"/>
      <c r="J532" s="125"/>
      <c r="L532" s="107"/>
      <c r="M532" s="183"/>
      <c r="N532" s="108"/>
    </row>
    <row r="533" spans="1:14" x14ac:dyDescent="0.3">
      <c r="A533" s="77"/>
      <c r="B533" s="106"/>
      <c r="F533" s="124"/>
      <c r="G533" s="125"/>
      <c r="J533" s="125"/>
      <c r="L533" s="107"/>
      <c r="M533" s="183"/>
      <c r="N533" s="108"/>
    </row>
    <row r="534" spans="1:14" x14ac:dyDescent="0.3">
      <c r="A534" s="77"/>
      <c r="B534" s="106"/>
      <c r="F534" s="124"/>
      <c r="G534" s="125"/>
      <c r="J534" s="125"/>
      <c r="L534" s="107"/>
      <c r="M534" s="183"/>
      <c r="N534" s="108"/>
    </row>
    <row r="535" spans="1:14" x14ac:dyDescent="0.3">
      <c r="A535" s="77"/>
      <c r="B535" s="106"/>
      <c r="F535" s="124"/>
      <c r="G535" s="125"/>
      <c r="J535" s="125"/>
      <c r="L535" s="107"/>
      <c r="M535" s="183"/>
      <c r="N535" s="108"/>
    </row>
    <row r="536" spans="1:14" x14ac:dyDescent="0.3">
      <c r="A536" s="77"/>
      <c r="B536" s="106"/>
      <c r="F536" s="124"/>
      <c r="G536" s="125"/>
      <c r="J536" s="125"/>
      <c r="L536" s="107"/>
      <c r="M536" s="183"/>
      <c r="N536" s="108"/>
    </row>
    <row r="537" spans="1:14" x14ac:dyDescent="0.3">
      <c r="A537" s="77"/>
      <c r="B537" s="106"/>
      <c r="F537" s="124"/>
      <c r="G537" s="125"/>
      <c r="J537" s="125"/>
      <c r="L537" s="107"/>
      <c r="M537" s="183"/>
      <c r="N537" s="108"/>
    </row>
    <row r="538" spans="1:14" x14ac:dyDescent="0.3">
      <c r="A538" s="77"/>
      <c r="B538" s="106"/>
      <c r="F538" s="124"/>
      <c r="G538" s="125"/>
      <c r="J538" s="125"/>
      <c r="L538" s="107"/>
      <c r="M538" s="183"/>
      <c r="N538" s="108"/>
    </row>
    <row r="539" spans="1:14" x14ac:dyDescent="0.3">
      <c r="A539" s="77"/>
      <c r="B539" s="106"/>
      <c r="F539" s="124"/>
      <c r="G539" s="125"/>
      <c r="J539" s="125"/>
      <c r="L539" s="107"/>
      <c r="M539" s="183"/>
      <c r="N539" s="108"/>
    </row>
    <row r="540" spans="1:14" x14ac:dyDescent="0.3">
      <c r="A540" s="77"/>
      <c r="B540" s="106"/>
      <c r="F540" s="124"/>
      <c r="G540" s="125"/>
      <c r="J540" s="125"/>
      <c r="L540" s="107"/>
      <c r="M540" s="183"/>
      <c r="N540" s="108"/>
    </row>
    <row r="541" spans="1:14" x14ac:dyDescent="0.3">
      <c r="A541" s="77"/>
      <c r="B541" s="106"/>
      <c r="F541" s="124"/>
      <c r="G541" s="125"/>
      <c r="J541" s="125"/>
      <c r="L541" s="107"/>
      <c r="M541" s="183"/>
      <c r="N541" s="108"/>
    </row>
    <row r="542" spans="1:14" x14ac:dyDescent="0.3">
      <c r="A542" s="77"/>
      <c r="B542" s="106"/>
      <c r="F542" s="124"/>
      <c r="G542" s="125"/>
      <c r="J542" s="125"/>
      <c r="L542" s="107"/>
      <c r="M542" s="183"/>
      <c r="N542" s="108"/>
    </row>
    <row r="543" spans="1:14" x14ac:dyDescent="0.3">
      <c r="A543" s="77"/>
      <c r="B543" s="106"/>
      <c r="F543" s="124"/>
      <c r="G543" s="125"/>
      <c r="J543" s="125"/>
      <c r="L543" s="107"/>
      <c r="M543" s="183"/>
      <c r="N543" s="108"/>
    </row>
    <row r="544" spans="1:14" x14ac:dyDescent="0.3">
      <c r="A544" s="77"/>
      <c r="B544" s="106"/>
      <c r="F544" s="124"/>
      <c r="G544" s="125"/>
      <c r="J544" s="125"/>
      <c r="L544" s="107"/>
      <c r="M544" s="183"/>
      <c r="N544" s="108"/>
    </row>
    <row r="545" spans="1:14" x14ac:dyDescent="0.3">
      <c r="A545" s="77"/>
      <c r="B545" s="106"/>
      <c r="F545" s="124"/>
      <c r="G545" s="125"/>
      <c r="J545" s="125"/>
      <c r="L545" s="107"/>
      <c r="M545" s="183"/>
      <c r="N545" s="108"/>
    </row>
    <row r="546" spans="1:14" x14ac:dyDescent="0.3">
      <c r="A546" s="77"/>
      <c r="B546" s="106"/>
      <c r="F546" s="124"/>
      <c r="G546" s="125"/>
      <c r="J546" s="125"/>
      <c r="L546" s="107"/>
      <c r="M546" s="183"/>
      <c r="N546" s="108"/>
    </row>
    <row r="547" spans="1:14" x14ac:dyDescent="0.3">
      <c r="A547" s="77"/>
      <c r="B547" s="106"/>
      <c r="F547" s="124"/>
      <c r="G547" s="125"/>
      <c r="J547" s="125"/>
      <c r="L547" s="107"/>
      <c r="M547" s="183"/>
      <c r="N547" s="108"/>
    </row>
    <row r="548" spans="1:14" x14ac:dyDescent="0.3">
      <c r="A548" s="77"/>
      <c r="B548" s="106"/>
      <c r="F548" s="124"/>
      <c r="G548" s="125"/>
      <c r="J548" s="125"/>
      <c r="L548" s="107"/>
      <c r="M548" s="183"/>
      <c r="N548" s="108"/>
    </row>
    <row r="549" spans="1:14" x14ac:dyDescent="0.3">
      <c r="A549" s="77"/>
      <c r="B549" s="106"/>
      <c r="F549" s="124"/>
      <c r="G549" s="125"/>
      <c r="J549" s="125"/>
      <c r="L549" s="107"/>
      <c r="M549" s="183"/>
      <c r="N549" s="108"/>
    </row>
    <row r="550" spans="1:14" x14ac:dyDescent="0.3">
      <c r="A550" s="77"/>
      <c r="B550" s="106"/>
      <c r="F550" s="124"/>
      <c r="G550" s="125"/>
      <c r="J550" s="125"/>
      <c r="L550" s="107"/>
      <c r="M550" s="183"/>
      <c r="N550" s="108"/>
    </row>
    <row r="551" spans="1:14" x14ac:dyDescent="0.3">
      <c r="A551" s="77"/>
      <c r="B551" s="106"/>
      <c r="F551" s="124"/>
      <c r="G551" s="125"/>
      <c r="J551" s="125"/>
      <c r="L551" s="107"/>
      <c r="M551" s="183"/>
      <c r="N551" s="108"/>
    </row>
    <row r="552" spans="1:14" x14ac:dyDescent="0.3">
      <c r="A552" s="77"/>
      <c r="B552" s="106"/>
      <c r="F552" s="124"/>
      <c r="G552" s="125"/>
      <c r="J552" s="125"/>
      <c r="L552" s="107"/>
      <c r="M552" s="183"/>
      <c r="N552" s="108"/>
    </row>
    <row r="553" spans="1:14" x14ac:dyDescent="0.3">
      <c r="A553" s="77"/>
      <c r="B553" s="106"/>
      <c r="F553" s="124"/>
      <c r="G553" s="125"/>
      <c r="J553" s="125"/>
      <c r="L553" s="107"/>
      <c r="M553" s="183"/>
      <c r="N553" s="108"/>
    </row>
    <row r="554" spans="1:14" x14ac:dyDescent="0.3">
      <c r="A554" s="77"/>
      <c r="B554" s="106"/>
      <c r="F554" s="124"/>
      <c r="G554" s="125"/>
      <c r="J554" s="125"/>
      <c r="L554" s="107"/>
      <c r="M554" s="183"/>
      <c r="N554" s="108"/>
    </row>
    <row r="555" spans="1:14" x14ac:dyDescent="0.3">
      <c r="A555" s="77"/>
      <c r="B555" s="106"/>
      <c r="F555" s="124"/>
      <c r="G555" s="125"/>
      <c r="J555" s="125"/>
      <c r="L555" s="107"/>
      <c r="M555" s="183"/>
      <c r="N555" s="108"/>
    </row>
    <row r="556" spans="1:14" x14ac:dyDescent="0.3">
      <c r="A556" s="77"/>
      <c r="B556" s="106"/>
      <c r="F556" s="124"/>
      <c r="G556" s="125"/>
      <c r="J556" s="125"/>
      <c r="L556" s="107"/>
      <c r="M556" s="183"/>
      <c r="N556" s="108"/>
    </row>
    <row r="557" spans="1:14" x14ac:dyDescent="0.3">
      <c r="A557" s="77"/>
      <c r="B557" s="106"/>
      <c r="F557" s="124"/>
      <c r="G557" s="125"/>
      <c r="J557" s="125"/>
      <c r="L557" s="107"/>
      <c r="M557" s="183"/>
      <c r="N557" s="108"/>
    </row>
    <row r="558" spans="1:14" x14ac:dyDescent="0.3">
      <c r="A558" s="77"/>
      <c r="B558" s="106"/>
      <c r="F558" s="124"/>
      <c r="G558" s="125"/>
      <c r="J558" s="125"/>
      <c r="L558" s="107"/>
      <c r="M558" s="183"/>
      <c r="N558" s="108"/>
    </row>
    <row r="559" spans="1:14" x14ac:dyDescent="0.3">
      <c r="A559" s="77"/>
      <c r="B559" s="106"/>
      <c r="F559" s="124"/>
      <c r="G559" s="125"/>
      <c r="J559" s="125"/>
      <c r="L559" s="107"/>
      <c r="M559" s="183"/>
      <c r="N559" s="108"/>
    </row>
    <row r="560" spans="1:14" x14ac:dyDescent="0.3">
      <c r="A560" s="77"/>
      <c r="B560" s="106"/>
      <c r="F560" s="124"/>
      <c r="G560" s="125"/>
      <c r="J560" s="125"/>
      <c r="L560" s="107"/>
      <c r="M560" s="183"/>
      <c r="N560" s="108"/>
    </row>
    <row r="561" spans="1:14" x14ac:dyDescent="0.3">
      <c r="A561" s="77"/>
      <c r="B561" s="106"/>
      <c r="F561" s="124"/>
      <c r="G561" s="125"/>
      <c r="J561" s="125"/>
      <c r="L561" s="107"/>
      <c r="M561" s="183"/>
      <c r="N561" s="108"/>
    </row>
    <row r="562" spans="1:14" x14ac:dyDescent="0.3">
      <c r="A562" s="77"/>
      <c r="B562" s="106"/>
      <c r="F562" s="124"/>
      <c r="G562" s="125"/>
      <c r="J562" s="125"/>
      <c r="L562" s="107"/>
      <c r="M562" s="183"/>
      <c r="N562" s="108"/>
    </row>
    <row r="563" spans="1:14" x14ac:dyDescent="0.3">
      <c r="A563" s="77"/>
      <c r="B563" s="106"/>
      <c r="F563" s="124"/>
      <c r="G563" s="125"/>
      <c r="J563" s="125"/>
      <c r="L563" s="107"/>
      <c r="M563" s="183"/>
      <c r="N563" s="108"/>
    </row>
    <row r="564" spans="1:14" x14ac:dyDescent="0.3">
      <c r="A564" s="77"/>
      <c r="B564" s="106"/>
      <c r="F564" s="124"/>
      <c r="G564" s="125"/>
      <c r="J564" s="125"/>
      <c r="L564" s="107"/>
      <c r="M564" s="183"/>
      <c r="N564" s="108"/>
    </row>
    <row r="565" spans="1:14" x14ac:dyDescent="0.3">
      <c r="A565" s="77"/>
      <c r="B565" s="106"/>
      <c r="F565" s="124"/>
      <c r="G565" s="125"/>
      <c r="J565" s="125"/>
      <c r="L565" s="107"/>
      <c r="M565" s="183"/>
      <c r="N565" s="108"/>
    </row>
    <row r="566" spans="1:14" x14ac:dyDescent="0.3">
      <c r="A566" s="77"/>
      <c r="B566" s="106"/>
      <c r="F566" s="124"/>
      <c r="G566" s="125"/>
      <c r="J566" s="125"/>
      <c r="L566" s="107"/>
      <c r="M566" s="183"/>
      <c r="N566" s="108"/>
    </row>
    <row r="567" spans="1:14" x14ac:dyDescent="0.3">
      <c r="A567" s="77"/>
      <c r="B567" s="106"/>
      <c r="F567" s="124"/>
      <c r="G567" s="125"/>
      <c r="J567" s="125"/>
      <c r="L567" s="107"/>
      <c r="M567" s="183"/>
      <c r="N567" s="108"/>
    </row>
    <row r="568" spans="1:14" x14ac:dyDescent="0.3">
      <c r="A568" s="77"/>
      <c r="B568" s="106"/>
      <c r="F568" s="124"/>
      <c r="G568" s="125"/>
      <c r="J568" s="125"/>
      <c r="L568" s="107"/>
      <c r="M568" s="183"/>
      <c r="N568" s="108"/>
    </row>
    <row r="569" spans="1:14" x14ac:dyDescent="0.3">
      <c r="A569" s="77"/>
      <c r="B569" s="106"/>
      <c r="F569" s="124"/>
      <c r="G569" s="125"/>
      <c r="J569" s="125"/>
      <c r="L569" s="107"/>
      <c r="M569" s="183"/>
      <c r="N569" s="108"/>
    </row>
    <row r="570" spans="1:14" x14ac:dyDescent="0.3">
      <c r="A570" s="77"/>
      <c r="B570" s="106"/>
      <c r="F570" s="124"/>
      <c r="G570" s="125"/>
      <c r="J570" s="125"/>
      <c r="L570" s="107"/>
      <c r="M570" s="183"/>
      <c r="N570" s="108"/>
    </row>
    <row r="571" spans="1:14" x14ac:dyDescent="0.3">
      <c r="A571" s="77"/>
      <c r="B571" s="106"/>
      <c r="F571" s="124"/>
      <c r="G571" s="125"/>
      <c r="J571" s="125"/>
      <c r="L571" s="107"/>
      <c r="M571" s="183"/>
      <c r="N571" s="108"/>
    </row>
    <row r="572" spans="1:14" x14ac:dyDescent="0.3">
      <c r="A572" s="77"/>
      <c r="B572" s="106"/>
      <c r="F572" s="124"/>
      <c r="G572" s="125"/>
      <c r="J572" s="125"/>
      <c r="L572" s="107"/>
      <c r="M572" s="183"/>
      <c r="N572" s="108"/>
    </row>
    <row r="573" spans="1:14" x14ac:dyDescent="0.3">
      <c r="A573" s="77"/>
      <c r="B573" s="106"/>
      <c r="F573" s="124"/>
      <c r="G573" s="125"/>
      <c r="J573" s="125"/>
      <c r="L573" s="107"/>
      <c r="M573" s="183"/>
      <c r="N573" s="108"/>
    </row>
    <row r="574" spans="1:14" x14ac:dyDescent="0.3">
      <c r="A574" s="77"/>
      <c r="B574" s="106"/>
      <c r="F574" s="124"/>
      <c r="G574" s="125"/>
      <c r="J574" s="125"/>
      <c r="L574" s="107"/>
      <c r="M574" s="183"/>
      <c r="N574" s="108"/>
    </row>
    <row r="575" spans="1:14" x14ac:dyDescent="0.3">
      <c r="A575" s="77"/>
      <c r="B575" s="106"/>
      <c r="F575" s="124"/>
      <c r="G575" s="125"/>
      <c r="J575" s="125"/>
      <c r="L575" s="107"/>
      <c r="M575" s="183"/>
      <c r="N575" s="108"/>
    </row>
    <row r="576" spans="1:14" x14ac:dyDescent="0.3">
      <c r="A576" s="77"/>
      <c r="B576" s="106"/>
      <c r="F576" s="124"/>
      <c r="G576" s="125"/>
      <c r="J576" s="125"/>
      <c r="L576" s="107"/>
      <c r="M576" s="183"/>
      <c r="N576" s="108"/>
    </row>
    <row r="577" spans="1:14" x14ac:dyDescent="0.3">
      <c r="A577" s="77"/>
      <c r="B577" s="106"/>
      <c r="F577" s="124"/>
      <c r="G577" s="125"/>
      <c r="J577" s="125"/>
      <c r="L577" s="107"/>
      <c r="M577" s="183"/>
      <c r="N577" s="108"/>
    </row>
    <row r="578" spans="1:14" x14ac:dyDescent="0.3">
      <c r="A578" s="77"/>
      <c r="B578" s="106"/>
      <c r="F578" s="124"/>
      <c r="G578" s="125"/>
      <c r="J578" s="125"/>
      <c r="L578" s="107"/>
      <c r="M578" s="183"/>
      <c r="N578" s="108"/>
    </row>
    <row r="579" spans="1:14" x14ac:dyDescent="0.3">
      <c r="A579" s="77"/>
      <c r="B579" s="106"/>
      <c r="F579" s="124"/>
      <c r="G579" s="125"/>
      <c r="J579" s="125"/>
      <c r="L579" s="107"/>
      <c r="M579" s="183"/>
      <c r="N579" s="108"/>
    </row>
    <row r="580" spans="1:14" x14ac:dyDescent="0.3">
      <c r="A580" s="77"/>
      <c r="B580" s="106"/>
      <c r="F580" s="124"/>
      <c r="G580" s="125"/>
      <c r="J580" s="125"/>
      <c r="L580" s="107"/>
      <c r="M580" s="183"/>
      <c r="N580" s="108"/>
    </row>
    <row r="581" spans="1:14" x14ac:dyDescent="0.3">
      <c r="A581" s="77"/>
      <c r="B581" s="106"/>
      <c r="F581" s="124"/>
      <c r="G581" s="125"/>
      <c r="J581" s="125"/>
      <c r="L581" s="107"/>
      <c r="M581" s="183"/>
      <c r="N581" s="108"/>
    </row>
    <row r="582" spans="1:14" x14ac:dyDescent="0.3">
      <c r="A582" s="77"/>
      <c r="B582" s="106"/>
      <c r="F582" s="124"/>
      <c r="G582" s="125"/>
      <c r="J582" s="125"/>
      <c r="L582" s="107"/>
      <c r="M582" s="183"/>
      <c r="N582" s="108"/>
    </row>
    <row r="583" spans="1:14" x14ac:dyDescent="0.3">
      <c r="A583" s="77"/>
      <c r="B583" s="106"/>
      <c r="F583" s="124"/>
      <c r="G583" s="125"/>
      <c r="J583" s="125"/>
      <c r="L583" s="107"/>
      <c r="M583" s="183"/>
      <c r="N583" s="108"/>
    </row>
    <row r="584" spans="1:14" x14ac:dyDescent="0.3">
      <c r="A584" s="77"/>
      <c r="B584" s="106"/>
      <c r="F584" s="124"/>
      <c r="G584" s="125"/>
      <c r="J584" s="125"/>
      <c r="L584" s="107"/>
      <c r="M584" s="183"/>
      <c r="N584" s="108"/>
    </row>
    <row r="585" spans="1:14" x14ac:dyDescent="0.3">
      <c r="A585" s="77"/>
      <c r="B585" s="106"/>
      <c r="F585" s="124"/>
      <c r="G585" s="125"/>
      <c r="J585" s="125"/>
      <c r="L585" s="107"/>
      <c r="M585" s="183"/>
      <c r="N585" s="108"/>
    </row>
    <row r="586" spans="1:14" x14ac:dyDescent="0.3">
      <c r="A586" s="77"/>
      <c r="B586" s="106"/>
      <c r="F586" s="124"/>
      <c r="G586" s="125"/>
      <c r="J586" s="125"/>
      <c r="L586" s="107"/>
      <c r="M586" s="183"/>
      <c r="N586" s="108"/>
    </row>
    <row r="587" spans="1:14" x14ac:dyDescent="0.3">
      <c r="A587" s="77"/>
      <c r="B587" s="106"/>
      <c r="F587" s="124"/>
      <c r="G587" s="125"/>
      <c r="J587" s="125"/>
      <c r="L587" s="107"/>
      <c r="M587" s="183"/>
      <c r="N587" s="108"/>
    </row>
    <row r="588" spans="1:14" x14ac:dyDescent="0.3">
      <c r="A588" s="77"/>
      <c r="B588" s="106"/>
      <c r="F588" s="124"/>
      <c r="G588" s="125"/>
      <c r="J588" s="125"/>
      <c r="L588" s="107"/>
      <c r="M588" s="183"/>
      <c r="N588" s="108"/>
    </row>
    <row r="589" spans="1:14" x14ac:dyDescent="0.3">
      <c r="A589" s="77"/>
      <c r="B589" s="106"/>
      <c r="F589" s="124"/>
      <c r="G589" s="125"/>
      <c r="J589" s="125"/>
      <c r="L589" s="107"/>
      <c r="M589" s="183"/>
      <c r="N589" s="108"/>
    </row>
    <row r="590" spans="1:14" x14ac:dyDescent="0.3">
      <c r="A590" s="77"/>
      <c r="B590" s="106"/>
      <c r="F590" s="124"/>
      <c r="G590" s="125"/>
      <c r="J590" s="125"/>
      <c r="L590" s="107"/>
      <c r="M590" s="183"/>
      <c r="N590" s="108"/>
    </row>
    <row r="591" spans="1:14" x14ac:dyDescent="0.3">
      <c r="A591" s="77"/>
      <c r="B591" s="106"/>
      <c r="F591" s="124"/>
      <c r="G591" s="125"/>
      <c r="J591" s="125"/>
      <c r="L591" s="107"/>
      <c r="M591" s="183"/>
      <c r="N591" s="108"/>
    </row>
    <row r="592" spans="1:14" x14ac:dyDescent="0.3">
      <c r="A592" s="77"/>
      <c r="B592" s="106"/>
      <c r="F592" s="124"/>
      <c r="G592" s="125"/>
      <c r="J592" s="125"/>
      <c r="L592" s="107"/>
      <c r="M592" s="183"/>
      <c r="N592" s="108"/>
    </row>
    <row r="593" spans="1:14" x14ac:dyDescent="0.3">
      <c r="A593" s="77"/>
      <c r="B593" s="106"/>
      <c r="F593" s="124"/>
      <c r="G593" s="125"/>
      <c r="J593" s="125"/>
      <c r="L593" s="107"/>
      <c r="M593" s="183"/>
      <c r="N593" s="108"/>
    </row>
    <row r="594" spans="1:14" x14ac:dyDescent="0.3">
      <c r="A594" s="77"/>
      <c r="B594" s="106"/>
      <c r="F594" s="124"/>
      <c r="G594" s="125"/>
      <c r="J594" s="125"/>
      <c r="L594" s="107"/>
      <c r="M594" s="183"/>
      <c r="N594" s="108"/>
    </row>
    <row r="595" spans="1:14" x14ac:dyDescent="0.3">
      <c r="A595" s="77"/>
      <c r="B595" s="106"/>
      <c r="F595" s="124"/>
      <c r="G595" s="125"/>
      <c r="J595" s="125"/>
      <c r="L595" s="107"/>
      <c r="M595" s="183"/>
      <c r="N595" s="108"/>
    </row>
    <row r="596" spans="1:14" x14ac:dyDescent="0.3">
      <c r="A596" s="77"/>
      <c r="B596" s="106"/>
      <c r="F596" s="124"/>
      <c r="G596" s="125"/>
      <c r="J596" s="125"/>
      <c r="L596" s="107"/>
      <c r="M596" s="183"/>
      <c r="N596" s="108"/>
    </row>
    <row r="597" spans="1:14" x14ac:dyDescent="0.3">
      <c r="A597" s="77"/>
      <c r="B597" s="106"/>
      <c r="F597" s="124"/>
      <c r="G597" s="125"/>
      <c r="J597" s="125"/>
      <c r="L597" s="107"/>
      <c r="M597" s="183"/>
      <c r="N597" s="108"/>
    </row>
    <row r="598" spans="1:14" x14ac:dyDescent="0.3">
      <c r="A598" s="77"/>
      <c r="B598" s="106"/>
      <c r="F598" s="124"/>
      <c r="G598" s="125"/>
      <c r="J598" s="125"/>
      <c r="L598" s="107"/>
      <c r="M598" s="183"/>
      <c r="N598" s="108"/>
    </row>
    <row r="599" spans="1:14" x14ac:dyDescent="0.3">
      <c r="A599" s="77"/>
      <c r="B599" s="106"/>
      <c r="F599" s="124"/>
      <c r="G599" s="125"/>
      <c r="J599" s="125"/>
      <c r="L599" s="107"/>
      <c r="M599" s="183"/>
      <c r="N599" s="108"/>
    </row>
    <row r="600" spans="1:14" x14ac:dyDescent="0.3">
      <c r="A600" s="77"/>
      <c r="B600" s="106"/>
      <c r="F600" s="124"/>
      <c r="G600" s="125"/>
      <c r="J600" s="125"/>
      <c r="L600" s="107"/>
      <c r="M600" s="183"/>
      <c r="N600" s="108"/>
    </row>
    <row r="601" spans="1:14" x14ac:dyDescent="0.3">
      <c r="A601" s="77"/>
      <c r="B601" s="106"/>
      <c r="F601" s="124"/>
      <c r="G601" s="125"/>
      <c r="J601" s="125"/>
      <c r="L601" s="107"/>
      <c r="M601" s="183"/>
      <c r="N601" s="108"/>
    </row>
    <row r="602" spans="1:14" x14ac:dyDescent="0.3">
      <c r="A602" s="77"/>
      <c r="B602" s="106"/>
      <c r="F602" s="124"/>
      <c r="G602" s="125"/>
      <c r="J602" s="125"/>
      <c r="L602" s="107"/>
      <c r="M602" s="183"/>
      <c r="N602" s="108"/>
    </row>
    <row r="603" spans="1:14" x14ac:dyDescent="0.3">
      <c r="A603" s="77"/>
      <c r="B603" s="106"/>
      <c r="F603" s="124"/>
      <c r="G603" s="125"/>
      <c r="J603" s="125"/>
      <c r="L603" s="107"/>
      <c r="M603" s="183"/>
      <c r="N603" s="108"/>
    </row>
    <row r="604" spans="1:14" x14ac:dyDescent="0.3">
      <c r="A604" s="77"/>
      <c r="B604" s="106"/>
      <c r="F604" s="124"/>
      <c r="G604" s="125"/>
      <c r="J604" s="125"/>
      <c r="L604" s="107"/>
      <c r="M604" s="183"/>
      <c r="N604" s="108"/>
    </row>
    <row r="605" spans="1:14" x14ac:dyDescent="0.3">
      <c r="A605" s="77"/>
      <c r="B605" s="106"/>
      <c r="F605" s="124"/>
      <c r="G605" s="125"/>
      <c r="J605" s="125"/>
      <c r="L605" s="107"/>
      <c r="M605" s="183"/>
      <c r="N605" s="108"/>
    </row>
    <row r="606" spans="1:14" x14ac:dyDescent="0.3">
      <c r="A606" s="77"/>
      <c r="B606" s="106"/>
      <c r="F606" s="124"/>
      <c r="G606" s="125"/>
      <c r="J606" s="125"/>
      <c r="L606" s="107"/>
      <c r="M606" s="183"/>
      <c r="N606" s="108"/>
    </row>
    <row r="607" spans="1:14" x14ac:dyDescent="0.3">
      <c r="A607" s="77"/>
      <c r="B607" s="106"/>
      <c r="F607" s="124"/>
      <c r="G607" s="125"/>
      <c r="J607" s="125"/>
      <c r="L607" s="107"/>
      <c r="M607" s="183"/>
      <c r="N607" s="108"/>
    </row>
    <row r="608" spans="1:14" x14ac:dyDescent="0.3">
      <c r="A608" s="77"/>
      <c r="B608" s="106"/>
      <c r="F608" s="124"/>
      <c r="G608" s="125"/>
      <c r="J608" s="125"/>
      <c r="L608" s="107"/>
      <c r="M608" s="183"/>
      <c r="N608" s="108"/>
    </row>
    <row r="609" spans="1:14" x14ac:dyDescent="0.3">
      <c r="A609" s="77"/>
      <c r="B609" s="106"/>
      <c r="F609" s="124"/>
      <c r="G609" s="125"/>
      <c r="J609" s="125"/>
      <c r="L609" s="107"/>
      <c r="M609" s="183"/>
      <c r="N609" s="108"/>
    </row>
    <row r="610" spans="1:14" x14ac:dyDescent="0.3">
      <c r="A610" s="77"/>
      <c r="B610" s="106"/>
      <c r="F610" s="124"/>
      <c r="G610" s="125"/>
      <c r="J610" s="125"/>
      <c r="L610" s="107"/>
      <c r="M610" s="183"/>
      <c r="N610" s="108"/>
    </row>
    <row r="611" spans="1:14" x14ac:dyDescent="0.3">
      <c r="A611" s="77"/>
      <c r="B611" s="106"/>
      <c r="F611" s="124"/>
      <c r="G611" s="125"/>
      <c r="J611" s="125"/>
      <c r="L611" s="107"/>
      <c r="M611" s="183"/>
      <c r="N611" s="108"/>
    </row>
    <row r="612" spans="1:14" x14ac:dyDescent="0.3">
      <c r="A612" s="77"/>
      <c r="B612" s="106"/>
      <c r="F612" s="124"/>
      <c r="G612" s="125"/>
      <c r="J612" s="125"/>
      <c r="L612" s="107"/>
      <c r="M612" s="183"/>
      <c r="N612" s="108"/>
    </row>
    <row r="613" spans="1:14" x14ac:dyDescent="0.3">
      <c r="A613" s="77"/>
      <c r="B613" s="106"/>
      <c r="F613" s="124"/>
      <c r="G613" s="125"/>
      <c r="J613" s="125"/>
      <c r="L613" s="107"/>
      <c r="M613" s="183"/>
      <c r="N613" s="108"/>
    </row>
    <row r="614" spans="1:14" x14ac:dyDescent="0.3">
      <c r="A614" s="77"/>
      <c r="B614" s="106"/>
      <c r="F614" s="124"/>
      <c r="G614" s="125"/>
      <c r="J614" s="125"/>
      <c r="L614" s="107"/>
      <c r="M614" s="183"/>
      <c r="N614" s="108"/>
    </row>
    <row r="615" spans="1:14" x14ac:dyDescent="0.3">
      <c r="A615" s="77"/>
      <c r="B615" s="106"/>
      <c r="F615" s="124"/>
      <c r="G615" s="125"/>
      <c r="J615" s="125"/>
      <c r="L615" s="107"/>
      <c r="M615" s="183"/>
      <c r="N615" s="108"/>
    </row>
    <row r="616" spans="1:14" x14ac:dyDescent="0.3">
      <c r="A616" s="77"/>
      <c r="B616" s="106"/>
      <c r="F616" s="124"/>
      <c r="G616" s="125"/>
      <c r="J616" s="125"/>
      <c r="L616" s="107"/>
      <c r="M616" s="183"/>
      <c r="N616" s="108"/>
    </row>
    <row r="617" spans="1:14" x14ac:dyDescent="0.3">
      <c r="A617" s="77"/>
      <c r="B617" s="106"/>
      <c r="F617" s="124"/>
      <c r="G617" s="125"/>
      <c r="J617" s="125"/>
      <c r="L617" s="107"/>
      <c r="M617" s="183"/>
      <c r="N617" s="108"/>
    </row>
    <row r="618" spans="1:14" x14ac:dyDescent="0.3">
      <c r="A618" s="77"/>
      <c r="B618" s="106"/>
      <c r="F618" s="124"/>
      <c r="G618" s="125"/>
      <c r="J618" s="125"/>
      <c r="L618" s="107"/>
      <c r="M618" s="183"/>
      <c r="N618" s="108"/>
    </row>
    <row r="619" spans="1:14" x14ac:dyDescent="0.3">
      <c r="A619" s="77"/>
      <c r="B619" s="106"/>
      <c r="F619" s="124"/>
      <c r="G619" s="125"/>
      <c r="J619" s="125"/>
      <c r="L619" s="107"/>
      <c r="M619" s="183"/>
      <c r="N619" s="108"/>
    </row>
    <row r="620" spans="1:14" x14ac:dyDescent="0.3">
      <c r="A620" s="77"/>
      <c r="B620" s="106"/>
      <c r="F620" s="124"/>
      <c r="G620" s="125"/>
      <c r="J620" s="125"/>
      <c r="L620" s="107"/>
      <c r="M620" s="183"/>
      <c r="N620" s="108"/>
    </row>
    <row r="621" spans="1:14" x14ac:dyDescent="0.3">
      <c r="A621" s="77"/>
      <c r="B621" s="106"/>
      <c r="F621" s="124"/>
      <c r="G621" s="125"/>
      <c r="J621" s="125"/>
      <c r="L621" s="107"/>
      <c r="M621" s="183"/>
      <c r="N621" s="108"/>
    </row>
    <row r="622" spans="1:14" x14ac:dyDescent="0.3">
      <c r="A622" s="77"/>
      <c r="B622" s="106"/>
      <c r="F622" s="124"/>
      <c r="G622" s="125"/>
      <c r="J622" s="125"/>
      <c r="L622" s="107"/>
      <c r="M622" s="183"/>
      <c r="N622" s="108"/>
    </row>
    <row r="623" spans="1:14" x14ac:dyDescent="0.3">
      <c r="A623" s="77"/>
      <c r="B623" s="106"/>
      <c r="F623" s="124"/>
      <c r="G623" s="125"/>
      <c r="J623" s="125"/>
      <c r="L623" s="107"/>
      <c r="M623" s="183"/>
      <c r="N623" s="108"/>
    </row>
    <row r="624" spans="1:14" x14ac:dyDescent="0.3">
      <c r="A624" s="77"/>
      <c r="B624" s="106"/>
      <c r="F624" s="124"/>
      <c r="G624" s="125"/>
      <c r="J624" s="125"/>
      <c r="L624" s="107"/>
      <c r="M624" s="183"/>
      <c r="N624" s="108"/>
    </row>
    <row r="625" spans="1:14" x14ac:dyDescent="0.3">
      <c r="A625" s="77"/>
      <c r="B625" s="106"/>
      <c r="F625" s="124"/>
      <c r="G625" s="125"/>
      <c r="J625" s="125"/>
      <c r="L625" s="107"/>
      <c r="M625" s="183"/>
      <c r="N625" s="108"/>
    </row>
    <row r="626" spans="1:14" x14ac:dyDescent="0.3">
      <c r="A626" s="77"/>
      <c r="B626" s="106"/>
      <c r="F626" s="124"/>
      <c r="G626" s="125"/>
      <c r="J626" s="125"/>
      <c r="L626" s="107"/>
      <c r="M626" s="183"/>
      <c r="N626" s="108"/>
    </row>
    <row r="627" spans="1:14" x14ac:dyDescent="0.3">
      <c r="A627" s="77"/>
      <c r="B627" s="106"/>
      <c r="F627" s="124"/>
      <c r="G627" s="125"/>
      <c r="J627" s="125"/>
      <c r="L627" s="107"/>
      <c r="M627" s="183"/>
      <c r="N627" s="108"/>
    </row>
    <row r="628" spans="1:14" x14ac:dyDescent="0.3">
      <c r="A628" s="77"/>
      <c r="B628" s="106"/>
      <c r="F628" s="124"/>
      <c r="G628" s="125"/>
      <c r="J628" s="125"/>
      <c r="L628" s="107"/>
      <c r="M628" s="183"/>
      <c r="N628" s="108"/>
    </row>
    <row r="629" spans="1:14" x14ac:dyDescent="0.3">
      <c r="A629" s="77"/>
      <c r="B629" s="106"/>
      <c r="F629" s="124"/>
      <c r="G629" s="125"/>
      <c r="J629" s="125"/>
      <c r="L629" s="107"/>
      <c r="M629" s="183"/>
      <c r="N629" s="108"/>
    </row>
    <row r="630" spans="1:14" x14ac:dyDescent="0.3">
      <c r="A630" s="77"/>
      <c r="B630" s="106"/>
      <c r="F630" s="124"/>
      <c r="G630" s="125"/>
      <c r="J630" s="125"/>
      <c r="L630" s="107"/>
      <c r="M630" s="183"/>
      <c r="N630" s="108"/>
    </row>
    <row r="631" spans="1:14" x14ac:dyDescent="0.3">
      <c r="A631" s="77"/>
      <c r="B631" s="106"/>
      <c r="F631" s="124"/>
      <c r="G631" s="125"/>
      <c r="J631" s="125"/>
      <c r="L631" s="107"/>
      <c r="M631" s="183"/>
      <c r="N631" s="108"/>
    </row>
    <row r="632" spans="1:14" x14ac:dyDescent="0.3">
      <c r="A632" s="77"/>
      <c r="B632" s="106"/>
      <c r="F632" s="124"/>
      <c r="G632" s="125"/>
      <c r="J632" s="125"/>
      <c r="L632" s="107"/>
      <c r="M632" s="183"/>
      <c r="N632" s="108"/>
    </row>
    <row r="633" spans="1:14" x14ac:dyDescent="0.3">
      <c r="A633" s="77"/>
      <c r="B633" s="106"/>
      <c r="F633" s="124"/>
      <c r="G633" s="125"/>
      <c r="J633" s="125"/>
      <c r="L633" s="107"/>
      <c r="M633" s="183"/>
      <c r="N633" s="108"/>
    </row>
    <row r="634" spans="1:14" x14ac:dyDescent="0.3">
      <c r="A634" s="77"/>
      <c r="B634" s="106"/>
      <c r="F634" s="124"/>
      <c r="G634" s="125"/>
      <c r="J634" s="125"/>
      <c r="L634" s="107"/>
      <c r="M634" s="183"/>
      <c r="N634" s="108"/>
    </row>
    <row r="635" spans="1:14" x14ac:dyDescent="0.3">
      <c r="A635" s="77"/>
      <c r="B635" s="106"/>
      <c r="F635" s="124"/>
      <c r="G635" s="125"/>
      <c r="J635" s="125"/>
      <c r="L635" s="107"/>
      <c r="M635" s="183"/>
      <c r="N635" s="108"/>
    </row>
    <row r="636" spans="1:14" x14ac:dyDescent="0.3">
      <c r="A636" s="77"/>
      <c r="B636" s="106"/>
      <c r="F636" s="124"/>
      <c r="G636" s="125"/>
      <c r="J636" s="125"/>
      <c r="L636" s="107"/>
      <c r="M636" s="183"/>
      <c r="N636" s="108"/>
    </row>
    <row r="637" spans="1:14" x14ac:dyDescent="0.3">
      <c r="A637" s="77"/>
      <c r="B637" s="106"/>
      <c r="F637" s="124"/>
      <c r="G637" s="125"/>
      <c r="J637" s="125"/>
      <c r="L637" s="107"/>
      <c r="M637" s="183"/>
      <c r="N637" s="108"/>
    </row>
    <row r="638" spans="1:14" x14ac:dyDescent="0.3">
      <c r="A638" s="77"/>
      <c r="B638" s="106"/>
      <c r="F638" s="124"/>
      <c r="G638" s="125"/>
      <c r="J638" s="125"/>
      <c r="L638" s="107"/>
      <c r="M638" s="183"/>
      <c r="N638" s="108"/>
    </row>
    <row r="639" spans="1:14" x14ac:dyDescent="0.3">
      <c r="A639" s="77"/>
      <c r="B639" s="106"/>
      <c r="F639" s="124"/>
      <c r="G639" s="125"/>
      <c r="J639" s="125"/>
      <c r="L639" s="107"/>
      <c r="M639" s="183"/>
      <c r="N639" s="108"/>
    </row>
    <row r="640" spans="1:14" x14ac:dyDescent="0.3">
      <c r="A640" s="77"/>
      <c r="B640" s="106"/>
      <c r="F640" s="124"/>
      <c r="G640" s="125"/>
      <c r="J640" s="125"/>
      <c r="L640" s="107"/>
      <c r="M640" s="183"/>
      <c r="N640" s="108"/>
    </row>
    <row r="641" spans="1:14" x14ac:dyDescent="0.3">
      <c r="A641" s="77"/>
      <c r="B641" s="106"/>
      <c r="F641" s="124"/>
      <c r="G641" s="125"/>
      <c r="J641" s="125"/>
      <c r="L641" s="107"/>
      <c r="M641" s="183"/>
      <c r="N641" s="108"/>
    </row>
    <row r="642" spans="1:14" x14ac:dyDescent="0.3">
      <c r="A642" s="77"/>
      <c r="B642" s="106"/>
      <c r="F642" s="124"/>
      <c r="G642" s="125"/>
      <c r="J642" s="125"/>
      <c r="L642" s="107"/>
      <c r="M642" s="183"/>
      <c r="N642" s="108"/>
    </row>
    <row r="643" spans="1:14" x14ac:dyDescent="0.3">
      <c r="A643" s="77"/>
      <c r="B643" s="106"/>
      <c r="F643" s="124"/>
      <c r="G643" s="125"/>
      <c r="J643" s="125"/>
      <c r="L643" s="107"/>
      <c r="M643" s="183"/>
      <c r="N643" s="108"/>
    </row>
    <row r="644" spans="1:14" x14ac:dyDescent="0.3">
      <c r="A644" s="77"/>
      <c r="B644" s="106"/>
      <c r="F644" s="124"/>
      <c r="G644" s="125"/>
      <c r="J644" s="125"/>
      <c r="L644" s="107"/>
      <c r="M644" s="183"/>
      <c r="N644" s="108"/>
    </row>
    <row r="645" spans="1:14" x14ac:dyDescent="0.3">
      <c r="A645" s="77"/>
      <c r="B645" s="106"/>
      <c r="F645" s="124"/>
      <c r="G645" s="125"/>
      <c r="J645" s="125"/>
      <c r="L645" s="107"/>
      <c r="M645" s="183"/>
      <c r="N645" s="108"/>
    </row>
    <row r="646" spans="1:14" x14ac:dyDescent="0.3">
      <c r="A646" s="77"/>
      <c r="B646" s="106"/>
      <c r="F646" s="124"/>
      <c r="G646" s="125"/>
      <c r="J646" s="125"/>
      <c r="L646" s="107"/>
      <c r="M646" s="183"/>
      <c r="N646" s="108"/>
    </row>
    <row r="647" spans="1:14" x14ac:dyDescent="0.3">
      <c r="A647" s="77"/>
      <c r="B647" s="106"/>
      <c r="F647" s="124"/>
      <c r="G647" s="125"/>
      <c r="J647" s="125"/>
      <c r="L647" s="107"/>
      <c r="M647" s="183"/>
      <c r="N647" s="108"/>
    </row>
    <row r="648" spans="1:14" x14ac:dyDescent="0.3">
      <c r="A648" s="77"/>
      <c r="B648" s="106"/>
      <c r="F648" s="124"/>
      <c r="G648" s="125"/>
      <c r="J648" s="125"/>
      <c r="L648" s="107"/>
      <c r="M648" s="183"/>
      <c r="N648" s="108"/>
    </row>
    <row r="649" spans="1:14" x14ac:dyDescent="0.3">
      <c r="A649" s="77"/>
      <c r="B649" s="106"/>
      <c r="F649" s="124"/>
      <c r="G649" s="125"/>
      <c r="J649" s="125"/>
      <c r="L649" s="107"/>
      <c r="M649" s="183"/>
      <c r="N649" s="108"/>
    </row>
    <row r="650" spans="1:14" x14ac:dyDescent="0.3">
      <c r="A650" s="77"/>
      <c r="B650" s="106"/>
      <c r="F650" s="124"/>
      <c r="G650" s="125"/>
      <c r="J650" s="125"/>
      <c r="L650" s="107"/>
      <c r="M650" s="183"/>
      <c r="N650" s="108"/>
    </row>
    <row r="651" spans="1:14" x14ac:dyDescent="0.3">
      <c r="A651" s="77"/>
      <c r="B651" s="106"/>
      <c r="F651" s="124"/>
      <c r="G651" s="125"/>
      <c r="J651" s="125"/>
      <c r="L651" s="107"/>
      <c r="M651" s="183"/>
      <c r="N651" s="108"/>
    </row>
    <row r="652" spans="1:14" x14ac:dyDescent="0.3">
      <c r="A652" s="77"/>
      <c r="B652" s="106"/>
      <c r="F652" s="124"/>
      <c r="G652" s="125"/>
      <c r="J652" s="125"/>
      <c r="L652" s="107"/>
      <c r="M652" s="183"/>
      <c r="N652" s="108"/>
    </row>
    <row r="653" spans="1:14" x14ac:dyDescent="0.3">
      <c r="A653" s="77"/>
      <c r="B653" s="106"/>
      <c r="F653" s="124"/>
      <c r="G653" s="125"/>
      <c r="J653" s="125"/>
      <c r="L653" s="107"/>
      <c r="M653" s="183"/>
      <c r="N653" s="108"/>
    </row>
    <row r="654" spans="1:14" x14ac:dyDescent="0.3">
      <c r="A654" s="77"/>
      <c r="B654" s="106"/>
      <c r="F654" s="124"/>
      <c r="G654" s="125"/>
      <c r="J654" s="125"/>
      <c r="L654" s="107"/>
      <c r="M654" s="183"/>
      <c r="N654" s="108"/>
    </row>
    <row r="655" spans="1:14" x14ac:dyDescent="0.3">
      <c r="A655" s="77"/>
      <c r="B655" s="106"/>
      <c r="F655" s="124"/>
      <c r="G655" s="125"/>
      <c r="J655" s="125"/>
      <c r="L655" s="107"/>
      <c r="M655" s="183"/>
      <c r="N655" s="108"/>
    </row>
    <row r="656" spans="1:14" x14ac:dyDescent="0.3">
      <c r="A656" s="77"/>
      <c r="B656" s="106"/>
      <c r="F656" s="124"/>
      <c r="G656" s="125"/>
      <c r="J656" s="125"/>
      <c r="L656" s="107"/>
      <c r="M656" s="183"/>
      <c r="N656" s="108"/>
    </row>
    <row r="657" spans="1:14" x14ac:dyDescent="0.3">
      <c r="A657" s="77"/>
      <c r="B657" s="106"/>
      <c r="F657" s="124"/>
      <c r="G657" s="125"/>
      <c r="J657" s="125"/>
      <c r="L657" s="107"/>
      <c r="M657" s="183"/>
      <c r="N657" s="108"/>
    </row>
    <row r="658" spans="1:14" x14ac:dyDescent="0.3">
      <c r="A658" s="77"/>
      <c r="B658" s="106"/>
      <c r="F658" s="124"/>
      <c r="G658" s="125"/>
      <c r="J658" s="125"/>
      <c r="L658" s="107"/>
      <c r="M658" s="183"/>
      <c r="N658" s="108"/>
    </row>
    <row r="659" spans="1:14" x14ac:dyDescent="0.3">
      <c r="A659" s="77"/>
      <c r="B659" s="106"/>
      <c r="F659" s="124"/>
      <c r="G659" s="125"/>
      <c r="J659" s="125"/>
      <c r="L659" s="107"/>
      <c r="M659" s="183"/>
      <c r="N659" s="108"/>
    </row>
    <row r="660" spans="1:14" x14ac:dyDescent="0.3">
      <c r="A660" s="77"/>
      <c r="B660" s="106"/>
      <c r="F660" s="124"/>
      <c r="G660" s="125"/>
      <c r="J660" s="125"/>
      <c r="L660" s="107"/>
      <c r="M660" s="183"/>
      <c r="N660" s="108"/>
    </row>
    <row r="661" spans="1:14" x14ac:dyDescent="0.3">
      <c r="A661" s="77"/>
      <c r="B661" s="106"/>
      <c r="F661" s="124"/>
      <c r="G661" s="125"/>
      <c r="J661" s="125"/>
      <c r="L661" s="107"/>
      <c r="M661" s="183"/>
      <c r="N661" s="108"/>
    </row>
    <row r="662" spans="1:14" x14ac:dyDescent="0.3">
      <c r="A662" s="77"/>
      <c r="B662" s="106"/>
      <c r="F662" s="124"/>
      <c r="G662" s="125"/>
      <c r="J662" s="125"/>
      <c r="L662" s="107"/>
      <c r="M662" s="183"/>
      <c r="N662" s="108"/>
    </row>
    <row r="663" spans="1:14" x14ac:dyDescent="0.3">
      <c r="A663" s="77"/>
      <c r="B663" s="106"/>
      <c r="F663" s="124"/>
      <c r="G663" s="125"/>
      <c r="J663" s="125"/>
      <c r="L663" s="107"/>
      <c r="M663" s="183"/>
      <c r="N663" s="108"/>
    </row>
    <row r="664" spans="1:14" x14ac:dyDescent="0.3">
      <c r="A664" s="77"/>
      <c r="B664" s="106"/>
      <c r="F664" s="124"/>
      <c r="G664" s="125"/>
      <c r="J664" s="125"/>
      <c r="L664" s="107"/>
      <c r="M664" s="183"/>
      <c r="N664" s="108"/>
    </row>
    <row r="665" spans="1:14" x14ac:dyDescent="0.3">
      <c r="A665" s="77"/>
      <c r="B665" s="106"/>
      <c r="F665" s="124"/>
      <c r="G665" s="125"/>
      <c r="J665" s="125"/>
      <c r="L665" s="107"/>
      <c r="M665" s="183"/>
      <c r="N665" s="108"/>
    </row>
    <row r="666" spans="1:14" x14ac:dyDescent="0.3">
      <c r="A666" s="77"/>
      <c r="B666" s="106"/>
      <c r="F666" s="124"/>
      <c r="G666" s="125"/>
      <c r="J666" s="125"/>
      <c r="L666" s="107"/>
      <c r="M666" s="183"/>
      <c r="N666" s="108"/>
    </row>
    <row r="667" spans="1:14" x14ac:dyDescent="0.3">
      <c r="A667" s="77"/>
      <c r="B667" s="106"/>
      <c r="F667" s="124"/>
      <c r="G667" s="125"/>
      <c r="J667" s="125"/>
      <c r="L667" s="107"/>
      <c r="M667" s="183"/>
      <c r="N667" s="108"/>
    </row>
    <row r="668" spans="1:14" x14ac:dyDescent="0.3">
      <c r="A668" s="77"/>
      <c r="B668" s="106"/>
      <c r="F668" s="124"/>
      <c r="G668" s="125"/>
      <c r="J668" s="125"/>
      <c r="L668" s="107"/>
      <c r="M668" s="183"/>
      <c r="N668" s="108"/>
    </row>
    <row r="669" spans="1:14" x14ac:dyDescent="0.3">
      <c r="A669" s="77"/>
      <c r="B669" s="106"/>
      <c r="F669" s="124"/>
      <c r="G669" s="125"/>
      <c r="J669" s="125"/>
      <c r="L669" s="107"/>
      <c r="M669" s="183"/>
      <c r="N669" s="108"/>
    </row>
    <row r="670" spans="1:14" x14ac:dyDescent="0.3">
      <c r="A670" s="77"/>
      <c r="B670" s="106"/>
      <c r="F670" s="124"/>
      <c r="G670" s="125"/>
      <c r="J670" s="125"/>
      <c r="L670" s="107"/>
      <c r="M670" s="183"/>
      <c r="N670" s="108"/>
    </row>
    <row r="671" spans="1:14" x14ac:dyDescent="0.3">
      <c r="A671" s="77"/>
      <c r="B671" s="106"/>
      <c r="F671" s="124"/>
      <c r="G671" s="125"/>
      <c r="J671" s="125"/>
      <c r="L671" s="107"/>
      <c r="M671" s="183"/>
      <c r="N671" s="108"/>
    </row>
    <row r="672" spans="1:14" x14ac:dyDescent="0.3">
      <c r="A672" s="77"/>
      <c r="B672" s="106"/>
      <c r="F672" s="124"/>
      <c r="G672" s="125"/>
      <c r="J672" s="125"/>
      <c r="L672" s="107"/>
      <c r="M672" s="183"/>
      <c r="N672" s="108"/>
    </row>
    <row r="673" spans="1:14" x14ac:dyDescent="0.3">
      <c r="A673" s="77"/>
      <c r="B673" s="106"/>
      <c r="F673" s="124"/>
      <c r="G673" s="125"/>
      <c r="J673" s="125"/>
      <c r="L673" s="107"/>
      <c r="M673" s="183"/>
      <c r="N673" s="108"/>
    </row>
    <row r="674" spans="1:14" x14ac:dyDescent="0.3">
      <c r="A674" s="77"/>
      <c r="B674" s="106"/>
      <c r="F674" s="124"/>
      <c r="G674" s="125"/>
      <c r="J674" s="125"/>
      <c r="L674" s="107"/>
      <c r="M674" s="183"/>
      <c r="N674" s="108"/>
    </row>
    <row r="675" spans="1:14" x14ac:dyDescent="0.3">
      <c r="A675" s="77"/>
      <c r="B675" s="106"/>
      <c r="F675" s="124"/>
      <c r="G675" s="125"/>
      <c r="J675" s="125"/>
      <c r="L675" s="107"/>
      <c r="M675" s="183"/>
      <c r="N675" s="108"/>
    </row>
  </sheetData>
  <conditionalFormatting sqref="I2:I202">
    <cfRule type="cellIs" dxfId="24" priority="1" operator="equal">
      <formula>"REVISAR"</formula>
    </cfRule>
    <cfRule type="cellIs" dxfId="23" priority="2" operator="equal">
      <formula>"CORRECTO"</formula>
    </cfRule>
  </conditionalFormatting>
  <conditionalFormatting sqref="L2:L202">
    <cfRule type="cellIs" dxfId="22" priority="3" operator="equal">
      <formula>"APROBADO"</formula>
    </cfRule>
    <cfRule type="cellIs" dxfId="21" priority="4" operator="equal">
      <formula>"PENDIENTE"</formula>
    </cfRule>
    <cfRule type="cellIs" dxfId="20" priority="5" operator="equal">
      <formula>"PAGADO"</formula>
    </cfRule>
  </conditionalFormatting>
  <dataValidations disablePrompts="1" count="1">
    <dataValidation type="list" allowBlank="1" showErrorMessage="1" sqref="L2:L202" xr:uid="{1D81E327-846B-4D09-AB65-CAD666A63263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3271C298-0C5B-4A7D-8246-BA44B6107EE4}">
          <x14:formula1>
            <xm:f>'CUENTAS'!$A$2:$A$59</xm:f>
          </x14:formula1>
          <xm:sqref>C2:C202</xm:sqref>
        </x14:dataValidation>
        <x14:dataValidation type="list" allowBlank="1" showInputMessage="1" showErrorMessage="1" xr:uid="{606312D3-6EF0-47B9-9670-0EAAA67D1939}">
          <x14:formula1>
            <xm:f>'CUENTAS'!$G$2:$G$8</xm:f>
          </x14:formula1>
          <xm:sqref>J2:J202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A1FA0-2650-47DC-8DE3-3E8A22A01C01}">
  <sheetPr>
    <tabColor theme="1" tint="4.9989318521683403E-2"/>
  </sheetPr>
  <dimension ref="A1:Q653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4.4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7.21875" style="83" customWidth="1"/>
    <col min="8" max="9" width="17.21875" style="97" customWidth="1"/>
    <col min="10" max="10" width="18.5546875" style="83" bestFit="1" customWidth="1"/>
    <col min="11" max="11" width="14.77734375" style="98" customWidth="1"/>
    <col min="12" max="12" width="11.21875" style="99" bestFit="1" customWidth="1"/>
    <col min="13" max="13" width="12.6640625" style="182"/>
    <col min="14" max="14" width="42.3320312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77" customFormat="1" ht="27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81" t="s">
        <v>104</v>
      </c>
      <c r="N1" s="12" t="s">
        <v>105</v>
      </c>
    </row>
    <row r="2" spans="1:17" x14ac:dyDescent="0.3">
      <c r="A2" s="16" t="s">
        <v>275</v>
      </c>
      <c r="B2" s="16" t="s">
        <v>2523</v>
      </c>
      <c r="C2" s="28" t="s">
        <v>121</v>
      </c>
      <c r="D2" s="28" t="str">
        <f>IFERROR(VLOOKUP($C2,CUENTAS[],2,0),"")</f>
        <v>GASTOS FIJOS</v>
      </c>
      <c r="E2" s="28" t="str">
        <f>IFERROR(VLOOKUP($C2,CUENTAS[],3,0),"")</f>
        <v>MDE2025-002K</v>
      </c>
      <c r="F2" s="86">
        <v>15525</v>
      </c>
      <c r="G2" s="86">
        <v>2484</v>
      </c>
      <c r="H2" s="74">
        <v>18009</v>
      </c>
      <c r="I2" s="200" t="str">
        <f>IFERROR(IF(F2+G2&lt;&gt;H2,"REVISAR","CORRECTO"),"")</f>
        <v>CORRECTO</v>
      </c>
      <c r="J2" s="88" t="s">
        <v>3244</v>
      </c>
      <c r="K2" s="69" t="s">
        <v>1954</v>
      </c>
      <c r="L2" s="84" t="s">
        <v>227</v>
      </c>
      <c r="M2" s="135">
        <v>45902</v>
      </c>
      <c r="N2" s="75" t="s">
        <v>2578</v>
      </c>
      <c r="P2" s="89"/>
      <c r="Q2" s="89"/>
    </row>
    <row r="3" spans="1:17" x14ac:dyDescent="0.3">
      <c r="A3" s="16" t="s">
        <v>2524</v>
      </c>
      <c r="B3" s="16" t="s">
        <v>2525</v>
      </c>
      <c r="C3" s="28" t="s">
        <v>159</v>
      </c>
      <c r="D3" s="28" t="str">
        <f>IFERROR(VLOOKUP($C3,CUENTAS[],2,0),"")</f>
        <v>GASTOS VARIOS</v>
      </c>
      <c r="E3" s="28" t="str">
        <f>IFERROR(VLOOKUP($C3,CUENTAS[],3,0),"")</f>
        <v>MDE2025-003A</v>
      </c>
      <c r="F3" s="86">
        <v>2567.2600000000002</v>
      </c>
      <c r="G3" s="86">
        <v>110.77</v>
      </c>
      <c r="H3" s="74">
        <v>2678.03</v>
      </c>
      <c r="I3" s="200" t="str">
        <f t="shared" ref="I3:I66" si="0">IFERROR(IF(F3+G3&lt;&gt;H3,"REVISAR","CORRECTO"),"")</f>
        <v>CORRECTO</v>
      </c>
      <c r="J3" s="88" t="s">
        <v>3244</v>
      </c>
      <c r="K3" s="69" t="s">
        <v>1423</v>
      </c>
      <c r="L3" s="84" t="s">
        <v>227</v>
      </c>
      <c r="M3" s="135">
        <v>45902</v>
      </c>
      <c r="N3" s="75" t="s">
        <v>798</v>
      </c>
      <c r="P3" s="89"/>
      <c r="Q3" s="89"/>
    </row>
    <row r="4" spans="1:17" x14ac:dyDescent="0.3">
      <c r="A4" s="16" t="s">
        <v>232</v>
      </c>
      <c r="B4" s="16" t="s">
        <v>2526</v>
      </c>
      <c r="C4" s="28" t="s">
        <v>224</v>
      </c>
      <c r="D4" s="28" t="str">
        <f>IFERROR(VLOOKUP($C4,CUENTAS[],2,0),"")</f>
        <v>MATERIALES</v>
      </c>
      <c r="E4" s="28" t="str">
        <f>IFERROR(VLOOKUP($C4,CUENTAS[],3,0),"")</f>
        <v>MDE2025-004</v>
      </c>
      <c r="F4" s="86">
        <v>10997.88</v>
      </c>
      <c r="G4" s="86">
        <v>1759.66</v>
      </c>
      <c r="H4" s="74">
        <v>12757.54</v>
      </c>
      <c r="I4" s="200" t="str">
        <f t="shared" si="0"/>
        <v>CORRECTO</v>
      </c>
      <c r="J4" s="88" t="s">
        <v>3244</v>
      </c>
      <c r="K4" s="69" t="s">
        <v>980</v>
      </c>
      <c r="L4" s="84" t="s">
        <v>227</v>
      </c>
      <c r="M4" s="135">
        <v>45902</v>
      </c>
      <c r="N4" s="75" t="s">
        <v>2579</v>
      </c>
      <c r="P4" s="89"/>
      <c r="Q4" s="89"/>
    </row>
    <row r="5" spans="1:17" x14ac:dyDescent="0.3">
      <c r="A5" s="16" t="s">
        <v>763</v>
      </c>
      <c r="B5" s="16" t="s">
        <v>2527</v>
      </c>
      <c r="C5" s="28" t="s">
        <v>224</v>
      </c>
      <c r="D5" s="28" t="str">
        <f>IFERROR(VLOOKUP($C5,CUENTAS[],2,0),"")</f>
        <v>MATERIALES</v>
      </c>
      <c r="E5" s="28" t="str">
        <f>IFERROR(VLOOKUP($C5,CUENTAS[],3,0),"")</f>
        <v>MDE2025-004</v>
      </c>
      <c r="F5" s="86">
        <v>2199.0700000000002</v>
      </c>
      <c r="G5" s="86">
        <v>0</v>
      </c>
      <c r="H5" s="74">
        <v>2199.0700000000002</v>
      </c>
      <c r="I5" s="200" t="str">
        <f t="shared" si="0"/>
        <v>CORRECTO</v>
      </c>
      <c r="J5" s="88" t="s">
        <v>3244</v>
      </c>
      <c r="K5" s="69" t="s">
        <v>363</v>
      </c>
      <c r="L5" s="84" t="s">
        <v>227</v>
      </c>
      <c r="M5" s="136">
        <v>45902</v>
      </c>
      <c r="N5" s="75" t="s">
        <v>2580</v>
      </c>
      <c r="P5" s="89"/>
      <c r="Q5" s="89"/>
    </row>
    <row r="6" spans="1:17" x14ac:dyDescent="0.3">
      <c r="A6" s="16" t="s">
        <v>1144</v>
      </c>
      <c r="B6" s="16" t="s">
        <v>2528</v>
      </c>
      <c r="C6" s="28" t="s">
        <v>224</v>
      </c>
      <c r="D6" s="28" t="str">
        <f>IFERROR(VLOOKUP($C6,CUENTAS[],2,0),"")</f>
        <v>MATERIALES</v>
      </c>
      <c r="E6" s="28" t="str">
        <f>IFERROR(VLOOKUP($C6,CUENTAS[],3,0),"")</f>
        <v>MDE2025-004</v>
      </c>
      <c r="F6" s="86">
        <v>34254.400000000001</v>
      </c>
      <c r="G6" s="86">
        <v>5480.7</v>
      </c>
      <c r="H6" s="74">
        <v>39735.1</v>
      </c>
      <c r="I6" s="200" t="str">
        <f t="shared" si="0"/>
        <v>CORRECTO</v>
      </c>
      <c r="J6" s="88" t="s">
        <v>3244</v>
      </c>
      <c r="K6" s="69" t="s">
        <v>980</v>
      </c>
      <c r="L6" s="84" t="s">
        <v>227</v>
      </c>
      <c r="M6" s="135">
        <v>45902</v>
      </c>
      <c r="N6" s="75" t="s">
        <v>2606</v>
      </c>
      <c r="P6" s="89"/>
      <c r="Q6" s="89"/>
    </row>
    <row r="7" spans="1:17" x14ac:dyDescent="0.3">
      <c r="A7" s="16" t="s">
        <v>1930</v>
      </c>
      <c r="B7" s="16" t="s">
        <v>2529</v>
      </c>
      <c r="C7" s="28" t="s">
        <v>224</v>
      </c>
      <c r="D7" s="28" t="str">
        <f>IFERROR(VLOOKUP($C7,CUENTAS[],2,0),"")</f>
        <v>MATERIALES</v>
      </c>
      <c r="E7" s="28" t="str">
        <f>IFERROR(VLOOKUP($C7,CUENTAS[],3,0),"")</f>
        <v>MDE2025-004</v>
      </c>
      <c r="F7" s="86">
        <v>8952</v>
      </c>
      <c r="G7" s="86">
        <v>1432.32</v>
      </c>
      <c r="H7" s="74">
        <v>10384.32</v>
      </c>
      <c r="I7" s="200" t="str">
        <f t="shared" si="0"/>
        <v>CORRECTO</v>
      </c>
      <c r="J7" s="88" t="s">
        <v>3244</v>
      </c>
      <c r="K7" s="69" t="s">
        <v>980</v>
      </c>
      <c r="L7" s="84" t="s">
        <v>227</v>
      </c>
      <c r="M7" s="135">
        <v>45903</v>
      </c>
      <c r="N7" s="75" t="s">
        <v>2607</v>
      </c>
      <c r="P7" s="89"/>
      <c r="Q7" s="89"/>
    </row>
    <row r="8" spans="1:17" x14ac:dyDescent="0.3">
      <c r="A8" s="16" t="s">
        <v>2530</v>
      </c>
      <c r="B8" s="16" t="s">
        <v>2531</v>
      </c>
      <c r="C8" s="28" t="s">
        <v>224</v>
      </c>
      <c r="D8" s="28" t="str">
        <f>IFERROR(VLOOKUP($C8,CUENTAS[],2,0),"")</f>
        <v>MATERIALES</v>
      </c>
      <c r="E8" s="28" t="str">
        <f>IFERROR(VLOOKUP($C8,CUENTAS[],3,0),"")</f>
        <v>MDE2025-004</v>
      </c>
      <c r="F8" s="86">
        <v>8000</v>
      </c>
      <c r="G8" s="86">
        <v>0</v>
      </c>
      <c r="H8" s="74">
        <v>8000</v>
      </c>
      <c r="I8" s="200" t="str">
        <f t="shared" si="0"/>
        <v>CORRECTO</v>
      </c>
      <c r="J8" s="88" t="s">
        <v>3244</v>
      </c>
      <c r="K8" s="69" t="s">
        <v>1962</v>
      </c>
      <c r="L8" s="84" t="s">
        <v>227</v>
      </c>
      <c r="M8" s="135">
        <v>45902</v>
      </c>
      <c r="N8" s="75" t="s">
        <v>2581</v>
      </c>
      <c r="P8" s="89"/>
      <c r="Q8" s="89"/>
    </row>
    <row r="9" spans="1:17" x14ac:dyDescent="0.3">
      <c r="A9" s="16" t="s">
        <v>2532</v>
      </c>
      <c r="B9" s="16" t="s">
        <v>2533</v>
      </c>
      <c r="C9" s="28" t="s">
        <v>224</v>
      </c>
      <c r="D9" s="28" t="str">
        <f>IFERROR(VLOOKUP($C9,CUENTAS[],2,0),"")</f>
        <v>MATERIALES</v>
      </c>
      <c r="E9" s="28" t="str">
        <f>IFERROR(VLOOKUP($C9,CUENTAS[],3,0),"")</f>
        <v>MDE2025-004</v>
      </c>
      <c r="F9" s="86">
        <v>3442.56</v>
      </c>
      <c r="G9" s="86">
        <v>0</v>
      </c>
      <c r="H9" s="74">
        <v>3442.56</v>
      </c>
      <c r="I9" s="200" t="str">
        <f t="shared" si="0"/>
        <v>CORRECTO</v>
      </c>
      <c r="J9" s="88" t="s">
        <v>3244</v>
      </c>
      <c r="K9" s="69" t="s">
        <v>363</v>
      </c>
      <c r="L9" s="84" t="s">
        <v>227</v>
      </c>
      <c r="M9" s="136">
        <v>45902</v>
      </c>
      <c r="N9" s="75" t="s">
        <v>2582</v>
      </c>
      <c r="P9" s="89"/>
      <c r="Q9" s="89"/>
    </row>
    <row r="10" spans="1:17" x14ac:dyDescent="0.3">
      <c r="A10" s="16" t="s">
        <v>1068</v>
      </c>
      <c r="B10" s="16" t="s">
        <v>2534</v>
      </c>
      <c r="C10" s="28" t="s">
        <v>177</v>
      </c>
      <c r="D10" s="28" t="str">
        <f>IFERROR(VLOOKUP($C10,CUENTAS[],2,0),"")</f>
        <v>GASTOS FIJOS</v>
      </c>
      <c r="E10" s="28" t="str">
        <f>IFERROR(VLOOKUP($C10,CUENTAS[],3,0),"")</f>
        <v>MDE2025-002A</v>
      </c>
      <c r="F10" s="86">
        <v>2800</v>
      </c>
      <c r="G10" s="86">
        <v>0</v>
      </c>
      <c r="H10" s="74">
        <v>2800</v>
      </c>
      <c r="I10" s="200" t="str">
        <f t="shared" si="0"/>
        <v>CORRECTO</v>
      </c>
      <c r="J10" s="88" t="s">
        <v>3244</v>
      </c>
      <c r="K10" s="69" t="s">
        <v>1954</v>
      </c>
      <c r="L10" s="84" t="s">
        <v>227</v>
      </c>
      <c r="M10" s="136">
        <v>45902</v>
      </c>
      <c r="N10" s="75" t="s">
        <v>371</v>
      </c>
      <c r="P10" s="89"/>
      <c r="Q10" s="89"/>
    </row>
    <row r="11" spans="1:17" x14ac:dyDescent="0.3">
      <c r="A11" s="16" t="s">
        <v>250</v>
      </c>
      <c r="B11" s="16" t="s">
        <v>2535</v>
      </c>
      <c r="C11" s="28" t="s">
        <v>224</v>
      </c>
      <c r="D11" s="28" t="str">
        <f>IFERROR(VLOOKUP($C11,CUENTAS[],2,0),"")</f>
        <v>MATERIALES</v>
      </c>
      <c r="E11" s="28" t="str">
        <f>IFERROR(VLOOKUP($C11,CUENTAS[],3,0),"")</f>
        <v>MDE2025-004</v>
      </c>
      <c r="F11" s="86">
        <v>80000</v>
      </c>
      <c r="G11" s="86">
        <v>0</v>
      </c>
      <c r="H11" s="74">
        <v>80000</v>
      </c>
      <c r="I11" s="200" t="str">
        <f t="shared" si="0"/>
        <v>CORRECTO</v>
      </c>
      <c r="J11" s="88" t="s">
        <v>3244</v>
      </c>
      <c r="K11" s="69" t="s">
        <v>363</v>
      </c>
      <c r="L11" s="84" t="s">
        <v>227</v>
      </c>
      <c r="M11" s="135">
        <v>45904</v>
      </c>
      <c r="N11" s="75" t="s">
        <v>371</v>
      </c>
      <c r="P11" s="89"/>
      <c r="Q11" s="89"/>
    </row>
    <row r="12" spans="1:17" x14ac:dyDescent="0.3">
      <c r="A12" s="16" t="s">
        <v>616</v>
      </c>
      <c r="B12" s="16" t="s">
        <v>2536</v>
      </c>
      <c r="C12" s="28" t="s">
        <v>110</v>
      </c>
      <c r="D12" s="28" t="str">
        <f>IFERROR(VLOOKUP($C12,CUENTAS[],2,0),"")</f>
        <v>GASTOS FIJOS</v>
      </c>
      <c r="E12" s="28" t="str">
        <f>IFERROR(VLOOKUP($C12,CUENTAS[],3,0),"")</f>
        <v>MDE2025-002D</v>
      </c>
      <c r="F12" s="86">
        <v>7327.59</v>
      </c>
      <c r="G12" s="86">
        <v>1172.4100000000001</v>
      </c>
      <c r="H12" s="74">
        <v>8500</v>
      </c>
      <c r="I12" s="200" t="str">
        <f t="shared" si="0"/>
        <v>CORRECTO</v>
      </c>
      <c r="J12" s="88" t="s">
        <v>3244</v>
      </c>
      <c r="K12" s="69" t="s">
        <v>1954</v>
      </c>
      <c r="L12" s="84" t="s">
        <v>227</v>
      </c>
      <c r="M12" s="135">
        <v>45904</v>
      </c>
      <c r="N12" s="75" t="s">
        <v>2583</v>
      </c>
      <c r="P12" s="89"/>
      <c r="Q12" s="89"/>
    </row>
    <row r="13" spans="1:17" x14ac:dyDescent="0.3">
      <c r="A13" s="16" t="s">
        <v>1109</v>
      </c>
      <c r="B13" s="16" t="s">
        <v>2537</v>
      </c>
      <c r="C13" s="28" t="s">
        <v>224</v>
      </c>
      <c r="D13" s="28" t="str">
        <f>IFERROR(VLOOKUP($C13,CUENTAS[],2,0),"")</f>
        <v>MATERIALES</v>
      </c>
      <c r="E13" s="28" t="str">
        <f>IFERROR(VLOOKUP($C13,CUENTAS[],3,0),"")</f>
        <v>MDE2025-004</v>
      </c>
      <c r="F13" s="86">
        <v>24231.13</v>
      </c>
      <c r="G13" s="86">
        <v>3876.98</v>
      </c>
      <c r="H13" s="74">
        <v>28108.11</v>
      </c>
      <c r="I13" s="200" t="str">
        <f t="shared" si="0"/>
        <v>CORRECTO</v>
      </c>
      <c r="J13" s="88" t="s">
        <v>3244</v>
      </c>
      <c r="K13" s="69" t="s">
        <v>363</v>
      </c>
      <c r="L13" s="84" t="s">
        <v>227</v>
      </c>
      <c r="M13" s="135">
        <v>45909</v>
      </c>
      <c r="N13" s="75" t="s">
        <v>2584</v>
      </c>
      <c r="P13" s="89"/>
      <c r="Q13" s="89"/>
    </row>
    <row r="14" spans="1:17" x14ac:dyDescent="0.3">
      <c r="A14" s="16" t="s">
        <v>666</v>
      </c>
      <c r="B14" s="16" t="s">
        <v>2538</v>
      </c>
      <c r="C14" s="28" t="s">
        <v>224</v>
      </c>
      <c r="D14" s="28" t="str">
        <f>IFERROR(VLOOKUP($C14,CUENTAS[],2,0),"")</f>
        <v>MATERIALES</v>
      </c>
      <c r="E14" s="28" t="str">
        <f>IFERROR(VLOOKUP($C14,CUENTAS[],3,0),"")</f>
        <v>MDE2025-004</v>
      </c>
      <c r="F14" s="86">
        <v>20377.59</v>
      </c>
      <c r="G14" s="86">
        <v>3260.41</v>
      </c>
      <c r="H14" s="74">
        <v>23638</v>
      </c>
      <c r="I14" s="200" t="str">
        <f t="shared" si="0"/>
        <v>CORRECTO</v>
      </c>
      <c r="J14" s="88" t="s">
        <v>3244</v>
      </c>
      <c r="K14" s="69" t="s">
        <v>980</v>
      </c>
      <c r="L14" s="84" t="s">
        <v>227</v>
      </c>
      <c r="M14" s="135">
        <v>45909</v>
      </c>
      <c r="N14" s="75" t="s">
        <v>2585</v>
      </c>
      <c r="P14" s="89"/>
      <c r="Q14" s="89"/>
    </row>
    <row r="15" spans="1:17" x14ac:dyDescent="0.3">
      <c r="A15" s="16" t="s">
        <v>2253</v>
      </c>
      <c r="B15" s="16" t="s">
        <v>2539</v>
      </c>
      <c r="C15" s="28" t="s">
        <v>109</v>
      </c>
      <c r="D15" s="28" t="str">
        <f>IFERROR(VLOOKUP($C15,CUENTAS[],2,0),"")</f>
        <v>LOGÍSTICA</v>
      </c>
      <c r="E15" s="28" t="str">
        <f>IFERROR(VLOOKUP($C15,CUENTAS[],3,0),"")</f>
        <v>MDE2025-006A</v>
      </c>
      <c r="F15" s="86">
        <v>35000</v>
      </c>
      <c r="G15" s="86">
        <v>5600</v>
      </c>
      <c r="H15" s="74">
        <v>40600</v>
      </c>
      <c r="I15" s="200" t="str">
        <f t="shared" si="0"/>
        <v>CORRECTO</v>
      </c>
      <c r="J15" s="88" t="s">
        <v>3244</v>
      </c>
      <c r="K15" s="69" t="s">
        <v>363</v>
      </c>
      <c r="L15" s="84" t="s">
        <v>227</v>
      </c>
      <c r="M15" s="135">
        <v>45909</v>
      </c>
      <c r="N15" s="75" t="s">
        <v>2586</v>
      </c>
      <c r="P15" s="89"/>
      <c r="Q15" s="89"/>
    </row>
    <row r="16" spans="1:17" x14ac:dyDescent="0.3">
      <c r="A16" s="16" t="s">
        <v>2540</v>
      </c>
      <c r="B16" s="16" t="s">
        <v>2541</v>
      </c>
      <c r="C16" s="28" t="s">
        <v>159</v>
      </c>
      <c r="D16" s="28" t="str">
        <f>IFERROR(VLOOKUP($C16,CUENTAS[],2,0),"")</f>
        <v>GASTOS VARIOS</v>
      </c>
      <c r="E16" s="28" t="str">
        <f>IFERROR(VLOOKUP($C16,CUENTAS[],3,0),"")</f>
        <v>MDE2025-003A</v>
      </c>
      <c r="F16" s="86">
        <v>1555</v>
      </c>
      <c r="G16" s="86">
        <v>248.8</v>
      </c>
      <c r="H16" s="74">
        <v>1803.8</v>
      </c>
      <c r="I16" s="200" t="str">
        <f t="shared" si="0"/>
        <v>CORRECTO</v>
      </c>
      <c r="J16" s="88" t="s">
        <v>3244</v>
      </c>
      <c r="K16" s="69" t="s">
        <v>1423</v>
      </c>
      <c r="L16" s="84" t="s">
        <v>227</v>
      </c>
      <c r="M16" s="135">
        <v>45911</v>
      </c>
      <c r="N16" s="75" t="s">
        <v>2608</v>
      </c>
      <c r="P16" s="89"/>
      <c r="Q16" s="89"/>
    </row>
    <row r="17" spans="1:17" x14ac:dyDescent="0.3">
      <c r="A17" s="16" t="s">
        <v>284</v>
      </c>
      <c r="B17" s="16" t="s">
        <v>2542</v>
      </c>
      <c r="C17" s="28" t="s">
        <v>224</v>
      </c>
      <c r="D17" s="28" t="str">
        <f>IFERROR(VLOOKUP($C17,CUENTAS[],2,0),"")</f>
        <v>MATERIALES</v>
      </c>
      <c r="E17" s="28" t="str">
        <f>IFERROR(VLOOKUP($C17,CUENTAS[],3,0),"")</f>
        <v>MDE2025-004</v>
      </c>
      <c r="F17" s="86">
        <v>1939.66</v>
      </c>
      <c r="G17" s="86">
        <v>310.33999999999997</v>
      </c>
      <c r="H17" s="74">
        <v>2250</v>
      </c>
      <c r="I17" s="200" t="str">
        <f t="shared" si="0"/>
        <v>CORRECTO</v>
      </c>
      <c r="J17" s="88" t="s">
        <v>3244</v>
      </c>
      <c r="K17" s="69" t="s">
        <v>472</v>
      </c>
      <c r="L17" s="84" t="s">
        <v>227</v>
      </c>
      <c r="M17" s="135">
        <v>45911</v>
      </c>
      <c r="N17" s="75" t="s">
        <v>2587</v>
      </c>
      <c r="P17" s="89"/>
      <c r="Q17" s="89"/>
    </row>
    <row r="18" spans="1:17" x14ac:dyDescent="0.3">
      <c r="A18" s="16" t="s">
        <v>284</v>
      </c>
      <c r="B18" s="16" t="s">
        <v>2543</v>
      </c>
      <c r="C18" s="28" t="s">
        <v>224</v>
      </c>
      <c r="D18" s="28" t="str">
        <f>IFERROR(VLOOKUP($C18,CUENTAS[],2,0),"")</f>
        <v>MATERIALES</v>
      </c>
      <c r="E18" s="28" t="str">
        <f>IFERROR(VLOOKUP($C18,CUENTAS[],3,0),"")</f>
        <v>MDE2025-004</v>
      </c>
      <c r="F18" s="86">
        <v>2003.79</v>
      </c>
      <c r="G18" s="86">
        <v>320.61</v>
      </c>
      <c r="H18" s="74">
        <v>2324.4</v>
      </c>
      <c r="I18" s="200" t="str">
        <f t="shared" si="0"/>
        <v>CORRECTO</v>
      </c>
      <c r="J18" s="88" t="s">
        <v>3244</v>
      </c>
      <c r="K18" s="69" t="s">
        <v>472</v>
      </c>
      <c r="L18" s="84" t="s">
        <v>227</v>
      </c>
      <c r="M18" s="135">
        <v>45911</v>
      </c>
      <c r="N18" s="75" t="s">
        <v>2588</v>
      </c>
      <c r="P18" s="89"/>
      <c r="Q18" s="89"/>
    </row>
    <row r="19" spans="1:17" x14ac:dyDescent="0.3">
      <c r="A19" s="16" t="s">
        <v>284</v>
      </c>
      <c r="B19" s="16" t="s">
        <v>2544</v>
      </c>
      <c r="C19" s="28" t="s">
        <v>224</v>
      </c>
      <c r="D19" s="28" t="str">
        <f>IFERROR(VLOOKUP($C19,CUENTAS[],2,0),"")</f>
        <v>MATERIALES</v>
      </c>
      <c r="E19" s="28" t="str">
        <f>IFERROR(VLOOKUP($C19,CUENTAS[],3,0),"")</f>
        <v>MDE2025-004</v>
      </c>
      <c r="F19" s="86">
        <v>3634.67</v>
      </c>
      <c r="G19" s="86">
        <v>581.54</v>
      </c>
      <c r="H19" s="74">
        <v>4216.21</v>
      </c>
      <c r="I19" s="200" t="str">
        <f t="shared" si="0"/>
        <v>CORRECTO</v>
      </c>
      <c r="J19" s="88" t="s">
        <v>3244</v>
      </c>
      <c r="K19" s="69" t="s">
        <v>472</v>
      </c>
      <c r="L19" s="84" t="s">
        <v>227</v>
      </c>
      <c r="M19" s="135">
        <v>45911</v>
      </c>
      <c r="N19" s="75" t="s">
        <v>2589</v>
      </c>
      <c r="P19" s="89"/>
      <c r="Q19" s="89"/>
    </row>
    <row r="20" spans="1:17" x14ac:dyDescent="0.3">
      <c r="A20" s="16" t="s">
        <v>284</v>
      </c>
      <c r="B20" s="16" t="s">
        <v>2545</v>
      </c>
      <c r="C20" s="28" t="s">
        <v>224</v>
      </c>
      <c r="D20" s="28" t="str">
        <f>IFERROR(VLOOKUP($C20,CUENTAS[],2,0),"")</f>
        <v>MATERIALES</v>
      </c>
      <c r="E20" s="28" t="str">
        <f>IFERROR(VLOOKUP($C20,CUENTAS[],3,0),"")</f>
        <v>MDE2025-004</v>
      </c>
      <c r="F20" s="86">
        <v>3227.58</v>
      </c>
      <c r="G20" s="86">
        <v>516.41</v>
      </c>
      <c r="H20" s="74">
        <v>3743.99</v>
      </c>
      <c r="I20" s="200" t="str">
        <f t="shared" si="0"/>
        <v>CORRECTO</v>
      </c>
      <c r="J20" s="88" t="s">
        <v>3244</v>
      </c>
      <c r="K20" s="69" t="s">
        <v>472</v>
      </c>
      <c r="L20" s="84" t="s">
        <v>227</v>
      </c>
      <c r="M20" s="135">
        <v>45911</v>
      </c>
      <c r="N20" s="75" t="s">
        <v>2590</v>
      </c>
      <c r="P20" s="89"/>
      <c r="Q20" s="89"/>
    </row>
    <row r="21" spans="1:17" x14ac:dyDescent="0.3">
      <c r="A21" s="16" t="s">
        <v>284</v>
      </c>
      <c r="B21" s="16" t="s">
        <v>2546</v>
      </c>
      <c r="C21" s="28" t="s">
        <v>224</v>
      </c>
      <c r="D21" s="28" t="str">
        <f>IFERROR(VLOOKUP($C21,CUENTAS[],2,0),"")</f>
        <v>MATERIALES</v>
      </c>
      <c r="E21" s="28" t="str">
        <f>IFERROR(VLOOKUP($C21,CUENTAS[],3,0),"")</f>
        <v>MDE2025-004</v>
      </c>
      <c r="F21" s="86">
        <v>1457.04</v>
      </c>
      <c r="G21" s="86">
        <v>233.13</v>
      </c>
      <c r="H21" s="74">
        <v>1690.17</v>
      </c>
      <c r="I21" s="200" t="str">
        <f t="shared" si="0"/>
        <v>CORRECTO</v>
      </c>
      <c r="J21" s="88" t="s">
        <v>3244</v>
      </c>
      <c r="K21" s="69" t="s">
        <v>472</v>
      </c>
      <c r="L21" s="84" t="s">
        <v>227</v>
      </c>
      <c r="M21" s="135">
        <v>45911</v>
      </c>
      <c r="N21" s="75" t="s">
        <v>2591</v>
      </c>
      <c r="P21" s="89"/>
      <c r="Q21" s="89"/>
    </row>
    <row r="22" spans="1:17" x14ac:dyDescent="0.3">
      <c r="A22" s="16" t="s">
        <v>284</v>
      </c>
      <c r="B22" s="16" t="s">
        <v>2547</v>
      </c>
      <c r="C22" s="28" t="s">
        <v>224</v>
      </c>
      <c r="D22" s="28" t="str">
        <f>IFERROR(VLOOKUP($C22,CUENTAS[],2,0),"")</f>
        <v>MATERIALES</v>
      </c>
      <c r="E22" s="28" t="str">
        <f>IFERROR(VLOOKUP($C22,CUENTAS[],3,0),"")</f>
        <v>MDE2025-004</v>
      </c>
      <c r="F22" s="86">
        <v>3077.9</v>
      </c>
      <c r="G22" s="86">
        <v>492.93</v>
      </c>
      <c r="H22" s="74">
        <v>3570.83</v>
      </c>
      <c r="I22" s="200" t="str">
        <f t="shared" si="0"/>
        <v>CORRECTO</v>
      </c>
      <c r="J22" s="88" t="s">
        <v>3244</v>
      </c>
      <c r="K22" s="69" t="s">
        <v>472</v>
      </c>
      <c r="L22" s="84" t="s">
        <v>227</v>
      </c>
      <c r="M22" s="135">
        <v>45911</v>
      </c>
      <c r="N22" s="75" t="s">
        <v>2592</v>
      </c>
      <c r="P22" s="89"/>
      <c r="Q22" s="89"/>
    </row>
    <row r="23" spans="1:17" x14ac:dyDescent="0.3">
      <c r="A23" s="16" t="s">
        <v>284</v>
      </c>
      <c r="B23" s="16" t="s">
        <v>2548</v>
      </c>
      <c r="C23" s="28" t="s">
        <v>224</v>
      </c>
      <c r="D23" s="28" t="str">
        <f>IFERROR(VLOOKUP($C23,CUENTAS[],2,0),"")</f>
        <v>MATERIALES</v>
      </c>
      <c r="E23" s="28" t="str">
        <f>IFERROR(VLOOKUP($C23,CUENTAS[],3,0),"")</f>
        <v>MDE2025-004</v>
      </c>
      <c r="F23" s="86">
        <v>1068.97</v>
      </c>
      <c r="G23" s="86">
        <v>171.03</v>
      </c>
      <c r="H23" s="74">
        <v>1240</v>
      </c>
      <c r="I23" s="200" t="str">
        <f t="shared" si="0"/>
        <v>CORRECTO</v>
      </c>
      <c r="J23" s="88" t="s">
        <v>3244</v>
      </c>
      <c r="K23" s="69" t="s">
        <v>472</v>
      </c>
      <c r="L23" s="84" t="s">
        <v>227</v>
      </c>
      <c r="M23" s="135">
        <v>45911</v>
      </c>
      <c r="N23" s="75" t="s">
        <v>2593</v>
      </c>
      <c r="P23" s="89"/>
      <c r="Q23" s="89"/>
    </row>
    <row r="24" spans="1:17" x14ac:dyDescent="0.3">
      <c r="A24" s="16" t="s">
        <v>281</v>
      </c>
      <c r="B24" s="16" t="s">
        <v>2549</v>
      </c>
      <c r="C24" s="28" t="s">
        <v>128</v>
      </c>
      <c r="D24" s="28" t="str">
        <f>IFERROR(VLOOKUP($C24,CUENTAS[],2,0),"")</f>
        <v>GASTOS FIJOS</v>
      </c>
      <c r="E24" s="28" t="str">
        <f>IFERROR(VLOOKUP($C24,CUENTAS[],3,0),"")</f>
        <v>MDE2025-002I</v>
      </c>
      <c r="F24" s="86">
        <v>8000</v>
      </c>
      <c r="G24" s="86">
        <v>0</v>
      </c>
      <c r="H24" s="74">
        <v>8000</v>
      </c>
      <c r="I24" s="200" t="str">
        <f t="shared" si="0"/>
        <v>CORRECTO</v>
      </c>
      <c r="J24" s="88" t="s">
        <v>3244</v>
      </c>
      <c r="K24" s="69" t="s">
        <v>1954</v>
      </c>
      <c r="L24" s="84" t="s">
        <v>227</v>
      </c>
      <c r="M24" s="135">
        <v>45911</v>
      </c>
      <c r="N24" s="75" t="s">
        <v>371</v>
      </c>
      <c r="P24" s="89"/>
      <c r="Q24" s="89"/>
    </row>
    <row r="25" spans="1:17" x14ac:dyDescent="0.3">
      <c r="A25" s="16" t="s">
        <v>729</v>
      </c>
      <c r="B25" s="16" t="s">
        <v>2550</v>
      </c>
      <c r="C25" s="28" t="s">
        <v>224</v>
      </c>
      <c r="D25" s="28" t="str">
        <f>IFERROR(VLOOKUP($C25,CUENTAS[],2,0),"")</f>
        <v>MATERIALES</v>
      </c>
      <c r="E25" s="28" t="str">
        <f>IFERROR(VLOOKUP($C25,CUENTAS[],3,0),"")</f>
        <v>MDE2025-004</v>
      </c>
      <c r="F25" s="86">
        <v>8793.51</v>
      </c>
      <c r="G25" s="86">
        <v>1406.96</v>
      </c>
      <c r="H25" s="74">
        <v>10200.469999999999</v>
      </c>
      <c r="I25" s="200" t="str">
        <f t="shared" si="0"/>
        <v>CORRECTO</v>
      </c>
      <c r="J25" s="88" t="s">
        <v>3244</v>
      </c>
      <c r="K25" s="69" t="s">
        <v>363</v>
      </c>
      <c r="L25" s="84" t="s">
        <v>227</v>
      </c>
      <c r="M25" s="135">
        <v>45911</v>
      </c>
      <c r="N25" s="75" t="s">
        <v>2594</v>
      </c>
      <c r="P25" s="89"/>
      <c r="Q25" s="89"/>
    </row>
    <row r="26" spans="1:17" x14ac:dyDescent="0.3">
      <c r="A26" s="16" t="s">
        <v>232</v>
      </c>
      <c r="B26" s="16" t="s">
        <v>2551</v>
      </c>
      <c r="C26" s="28" t="s">
        <v>224</v>
      </c>
      <c r="D26" s="28" t="str">
        <f>IFERROR(VLOOKUP($C26,CUENTAS[],2,0),"")</f>
        <v>MATERIALES</v>
      </c>
      <c r="E26" s="28" t="str">
        <f>IFERROR(VLOOKUP($C26,CUENTAS[],3,0),"")</f>
        <v>MDE2025-004</v>
      </c>
      <c r="F26" s="86">
        <v>71141.759999999995</v>
      </c>
      <c r="G26" s="86">
        <v>11382.68</v>
      </c>
      <c r="H26" s="74">
        <v>82524.44</v>
      </c>
      <c r="I26" s="200" t="str">
        <f t="shared" si="0"/>
        <v>CORRECTO</v>
      </c>
      <c r="J26" s="88" t="s">
        <v>3244</v>
      </c>
      <c r="K26" s="69" t="s">
        <v>980</v>
      </c>
      <c r="L26" s="84" t="s">
        <v>227</v>
      </c>
      <c r="M26" s="135">
        <v>45911</v>
      </c>
      <c r="N26" s="75" t="s">
        <v>2595</v>
      </c>
      <c r="P26" s="89"/>
      <c r="Q26" s="89"/>
    </row>
    <row r="27" spans="1:17" x14ac:dyDescent="0.3">
      <c r="A27" s="16" t="s">
        <v>666</v>
      </c>
      <c r="B27" s="16" t="s">
        <v>2552</v>
      </c>
      <c r="C27" s="28" t="s">
        <v>224</v>
      </c>
      <c r="D27" s="28" t="str">
        <f>IFERROR(VLOOKUP($C27,CUENTAS[],2,0),"")</f>
        <v>MATERIALES</v>
      </c>
      <c r="E27" s="28" t="str">
        <f>IFERROR(VLOOKUP($C27,CUENTAS[],3,0),"")</f>
        <v>MDE2025-004</v>
      </c>
      <c r="F27" s="86">
        <v>32556.04</v>
      </c>
      <c r="G27" s="86">
        <v>5208.96</v>
      </c>
      <c r="H27" s="74">
        <v>37765</v>
      </c>
      <c r="I27" s="200" t="str">
        <f t="shared" si="0"/>
        <v>CORRECTO</v>
      </c>
      <c r="J27" s="88" t="s">
        <v>3244</v>
      </c>
      <c r="K27" s="69" t="s">
        <v>980</v>
      </c>
      <c r="L27" s="84" t="s">
        <v>227</v>
      </c>
      <c r="M27" s="135">
        <v>45911</v>
      </c>
      <c r="N27" s="75" t="s">
        <v>2596</v>
      </c>
      <c r="P27" s="89"/>
      <c r="Q27" s="89"/>
    </row>
    <row r="28" spans="1:17" x14ac:dyDescent="0.3">
      <c r="A28" s="16" t="s">
        <v>666</v>
      </c>
      <c r="B28" s="16" t="s">
        <v>2553</v>
      </c>
      <c r="C28" s="28" t="s">
        <v>224</v>
      </c>
      <c r="D28" s="28" t="str">
        <f>IFERROR(VLOOKUP($C28,CUENTAS[],2,0),"")</f>
        <v>MATERIALES</v>
      </c>
      <c r="E28" s="28" t="str">
        <f>IFERROR(VLOOKUP($C28,CUENTAS[],3,0),"")</f>
        <v>MDE2025-004</v>
      </c>
      <c r="F28" s="86">
        <v>1582.42</v>
      </c>
      <c r="G28" s="86">
        <v>253.18</v>
      </c>
      <c r="H28" s="74">
        <v>1835.6</v>
      </c>
      <c r="I28" s="200" t="str">
        <f t="shared" si="0"/>
        <v>CORRECTO</v>
      </c>
      <c r="J28" s="88" t="s">
        <v>3244</v>
      </c>
      <c r="K28" s="69" t="s">
        <v>980</v>
      </c>
      <c r="L28" s="84" t="s">
        <v>227</v>
      </c>
      <c r="M28" s="135">
        <v>45911</v>
      </c>
      <c r="N28" s="75" t="s">
        <v>798</v>
      </c>
      <c r="P28" s="89"/>
      <c r="Q28" s="89"/>
    </row>
    <row r="29" spans="1:17" x14ac:dyDescent="0.3">
      <c r="A29" s="16" t="s">
        <v>2272</v>
      </c>
      <c r="B29" s="16" t="s">
        <v>2554</v>
      </c>
      <c r="C29" s="28" t="s">
        <v>224</v>
      </c>
      <c r="D29" s="28" t="str">
        <f>IFERROR(VLOOKUP($C29,CUENTAS[],2,0),"")</f>
        <v>MATERIALES</v>
      </c>
      <c r="E29" s="28" t="str">
        <f>IFERROR(VLOOKUP($C29,CUENTAS[],3,0),"")</f>
        <v>MDE2025-004</v>
      </c>
      <c r="F29" s="86">
        <v>26958.25</v>
      </c>
      <c r="G29" s="86">
        <v>4313.32</v>
      </c>
      <c r="H29" s="74">
        <v>31271.57</v>
      </c>
      <c r="I29" s="200" t="str">
        <f t="shared" si="0"/>
        <v>CORRECTO</v>
      </c>
      <c r="J29" s="88" t="s">
        <v>3244</v>
      </c>
      <c r="K29" s="69" t="s">
        <v>980</v>
      </c>
      <c r="L29" s="84" t="s">
        <v>227</v>
      </c>
      <c r="M29" s="136">
        <v>45911</v>
      </c>
      <c r="N29" s="75" t="s">
        <v>2597</v>
      </c>
      <c r="P29" s="89"/>
      <c r="Q29" s="89"/>
    </row>
    <row r="30" spans="1:17" x14ac:dyDescent="0.3">
      <c r="A30" s="16" t="s">
        <v>1144</v>
      </c>
      <c r="B30" s="16" t="s">
        <v>2555</v>
      </c>
      <c r="C30" s="28" t="s">
        <v>224</v>
      </c>
      <c r="D30" s="28" t="str">
        <f>IFERROR(VLOOKUP($C30,CUENTAS[],2,0),"")</f>
        <v>MATERIALES</v>
      </c>
      <c r="E30" s="28" t="str">
        <f>IFERROR(VLOOKUP($C30,CUENTAS[],3,0),"")</f>
        <v>MDE2025-004</v>
      </c>
      <c r="F30" s="86">
        <v>34163.699999999997</v>
      </c>
      <c r="G30" s="86">
        <v>5466.19</v>
      </c>
      <c r="H30" s="74">
        <v>39629.89</v>
      </c>
      <c r="I30" s="200" t="str">
        <f t="shared" si="0"/>
        <v>CORRECTO</v>
      </c>
      <c r="J30" s="88" t="s">
        <v>3244</v>
      </c>
      <c r="K30" s="69" t="s">
        <v>980</v>
      </c>
      <c r="L30" s="84" t="s">
        <v>227</v>
      </c>
      <c r="M30" s="136">
        <v>45911</v>
      </c>
      <c r="N30" s="75" t="s">
        <v>2598</v>
      </c>
      <c r="P30" s="89"/>
      <c r="Q30" s="89"/>
    </row>
    <row r="31" spans="1:17" x14ac:dyDescent="0.3">
      <c r="A31" s="16" t="s">
        <v>1129</v>
      </c>
      <c r="B31" s="16" t="s">
        <v>2556</v>
      </c>
      <c r="C31" s="28" t="s">
        <v>224</v>
      </c>
      <c r="D31" s="28" t="str">
        <f>IFERROR(VLOOKUP($C31,CUENTAS[],2,0),"")</f>
        <v>MATERIALES</v>
      </c>
      <c r="E31" s="28" t="str">
        <f>IFERROR(VLOOKUP($C31,CUENTAS[],3,0),"")</f>
        <v>MDE2025-004</v>
      </c>
      <c r="F31" s="86">
        <v>3279.83</v>
      </c>
      <c r="G31" s="86">
        <v>524.77</v>
      </c>
      <c r="H31" s="74">
        <v>3804.6</v>
      </c>
      <c r="I31" s="200" t="str">
        <f t="shared" si="0"/>
        <v>CORRECTO</v>
      </c>
      <c r="J31" s="88" t="s">
        <v>3244</v>
      </c>
      <c r="K31" s="69" t="s">
        <v>980</v>
      </c>
      <c r="L31" s="84" t="s">
        <v>227</v>
      </c>
      <c r="M31" s="135">
        <v>45911</v>
      </c>
      <c r="N31" s="75" t="s">
        <v>2599</v>
      </c>
      <c r="P31" s="89"/>
      <c r="Q31" s="89"/>
    </row>
    <row r="32" spans="1:17" x14ac:dyDescent="0.3">
      <c r="A32" s="16" t="s">
        <v>2557</v>
      </c>
      <c r="B32" s="16" t="s">
        <v>2558</v>
      </c>
      <c r="C32" s="28" t="s">
        <v>224</v>
      </c>
      <c r="D32" s="28" t="str">
        <f>IFERROR(VLOOKUP($C32,CUENTAS[],2,0),"")</f>
        <v>MATERIALES</v>
      </c>
      <c r="E32" s="28" t="str">
        <f>IFERROR(VLOOKUP($C32,CUENTAS[],3,0),"")</f>
        <v>MDE2025-004</v>
      </c>
      <c r="F32" s="86">
        <v>3241.38</v>
      </c>
      <c r="G32" s="86">
        <v>518.62</v>
      </c>
      <c r="H32" s="74">
        <v>3760</v>
      </c>
      <c r="I32" s="200" t="str">
        <f t="shared" si="0"/>
        <v>CORRECTO</v>
      </c>
      <c r="J32" s="88" t="s">
        <v>3244</v>
      </c>
      <c r="K32" s="69" t="s">
        <v>980</v>
      </c>
      <c r="L32" s="84" t="s">
        <v>227</v>
      </c>
      <c r="M32" s="135">
        <v>45911</v>
      </c>
      <c r="N32" s="75" t="s">
        <v>2609</v>
      </c>
      <c r="P32" s="89"/>
      <c r="Q32" s="89"/>
    </row>
    <row r="33" spans="1:17" x14ac:dyDescent="0.3">
      <c r="A33" s="16" t="s">
        <v>2559</v>
      </c>
      <c r="B33" s="16" t="s">
        <v>2560</v>
      </c>
      <c r="C33" s="28" t="s">
        <v>224</v>
      </c>
      <c r="D33" s="28" t="str">
        <f>IFERROR(VLOOKUP($C33,CUENTAS[],2,0),"")</f>
        <v>MATERIALES</v>
      </c>
      <c r="E33" s="28" t="str">
        <f>IFERROR(VLOOKUP($C33,CUENTAS[],3,0),"")</f>
        <v>MDE2025-004</v>
      </c>
      <c r="F33" s="86">
        <v>13500</v>
      </c>
      <c r="G33" s="86">
        <v>0</v>
      </c>
      <c r="H33" s="74">
        <v>13500</v>
      </c>
      <c r="I33" s="200" t="str">
        <f t="shared" si="0"/>
        <v>CORRECTO</v>
      </c>
      <c r="J33" s="88" t="s">
        <v>3244</v>
      </c>
      <c r="K33" s="69" t="s">
        <v>362</v>
      </c>
      <c r="L33" s="84" t="s">
        <v>227</v>
      </c>
      <c r="M33" s="135">
        <v>45911</v>
      </c>
      <c r="N33" s="75" t="s">
        <v>2600</v>
      </c>
      <c r="P33" s="89"/>
      <c r="Q33" s="89"/>
    </row>
    <row r="34" spans="1:17" x14ac:dyDescent="0.3">
      <c r="A34" s="16" t="s">
        <v>2561</v>
      </c>
      <c r="B34" s="16" t="s">
        <v>2562</v>
      </c>
      <c r="C34" s="28" t="s">
        <v>224</v>
      </c>
      <c r="D34" s="28" t="str">
        <f>IFERROR(VLOOKUP($C34,CUENTAS[],2,0),"")</f>
        <v>MATERIALES</v>
      </c>
      <c r="E34" s="28" t="str">
        <f>IFERROR(VLOOKUP($C34,CUENTAS[],3,0),"")</f>
        <v>MDE2025-004</v>
      </c>
      <c r="F34" s="86">
        <v>4137.9399999999996</v>
      </c>
      <c r="G34" s="86">
        <v>662.06</v>
      </c>
      <c r="H34" s="74">
        <v>4800</v>
      </c>
      <c r="I34" s="200" t="str">
        <f t="shared" si="0"/>
        <v>CORRECTO</v>
      </c>
      <c r="J34" s="88" t="s">
        <v>3244</v>
      </c>
      <c r="K34" s="69" t="s">
        <v>980</v>
      </c>
      <c r="L34" s="84" t="s">
        <v>227</v>
      </c>
      <c r="M34" s="135">
        <v>45911</v>
      </c>
      <c r="N34" s="75" t="s">
        <v>2601</v>
      </c>
      <c r="P34" s="89"/>
      <c r="Q34" s="89"/>
    </row>
    <row r="35" spans="1:17" x14ac:dyDescent="0.3">
      <c r="A35" s="16" t="s">
        <v>2563</v>
      </c>
      <c r="B35" s="16" t="s">
        <v>2564</v>
      </c>
      <c r="C35" s="28" t="s">
        <v>224</v>
      </c>
      <c r="D35" s="28" t="str">
        <f>IFERROR(VLOOKUP($C35,CUENTAS[],2,0),"")</f>
        <v>MATERIALES</v>
      </c>
      <c r="E35" s="28" t="str">
        <f>IFERROR(VLOOKUP($C35,CUENTAS[],3,0),"")</f>
        <v>MDE2025-004</v>
      </c>
      <c r="F35" s="86">
        <v>7928.21</v>
      </c>
      <c r="G35" s="86">
        <v>1268.51</v>
      </c>
      <c r="H35" s="74">
        <v>9196.7199999999993</v>
      </c>
      <c r="I35" s="200" t="str">
        <f t="shared" si="0"/>
        <v>CORRECTO</v>
      </c>
      <c r="J35" s="88" t="s">
        <v>3244</v>
      </c>
      <c r="K35" s="69" t="s">
        <v>357</v>
      </c>
      <c r="L35" s="84" t="s">
        <v>227</v>
      </c>
      <c r="M35" s="135">
        <v>45911</v>
      </c>
      <c r="N35" s="75" t="s">
        <v>798</v>
      </c>
      <c r="P35" s="89"/>
      <c r="Q35" s="89"/>
    </row>
    <row r="36" spans="1:17" x14ac:dyDescent="0.3">
      <c r="A36" s="16" t="s">
        <v>2565</v>
      </c>
      <c r="B36" s="16" t="s">
        <v>2566</v>
      </c>
      <c r="C36" s="28" t="s">
        <v>224</v>
      </c>
      <c r="D36" s="28" t="str">
        <f>IFERROR(VLOOKUP($C36,CUENTAS[],2,0),"")</f>
        <v>MATERIALES</v>
      </c>
      <c r="E36" s="28" t="str">
        <f>IFERROR(VLOOKUP($C36,CUENTAS[],3,0),"")</f>
        <v>MDE2025-004</v>
      </c>
      <c r="F36" s="86">
        <v>4159.49</v>
      </c>
      <c r="G36" s="86">
        <v>666.11</v>
      </c>
      <c r="H36" s="74">
        <v>4825.6000000000004</v>
      </c>
      <c r="I36" s="200" t="str">
        <f t="shared" si="0"/>
        <v>CORRECTO</v>
      </c>
      <c r="J36" s="88" t="s">
        <v>3244</v>
      </c>
      <c r="K36" s="69" t="s">
        <v>980</v>
      </c>
      <c r="L36" s="84" t="s">
        <v>227</v>
      </c>
      <c r="M36" s="135">
        <v>45918</v>
      </c>
      <c r="N36" s="75" t="s">
        <v>2610</v>
      </c>
      <c r="P36" s="89"/>
      <c r="Q36" s="89"/>
    </row>
    <row r="37" spans="1:17" x14ac:dyDescent="0.3">
      <c r="A37" s="16" t="s">
        <v>275</v>
      </c>
      <c r="B37" s="16" t="s">
        <v>2567</v>
      </c>
      <c r="C37" s="28" t="s">
        <v>121</v>
      </c>
      <c r="D37" s="28" t="str">
        <f>IFERROR(VLOOKUP($C37,CUENTAS[],2,0),"")</f>
        <v>GASTOS FIJOS</v>
      </c>
      <c r="E37" s="28" t="str">
        <f>IFERROR(VLOOKUP($C37,CUENTAS[],3,0),"")</f>
        <v>MDE2025-002K</v>
      </c>
      <c r="F37" s="86">
        <v>15525</v>
      </c>
      <c r="G37" s="86">
        <v>2484</v>
      </c>
      <c r="H37" s="74">
        <v>18009</v>
      </c>
      <c r="I37" s="200" t="str">
        <f t="shared" si="0"/>
        <v>CORRECTO</v>
      </c>
      <c r="J37" s="88" t="s">
        <v>3244</v>
      </c>
      <c r="K37" s="69" t="s">
        <v>1954</v>
      </c>
      <c r="L37" s="84" t="s">
        <v>227</v>
      </c>
      <c r="M37" s="135">
        <v>45918</v>
      </c>
      <c r="N37" s="75" t="s">
        <v>2602</v>
      </c>
      <c r="P37" s="89"/>
      <c r="Q37" s="89"/>
    </row>
    <row r="38" spans="1:17" x14ac:dyDescent="0.3">
      <c r="A38" s="16" t="s">
        <v>666</v>
      </c>
      <c r="B38" s="16" t="s">
        <v>2568</v>
      </c>
      <c r="C38" s="28" t="s">
        <v>224</v>
      </c>
      <c r="D38" s="28" t="str">
        <f>IFERROR(VLOOKUP($C38,CUENTAS[],2,0),"")</f>
        <v>MATERIALES</v>
      </c>
      <c r="E38" s="28" t="str">
        <f>IFERROR(VLOOKUP($C38,CUENTAS[],3,0),"")</f>
        <v>MDE2025-004</v>
      </c>
      <c r="F38" s="86">
        <v>7517.25</v>
      </c>
      <c r="G38" s="86">
        <v>1202.75</v>
      </c>
      <c r="H38" s="74">
        <v>8720</v>
      </c>
      <c r="I38" s="200" t="str">
        <f t="shared" si="0"/>
        <v>CORRECTO</v>
      </c>
      <c r="J38" s="88" t="s">
        <v>3244</v>
      </c>
      <c r="K38" s="69" t="s">
        <v>980</v>
      </c>
      <c r="L38" s="84" t="s">
        <v>227</v>
      </c>
      <c r="M38" s="136">
        <v>45918</v>
      </c>
      <c r="N38" s="75" t="s">
        <v>2611</v>
      </c>
      <c r="P38" s="89"/>
      <c r="Q38" s="89"/>
    </row>
    <row r="39" spans="1:17" x14ac:dyDescent="0.3">
      <c r="A39" s="16" t="s">
        <v>2251</v>
      </c>
      <c r="B39" s="16" t="s">
        <v>2569</v>
      </c>
      <c r="C39" s="28" t="s">
        <v>201</v>
      </c>
      <c r="D39" s="28" t="str">
        <f>IFERROR(VLOOKUP($C39,CUENTAS[],2,0),"")</f>
        <v>ACTIVOS FIJOS</v>
      </c>
      <c r="E39" s="28" t="str">
        <f>IFERROR(VLOOKUP($C39,CUENTAS[],3,0),"")</f>
        <v>MDE2025-007I</v>
      </c>
      <c r="F39" s="86">
        <v>10000</v>
      </c>
      <c r="G39" s="86">
        <v>0</v>
      </c>
      <c r="H39" s="74">
        <v>10000</v>
      </c>
      <c r="I39" s="200" t="str">
        <f t="shared" si="0"/>
        <v>CORRECTO</v>
      </c>
      <c r="J39" s="88" t="s">
        <v>3244</v>
      </c>
      <c r="K39" s="69" t="s">
        <v>360</v>
      </c>
      <c r="L39" s="84" t="s">
        <v>227</v>
      </c>
      <c r="M39" s="135">
        <v>45919</v>
      </c>
      <c r="N39" s="75" t="s">
        <v>371</v>
      </c>
      <c r="P39" s="89"/>
      <c r="Q39" s="89"/>
    </row>
    <row r="40" spans="1:17" x14ac:dyDescent="0.3">
      <c r="A40" s="16" t="s">
        <v>1376</v>
      </c>
      <c r="B40" s="16" t="s">
        <v>2570</v>
      </c>
      <c r="C40" s="28" t="s">
        <v>224</v>
      </c>
      <c r="D40" s="28" t="str">
        <f>IFERROR(VLOOKUP($C40,CUENTAS[],2,0),"")</f>
        <v>MATERIALES</v>
      </c>
      <c r="E40" s="28" t="str">
        <f>IFERROR(VLOOKUP($C40,CUENTAS[],3,0),"")</f>
        <v>MDE2025-004</v>
      </c>
      <c r="F40" s="86">
        <v>20000</v>
      </c>
      <c r="G40" s="86">
        <v>0</v>
      </c>
      <c r="H40" s="74">
        <v>20000</v>
      </c>
      <c r="I40" s="200" t="str">
        <f t="shared" si="0"/>
        <v>CORRECTO</v>
      </c>
      <c r="J40" s="88" t="s">
        <v>3244</v>
      </c>
      <c r="K40" s="69" t="s">
        <v>360</v>
      </c>
      <c r="L40" s="84" t="s">
        <v>227</v>
      </c>
      <c r="M40" s="137">
        <v>45919</v>
      </c>
      <c r="N40" s="75" t="s">
        <v>371</v>
      </c>
      <c r="P40" s="89"/>
      <c r="Q40" s="89"/>
    </row>
    <row r="41" spans="1:17" x14ac:dyDescent="0.3">
      <c r="A41" s="16" t="s">
        <v>666</v>
      </c>
      <c r="B41" s="16" t="s">
        <v>2571</v>
      </c>
      <c r="C41" s="28" t="s">
        <v>224</v>
      </c>
      <c r="D41" s="28" t="str">
        <f>IFERROR(VLOOKUP($C41,CUENTAS[],2,0),"")</f>
        <v>MATERIALES</v>
      </c>
      <c r="E41" s="28" t="str">
        <f>IFERROR(VLOOKUP($C41,CUENTAS[],3,0),"")</f>
        <v>MDE2025-004</v>
      </c>
      <c r="F41" s="86">
        <v>1781.9</v>
      </c>
      <c r="G41" s="86">
        <v>285.10000000000002</v>
      </c>
      <c r="H41" s="74">
        <v>2067</v>
      </c>
      <c r="I41" s="200" t="str">
        <f t="shared" si="0"/>
        <v>CORRECTO</v>
      </c>
      <c r="J41" s="88" t="s">
        <v>3244</v>
      </c>
      <c r="K41" s="69" t="s">
        <v>980</v>
      </c>
      <c r="L41" s="84" t="s">
        <v>227</v>
      </c>
      <c r="M41" s="137">
        <v>45923</v>
      </c>
      <c r="N41" s="75" t="s">
        <v>2612</v>
      </c>
      <c r="P41" s="89"/>
      <c r="Q41" s="89"/>
    </row>
    <row r="42" spans="1:17" x14ac:dyDescent="0.3">
      <c r="A42" s="16" t="s">
        <v>2572</v>
      </c>
      <c r="B42" s="16" t="s">
        <v>520</v>
      </c>
      <c r="C42" s="28" t="s">
        <v>135</v>
      </c>
      <c r="D42" s="28" t="str">
        <f>IFERROR(VLOOKUP($C42,CUENTAS[],2,0),"")</f>
        <v>EVENTOS INTERNOS</v>
      </c>
      <c r="E42" s="28" t="str">
        <f>IFERROR(VLOOKUP($C42,CUENTAS[],3,0),"")</f>
        <v>MDE2025-008B</v>
      </c>
      <c r="F42" s="86">
        <v>25000</v>
      </c>
      <c r="G42" s="86">
        <v>0</v>
      </c>
      <c r="H42" s="74">
        <v>25000</v>
      </c>
      <c r="I42" s="200" t="str">
        <f t="shared" si="0"/>
        <v>CORRECTO</v>
      </c>
      <c r="J42" s="88" t="s">
        <v>3244</v>
      </c>
      <c r="K42" s="69" t="s">
        <v>363</v>
      </c>
      <c r="L42" s="84" t="s">
        <v>227</v>
      </c>
      <c r="M42" s="135">
        <v>45923</v>
      </c>
      <c r="N42" s="75" t="s">
        <v>371</v>
      </c>
      <c r="P42" s="89"/>
      <c r="Q42" s="89"/>
    </row>
    <row r="43" spans="1:17" x14ac:dyDescent="0.3">
      <c r="A43" s="16" t="s">
        <v>1109</v>
      </c>
      <c r="B43" s="16" t="s">
        <v>2573</v>
      </c>
      <c r="C43" s="28" t="s">
        <v>224</v>
      </c>
      <c r="D43" s="28" t="str">
        <f>IFERROR(VLOOKUP($C43,CUENTAS[],2,0),"")</f>
        <v>MATERIALES</v>
      </c>
      <c r="E43" s="28" t="str">
        <f>IFERROR(VLOOKUP($C43,CUENTAS[],3,0),"")</f>
        <v>MDE2025-004</v>
      </c>
      <c r="F43" s="86">
        <v>31626.53</v>
      </c>
      <c r="G43" s="86">
        <v>5060.24</v>
      </c>
      <c r="H43" s="74">
        <v>36686.769999999997</v>
      </c>
      <c r="I43" s="200" t="str">
        <f t="shared" si="0"/>
        <v>CORRECTO</v>
      </c>
      <c r="J43" s="88" t="s">
        <v>3244</v>
      </c>
      <c r="K43" s="69" t="s">
        <v>363</v>
      </c>
      <c r="L43" s="84" t="s">
        <v>227</v>
      </c>
      <c r="M43" s="135">
        <v>45925</v>
      </c>
      <c r="N43" s="75" t="s">
        <v>2603</v>
      </c>
      <c r="P43" s="89"/>
      <c r="Q43" s="89"/>
    </row>
    <row r="44" spans="1:17" x14ac:dyDescent="0.3">
      <c r="A44" s="16" t="s">
        <v>1109</v>
      </c>
      <c r="B44" s="16" t="s">
        <v>2574</v>
      </c>
      <c r="C44" s="28" t="s">
        <v>224</v>
      </c>
      <c r="D44" s="28" t="str">
        <f>IFERROR(VLOOKUP($C44,CUENTAS[],2,0),"")</f>
        <v>MATERIALES</v>
      </c>
      <c r="E44" s="28" t="str">
        <f>IFERROR(VLOOKUP($C44,CUENTAS[],3,0),"")</f>
        <v>MDE2025-004</v>
      </c>
      <c r="F44" s="86">
        <v>42704.160000000003</v>
      </c>
      <c r="G44" s="86">
        <v>6832.67</v>
      </c>
      <c r="H44" s="74">
        <v>49536.83</v>
      </c>
      <c r="I44" s="200" t="str">
        <f t="shared" si="0"/>
        <v>CORRECTO</v>
      </c>
      <c r="J44" s="88" t="s">
        <v>3244</v>
      </c>
      <c r="K44" s="69" t="s">
        <v>363</v>
      </c>
      <c r="L44" s="84" t="s">
        <v>227</v>
      </c>
      <c r="M44" s="135">
        <v>45925</v>
      </c>
      <c r="N44" s="75" t="s">
        <v>2604</v>
      </c>
      <c r="P44" s="89"/>
      <c r="Q44" s="89"/>
    </row>
    <row r="45" spans="1:17" x14ac:dyDescent="0.3">
      <c r="A45" s="16" t="s">
        <v>2565</v>
      </c>
      <c r="B45" s="16" t="s">
        <v>2575</v>
      </c>
      <c r="C45" s="28" t="s">
        <v>224</v>
      </c>
      <c r="D45" s="28" t="str">
        <f>IFERROR(VLOOKUP($C45,CUENTAS[],2,0),"")</f>
        <v>MATERIALES</v>
      </c>
      <c r="E45" s="28" t="str">
        <f>IFERROR(VLOOKUP($C45,CUENTAS[],3,0),"")</f>
        <v>MDE2025-004</v>
      </c>
      <c r="F45" s="86">
        <v>3827.52</v>
      </c>
      <c r="G45" s="86">
        <v>612.4</v>
      </c>
      <c r="H45" s="74">
        <v>4439.92</v>
      </c>
      <c r="I45" s="200" t="str">
        <f t="shared" si="0"/>
        <v>CORRECTO</v>
      </c>
      <c r="J45" s="88" t="s">
        <v>3244</v>
      </c>
      <c r="K45" s="69" t="s">
        <v>980</v>
      </c>
      <c r="L45" s="84" t="s">
        <v>227</v>
      </c>
      <c r="M45" s="135">
        <v>45925</v>
      </c>
      <c r="N45" s="75" t="s">
        <v>2613</v>
      </c>
      <c r="P45" s="89"/>
      <c r="Q45" s="89"/>
    </row>
    <row r="46" spans="1:17" x14ac:dyDescent="0.3">
      <c r="A46" s="16" t="s">
        <v>279</v>
      </c>
      <c r="B46" s="16" t="s">
        <v>2576</v>
      </c>
      <c r="C46" s="28" t="s">
        <v>224</v>
      </c>
      <c r="D46" s="28" t="str">
        <f>IFERROR(VLOOKUP($C46,CUENTAS[],2,0),"")</f>
        <v>MATERIALES</v>
      </c>
      <c r="E46" s="28" t="str">
        <f>IFERROR(VLOOKUP($C46,CUENTAS[],3,0),"")</f>
        <v>MDE2025-004</v>
      </c>
      <c r="F46" s="86">
        <v>8187.94</v>
      </c>
      <c r="G46" s="86">
        <v>1310.06</v>
      </c>
      <c r="H46" s="74">
        <v>9498</v>
      </c>
      <c r="I46" s="200" t="str">
        <f t="shared" si="0"/>
        <v>CORRECTO</v>
      </c>
      <c r="J46" s="88" t="s">
        <v>3244</v>
      </c>
      <c r="K46" s="69" t="s">
        <v>363</v>
      </c>
      <c r="L46" s="84" t="s">
        <v>227</v>
      </c>
      <c r="M46" s="135">
        <v>45925</v>
      </c>
      <c r="N46" s="75" t="s">
        <v>410</v>
      </c>
      <c r="P46" s="89"/>
      <c r="Q46" s="89"/>
    </row>
    <row r="47" spans="1:17" x14ac:dyDescent="0.3">
      <c r="A47" s="16" t="s">
        <v>666</v>
      </c>
      <c r="B47" s="16" t="s">
        <v>2577</v>
      </c>
      <c r="C47" s="28" t="s">
        <v>224</v>
      </c>
      <c r="D47" s="28" t="str">
        <f>IFERROR(VLOOKUP($C47,CUENTAS[],2,0),"")</f>
        <v>MATERIALES</v>
      </c>
      <c r="E47" s="28" t="str">
        <f>IFERROR(VLOOKUP($C47,CUENTAS[],3,0),"")</f>
        <v>MDE2025-004</v>
      </c>
      <c r="F47" s="86">
        <v>3016.38</v>
      </c>
      <c r="G47" s="86">
        <v>482.62</v>
      </c>
      <c r="H47" s="74">
        <v>3499</v>
      </c>
      <c r="I47" s="200" t="str">
        <f t="shared" si="0"/>
        <v>CORRECTO</v>
      </c>
      <c r="J47" s="88" t="s">
        <v>3244</v>
      </c>
      <c r="K47" s="69" t="s">
        <v>980</v>
      </c>
      <c r="L47" s="84" t="s">
        <v>227</v>
      </c>
      <c r="M47" s="135">
        <v>45925</v>
      </c>
      <c r="N47" s="75" t="s">
        <v>2605</v>
      </c>
      <c r="P47" s="89"/>
      <c r="Q47" s="89"/>
    </row>
    <row r="48" spans="1:17" x14ac:dyDescent="0.3">
      <c r="A48" s="16" t="s">
        <v>283</v>
      </c>
      <c r="B48" s="16">
        <v>2666743</v>
      </c>
      <c r="C48" s="28" t="s">
        <v>173</v>
      </c>
      <c r="D48" s="28" t="str">
        <f>IFERROR(VLOOKUP($C48,CUENTAS[],2,0),"")</f>
        <v>TOKA</v>
      </c>
      <c r="E48" s="28" t="str">
        <f>IFERROR(VLOOKUP($C48,CUENTAS[],3,0),"")</f>
        <v>TOK2025-001B</v>
      </c>
      <c r="F48" s="86">
        <v>400</v>
      </c>
      <c r="G48" s="86">
        <v>50</v>
      </c>
      <c r="H48" s="74">
        <v>450</v>
      </c>
      <c r="I48" s="200" t="str">
        <f t="shared" si="0"/>
        <v>CORRECTO</v>
      </c>
      <c r="J48" s="88" t="s">
        <v>3244</v>
      </c>
      <c r="K48" s="69" t="s">
        <v>2230</v>
      </c>
      <c r="L48" s="84" t="s">
        <v>227</v>
      </c>
      <c r="M48" s="135">
        <v>45925</v>
      </c>
      <c r="N48" s="75" t="s">
        <v>570</v>
      </c>
      <c r="P48" s="89"/>
      <c r="Q48" s="89"/>
    </row>
    <row r="49" spans="1:17" x14ac:dyDescent="0.3">
      <c r="A49" s="16" t="s">
        <v>175</v>
      </c>
      <c r="B49" s="16" t="s">
        <v>243</v>
      </c>
      <c r="C49" s="28" t="s">
        <v>114</v>
      </c>
      <c r="D49" s="28" t="str">
        <f>IFERROR(VLOOKUP($C49,CUENTAS[],2,0),"")</f>
        <v>GASTOS FIJOS</v>
      </c>
      <c r="E49" s="28" t="str">
        <f>IFERROR(VLOOKUP($C49,CUENTAS[],3,0),"")</f>
        <v>MDE2025-002G</v>
      </c>
      <c r="F49" s="86">
        <v>520</v>
      </c>
      <c r="G49" s="86">
        <v>83.2</v>
      </c>
      <c r="H49" s="74">
        <v>603.20000000000005</v>
      </c>
      <c r="I49" s="200" t="str">
        <f t="shared" si="0"/>
        <v>CORRECTO</v>
      </c>
      <c r="J49" s="88" t="s">
        <v>175</v>
      </c>
      <c r="K49" s="69" t="s">
        <v>363</v>
      </c>
      <c r="L49" s="84" t="s">
        <v>227</v>
      </c>
      <c r="M49" s="135">
        <v>45901</v>
      </c>
      <c r="N49" s="75" t="s">
        <v>371</v>
      </c>
      <c r="P49" s="89"/>
      <c r="Q49" s="89"/>
    </row>
    <row r="50" spans="1:17" x14ac:dyDescent="0.3">
      <c r="A50" s="16" t="s">
        <v>2615</v>
      </c>
      <c r="B50" s="16" t="s">
        <v>2028</v>
      </c>
      <c r="C50" s="28" t="s">
        <v>125</v>
      </c>
      <c r="D50" s="28" t="str">
        <f>IFERROR(VLOOKUP($C50,CUENTAS[],2,0),"")</f>
        <v>GASTOS FIJOS</v>
      </c>
      <c r="E50" s="28" t="str">
        <f>IFERROR(VLOOKUP($C50,CUENTAS[],3,0),"")</f>
        <v>MDE2025-002B</v>
      </c>
      <c r="F50" s="86">
        <v>700</v>
      </c>
      <c r="G50" s="86">
        <v>0</v>
      </c>
      <c r="H50" s="74">
        <v>700</v>
      </c>
      <c r="I50" s="200" t="str">
        <f t="shared" si="0"/>
        <v>CORRECTO</v>
      </c>
      <c r="J50" s="88" t="s">
        <v>175</v>
      </c>
      <c r="K50" s="69" t="s">
        <v>363</v>
      </c>
      <c r="L50" s="84" t="s">
        <v>227</v>
      </c>
      <c r="M50" s="136">
        <v>45901</v>
      </c>
      <c r="N50" s="75" t="s">
        <v>2707</v>
      </c>
      <c r="P50" s="89"/>
      <c r="Q50" s="89"/>
    </row>
    <row r="51" spans="1:17" x14ac:dyDescent="0.3">
      <c r="A51" s="16" t="s">
        <v>1724</v>
      </c>
      <c r="B51" s="16" t="s">
        <v>2616</v>
      </c>
      <c r="C51" s="28" t="s">
        <v>224</v>
      </c>
      <c r="D51" s="28" t="str">
        <f>IFERROR(VLOOKUP($C51,CUENTAS[],2,0),"")</f>
        <v>MATERIALES</v>
      </c>
      <c r="E51" s="28" t="str">
        <f>IFERROR(VLOOKUP($C51,CUENTAS[],3,0),"")</f>
        <v>MDE2025-004</v>
      </c>
      <c r="F51" s="86">
        <v>1955.24</v>
      </c>
      <c r="G51" s="86">
        <v>312.83999999999997</v>
      </c>
      <c r="H51" s="74">
        <v>2268.08</v>
      </c>
      <c r="I51" s="200" t="str">
        <f t="shared" si="0"/>
        <v>CORRECTO</v>
      </c>
      <c r="J51" s="88" t="s">
        <v>1522</v>
      </c>
      <c r="K51" s="69" t="s">
        <v>980</v>
      </c>
      <c r="L51" s="84" t="s">
        <v>227</v>
      </c>
      <c r="M51" s="136">
        <v>45901</v>
      </c>
      <c r="N51" s="75" t="s">
        <v>2708</v>
      </c>
      <c r="P51" s="89"/>
      <c r="Q51" s="89"/>
    </row>
    <row r="52" spans="1:17" x14ac:dyDescent="0.3">
      <c r="A52" s="16" t="s">
        <v>2617</v>
      </c>
      <c r="B52" s="16" t="s">
        <v>2618</v>
      </c>
      <c r="C52" s="28" t="s">
        <v>224</v>
      </c>
      <c r="D52" s="28" t="str">
        <f>IFERROR(VLOOKUP($C52,CUENTAS[],2,0),"")</f>
        <v>MATERIALES</v>
      </c>
      <c r="E52" s="28" t="str">
        <f>IFERROR(VLOOKUP($C52,CUENTAS[],3,0),"")</f>
        <v>MDE2025-004</v>
      </c>
      <c r="F52" s="86">
        <v>450</v>
      </c>
      <c r="G52" s="86">
        <v>0</v>
      </c>
      <c r="H52" s="74">
        <v>450</v>
      </c>
      <c r="I52" s="200" t="str">
        <f t="shared" si="0"/>
        <v>CORRECTO</v>
      </c>
      <c r="J52" s="88" t="s">
        <v>1522</v>
      </c>
      <c r="K52" s="69" t="s">
        <v>980</v>
      </c>
      <c r="L52" s="84" t="s">
        <v>227</v>
      </c>
      <c r="M52" s="136">
        <v>45901</v>
      </c>
      <c r="N52" s="75" t="s">
        <v>2709</v>
      </c>
      <c r="P52" s="89"/>
      <c r="Q52" s="89"/>
    </row>
    <row r="53" spans="1:17" x14ac:dyDescent="0.3">
      <c r="A53" s="16" t="s">
        <v>236</v>
      </c>
      <c r="B53" s="16" t="s">
        <v>1088</v>
      </c>
      <c r="C53" s="28" t="s">
        <v>201</v>
      </c>
      <c r="D53" s="28" t="str">
        <f>IFERROR(VLOOKUP($C53,CUENTAS[],2,0),"")</f>
        <v>ACTIVOS FIJOS</v>
      </c>
      <c r="E53" s="28" t="str">
        <f>IFERROR(VLOOKUP($C53,CUENTAS[],3,0),"")</f>
        <v>MDE2025-007I</v>
      </c>
      <c r="F53" s="86">
        <v>3500</v>
      </c>
      <c r="G53" s="86">
        <v>0</v>
      </c>
      <c r="H53" s="74">
        <v>3500</v>
      </c>
      <c r="I53" s="200" t="str">
        <f t="shared" si="0"/>
        <v>CORRECTO</v>
      </c>
      <c r="J53" s="88" t="s">
        <v>175</v>
      </c>
      <c r="K53" s="69" t="s">
        <v>363</v>
      </c>
      <c r="L53" s="84" t="s">
        <v>227</v>
      </c>
      <c r="M53" s="136">
        <v>45902</v>
      </c>
      <c r="N53" s="75" t="s">
        <v>371</v>
      </c>
      <c r="P53" s="89"/>
      <c r="Q53" s="89"/>
    </row>
    <row r="54" spans="1:17" x14ac:dyDescent="0.3">
      <c r="A54" s="16" t="s">
        <v>238</v>
      </c>
      <c r="B54" s="16" t="s">
        <v>1088</v>
      </c>
      <c r="C54" s="28" t="s">
        <v>201</v>
      </c>
      <c r="D54" s="28" t="str">
        <f>IFERROR(VLOOKUP($C54,CUENTAS[],2,0),"")</f>
        <v>ACTIVOS FIJOS</v>
      </c>
      <c r="E54" s="28" t="str">
        <f>IFERROR(VLOOKUP($C54,CUENTAS[],3,0),"")</f>
        <v>MDE2025-007I</v>
      </c>
      <c r="F54" s="86">
        <v>3200</v>
      </c>
      <c r="G54" s="86">
        <v>0</v>
      </c>
      <c r="H54" s="74">
        <v>3200</v>
      </c>
      <c r="I54" s="200" t="str">
        <f t="shared" si="0"/>
        <v>CORRECTO</v>
      </c>
      <c r="J54" s="88" t="s">
        <v>175</v>
      </c>
      <c r="K54" s="69" t="s">
        <v>363</v>
      </c>
      <c r="L54" s="84" t="s">
        <v>227</v>
      </c>
      <c r="M54" s="136">
        <v>45902</v>
      </c>
      <c r="N54" s="75" t="s">
        <v>371</v>
      </c>
      <c r="P54" s="89"/>
      <c r="Q54" s="89"/>
    </row>
    <row r="55" spans="1:17" x14ac:dyDescent="0.3">
      <c r="A55" s="16" t="s">
        <v>2619</v>
      </c>
      <c r="B55" s="16" t="s">
        <v>2620</v>
      </c>
      <c r="C55" s="28" t="s">
        <v>113</v>
      </c>
      <c r="D55" s="28" t="str">
        <f>IFERROR(VLOOKUP($C55,CUENTAS[],2,0),"")</f>
        <v>GASTOS VARIOS</v>
      </c>
      <c r="E55" s="28" t="str">
        <f>IFERROR(VLOOKUP($C55,CUENTAS[],3,0),"")</f>
        <v>MDE2025-003B</v>
      </c>
      <c r="F55" s="86">
        <v>111.2</v>
      </c>
      <c r="G55" s="86">
        <v>0</v>
      </c>
      <c r="H55" s="74">
        <v>111.2</v>
      </c>
      <c r="I55" s="200" t="str">
        <f t="shared" si="0"/>
        <v>CORRECTO</v>
      </c>
      <c r="J55" s="88" t="s">
        <v>175</v>
      </c>
      <c r="K55" s="69" t="s">
        <v>2710</v>
      </c>
      <c r="L55" s="84" t="s">
        <v>227</v>
      </c>
      <c r="M55" s="136">
        <v>45902</v>
      </c>
      <c r="N55" s="75" t="s">
        <v>368</v>
      </c>
      <c r="P55" s="89"/>
      <c r="Q55" s="89"/>
    </row>
    <row r="56" spans="1:17" x14ac:dyDescent="0.3">
      <c r="A56" s="16" t="s">
        <v>2621</v>
      </c>
      <c r="B56" s="16" t="s">
        <v>2622</v>
      </c>
      <c r="C56" s="28" t="s">
        <v>224</v>
      </c>
      <c r="D56" s="28" t="str">
        <f>IFERROR(VLOOKUP($C56,CUENTAS[],2,0),"")</f>
        <v>MATERIALES</v>
      </c>
      <c r="E56" s="28" t="str">
        <f>IFERROR(VLOOKUP($C56,CUENTAS[],3,0),"")</f>
        <v>MDE2025-004</v>
      </c>
      <c r="F56" s="86">
        <v>4500</v>
      </c>
      <c r="G56" s="86">
        <v>0</v>
      </c>
      <c r="H56" s="74">
        <v>4500</v>
      </c>
      <c r="I56" s="200" t="str">
        <f t="shared" si="0"/>
        <v>CORRECTO</v>
      </c>
      <c r="J56" s="88" t="s">
        <v>175</v>
      </c>
      <c r="K56" s="69" t="s">
        <v>360</v>
      </c>
      <c r="L56" s="84" t="s">
        <v>227</v>
      </c>
      <c r="M56" s="136">
        <v>45903</v>
      </c>
      <c r="N56" s="75" t="s">
        <v>368</v>
      </c>
      <c r="P56" s="89"/>
      <c r="Q56" s="89"/>
    </row>
    <row r="57" spans="1:17" x14ac:dyDescent="0.3">
      <c r="A57" s="16" t="s">
        <v>616</v>
      </c>
      <c r="B57" s="16" t="s">
        <v>2623</v>
      </c>
      <c r="C57" s="28" t="s">
        <v>222</v>
      </c>
      <c r="D57" s="28" t="str">
        <f>IFERROR(VLOOKUP($C57,CUENTAS[],2,0),"")</f>
        <v>MANTENIMIENTO</v>
      </c>
      <c r="E57" s="28" t="str">
        <f>IFERROR(VLOOKUP($C57,CUENTAS[],3,0),"")</f>
        <v>MDE2025-009A</v>
      </c>
      <c r="F57" s="86">
        <v>1247.4100000000001</v>
      </c>
      <c r="G57" s="86">
        <v>199.59</v>
      </c>
      <c r="H57" s="74">
        <v>1447</v>
      </c>
      <c r="I57" s="200" t="str">
        <f t="shared" si="0"/>
        <v>CORRECTO</v>
      </c>
      <c r="J57" s="88" t="s">
        <v>175</v>
      </c>
      <c r="K57" s="69" t="s">
        <v>363</v>
      </c>
      <c r="L57" s="84" t="s">
        <v>227</v>
      </c>
      <c r="M57" s="136">
        <v>45905</v>
      </c>
      <c r="N57" s="75" t="s">
        <v>2711</v>
      </c>
      <c r="P57" s="89"/>
      <c r="Q57" s="89"/>
    </row>
    <row r="58" spans="1:17" x14ac:dyDescent="0.3">
      <c r="A58" s="16" t="s">
        <v>616</v>
      </c>
      <c r="B58" s="16" t="s">
        <v>2624</v>
      </c>
      <c r="C58" s="28" t="s">
        <v>222</v>
      </c>
      <c r="D58" s="28" t="str">
        <f>IFERROR(VLOOKUP($C58,CUENTAS[],2,0),"")</f>
        <v>MANTENIMIENTO</v>
      </c>
      <c r="E58" s="28" t="str">
        <f>IFERROR(VLOOKUP($C58,CUENTAS[],3,0),"")</f>
        <v>MDE2025-009A</v>
      </c>
      <c r="F58" s="86">
        <v>732.76</v>
      </c>
      <c r="G58" s="86">
        <v>117.24</v>
      </c>
      <c r="H58" s="74">
        <v>850</v>
      </c>
      <c r="I58" s="200" t="str">
        <f t="shared" si="0"/>
        <v>CORRECTO</v>
      </c>
      <c r="J58" s="88" t="s">
        <v>175</v>
      </c>
      <c r="K58" s="69" t="s">
        <v>363</v>
      </c>
      <c r="L58" s="84" t="s">
        <v>227</v>
      </c>
      <c r="M58" s="136">
        <v>45905</v>
      </c>
      <c r="N58" s="75" t="s">
        <v>2712</v>
      </c>
      <c r="P58" s="89"/>
      <c r="Q58" s="89"/>
    </row>
    <row r="59" spans="1:17" x14ac:dyDescent="0.3">
      <c r="A59" s="16" t="s">
        <v>2625</v>
      </c>
      <c r="B59" s="16" t="s">
        <v>2626</v>
      </c>
      <c r="C59" s="28" t="s">
        <v>151</v>
      </c>
      <c r="D59" s="28" t="str">
        <f>IFERROR(VLOOKUP($C59,CUENTAS[],2,0),"")</f>
        <v>GASTOS FIJOS</v>
      </c>
      <c r="E59" s="28" t="str">
        <f>IFERROR(VLOOKUP($C59,CUENTAS[],3,0),"")</f>
        <v>MDE2025-002F</v>
      </c>
      <c r="F59" s="86">
        <v>3000</v>
      </c>
      <c r="G59" s="86">
        <v>0</v>
      </c>
      <c r="H59" s="74">
        <v>3000</v>
      </c>
      <c r="I59" s="200" t="str">
        <f t="shared" si="0"/>
        <v>CORRECTO</v>
      </c>
      <c r="J59" s="88" t="s">
        <v>175</v>
      </c>
      <c r="K59" s="69" t="s">
        <v>363</v>
      </c>
      <c r="L59" s="84" t="s">
        <v>227</v>
      </c>
      <c r="M59" s="136">
        <v>45905</v>
      </c>
      <c r="N59" s="75" t="s">
        <v>371</v>
      </c>
      <c r="P59" s="89"/>
      <c r="Q59" s="89"/>
    </row>
    <row r="60" spans="1:17" x14ac:dyDescent="0.3">
      <c r="A60" s="16" t="s">
        <v>2625</v>
      </c>
      <c r="B60" s="16" t="s">
        <v>2627</v>
      </c>
      <c r="C60" s="28" t="s">
        <v>151</v>
      </c>
      <c r="D60" s="28" t="str">
        <f>IFERROR(VLOOKUP($C60,CUENTAS[],2,0),"")</f>
        <v>GASTOS FIJOS</v>
      </c>
      <c r="E60" s="28" t="str">
        <f>IFERROR(VLOOKUP($C60,CUENTAS[],3,0),"")</f>
        <v>MDE2025-002F</v>
      </c>
      <c r="F60" s="86">
        <v>3000</v>
      </c>
      <c r="G60" s="86">
        <v>0</v>
      </c>
      <c r="H60" s="74">
        <v>3000</v>
      </c>
      <c r="I60" s="200" t="str">
        <f t="shared" si="0"/>
        <v>CORRECTO</v>
      </c>
      <c r="J60" s="88" t="s">
        <v>175</v>
      </c>
      <c r="K60" s="69" t="s">
        <v>363</v>
      </c>
      <c r="L60" s="84" t="s">
        <v>227</v>
      </c>
      <c r="M60" s="136">
        <v>45905</v>
      </c>
      <c r="N60" s="75" t="s">
        <v>371</v>
      </c>
      <c r="P60" s="89"/>
      <c r="Q60" s="89"/>
    </row>
    <row r="61" spans="1:17" x14ac:dyDescent="0.3">
      <c r="A61" s="16" t="s">
        <v>236</v>
      </c>
      <c r="B61" s="16" t="s">
        <v>1088</v>
      </c>
      <c r="C61" s="28" t="s">
        <v>201</v>
      </c>
      <c r="D61" s="28" t="str">
        <f>IFERROR(VLOOKUP($C61,CUENTAS[],2,0),"")</f>
        <v>ACTIVOS FIJOS</v>
      </c>
      <c r="E61" s="28" t="str">
        <f>IFERROR(VLOOKUP($C61,CUENTAS[],3,0),"")</f>
        <v>MDE2025-007I</v>
      </c>
      <c r="F61" s="86">
        <v>3500</v>
      </c>
      <c r="G61" s="86">
        <v>0</v>
      </c>
      <c r="H61" s="74">
        <v>3500</v>
      </c>
      <c r="I61" s="200" t="str">
        <f t="shared" si="0"/>
        <v>CORRECTO</v>
      </c>
      <c r="J61" s="88" t="s">
        <v>175</v>
      </c>
      <c r="K61" s="69" t="s">
        <v>363</v>
      </c>
      <c r="L61" s="84" t="s">
        <v>227</v>
      </c>
      <c r="M61" s="136">
        <v>45908</v>
      </c>
      <c r="N61" s="75" t="s">
        <v>371</v>
      </c>
      <c r="P61" s="89"/>
      <c r="Q61" s="89"/>
    </row>
    <row r="62" spans="1:17" x14ac:dyDescent="0.3">
      <c r="A62" s="16" t="s">
        <v>238</v>
      </c>
      <c r="B62" s="16" t="s">
        <v>1088</v>
      </c>
      <c r="C62" s="28" t="s">
        <v>201</v>
      </c>
      <c r="D62" s="28" t="str">
        <f>IFERROR(VLOOKUP($C62,CUENTAS[],2,0),"")</f>
        <v>ACTIVOS FIJOS</v>
      </c>
      <c r="E62" s="28" t="str">
        <f>IFERROR(VLOOKUP($C62,CUENTAS[],3,0),"")</f>
        <v>MDE2025-007I</v>
      </c>
      <c r="F62" s="86">
        <v>3200</v>
      </c>
      <c r="G62" s="86">
        <v>0</v>
      </c>
      <c r="H62" s="74">
        <v>3200</v>
      </c>
      <c r="I62" s="200" t="str">
        <f t="shared" si="0"/>
        <v>CORRECTO</v>
      </c>
      <c r="J62" s="88" t="s">
        <v>175</v>
      </c>
      <c r="K62" s="69" t="s">
        <v>363</v>
      </c>
      <c r="L62" s="84" t="s">
        <v>227</v>
      </c>
      <c r="M62" s="136">
        <v>45908</v>
      </c>
      <c r="N62" s="75" t="s">
        <v>371</v>
      </c>
      <c r="P62" s="89"/>
      <c r="Q62" s="89"/>
    </row>
    <row r="63" spans="1:17" x14ac:dyDescent="0.3">
      <c r="A63" s="16" t="s">
        <v>2628</v>
      </c>
      <c r="B63" s="16" t="s">
        <v>2629</v>
      </c>
      <c r="C63" s="28" t="s">
        <v>115</v>
      </c>
      <c r="D63" s="28" t="str">
        <f>IFERROR(VLOOKUP($C63,CUENTAS[],2,0),"")</f>
        <v>GASTOS FIJOS</v>
      </c>
      <c r="E63" s="28" t="str">
        <f>IFERROR(VLOOKUP($C63,CUENTAS[],3,0),"")</f>
        <v>MDE2025-002E</v>
      </c>
      <c r="F63" s="86">
        <v>701</v>
      </c>
      <c r="G63" s="86">
        <v>0</v>
      </c>
      <c r="H63" s="74">
        <v>701</v>
      </c>
      <c r="I63" s="200" t="str">
        <f t="shared" si="0"/>
        <v>CORRECTO</v>
      </c>
      <c r="J63" s="88" t="s">
        <v>175</v>
      </c>
      <c r="K63" s="69" t="s">
        <v>363</v>
      </c>
      <c r="L63" s="84" t="s">
        <v>227</v>
      </c>
      <c r="M63" s="136">
        <v>45908</v>
      </c>
      <c r="N63" s="75" t="s">
        <v>368</v>
      </c>
      <c r="P63" s="89"/>
      <c r="Q63" s="89"/>
    </row>
    <row r="64" spans="1:17" x14ac:dyDescent="0.3">
      <c r="A64" s="16" t="s">
        <v>283</v>
      </c>
      <c r="B64" s="16">
        <v>2643907</v>
      </c>
      <c r="C64" s="28" t="s">
        <v>173</v>
      </c>
      <c r="D64" s="28" t="str">
        <f>IFERROR(VLOOKUP($C64,CUENTAS[],2,0),"")</f>
        <v>TOKA</v>
      </c>
      <c r="E64" s="28" t="str">
        <f>IFERROR(VLOOKUP($C64,CUENTAS[],3,0),"")</f>
        <v>TOK2025-001B</v>
      </c>
      <c r="F64" s="86">
        <v>800</v>
      </c>
      <c r="G64" s="86">
        <v>70</v>
      </c>
      <c r="H64" s="74">
        <v>870</v>
      </c>
      <c r="I64" s="200" t="str">
        <f t="shared" si="0"/>
        <v>CORRECTO</v>
      </c>
      <c r="J64" s="88" t="s">
        <v>175</v>
      </c>
      <c r="K64" s="69" t="s">
        <v>2230</v>
      </c>
      <c r="L64" s="84" t="s">
        <v>227</v>
      </c>
      <c r="M64" s="136">
        <v>45908</v>
      </c>
      <c r="N64" s="75" t="s">
        <v>570</v>
      </c>
      <c r="P64" s="89"/>
      <c r="Q64" s="89"/>
    </row>
    <row r="65" spans="1:17" x14ac:dyDescent="0.3">
      <c r="A65" s="16" t="s">
        <v>283</v>
      </c>
      <c r="B65" s="16">
        <v>2648643</v>
      </c>
      <c r="C65" s="28" t="s">
        <v>173</v>
      </c>
      <c r="D65" s="28" t="str">
        <f>IFERROR(VLOOKUP($C65,CUENTAS[],2,0),"")</f>
        <v>TOKA</v>
      </c>
      <c r="E65" s="28" t="str">
        <f>IFERROR(VLOOKUP($C65,CUENTAS[],3,0),"")</f>
        <v>TOK2025-001B</v>
      </c>
      <c r="F65" s="86">
        <v>200</v>
      </c>
      <c r="G65" s="86">
        <v>90</v>
      </c>
      <c r="H65" s="74">
        <v>290</v>
      </c>
      <c r="I65" s="200" t="str">
        <f t="shared" si="0"/>
        <v>CORRECTO</v>
      </c>
      <c r="J65" s="88" t="s">
        <v>175</v>
      </c>
      <c r="K65" s="69" t="s">
        <v>2230</v>
      </c>
      <c r="L65" s="84" t="s">
        <v>227</v>
      </c>
      <c r="M65" s="136">
        <v>45908</v>
      </c>
      <c r="N65" s="75" t="s">
        <v>570</v>
      </c>
      <c r="P65" s="89"/>
      <c r="Q65" s="89"/>
    </row>
    <row r="66" spans="1:17" x14ac:dyDescent="0.3">
      <c r="A66" s="16" t="s">
        <v>270</v>
      </c>
      <c r="B66" s="16" t="s">
        <v>2630</v>
      </c>
      <c r="C66" s="28" t="s">
        <v>223</v>
      </c>
      <c r="D66" s="28" t="str">
        <f>IFERROR(VLOOKUP($C66,CUENTAS[],2,0),"")</f>
        <v>MANTENIMIENTO</v>
      </c>
      <c r="E66" s="28" t="str">
        <f>IFERROR(VLOOKUP($C66,CUENTAS[],3,0),"")</f>
        <v>MDE2025-009B</v>
      </c>
      <c r="F66" s="86">
        <v>7000</v>
      </c>
      <c r="G66" s="86">
        <v>0</v>
      </c>
      <c r="H66" s="74">
        <v>7000</v>
      </c>
      <c r="I66" s="200" t="str">
        <f t="shared" si="0"/>
        <v>CORRECTO</v>
      </c>
      <c r="J66" s="88" t="s">
        <v>175</v>
      </c>
      <c r="K66" s="69" t="s">
        <v>363</v>
      </c>
      <c r="L66" s="84" t="s">
        <v>227</v>
      </c>
      <c r="M66" s="136">
        <v>45908</v>
      </c>
      <c r="N66" s="75" t="s">
        <v>368</v>
      </c>
      <c r="P66" s="89"/>
      <c r="Q66" s="89"/>
    </row>
    <row r="67" spans="1:17" x14ac:dyDescent="0.3">
      <c r="A67" s="16" t="s">
        <v>619</v>
      </c>
      <c r="B67" s="16" t="s">
        <v>2631</v>
      </c>
      <c r="C67" s="28" t="s">
        <v>224</v>
      </c>
      <c r="D67" s="28" t="str">
        <f>IFERROR(VLOOKUP($C67,CUENTAS[],2,0),"")</f>
        <v>MATERIALES</v>
      </c>
      <c r="E67" s="28" t="str">
        <f>IFERROR(VLOOKUP($C67,CUENTAS[],3,0),"")</f>
        <v>MDE2025-004</v>
      </c>
      <c r="F67" s="86">
        <v>172.41</v>
      </c>
      <c r="G67" s="86">
        <v>27.59</v>
      </c>
      <c r="H67" s="74">
        <v>200</v>
      </c>
      <c r="I67" s="200" t="str">
        <f t="shared" ref="I67:I130" si="1">IFERROR(IF(F67+G67&lt;&gt;H67,"REVISAR","CORRECTO"),"")</f>
        <v>CORRECTO</v>
      </c>
      <c r="J67" s="88" t="s">
        <v>1522</v>
      </c>
      <c r="K67" s="69" t="s">
        <v>980</v>
      </c>
      <c r="L67" s="84" t="s">
        <v>227</v>
      </c>
      <c r="M67" s="136">
        <v>45903</v>
      </c>
      <c r="N67" s="75" t="s">
        <v>2713</v>
      </c>
      <c r="P67" s="89"/>
      <c r="Q67" s="89"/>
    </row>
    <row r="68" spans="1:17" x14ac:dyDescent="0.3">
      <c r="A68" s="16" t="s">
        <v>2632</v>
      </c>
      <c r="B68" s="16" t="s">
        <v>2633</v>
      </c>
      <c r="C68" s="28" t="s">
        <v>221</v>
      </c>
      <c r="D68" s="28" t="str">
        <f>IFERROR(VLOOKUP($C68,CUENTAS[],2,0),"")</f>
        <v>LOGÍSTICA</v>
      </c>
      <c r="E68" s="28" t="str">
        <f>IFERROR(VLOOKUP($C68,CUENTAS[],3,0),"")</f>
        <v>MDE2025-006F</v>
      </c>
      <c r="F68" s="86">
        <v>2500</v>
      </c>
      <c r="G68" s="86">
        <v>0</v>
      </c>
      <c r="H68" s="74">
        <v>2500</v>
      </c>
      <c r="I68" s="200" t="str">
        <f t="shared" si="1"/>
        <v>CORRECTO</v>
      </c>
      <c r="J68" s="88" t="s">
        <v>175</v>
      </c>
      <c r="K68" s="69" t="s">
        <v>364</v>
      </c>
      <c r="L68" s="84" t="s">
        <v>227</v>
      </c>
      <c r="M68" s="136">
        <v>45903</v>
      </c>
      <c r="N68" s="75" t="s">
        <v>371</v>
      </c>
      <c r="P68" s="89"/>
      <c r="Q68" s="89"/>
    </row>
    <row r="69" spans="1:17" x14ac:dyDescent="0.3">
      <c r="A69" s="16" t="s">
        <v>890</v>
      </c>
      <c r="B69" s="16" t="s">
        <v>2634</v>
      </c>
      <c r="C69" s="28" t="s">
        <v>224</v>
      </c>
      <c r="D69" s="28" t="str">
        <f>IFERROR(VLOOKUP($C69,CUENTAS[],2,0),"")</f>
        <v>MATERIALES</v>
      </c>
      <c r="E69" s="28" t="str">
        <f>IFERROR(VLOOKUP($C69,CUENTAS[],3,0),"")</f>
        <v>MDE2025-004</v>
      </c>
      <c r="F69" s="86">
        <v>2204</v>
      </c>
      <c r="G69" s="86">
        <v>352.64</v>
      </c>
      <c r="H69" s="74">
        <v>2556.64</v>
      </c>
      <c r="I69" s="200" t="str">
        <f t="shared" si="1"/>
        <v>CORRECTO</v>
      </c>
      <c r="J69" s="88" t="s">
        <v>1522</v>
      </c>
      <c r="K69" s="69" t="s">
        <v>980</v>
      </c>
      <c r="L69" s="84" t="s">
        <v>227</v>
      </c>
      <c r="M69" s="136">
        <v>45904</v>
      </c>
      <c r="N69" s="75" t="s">
        <v>2714</v>
      </c>
      <c r="P69" s="89"/>
      <c r="Q69" s="89"/>
    </row>
    <row r="70" spans="1:17" x14ac:dyDescent="0.3">
      <c r="A70" s="16" t="s">
        <v>1604</v>
      </c>
      <c r="B70" s="16" t="s">
        <v>2635</v>
      </c>
      <c r="C70" s="28" t="s">
        <v>224</v>
      </c>
      <c r="D70" s="28" t="str">
        <f>IFERROR(VLOOKUP($C70,CUENTAS[],2,0),"")</f>
        <v>MATERIALES</v>
      </c>
      <c r="E70" s="28" t="str">
        <f>IFERROR(VLOOKUP($C70,CUENTAS[],3,0),"")</f>
        <v>MDE2025-004</v>
      </c>
      <c r="F70" s="86">
        <v>734.48</v>
      </c>
      <c r="G70" s="86">
        <v>117.52</v>
      </c>
      <c r="H70" s="74">
        <v>852</v>
      </c>
      <c r="I70" s="200" t="str">
        <f t="shared" si="1"/>
        <v>CORRECTO</v>
      </c>
      <c r="J70" s="88" t="s">
        <v>1522</v>
      </c>
      <c r="K70" s="69" t="s">
        <v>980</v>
      </c>
      <c r="L70" s="84" t="s">
        <v>227</v>
      </c>
      <c r="M70" s="136">
        <v>45904</v>
      </c>
      <c r="N70" s="75" t="s">
        <v>2715</v>
      </c>
      <c r="P70" s="89"/>
      <c r="Q70" s="89"/>
    </row>
    <row r="71" spans="1:17" x14ac:dyDescent="0.3">
      <c r="A71" s="16" t="s">
        <v>463</v>
      </c>
      <c r="B71" s="16" t="s">
        <v>2636</v>
      </c>
      <c r="C71" s="28" t="s">
        <v>224</v>
      </c>
      <c r="D71" s="28" t="str">
        <f>IFERROR(VLOOKUP($C71,CUENTAS[],2,0),"")</f>
        <v>MATERIALES</v>
      </c>
      <c r="E71" s="28" t="str">
        <f>IFERROR(VLOOKUP($C71,CUENTAS[],3,0),"")</f>
        <v>MDE2025-004</v>
      </c>
      <c r="F71" s="86">
        <v>522</v>
      </c>
      <c r="G71" s="86">
        <v>83.52</v>
      </c>
      <c r="H71" s="74">
        <v>605.52</v>
      </c>
      <c r="I71" s="200" t="str">
        <f t="shared" si="1"/>
        <v>CORRECTO</v>
      </c>
      <c r="J71" s="88" t="s">
        <v>1522</v>
      </c>
      <c r="K71" s="69" t="s">
        <v>980</v>
      </c>
      <c r="L71" s="84" t="s">
        <v>227</v>
      </c>
      <c r="M71" s="136">
        <v>45909</v>
      </c>
      <c r="N71" s="75" t="s">
        <v>2716</v>
      </c>
      <c r="P71" s="89"/>
      <c r="Q71" s="89"/>
    </row>
    <row r="72" spans="1:17" x14ac:dyDescent="0.3">
      <c r="A72" s="16" t="s">
        <v>619</v>
      </c>
      <c r="B72" s="16" t="s">
        <v>2637</v>
      </c>
      <c r="C72" s="28" t="s">
        <v>224</v>
      </c>
      <c r="D72" s="28" t="str">
        <f>IFERROR(VLOOKUP($C72,CUENTAS[],2,0),"")</f>
        <v>MATERIALES</v>
      </c>
      <c r="E72" s="28" t="str">
        <f>IFERROR(VLOOKUP($C72,CUENTAS[],3,0),"")</f>
        <v>MDE2025-004</v>
      </c>
      <c r="F72" s="86">
        <v>327.58999999999997</v>
      </c>
      <c r="G72" s="86">
        <v>52.41</v>
      </c>
      <c r="H72" s="74">
        <v>380</v>
      </c>
      <c r="I72" s="200" t="str">
        <f t="shared" si="1"/>
        <v>CORRECTO</v>
      </c>
      <c r="J72" s="88" t="s">
        <v>1522</v>
      </c>
      <c r="K72" s="69" t="s">
        <v>980</v>
      </c>
      <c r="L72" s="84" t="s">
        <v>227</v>
      </c>
      <c r="M72" s="136">
        <v>45909</v>
      </c>
      <c r="N72" s="75" t="s">
        <v>2717</v>
      </c>
      <c r="P72" s="89"/>
      <c r="Q72" s="89"/>
    </row>
    <row r="73" spans="1:17" x14ac:dyDescent="0.3">
      <c r="A73" s="16" t="s">
        <v>2638</v>
      </c>
      <c r="B73" s="16" t="s">
        <v>2639</v>
      </c>
      <c r="C73" s="28" t="s">
        <v>162</v>
      </c>
      <c r="D73" s="28" t="str">
        <f>IFERROR(VLOOKUP($C73,CUENTAS[],2,0),"")</f>
        <v>GASTOS VARIOS</v>
      </c>
      <c r="E73" s="28" t="str">
        <f>IFERROR(VLOOKUP($C73,CUENTAS[],3,0),"")</f>
        <v>MDE2025-003F</v>
      </c>
      <c r="F73" s="86">
        <v>55</v>
      </c>
      <c r="G73" s="86">
        <v>0</v>
      </c>
      <c r="H73" s="74">
        <v>55</v>
      </c>
      <c r="I73" s="200" t="str">
        <f t="shared" si="1"/>
        <v>CORRECTO</v>
      </c>
      <c r="J73" s="88" t="s">
        <v>1522</v>
      </c>
      <c r="K73" s="69" t="s">
        <v>364</v>
      </c>
      <c r="L73" s="84" t="s">
        <v>227</v>
      </c>
      <c r="M73" s="136">
        <v>45910</v>
      </c>
      <c r="N73" s="75" t="s">
        <v>2718</v>
      </c>
      <c r="P73" s="89"/>
      <c r="Q73" s="89"/>
    </row>
    <row r="74" spans="1:17" x14ac:dyDescent="0.3">
      <c r="A74" s="16" t="s">
        <v>763</v>
      </c>
      <c r="B74" s="16" t="s">
        <v>2640</v>
      </c>
      <c r="C74" s="28" t="s">
        <v>224</v>
      </c>
      <c r="D74" s="28" t="str">
        <f>IFERROR(VLOOKUP($C74,CUENTAS[],2,0),"")</f>
        <v>MATERIALES</v>
      </c>
      <c r="E74" s="28" t="str">
        <f>IFERROR(VLOOKUP($C74,CUENTAS[],3,0),"")</f>
        <v>MDE2025-004</v>
      </c>
      <c r="F74" s="86">
        <v>640.23</v>
      </c>
      <c r="G74" s="86">
        <v>102.44</v>
      </c>
      <c r="H74" s="74">
        <v>742.67</v>
      </c>
      <c r="I74" s="200" t="str">
        <f t="shared" si="1"/>
        <v>CORRECTO</v>
      </c>
      <c r="J74" s="88" t="s">
        <v>175</v>
      </c>
      <c r="K74" s="69" t="s">
        <v>363</v>
      </c>
      <c r="L74" s="84" t="s">
        <v>227</v>
      </c>
      <c r="M74" s="136">
        <v>45910</v>
      </c>
      <c r="N74" s="75" t="s">
        <v>2719</v>
      </c>
      <c r="P74" s="89"/>
      <c r="Q74" s="89"/>
    </row>
    <row r="75" spans="1:17" x14ac:dyDescent="0.3">
      <c r="A75" s="16" t="s">
        <v>1524</v>
      </c>
      <c r="B75" s="16" t="s">
        <v>2641</v>
      </c>
      <c r="C75" s="28" t="s">
        <v>224</v>
      </c>
      <c r="D75" s="28" t="str">
        <f>IFERROR(VLOOKUP($C75,CUENTAS[],2,0),"")</f>
        <v>MATERIALES</v>
      </c>
      <c r="E75" s="28" t="str">
        <f>IFERROR(VLOOKUP($C75,CUENTAS[],3,0),"")</f>
        <v>MDE2025-004</v>
      </c>
      <c r="F75" s="86">
        <v>1293.0999999999999</v>
      </c>
      <c r="G75" s="86">
        <v>206.9</v>
      </c>
      <c r="H75" s="74">
        <v>1500</v>
      </c>
      <c r="I75" s="200" t="str">
        <f t="shared" si="1"/>
        <v>CORRECTO</v>
      </c>
      <c r="J75" s="88" t="s">
        <v>1522</v>
      </c>
      <c r="K75" s="69" t="s">
        <v>980</v>
      </c>
      <c r="L75" s="84" t="s">
        <v>227</v>
      </c>
      <c r="M75" s="136">
        <v>45910</v>
      </c>
      <c r="N75" s="75" t="s">
        <v>2720</v>
      </c>
      <c r="P75" s="89"/>
      <c r="Q75" s="89"/>
    </row>
    <row r="76" spans="1:17" x14ac:dyDescent="0.3">
      <c r="A76" s="16" t="s">
        <v>2642</v>
      </c>
      <c r="B76" s="16" t="s">
        <v>2643</v>
      </c>
      <c r="C76" s="28" t="s">
        <v>109</v>
      </c>
      <c r="D76" s="28" t="str">
        <f>IFERROR(VLOOKUP($C76,CUENTAS[],2,0),"")</f>
        <v>LOGÍSTICA</v>
      </c>
      <c r="E76" s="28" t="str">
        <f>IFERROR(VLOOKUP($C76,CUENTAS[],3,0),"")</f>
        <v>MDE2025-006A</v>
      </c>
      <c r="F76" s="86">
        <v>3784.5</v>
      </c>
      <c r="G76" s="86">
        <v>605.52</v>
      </c>
      <c r="H76" s="74">
        <v>4390.0200000000004</v>
      </c>
      <c r="I76" s="200" t="str">
        <f t="shared" si="1"/>
        <v>CORRECTO</v>
      </c>
      <c r="J76" s="88" t="s">
        <v>1522</v>
      </c>
      <c r="K76" s="69" t="s">
        <v>364</v>
      </c>
      <c r="L76" s="84" t="s">
        <v>227</v>
      </c>
      <c r="M76" s="136">
        <v>45910</v>
      </c>
      <c r="N76" s="75" t="s">
        <v>2721</v>
      </c>
      <c r="P76" s="89"/>
      <c r="Q76" s="89"/>
    </row>
    <row r="77" spans="1:17" x14ac:dyDescent="0.3">
      <c r="A77" s="16" t="s">
        <v>616</v>
      </c>
      <c r="B77" s="16" t="s">
        <v>2644</v>
      </c>
      <c r="C77" s="28" t="s">
        <v>223</v>
      </c>
      <c r="D77" s="28" t="str">
        <f>IFERROR(VLOOKUP($C77,CUENTAS[],2,0),"")</f>
        <v>MANTENIMIENTO</v>
      </c>
      <c r="E77" s="28" t="str">
        <f>IFERROR(VLOOKUP($C77,CUENTAS[],3,0),"")</f>
        <v>MDE2025-009B</v>
      </c>
      <c r="F77" s="86">
        <v>1758.62</v>
      </c>
      <c r="G77" s="86">
        <v>281.38</v>
      </c>
      <c r="H77" s="74">
        <v>2040</v>
      </c>
      <c r="I77" s="200" t="str">
        <f t="shared" si="1"/>
        <v>CORRECTO</v>
      </c>
      <c r="J77" s="88" t="s">
        <v>175</v>
      </c>
      <c r="K77" s="69" t="s">
        <v>360</v>
      </c>
      <c r="L77" s="84" t="s">
        <v>227</v>
      </c>
      <c r="M77" s="136">
        <v>45911</v>
      </c>
      <c r="N77" s="75" t="s">
        <v>2722</v>
      </c>
      <c r="P77" s="89"/>
      <c r="Q77" s="89"/>
    </row>
    <row r="78" spans="1:17" x14ac:dyDescent="0.3">
      <c r="A78" s="16" t="s">
        <v>2645</v>
      </c>
      <c r="B78" s="16" t="s">
        <v>2646</v>
      </c>
      <c r="C78" s="28" t="s">
        <v>224</v>
      </c>
      <c r="D78" s="28" t="str">
        <f>IFERROR(VLOOKUP($C78,CUENTAS[],2,0),"")</f>
        <v>MATERIALES</v>
      </c>
      <c r="E78" s="28" t="str">
        <f>IFERROR(VLOOKUP($C78,CUENTAS[],3,0),"")</f>
        <v>MDE2025-004</v>
      </c>
      <c r="F78" s="86">
        <v>98</v>
      </c>
      <c r="G78" s="86">
        <v>0</v>
      </c>
      <c r="H78" s="74">
        <v>98</v>
      </c>
      <c r="I78" s="200" t="str">
        <f t="shared" si="1"/>
        <v>CORRECTO</v>
      </c>
      <c r="J78" s="88" t="s">
        <v>1522</v>
      </c>
      <c r="K78" s="69" t="s">
        <v>362</v>
      </c>
      <c r="L78" s="84" t="s">
        <v>227</v>
      </c>
      <c r="M78" s="136">
        <v>45910</v>
      </c>
      <c r="N78" s="75" t="s">
        <v>2723</v>
      </c>
      <c r="P78" s="89"/>
      <c r="Q78" s="89"/>
    </row>
    <row r="79" spans="1:17" x14ac:dyDescent="0.3">
      <c r="A79" s="16" t="s">
        <v>1721</v>
      </c>
      <c r="B79" s="16" t="s">
        <v>2647</v>
      </c>
      <c r="C79" s="28" t="s">
        <v>224</v>
      </c>
      <c r="D79" s="28" t="str">
        <f>IFERROR(VLOOKUP($C79,CUENTAS[],2,0),"")</f>
        <v>MATERIALES</v>
      </c>
      <c r="E79" s="28" t="str">
        <f>IFERROR(VLOOKUP($C79,CUENTAS[],3,0),"")</f>
        <v>MDE2025-004</v>
      </c>
      <c r="F79" s="86">
        <v>265.52</v>
      </c>
      <c r="G79" s="86">
        <v>42.48</v>
      </c>
      <c r="H79" s="74">
        <v>308</v>
      </c>
      <c r="I79" s="200" t="str">
        <f t="shared" si="1"/>
        <v>CORRECTO</v>
      </c>
      <c r="J79" s="88" t="s">
        <v>1522</v>
      </c>
      <c r="K79" s="69" t="s">
        <v>980</v>
      </c>
      <c r="L79" s="84" t="s">
        <v>227</v>
      </c>
      <c r="M79" s="136">
        <v>45911</v>
      </c>
      <c r="N79" s="75" t="s">
        <v>2724</v>
      </c>
      <c r="P79" s="89"/>
      <c r="Q79" s="89"/>
    </row>
    <row r="80" spans="1:17" x14ac:dyDescent="0.3">
      <c r="A80" s="16" t="s">
        <v>284</v>
      </c>
      <c r="B80" s="16" t="s">
        <v>2648</v>
      </c>
      <c r="C80" s="28" t="s">
        <v>224</v>
      </c>
      <c r="D80" s="28" t="str">
        <f>IFERROR(VLOOKUP($C80,CUENTAS[],2,0),"")</f>
        <v>MATERIALES</v>
      </c>
      <c r="E80" s="28" t="str">
        <f>IFERROR(VLOOKUP($C80,CUENTAS[],3,0),"")</f>
        <v>MDE2025-004</v>
      </c>
      <c r="F80" s="86">
        <v>818.97</v>
      </c>
      <c r="G80" s="86">
        <v>131.03</v>
      </c>
      <c r="H80" s="74">
        <v>950</v>
      </c>
      <c r="I80" s="200" t="str">
        <f t="shared" si="1"/>
        <v>CORRECTO</v>
      </c>
      <c r="J80" s="88" t="s">
        <v>175</v>
      </c>
      <c r="K80" s="69" t="s">
        <v>472</v>
      </c>
      <c r="L80" s="84" t="s">
        <v>227</v>
      </c>
      <c r="M80" s="136">
        <v>45911</v>
      </c>
      <c r="N80" s="75" t="s">
        <v>2725</v>
      </c>
      <c r="P80" s="89"/>
      <c r="Q80" s="89"/>
    </row>
    <row r="81" spans="1:17" x14ac:dyDescent="0.3">
      <c r="A81" s="16" t="s">
        <v>284</v>
      </c>
      <c r="B81" s="16" t="s">
        <v>2649</v>
      </c>
      <c r="C81" s="28" t="s">
        <v>224</v>
      </c>
      <c r="D81" s="28" t="str">
        <f>IFERROR(VLOOKUP($C81,CUENTAS[],2,0),"")</f>
        <v>MATERIALES</v>
      </c>
      <c r="E81" s="28" t="str">
        <f>IFERROR(VLOOKUP($C81,CUENTAS[],3,0),"")</f>
        <v>MDE2025-004</v>
      </c>
      <c r="F81" s="86">
        <v>381.21</v>
      </c>
      <c r="G81" s="86">
        <v>60.99</v>
      </c>
      <c r="H81" s="74">
        <v>442.2</v>
      </c>
      <c r="I81" s="200" t="str">
        <f t="shared" si="1"/>
        <v>CORRECTO</v>
      </c>
      <c r="J81" s="88" t="s">
        <v>175</v>
      </c>
      <c r="K81" s="69" t="s">
        <v>472</v>
      </c>
      <c r="L81" s="84" t="s">
        <v>227</v>
      </c>
      <c r="M81" s="136">
        <v>45911</v>
      </c>
      <c r="N81" s="75">
        <v>178122</v>
      </c>
      <c r="P81" s="89"/>
      <c r="Q81" s="89"/>
    </row>
    <row r="82" spans="1:17" x14ac:dyDescent="0.3">
      <c r="A82" s="16" t="s">
        <v>284</v>
      </c>
      <c r="B82" s="16" t="s">
        <v>2650</v>
      </c>
      <c r="C82" s="28" t="s">
        <v>224</v>
      </c>
      <c r="D82" s="28" t="str">
        <f>IFERROR(VLOOKUP($C82,CUENTAS[],2,0),"")</f>
        <v>MATERIALES</v>
      </c>
      <c r="E82" s="28" t="str">
        <f>IFERROR(VLOOKUP($C82,CUENTAS[],3,0),"")</f>
        <v>MDE2025-004</v>
      </c>
      <c r="F82" s="86">
        <v>630</v>
      </c>
      <c r="G82" s="86">
        <v>100.8</v>
      </c>
      <c r="H82" s="74">
        <v>730.8</v>
      </c>
      <c r="I82" s="200" t="str">
        <f t="shared" si="1"/>
        <v>CORRECTO</v>
      </c>
      <c r="J82" s="88" t="s">
        <v>175</v>
      </c>
      <c r="K82" s="69" t="s">
        <v>472</v>
      </c>
      <c r="L82" s="84" t="s">
        <v>227</v>
      </c>
      <c r="M82" s="136">
        <v>45911</v>
      </c>
      <c r="N82" s="75" t="s">
        <v>2726</v>
      </c>
      <c r="P82" s="89"/>
      <c r="Q82" s="89"/>
    </row>
    <row r="83" spans="1:17" x14ac:dyDescent="0.3">
      <c r="A83" s="16" t="s">
        <v>2651</v>
      </c>
      <c r="B83" s="16" t="s">
        <v>2652</v>
      </c>
      <c r="C83" s="28" t="s">
        <v>224</v>
      </c>
      <c r="D83" s="28" t="str">
        <f>IFERROR(VLOOKUP($C83,CUENTAS[],2,0),"")</f>
        <v>MATERIALES</v>
      </c>
      <c r="E83" s="28" t="str">
        <f>IFERROR(VLOOKUP($C83,CUENTAS[],3,0),"")</f>
        <v>MDE2025-004</v>
      </c>
      <c r="F83" s="86">
        <v>464</v>
      </c>
      <c r="G83" s="86">
        <v>0</v>
      </c>
      <c r="H83" s="74">
        <v>464</v>
      </c>
      <c r="I83" s="200" t="str">
        <f t="shared" si="1"/>
        <v>CORRECTO</v>
      </c>
      <c r="J83" s="88" t="s">
        <v>175</v>
      </c>
      <c r="K83" s="69" t="s">
        <v>980</v>
      </c>
      <c r="L83" s="84" t="s">
        <v>227</v>
      </c>
      <c r="M83" s="136">
        <v>45911</v>
      </c>
      <c r="N83" s="75" t="s">
        <v>2727</v>
      </c>
      <c r="P83" s="89"/>
      <c r="Q83" s="89"/>
    </row>
    <row r="84" spans="1:17" x14ac:dyDescent="0.3">
      <c r="A84" s="16" t="s">
        <v>1361</v>
      </c>
      <c r="B84" s="16" t="s">
        <v>2653</v>
      </c>
      <c r="C84" s="28" t="s">
        <v>224</v>
      </c>
      <c r="D84" s="28" t="str">
        <f>IFERROR(VLOOKUP($C84,CUENTAS[],2,0),"")</f>
        <v>MATERIALES</v>
      </c>
      <c r="E84" s="28" t="str">
        <f>IFERROR(VLOOKUP($C84,CUENTAS[],3,0),"")</f>
        <v>MDE2025-004</v>
      </c>
      <c r="F84" s="86">
        <v>2300</v>
      </c>
      <c r="G84" s="86">
        <v>0</v>
      </c>
      <c r="H84" s="74">
        <v>2300</v>
      </c>
      <c r="I84" s="200" t="str">
        <f t="shared" si="1"/>
        <v>CORRECTO</v>
      </c>
      <c r="J84" s="88" t="s">
        <v>175</v>
      </c>
      <c r="K84" s="69" t="s">
        <v>980</v>
      </c>
      <c r="L84" s="84" t="s">
        <v>227</v>
      </c>
      <c r="M84" s="136">
        <v>45912</v>
      </c>
      <c r="N84" s="75" t="s">
        <v>2728</v>
      </c>
      <c r="P84" s="89"/>
      <c r="Q84" s="89"/>
    </row>
    <row r="85" spans="1:17" x14ac:dyDescent="0.3">
      <c r="A85" s="16" t="s">
        <v>2654</v>
      </c>
      <c r="B85" s="16" t="s">
        <v>2655</v>
      </c>
      <c r="C85" s="28" t="s">
        <v>223</v>
      </c>
      <c r="D85" s="28" t="str">
        <f>IFERROR(VLOOKUP($C85,CUENTAS[],2,0),"")</f>
        <v>MANTENIMIENTO</v>
      </c>
      <c r="E85" s="28" t="str">
        <f>IFERROR(VLOOKUP($C85,CUENTAS[],3,0),"")</f>
        <v>MDE2025-009B</v>
      </c>
      <c r="F85" s="86">
        <v>3729.84</v>
      </c>
      <c r="G85" s="86">
        <v>596.78</v>
      </c>
      <c r="H85" s="74">
        <v>4326.62</v>
      </c>
      <c r="I85" s="200" t="str">
        <f t="shared" si="1"/>
        <v>CORRECTO</v>
      </c>
      <c r="J85" s="88" t="s">
        <v>1522</v>
      </c>
      <c r="K85" s="69" t="s">
        <v>364</v>
      </c>
      <c r="L85" s="84" t="s">
        <v>227</v>
      </c>
      <c r="M85" s="136">
        <v>45915</v>
      </c>
      <c r="N85" s="75" t="s">
        <v>2729</v>
      </c>
      <c r="P85" s="89"/>
      <c r="Q85" s="89"/>
    </row>
    <row r="86" spans="1:17" x14ac:dyDescent="0.3">
      <c r="A86" s="16" t="s">
        <v>1528</v>
      </c>
      <c r="B86" s="16" t="s">
        <v>2656</v>
      </c>
      <c r="C86" s="28" t="s">
        <v>224</v>
      </c>
      <c r="D86" s="28" t="str">
        <f>IFERROR(VLOOKUP($C86,CUENTAS[],2,0),"")</f>
        <v>MATERIALES</v>
      </c>
      <c r="E86" s="28" t="str">
        <f>IFERROR(VLOOKUP($C86,CUENTAS[],3,0),"")</f>
        <v>MDE2025-004</v>
      </c>
      <c r="F86" s="86">
        <v>1089.1199999999999</v>
      </c>
      <c r="G86" s="86">
        <v>174.26</v>
      </c>
      <c r="H86" s="74">
        <v>1263.3800000000001</v>
      </c>
      <c r="I86" s="200" t="str">
        <f t="shared" si="1"/>
        <v>CORRECTO</v>
      </c>
      <c r="J86" s="88" t="s">
        <v>1522</v>
      </c>
      <c r="K86" s="69" t="s">
        <v>980</v>
      </c>
      <c r="L86" s="84" t="s">
        <v>227</v>
      </c>
      <c r="M86" s="136">
        <v>45915</v>
      </c>
      <c r="N86" s="75" t="s">
        <v>2730</v>
      </c>
      <c r="P86" s="89"/>
      <c r="Q86" s="89"/>
    </row>
    <row r="87" spans="1:17" x14ac:dyDescent="0.3">
      <c r="A87" s="16" t="s">
        <v>2657</v>
      </c>
      <c r="B87" s="16" t="s">
        <v>2658</v>
      </c>
      <c r="C87" s="28" t="s">
        <v>224</v>
      </c>
      <c r="D87" s="28" t="str">
        <f>IFERROR(VLOOKUP($C87,CUENTAS[],2,0),"")</f>
        <v>MATERIALES</v>
      </c>
      <c r="E87" s="28" t="str">
        <f>IFERROR(VLOOKUP($C87,CUENTAS[],3,0),"")</f>
        <v>MDE2025-004</v>
      </c>
      <c r="F87" s="86">
        <v>415</v>
      </c>
      <c r="G87" s="86">
        <v>66.400000000000006</v>
      </c>
      <c r="H87" s="74">
        <v>481.4</v>
      </c>
      <c r="I87" s="200" t="str">
        <f t="shared" si="1"/>
        <v>CORRECTO</v>
      </c>
      <c r="J87" s="88" t="s">
        <v>1522</v>
      </c>
      <c r="K87" s="69" t="s">
        <v>980</v>
      </c>
      <c r="L87" s="84" t="s">
        <v>227</v>
      </c>
      <c r="M87" s="136">
        <v>45915</v>
      </c>
      <c r="N87" s="75" t="s">
        <v>2731</v>
      </c>
      <c r="P87" s="89"/>
      <c r="Q87" s="89"/>
    </row>
    <row r="88" spans="1:17" x14ac:dyDescent="0.3">
      <c r="A88" s="16" t="s">
        <v>2659</v>
      </c>
      <c r="B88" s="16" t="s">
        <v>2660</v>
      </c>
      <c r="C88" s="28" t="s">
        <v>151</v>
      </c>
      <c r="D88" s="28" t="str">
        <f>IFERROR(VLOOKUP($C88,CUENTAS[],2,0),"")</f>
        <v>GASTOS FIJOS</v>
      </c>
      <c r="E88" s="28" t="str">
        <f>IFERROR(VLOOKUP($C88,CUENTAS[],3,0),"")</f>
        <v>MDE2025-002F</v>
      </c>
      <c r="F88" s="86">
        <v>1608</v>
      </c>
      <c r="G88" s="86">
        <v>0</v>
      </c>
      <c r="H88" s="74">
        <v>1608</v>
      </c>
      <c r="I88" s="200" t="str">
        <f t="shared" si="1"/>
        <v>CORRECTO</v>
      </c>
      <c r="J88" s="88" t="s">
        <v>1522</v>
      </c>
      <c r="K88" s="69" t="s">
        <v>363</v>
      </c>
      <c r="L88" s="84" t="s">
        <v>227</v>
      </c>
      <c r="M88" s="136">
        <v>45917</v>
      </c>
      <c r="N88" s="75" t="s">
        <v>2732</v>
      </c>
      <c r="P88" s="89"/>
      <c r="Q88" s="89"/>
    </row>
    <row r="89" spans="1:17" x14ac:dyDescent="0.3">
      <c r="A89" s="16" t="s">
        <v>236</v>
      </c>
      <c r="B89" s="16" t="s">
        <v>2661</v>
      </c>
      <c r="C89" s="28" t="s">
        <v>223</v>
      </c>
      <c r="D89" s="28" t="str">
        <f>IFERROR(VLOOKUP($C89,CUENTAS[],2,0),"")</f>
        <v>MANTENIMIENTO</v>
      </c>
      <c r="E89" s="28" t="str">
        <f>IFERROR(VLOOKUP($C89,CUENTAS[],3,0),"")</f>
        <v>MDE2025-009B</v>
      </c>
      <c r="F89" s="86">
        <v>3500</v>
      </c>
      <c r="G89" s="86">
        <v>0</v>
      </c>
      <c r="H89" s="74">
        <v>3500</v>
      </c>
      <c r="I89" s="200" t="str">
        <f t="shared" si="1"/>
        <v>CORRECTO</v>
      </c>
      <c r="J89" s="88" t="s">
        <v>175</v>
      </c>
      <c r="K89" s="69" t="s">
        <v>363</v>
      </c>
      <c r="L89" s="84" t="s">
        <v>227</v>
      </c>
      <c r="M89" s="136">
        <v>45917</v>
      </c>
      <c r="N89" s="75" t="s">
        <v>371</v>
      </c>
      <c r="P89" s="89"/>
      <c r="Q89" s="89"/>
    </row>
    <row r="90" spans="1:17" x14ac:dyDescent="0.3">
      <c r="A90" s="16" t="s">
        <v>238</v>
      </c>
      <c r="B90" s="16" t="s">
        <v>2662</v>
      </c>
      <c r="C90" s="28" t="s">
        <v>223</v>
      </c>
      <c r="D90" s="28" t="str">
        <f>IFERROR(VLOOKUP($C90,CUENTAS[],2,0),"")</f>
        <v>MANTENIMIENTO</v>
      </c>
      <c r="E90" s="28" t="str">
        <f>IFERROR(VLOOKUP($C90,CUENTAS[],3,0),"")</f>
        <v>MDE2025-009B</v>
      </c>
      <c r="F90" s="86">
        <v>2773.34</v>
      </c>
      <c r="G90" s="86">
        <v>0</v>
      </c>
      <c r="H90" s="74">
        <v>2773.34</v>
      </c>
      <c r="I90" s="200" t="str">
        <f t="shared" si="1"/>
        <v>CORRECTO</v>
      </c>
      <c r="J90" s="88" t="s">
        <v>175</v>
      </c>
      <c r="K90" s="69" t="s">
        <v>363</v>
      </c>
      <c r="L90" s="84" t="s">
        <v>227</v>
      </c>
      <c r="M90" s="136">
        <v>45917</v>
      </c>
      <c r="N90" s="75" t="s">
        <v>371</v>
      </c>
      <c r="P90" s="89"/>
      <c r="Q90" s="89"/>
    </row>
    <row r="91" spans="1:17" x14ac:dyDescent="0.3">
      <c r="A91" s="16" t="s">
        <v>2074</v>
      </c>
      <c r="B91" s="16" t="s">
        <v>2663</v>
      </c>
      <c r="C91" s="28" t="s">
        <v>159</v>
      </c>
      <c r="D91" s="28" t="str">
        <f>IFERROR(VLOOKUP($C91,CUENTAS[],2,0),"")</f>
        <v>GASTOS VARIOS</v>
      </c>
      <c r="E91" s="28" t="str">
        <f>IFERROR(VLOOKUP($C91,CUENTAS[],3,0),"")</f>
        <v>MDE2025-003A</v>
      </c>
      <c r="F91" s="86">
        <v>469.83</v>
      </c>
      <c r="G91" s="86">
        <v>75.17</v>
      </c>
      <c r="H91" s="74">
        <v>545</v>
      </c>
      <c r="I91" s="200" t="str">
        <f t="shared" si="1"/>
        <v>CORRECTO</v>
      </c>
      <c r="J91" s="88" t="s">
        <v>1522</v>
      </c>
      <c r="K91" s="69" t="s">
        <v>362</v>
      </c>
      <c r="L91" s="84" t="s">
        <v>227</v>
      </c>
      <c r="M91" s="136">
        <v>45917</v>
      </c>
      <c r="N91" s="75" t="s">
        <v>2733</v>
      </c>
      <c r="P91" s="89"/>
      <c r="Q91" s="89"/>
    </row>
    <row r="92" spans="1:17" x14ac:dyDescent="0.3">
      <c r="A92" s="16" t="s">
        <v>616</v>
      </c>
      <c r="B92" s="16" t="s">
        <v>2664</v>
      </c>
      <c r="C92" s="28" t="s">
        <v>223</v>
      </c>
      <c r="D92" s="28" t="str">
        <f>IFERROR(VLOOKUP($C92,CUENTAS[],2,0),"")</f>
        <v>MANTENIMIENTO</v>
      </c>
      <c r="E92" s="28" t="str">
        <f>IFERROR(VLOOKUP($C92,CUENTAS[],3,0),"")</f>
        <v>MDE2025-009B</v>
      </c>
      <c r="F92" s="86">
        <v>2469.83</v>
      </c>
      <c r="G92" s="86">
        <v>395.17</v>
      </c>
      <c r="H92" s="74">
        <v>2865</v>
      </c>
      <c r="I92" s="200" t="str">
        <f t="shared" si="1"/>
        <v>CORRECTO</v>
      </c>
      <c r="J92" s="88" t="s">
        <v>175</v>
      </c>
      <c r="K92" s="69" t="s">
        <v>363</v>
      </c>
      <c r="L92" s="84" t="s">
        <v>227</v>
      </c>
      <c r="M92" s="136">
        <v>45917</v>
      </c>
      <c r="N92" s="75" t="s">
        <v>2734</v>
      </c>
      <c r="P92" s="89"/>
      <c r="Q92" s="89"/>
    </row>
    <row r="93" spans="1:17" x14ac:dyDescent="0.3">
      <c r="A93" s="16" t="s">
        <v>616</v>
      </c>
      <c r="B93" s="16" t="s">
        <v>2665</v>
      </c>
      <c r="C93" s="28" t="s">
        <v>224</v>
      </c>
      <c r="D93" s="28" t="str">
        <f>IFERROR(VLOOKUP($C93,CUENTAS[],2,0),"")</f>
        <v>MATERIALES</v>
      </c>
      <c r="E93" s="28" t="str">
        <f>IFERROR(VLOOKUP($C93,CUENTAS[],3,0),"")</f>
        <v>MDE2025-004</v>
      </c>
      <c r="F93" s="86">
        <v>306.02999999999997</v>
      </c>
      <c r="G93" s="86">
        <v>48.97</v>
      </c>
      <c r="H93" s="74">
        <v>355</v>
      </c>
      <c r="I93" s="200" t="str">
        <f t="shared" si="1"/>
        <v>CORRECTO</v>
      </c>
      <c r="J93" s="88" t="s">
        <v>1522</v>
      </c>
      <c r="K93" s="69" t="s">
        <v>363</v>
      </c>
      <c r="L93" s="84" t="s">
        <v>227</v>
      </c>
      <c r="M93" s="136">
        <v>45918</v>
      </c>
      <c r="N93" s="75" t="s">
        <v>2735</v>
      </c>
      <c r="P93" s="89"/>
      <c r="Q93" s="89"/>
    </row>
    <row r="94" spans="1:17" x14ac:dyDescent="0.3">
      <c r="A94" s="16" t="s">
        <v>270</v>
      </c>
      <c r="B94" s="16" t="s">
        <v>2666</v>
      </c>
      <c r="C94" s="28" t="s">
        <v>223</v>
      </c>
      <c r="D94" s="28" t="str">
        <f>IFERROR(VLOOKUP($C94,CUENTAS[],2,0),"")</f>
        <v>MANTENIMIENTO</v>
      </c>
      <c r="E94" s="28" t="str">
        <f>IFERROR(VLOOKUP($C94,CUENTAS[],3,0),"")</f>
        <v>MDE2025-009B</v>
      </c>
      <c r="F94" s="86">
        <v>7500</v>
      </c>
      <c r="G94" s="86">
        <v>0</v>
      </c>
      <c r="H94" s="74">
        <v>7500</v>
      </c>
      <c r="I94" s="200" t="str">
        <f t="shared" si="1"/>
        <v>CORRECTO</v>
      </c>
      <c r="J94" s="88" t="s">
        <v>175</v>
      </c>
      <c r="K94" s="69" t="s">
        <v>363</v>
      </c>
      <c r="L94" s="84" t="s">
        <v>227</v>
      </c>
      <c r="M94" s="136">
        <v>45918</v>
      </c>
      <c r="N94" s="75" t="s">
        <v>371</v>
      </c>
      <c r="P94" s="89"/>
      <c r="Q94" s="89"/>
    </row>
    <row r="95" spans="1:17" x14ac:dyDescent="0.3">
      <c r="A95" s="16" t="s">
        <v>2667</v>
      </c>
      <c r="B95" s="16" t="s">
        <v>2668</v>
      </c>
      <c r="C95" s="28" t="s">
        <v>223</v>
      </c>
      <c r="D95" s="28" t="str">
        <f>IFERROR(VLOOKUP($C95,CUENTAS[],2,0),"")</f>
        <v>MANTENIMIENTO</v>
      </c>
      <c r="E95" s="28" t="str">
        <f>IFERROR(VLOOKUP($C95,CUENTAS[],3,0),"")</f>
        <v>MDE2025-009B</v>
      </c>
      <c r="F95" s="86">
        <v>2320.5500000000002</v>
      </c>
      <c r="G95" s="86">
        <v>371.29</v>
      </c>
      <c r="H95" s="74">
        <v>2691.84</v>
      </c>
      <c r="I95" s="200" t="str">
        <f t="shared" si="1"/>
        <v>CORRECTO</v>
      </c>
      <c r="J95" s="88" t="s">
        <v>1522</v>
      </c>
      <c r="K95" s="69" t="s">
        <v>980</v>
      </c>
      <c r="L95" s="84" t="s">
        <v>227</v>
      </c>
      <c r="M95" s="135">
        <v>45918</v>
      </c>
      <c r="N95" s="75" t="s">
        <v>2736</v>
      </c>
      <c r="P95" s="89"/>
      <c r="Q95" s="89"/>
    </row>
    <row r="96" spans="1:17" x14ac:dyDescent="0.3">
      <c r="A96" s="16" t="s">
        <v>2669</v>
      </c>
      <c r="B96" s="16" t="s">
        <v>2670</v>
      </c>
      <c r="C96" s="28" t="s">
        <v>224</v>
      </c>
      <c r="D96" s="28" t="str">
        <f>IFERROR(VLOOKUP($C96,CUENTAS[],2,0),"")</f>
        <v>MATERIALES</v>
      </c>
      <c r="E96" s="28" t="str">
        <f>IFERROR(VLOOKUP($C96,CUENTAS[],3,0),"")</f>
        <v>MDE2025-004</v>
      </c>
      <c r="F96" s="86">
        <v>1064</v>
      </c>
      <c r="G96" s="86">
        <v>170.24</v>
      </c>
      <c r="H96" s="74">
        <v>1234.24</v>
      </c>
      <c r="I96" s="200" t="str">
        <f t="shared" si="1"/>
        <v>CORRECTO</v>
      </c>
      <c r="J96" s="88" t="s">
        <v>1522</v>
      </c>
      <c r="K96" s="69" t="s">
        <v>980</v>
      </c>
      <c r="L96" s="84" t="s">
        <v>227</v>
      </c>
      <c r="M96" s="135">
        <v>45918</v>
      </c>
      <c r="N96" s="75" t="s">
        <v>2737</v>
      </c>
      <c r="P96" s="89"/>
      <c r="Q96" s="89"/>
    </row>
    <row r="97" spans="1:17" x14ac:dyDescent="0.3">
      <c r="A97" s="16" t="s">
        <v>2350</v>
      </c>
      <c r="B97" s="16" t="s">
        <v>2671</v>
      </c>
      <c r="C97" s="28" t="s">
        <v>224</v>
      </c>
      <c r="D97" s="28" t="str">
        <f>IFERROR(VLOOKUP($C97,CUENTAS[],2,0),"")</f>
        <v>MATERIALES</v>
      </c>
      <c r="E97" s="28" t="str">
        <f>IFERROR(VLOOKUP($C97,CUENTAS[],3,0),"")</f>
        <v>MDE2025-004</v>
      </c>
      <c r="F97" s="86">
        <v>696</v>
      </c>
      <c r="G97" s="86">
        <v>0</v>
      </c>
      <c r="H97" s="74">
        <v>696</v>
      </c>
      <c r="I97" s="200" t="str">
        <f t="shared" si="1"/>
        <v>CORRECTO</v>
      </c>
      <c r="J97" s="88" t="s">
        <v>1522</v>
      </c>
      <c r="K97" s="69" t="s">
        <v>472</v>
      </c>
      <c r="L97" s="84" t="s">
        <v>227</v>
      </c>
      <c r="M97" s="135">
        <v>45918</v>
      </c>
      <c r="N97" s="75" t="s">
        <v>2738</v>
      </c>
      <c r="P97" s="89"/>
      <c r="Q97" s="89"/>
    </row>
    <row r="98" spans="1:17" x14ac:dyDescent="0.3">
      <c r="A98" s="16" t="s">
        <v>2672</v>
      </c>
      <c r="B98" s="16" t="s">
        <v>2673</v>
      </c>
      <c r="C98" s="28" t="s">
        <v>224</v>
      </c>
      <c r="D98" s="28" t="str">
        <f>IFERROR(VLOOKUP($C98,CUENTAS[],2,0),"")</f>
        <v>MATERIALES</v>
      </c>
      <c r="E98" s="28" t="str">
        <f>IFERROR(VLOOKUP($C98,CUENTAS[],3,0),"")</f>
        <v>MDE2025-004</v>
      </c>
      <c r="F98" s="86">
        <v>100</v>
      </c>
      <c r="G98" s="86">
        <v>0</v>
      </c>
      <c r="H98" s="74">
        <v>100</v>
      </c>
      <c r="I98" s="200" t="str">
        <f t="shared" si="1"/>
        <v>CORRECTO</v>
      </c>
      <c r="J98" s="88" t="s">
        <v>1522</v>
      </c>
      <c r="K98" s="69" t="s">
        <v>472</v>
      </c>
      <c r="L98" s="84" t="s">
        <v>227</v>
      </c>
      <c r="M98" s="135">
        <v>45918</v>
      </c>
      <c r="N98" s="75" t="s">
        <v>2739</v>
      </c>
      <c r="P98" s="89"/>
      <c r="Q98" s="89"/>
    </row>
    <row r="99" spans="1:17" x14ac:dyDescent="0.3">
      <c r="A99" s="16" t="s">
        <v>2076</v>
      </c>
      <c r="B99" s="16" t="s">
        <v>2674</v>
      </c>
      <c r="C99" s="28" t="s">
        <v>224</v>
      </c>
      <c r="D99" s="28" t="str">
        <f>IFERROR(VLOOKUP($C99,CUENTAS[],2,0),"")</f>
        <v>MATERIALES</v>
      </c>
      <c r="E99" s="28" t="str">
        <f>IFERROR(VLOOKUP($C99,CUENTAS[],3,0),"")</f>
        <v>MDE2025-004</v>
      </c>
      <c r="F99" s="86">
        <v>159.44999999999999</v>
      </c>
      <c r="G99" s="86">
        <v>25.51</v>
      </c>
      <c r="H99" s="74">
        <v>184.96</v>
      </c>
      <c r="I99" s="200" t="str">
        <f t="shared" si="1"/>
        <v>CORRECTO</v>
      </c>
      <c r="J99" s="88" t="s">
        <v>1522</v>
      </c>
      <c r="K99" s="69" t="s">
        <v>472</v>
      </c>
      <c r="L99" s="84" t="s">
        <v>227</v>
      </c>
      <c r="M99" s="135">
        <v>45918</v>
      </c>
      <c r="N99" s="75" t="s">
        <v>2740</v>
      </c>
      <c r="P99" s="89"/>
      <c r="Q99" s="89"/>
    </row>
    <row r="100" spans="1:17" x14ac:dyDescent="0.3">
      <c r="A100" s="16" t="s">
        <v>619</v>
      </c>
      <c r="B100" s="16" t="s">
        <v>2675</v>
      </c>
      <c r="C100" s="28" t="s">
        <v>224</v>
      </c>
      <c r="D100" s="28" t="str">
        <f>IFERROR(VLOOKUP($C100,CUENTAS[],2,0),"")</f>
        <v>MATERIALES</v>
      </c>
      <c r="E100" s="28" t="str">
        <f>IFERROR(VLOOKUP($C100,CUENTAS[],3,0),"")</f>
        <v>MDE2025-004</v>
      </c>
      <c r="F100" s="86">
        <v>96</v>
      </c>
      <c r="G100" s="86">
        <v>0</v>
      </c>
      <c r="H100" s="74">
        <v>96</v>
      </c>
      <c r="I100" s="200" t="str">
        <f t="shared" si="1"/>
        <v>CORRECTO</v>
      </c>
      <c r="J100" s="88" t="s">
        <v>1522</v>
      </c>
      <c r="K100" s="69" t="s">
        <v>472</v>
      </c>
      <c r="L100" s="84" t="s">
        <v>227</v>
      </c>
      <c r="M100" s="135">
        <v>45918</v>
      </c>
      <c r="N100" s="75" t="s">
        <v>2741</v>
      </c>
      <c r="P100" s="89"/>
      <c r="Q100" s="89"/>
    </row>
    <row r="101" spans="1:17" x14ac:dyDescent="0.3">
      <c r="A101" s="16" t="s">
        <v>619</v>
      </c>
      <c r="B101" s="16" t="s">
        <v>2676</v>
      </c>
      <c r="C101" s="28" t="s">
        <v>222</v>
      </c>
      <c r="D101" s="28" t="str">
        <f>IFERROR(VLOOKUP($C101,CUENTAS[],2,0),"")</f>
        <v>MANTENIMIENTO</v>
      </c>
      <c r="E101" s="28" t="str">
        <f>IFERROR(VLOOKUP($C101,CUENTAS[],3,0),"")</f>
        <v>MDE2025-009A</v>
      </c>
      <c r="F101" s="86">
        <v>51.72</v>
      </c>
      <c r="G101" s="86">
        <v>8.2799999999999994</v>
      </c>
      <c r="H101" s="74">
        <v>60</v>
      </c>
      <c r="I101" s="200" t="str">
        <f t="shared" si="1"/>
        <v>CORRECTO</v>
      </c>
      <c r="J101" s="88" t="s">
        <v>1522</v>
      </c>
      <c r="K101" s="69" t="s">
        <v>1232</v>
      </c>
      <c r="L101" s="84" t="s">
        <v>227</v>
      </c>
      <c r="M101" s="135">
        <v>45918</v>
      </c>
      <c r="N101" s="75" t="s">
        <v>2742</v>
      </c>
      <c r="P101" s="89"/>
      <c r="Q101" s="89"/>
    </row>
    <row r="102" spans="1:17" x14ac:dyDescent="0.3">
      <c r="A102" s="16" t="s">
        <v>619</v>
      </c>
      <c r="B102" s="16" t="s">
        <v>2677</v>
      </c>
      <c r="C102" s="28" t="s">
        <v>224</v>
      </c>
      <c r="D102" s="28" t="str">
        <f>IFERROR(VLOOKUP($C102,CUENTAS[],2,0),"")</f>
        <v>MATERIALES</v>
      </c>
      <c r="E102" s="28" t="str">
        <f>IFERROR(VLOOKUP($C102,CUENTAS[],3,0),"")</f>
        <v>MDE2025-004</v>
      </c>
      <c r="F102" s="86">
        <v>224.14</v>
      </c>
      <c r="G102" s="86">
        <v>35.86</v>
      </c>
      <c r="H102" s="74">
        <v>260</v>
      </c>
      <c r="I102" s="200" t="str">
        <f t="shared" si="1"/>
        <v>CORRECTO</v>
      </c>
      <c r="J102" s="88" t="s">
        <v>1522</v>
      </c>
      <c r="K102" s="69" t="s">
        <v>980</v>
      </c>
      <c r="L102" s="84" t="s">
        <v>227</v>
      </c>
      <c r="M102" s="135">
        <v>45918</v>
      </c>
      <c r="N102" s="75" t="s">
        <v>2743</v>
      </c>
      <c r="P102" s="89"/>
      <c r="Q102" s="89"/>
    </row>
    <row r="103" spans="1:17" x14ac:dyDescent="0.3">
      <c r="A103" s="16" t="s">
        <v>857</v>
      </c>
      <c r="B103" s="16" t="s">
        <v>2678</v>
      </c>
      <c r="C103" s="28" t="s">
        <v>224</v>
      </c>
      <c r="D103" s="28" t="str">
        <f>IFERROR(VLOOKUP($C103,CUENTAS[],2,0),"")</f>
        <v>MATERIALES</v>
      </c>
      <c r="E103" s="28" t="str">
        <f>IFERROR(VLOOKUP($C103,CUENTAS[],3,0),"")</f>
        <v>MDE2025-004</v>
      </c>
      <c r="F103" s="86">
        <v>457.76</v>
      </c>
      <c r="G103" s="86">
        <v>73.239999999999995</v>
      </c>
      <c r="H103" s="74">
        <v>531</v>
      </c>
      <c r="I103" s="200" t="str">
        <f t="shared" si="1"/>
        <v>CORRECTO</v>
      </c>
      <c r="J103" s="88" t="s">
        <v>1522</v>
      </c>
      <c r="K103" s="69" t="s">
        <v>980</v>
      </c>
      <c r="L103" s="84" t="s">
        <v>227</v>
      </c>
      <c r="M103" s="135">
        <v>45918</v>
      </c>
      <c r="N103" s="75" t="s">
        <v>2744</v>
      </c>
      <c r="P103" s="89"/>
      <c r="Q103" s="89"/>
    </row>
    <row r="104" spans="1:17" x14ac:dyDescent="0.3">
      <c r="A104" s="16" t="s">
        <v>2679</v>
      </c>
      <c r="B104" s="16" t="s">
        <v>2680</v>
      </c>
      <c r="C104" s="28" t="s">
        <v>224</v>
      </c>
      <c r="D104" s="28" t="str">
        <f>IFERROR(VLOOKUP($C104,CUENTAS[],2,0),"")</f>
        <v>MATERIALES</v>
      </c>
      <c r="E104" s="28" t="str">
        <f>IFERROR(VLOOKUP($C104,CUENTAS[],3,0),"")</f>
        <v>MDE2025-004</v>
      </c>
      <c r="F104" s="86">
        <v>244</v>
      </c>
      <c r="G104" s="86">
        <v>39.04</v>
      </c>
      <c r="H104" s="74">
        <v>283.04000000000002</v>
      </c>
      <c r="I104" s="200" t="str">
        <f t="shared" si="1"/>
        <v>CORRECTO</v>
      </c>
      <c r="J104" s="88" t="s">
        <v>1522</v>
      </c>
      <c r="K104" s="69" t="s">
        <v>980</v>
      </c>
      <c r="L104" s="84" t="s">
        <v>227</v>
      </c>
      <c r="M104" s="148">
        <v>45919</v>
      </c>
      <c r="N104" s="75" t="s">
        <v>2745</v>
      </c>
      <c r="P104" s="89"/>
      <c r="Q104" s="89"/>
    </row>
    <row r="105" spans="1:17" x14ac:dyDescent="0.3">
      <c r="A105" s="16" t="s">
        <v>2679</v>
      </c>
      <c r="B105" s="16" t="s">
        <v>2681</v>
      </c>
      <c r="C105" s="28" t="s">
        <v>224</v>
      </c>
      <c r="D105" s="28" t="str">
        <f>IFERROR(VLOOKUP($C105,CUENTAS[],2,0),"")</f>
        <v>MATERIALES</v>
      </c>
      <c r="E105" s="28" t="str">
        <f>IFERROR(VLOOKUP($C105,CUENTAS[],3,0),"")</f>
        <v>MDE2025-004</v>
      </c>
      <c r="F105" s="86">
        <v>55.39</v>
      </c>
      <c r="G105" s="86">
        <v>8.86</v>
      </c>
      <c r="H105" s="74">
        <v>64.25</v>
      </c>
      <c r="I105" s="200" t="str">
        <f t="shared" si="1"/>
        <v>CORRECTO</v>
      </c>
      <c r="J105" s="88" t="s">
        <v>1522</v>
      </c>
      <c r="K105" s="69" t="s">
        <v>980</v>
      </c>
      <c r="L105" s="84" t="s">
        <v>227</v>
      </c>
      <c r="M105" s="136">
        <v>45919</v>
      </c>
      <c r="N105" s="75" t="s">
        <v>2746</v>
      </c>
      <c r="P105" s="89"/>
      <c r="Q105" s="89"/>
    </row>
    <row r="106" spans="1:17" x14ac:dyDescent="0.3">
      <c r="A106" s="16" t="s">
        <v>2669</v>
      </c>
      <c r="B106" s="16" t="s">
        <v>2682</v>
      </c>
      <c r="C106" s="28" t="s">
        <v>224</v>
      </c>
      <c r="D106" s="28" t="str">
        <f>IFERROR(VLOOKUP($C106,CUENTAS[],2,0),"")</f>
        <v>MATERIALES</v>
      </c>
      <c r="E106" s="28" t="str">
        <f>IFERROR(VLOOKUP($C106,CUENTAS[],3,0),"")</f>
        <v>MDE2025-004</v>
      </c>
      <c r="F106" s="86">
        <v>227.5</v>
      </c>
      <c r="G106" s="86">
        <v>36.4</v>
      </c>
      <c r="H106" s="74">
        <v>263.89999999999998</v>
      </c>
      <c r="I106" s="200" t="str">
        <f t="shared" si="1"/>
        <v>CORRECTO</v>
      </c>
      <c r="J106" s="88" t="s">
        <v>1522</v>
      </c>
      <c r="K106" s="69" t="s">
        <v>980</v>
      </c>
      <c r="L106" s="84" t="s">
        <v>227</v>
      </c>
      <c r="M106" s="135">
        <v>45919</v>
      </c>
      <c r="N106" s="75" t="s">
        <v>2747</v>
      </c>
      <c r="P106" s="89"/>
      <c r="Q106" s="89"/>
    </row>
    <row r="107" spans="1:17" x14ac:dyDescent="0.3">
      <c r="A107" s="16" t="s">
        <v>857</v>
      </c>
      <c r="B107" s="16" t="s">
        <v>2683</v>
      </c>
      <c r="C107" s="28" t="s">
        <v>224</v>
      </c>
      <c r="D107" s="28" t="str">
        <f>IFERROR(VLOOKUP($C107,CUENTAS[],2,0),"")</f>
        <v>MATERIALES</v>
      </c>
      <c r="E107" s="28" t="str">
        <f>IFERROR(VLOOKUP($C107,CUENTAS[],3,0),"")</f>
        <v>MDE2025-004</v>
      </c>
      <c r="F107" s="86">
        <v>81.47</v>
      </c>
      <c r="G107" s="86">
        <v>13.03</v>
      </c>
      <c r="H107" s="74">
        <v>94.5</v>
      </c>
      <c r="I107" s="200" t="str">
        <f t="shared" si="1"/>
        <v>CORRECTO</v>
      </c>
      <c r="J107" s="88" t="s">
        <v>1522</v>
      </c>
      <c r="K107" s="69" t="s">
        <v>980</v>
      </c>
      <c r="L107" s="84" t="s">
        <v>227</v>
      </c>
      <c r="M107" s="135">
        <v>45919</v>
      </c>
      <c r="N107" s="75" t="s">
        <v>2748</v>
      </c>
      <c r="P107" s="89"/>
      <c r="Q107" s="89"/>
    </row>
    <row r="108" spans="1:17" x14ac:dyDescent="0.3">
      <c r="A108" s="16" t="s">
        <v>2015</v>
      </c>
      <c r="B108" s="16" t="s">
        <v>2684</v>
      </c>
      <c r="C108" s="28" t="s">
        <v>224</v>
      </c>
      <c r="D108" s="28" t="str">
        <f>IFERROR(VLOOKUP($C108,CUENTAS[],2,0),"")</f>
        <v>MATERIALES</v>
      </c>
      <c r="E108" s="28" t="str">
        <f>IFERROR(VLOOKUP($C108,CUENTAS[],3,0),"")</f>
        <v>MDE2025-004</v>
      </c>
      <c r="F108" s="86">
        <v>762.94</v>
      </c>
      <c r="G108" s="86">
        <v>122.07</v>
      </c>
      <c r="H108" s="74">
        <v>885.01</v>
      </c>
      <c r="I108" s="200" t="str">
        <f t="shared" si="1"/>
        <v>CORRECTO</v>
      </c>
      <c r="J108" s="88" t="s">
        <v>1522</v>
      </c>
      <c r="K108" s="69" t="s">
        <v>980</v>
      </c>
      <c r="L108" s="84" t="s">
        <v>227</v>
      </c>
      <c r="M108" s="135">
        <v>45919</v>
      </c>
      <c r="N108" s="75" t="s">
        <v>2749</v>
      </c>
      <c r="P108" s="89"/>
      <c r="Q108" s="89"/>
    </row>
    <row r="109" spans="1:17" x14ac:dyDescent="0.3">
      <c r="A109" s="16" t="s">
        <v>2685</v>
      </c>
      <c r="B109" s="16" t="s">
        <v>2686</v>
      </c>
      <c r="C109" s="28" t="s">
        <v>224</v>
      </c>
      <c r="D109" s="28" t="str">
        <f>IFERROR(VLOOKUP($C109,CUENTAS[],2,0),"")</f>
        <v>MATERIALES</v>
      </c>
      <c r="E109" s="28" t="str">
        <f>IFERROR(VLOOKUP($C109,CUENTAS[],3,0),"")</f>
        <v>MDE2025-004</v>
      </c>
      <c r="F109" s="86">
        <v>573.84</v>
      </c>
      <c r="G109" s="86">
        <v>0</v>
      </c>
      <c r="H109" s="74">
        <v>573.84</v>
      </c>
      <c r="I109" s="200" t="str">
        <f t="shared" si="1"/>
        <v>CORRECTO</v>
      </c>
      <c r="J109" s="88" t="s">
        <v>1522</v>
      </c>
      <c r="K109" s="69" t="s">
        <v>980</v>
      </c>
      <c r="L109" s="84" t="s">
        <v>227</v>
      </c>
      <c r="M109" s="135">
        <v>45919</v>
      </c>
      <c r="N109" s="75" t="s">
        <v>2750</v>
      </c>
      <c r="P109" s="89"/>
      <c r="Q109" s="89"/>
    </row>
    <row r="110" spans="1:17" x14ac:dyDescent="0.3">
      <c r="A110" s="16" t="s">
        <v>1721</v>
      </c>
      <c r="B110" s="16" t="s">
        <v>2687</v>
      </c>
      <c r="C110" s="28" t="s">
        <v>224</v>
      </c>
      <c r="D110" s="28" t="str">
        <f>IFERROR(VLOOKUP($C110,CUENTAS[],2,0),"")</f>
        <v>MATERIALES</v>
      </c>
      <c r="E110" s="28" t="str">
        <f>IFERROR(VLOOKUP($C110,CUENTAS[],3,0),"")</f>
        <v>MDE2025-004</v>
      </c>
      <c r="F110" s="86">
        <v>357</v>
      </c>
      <c r="G110" s="86">
        <v>57</v>
      </c>
      <c r="H110" s="74">
        <v>414</v>
      </c>
      <c r="I110" s="200" t="str">
        <f t="shared" si="1"/>
        <v>CORRECTO</v>
      </c>
      <c r="J110" s="88" t="s">
        <v>1522</v>
      </c>
      <c r="K110" s="69" t="s">
        <v>980</v>
      </c>
      <c r="L110" s="84" t="s">
        <v>227</v>
      </c>
      <c r="M110" s="135">
        <v>45919</v>
      </c>
      <c r="N110" s="75" t="s">
        <v>2751</v>
      </c>
      <c r="P110" s="89"/>
      <c r="Q110" s="89"/>
    </row>
    <row r="111" spans="1:17" x14ac:dyDescent="0.3">
      <c r="A111" s="16" t="s">
        <v>2667</v>
      </c>
      <c r="B111" s="16" t="s">
        <v>2688</v>
      </c>
      <c r="C111" s="28" t="s">
        <v>223</v>
      </c>
      <c r="D111" s="28" t="str">
        <f>IFERROR(VLOOKUP($C111,CUENTAS[],2,0),"")</f>
        <v>MANTENIMIENTO</v>
      </c>
      <c r="E111" s="28" t="str">
        <f>IFERROR(VLOOKUP($C111,CUENTAS[],3,0),"")</f>
        <v>MDE2025-009B</v>
      </c>
      <c r="F111" s="86">
        <v>9414.15</v>
      </c>
      <c r="G111" s="86">
        <v>1506.26</v>
      </c>
      <c r="H111" s="74">
        <v>10920.41</v>
      </c>
      <c r="I111" s="200" t="str">
        <f t="shared" si="1"/>
        <v>CORRECTO</v>
      </c>
      <c r="J111" s="88" t="s">
        <v>175</v>
      </c>
      <c r="K111" s="69" t="s">
        <v>980</v>
      </c>
      <c r="L111" s="84" t="s">
        <v>227</v>
      </c>
      <c r="M111" s="135">
        <v>45922</v>
      </c>
      <c r="N111" s="75" t="s">
        <v>2763</v>
      </c>
      <c r="P111" s="89"/>
      <c r="Q111" s="89"/>
    </row>
    <row r="112" spans="1:17" x14ac:dyDescent="0.3">
      <c r="A112" s="16" t="s">
        <v>236</v>
      </c>
      <c r="B112" s="16" t="s">
        <v>2689</v>
      </c>
      <c r="C112" s="28" t="s">
        <v>223</v>
      </c>
      <c r="D112" s="28" t="str">
        <f>IFERROR(VLOOKUP($C112,CUENTAS[],2,0),"")</f>
        <v>MANTENIMIENTO</v>
      </c>
      <c r="E112" s="28" t="str">
        <f>IFERROR(VLOOKUP($C112,CUENTAS[],3,0),"")</f>
        <v>MDE2025-009B</v>
      </c>
      <c r="F112" s="86">
        <v>3500</v>
      </c>
      <c r="G112" s="86">
        <v>0</v>
      </c>
      <c r="H112" s="74">
        <v>3500</v>
      </c>
      <c r="I112" s="200" t="str">
        <f t="shared" si="1"/>
        <v>CORRECTO</v>
      </c>
      <c r="J112" s="88" t="s">
        <v>175</v>
      </c>
      <c r="K112" s="69" t="s">
        <v>363</v>
      </c>
      <c r="L112" s="84" t="s">
        <v>227</v>
      </c>
      <c r="M112" s="135">
        <v>45922</v>
      </c>
      <c r="N112" s="75" t="s">
        <v>371</v>
      </c>
      <c r="P112" s="89"/>
      <c r="Q112" s="89"/>
    </row>
    <row r="113" spans="1:17" x14ac:dyDescent="0.3">
      <c r="A113" s="16" t="s">
        <v>238</v>
      </c>
      <c r="B113" s="16" t="s">
        <v>2689</v>
      </c>
      <c r="C113" s="28" t="s">
        <v>223</v>
      </c>
      <c r="D113" s="28" t="str">
        <f>IFERROR(VLOOKUP($C113,CUENTAS[],2,0),"")</f>
        <v>MANTENIMIENTO</v>
      </c>
      <c r="E113" s="28" t="str">
        <f>IFERROR(VLOOKUP($C113,CUENTAS[],3,0),"")</f>
        <v>MDE2025-009B</v>
      </c>
      <c r="F113" s="86">
        <v>2773.34</v>
      </c>
      <c r="G113" s="86">
        <v>0</v>
      </c>
      <c r="H113" s="74">
        <v>2773.34</v>
      </c>
      <c r="I113" s="200" t="str">
        <f t="shared" si="1"/>
        <v>CORRECTO</v>
      </c>
      <c r="J113" s="88" t="s">
        <v>175</v>
      </c>
      <c r="K113" s="69" t="s">
        <v>363</v>
      </c>
      <c r="L113" s="84" t="s">
        <v>227</v>
      </c>
      <c r="M113" s="135">
        <v>45922</v>
      </c>
      <c r="N113" s="75" t="s">
        <v>371</v>
      </c>
      <c r="P113" s="89"/>
      <c r="Q113" s="89"/>
    </row>
    <row r="114" spans="1:17" x14ac:dyDescent="0.3">
      <c r="A114" s="16" t="s">
        <v>1604</v>
      </c>
      <c r="B114" s="16" t="s">
        <v>2690</v>
      </c>
      <c r="C114" s="28" t="s">
        <v>224</v>
      </c>
      <c r="D114" s="28" t="str">
        <f>IFERROR(VLOOKUP($C114,CUENTAS[],2,0),"")</f>
        <v>MATERIALES</v>
      </c>
      <c r="E114" s="28" t="str">
        <f>IFERROR(VLOOKUP($C114,CUENTAS[],3,0),"")</f>
        <v>MDE2025-004</v>
      </c>
      <c r="F114" s="86">
        <v>1517.2</v>
      </c>
      <c r="G114" s="86">
        <v>242.75</v>
      </c>
      <c r="H114" s="74">
        <v>1759.95</v>
      </c>
      <c r="I114" s="200" t="str">
        <f t="shared" si="1"/>
        <v>CORRECTO</v>
      </c>
      <c r="J114" s="88" t="s">
        <v>1522</v>
      </c>
      <c r="K114" s="69" t="s">
        <v>980</v>
      </c>
      <c r="L114" s="84" t="s">
        <v>227</v>
      </c>
      <c r="M114" s="135">
        <v>45922</v>
      </c>
      <c r="N114" s="75" t="s">
        <v>2752</v>
      </c>
      <c r="P114" s="89"/>
      <c r="Q114" s="89"/>
    </row>
    <row r="115" spans="1:17" x14ac:dyDescent="0.3">
      <c r="A115" s="16" t="s">
        <v>228</v>
      </c>
      <c r="B115" s="16" t="s">
        <v>2691</v>
      </c>
      <c r="C115" s="28" t="s">
        <v>114</v>
      </c>
      <c r="D115" s="28" t="str">
        <f>IFERROR(VLOOKUP($C115,CUENTAS[],2,0),"")</f>
        <v>GASTOS FIJOS</v>
      </c>
      <c r="E115" s="28" t="str">
        <f>IFERROR(VLOOKUP($C115,CUENTAS[],3,0),"")</f>
        <v>MDE2025-002G</v>
      </c>
      <c r="F115" s="86">
        <v>4000</v>
      </c>
      <c r="G115" s="86">
        <v>0</v>
      </c>
      <c r="H115" s="74">
        <v>4000</v>
      </c>
      <c r="I115" s="200" t="str">
        <f t="shared" si="1"/>
        <v>CORRECTO</v>
      </c>
      <c r="J115" s="88" t="s">
        <v>175</v>
      </c>
      <c r="K115" s="69" t="s">
        <v>360</v>
      </c>
      <c r="L115" s="84" t="s">
        <v>227</v>
      </c>
      <c r="M115" s="136">
        <v>45923</v>
      </c>
      <c r="N115" s="75" t="s">
        <v>371</v>
      </c>
      <c r="P115" s="89"/>
      <c r="Q115" s="89"/>
    </row>
    <row r="116" spans="1:17" x14ac:dyDescent="0.3">
      <c r="A116" s="16" t="s">
        <v>2350</v>
      </c>
      <c r="B116" s="16" t="s">
        <v>2692</v>
      </c>
      <c r="C116" s="28" t="s">
        <v>224</v>
      </c>
      <c r="D116" s="28" t="str">
        <f>IFERROR(VLOOKUP($C116,CUENTAS[],2,0),"")</f>
        <v>MATERIALES</v>
      </c>
      <c r="E116" s="28" t="str">
        <f>IFERROR(VLOOKUP($C116,CUENTAS[],3,0),"")</f>
        <v>MDE2025-004</v>
      </c>
      <c r="F116" s="86">
        <v>3201</v>
      </c>
      <c r="G116" s="86">
        <v>0</v>
      </c>
      <c r="H116" s="74">
        <v>3201</v>
      </c>
      <c r="I116" s="200" t="str">
        <f t="shared" si="1"/>
        <v>CORRECTO</v>
      </c>
      <c r="J116" s="88" t="s">
        <v>1522</v>
      </c>
      <c r="K116" s="69" t="s">
        <v>980</v>
      </c>
      <c r="L116" s="84" t="s">
        <v>227</v>
      </c>
      <c r="M116" s="135">
        <v>45923</v>
      </c>
      <c r="N116" s="75" t="s">
        <v>2753</v>
      </c>
      <c r="P116" s="89"/>
      <c r="Q116" s="89"/>
    </row>
    <row r="117" spans="1:17" x14ac:dyDescent="0.3">
      <c r="A117" s="16" t="s">
        <v>2350</v>
      </c>
      <c r="B117" s="16" t="s">
        <v>2693</v>
      </c>
      <c r="C117" s="28" t="s">
        <v>224</v>
      </c>
      <c r="D117" s="28" t="str">
        <f>IFERROR(VLOOKUP($C117,CUENTAS[],2,0),"")</f>
        <v>MATERIALES</v>
      </c>
      <c r="E117" s="28" t="str">
        <f>IFERROR(VLOOKUP($C117,CUENTAS[],3,0),"")</f>
        <v>MDE2025-004</v>
      </c>
      <c r="F117" s="86">
        <v>301</v>
      </c>
      <c r="G117" s="86">
        <v>0</v>
      </c>
      <c r="H117" s="74">
        <v>301</v>
      </c>
      <c r="I117" s="200" t="str">
        <f t="shared" si="1"/>
        <v>CORRECTO</v>
      </c>
      <c r="J117" s="88" t="s">
        <v>1522</v>
      </c>
      <c r="K117" s="69" t="s">
        <v>980</v>
      </c>
      <c r="L117" s="84" t="s">
        <v>227</v>
      </c>
      <c r="M117" s="135">
        <v>45923</v>
      </c>
      <c r="N117" s="75" t="s">
        <v>2754</v>
      </c>
      <c r="P117" s="89"/>
      <c r="Q117" s="89"/>
    </row>
    <row r="118" spans="1:17" x14ac:dyDescent="0.3">
      <c r="A118" s="16" t="s">
        <v>2694</v>
      </c>
      <c r="B118" s="16" t="s">
        <v>2695</v>
      </c>
      <c r="C118" s="28" t="s">
        <v>224</v>
      </c>
      <c r="D118" s="28" t="str">
        <f>IFERROR(VLOOKUP($C118,CUENTAS[],2,0),"")</f>
        <v>MATERIALES</v>
      </c>
      <c r="E118" s="28" t="str">
        <f>IFERROR(VLOOKUP($C118,CUENTAS[],3,0),"")</f>
        <v>MDE2025-004</v>
      </c>
      <c r="F118" s="86">
        <v>204</v>
      </c>
      <c r="G118" s="86">
        <v>0</v>
      </c>
      <c r="H118" s="74">
        <v>204</v>
      </c>
      <c r="I118" s="200" t="str">
        <f t="shared" si="1"/>
        <v>CORRECTO</v>
      </c>
      <c r="J118" s="88" t="s">
        <v>1522</v>
      </c>
      <c r="K118" s="69" t="s">
        <v>980</v>
      </c>
      <c r="L118" s="84" t="s">
        <v>227</v>
      </c>
      <c r="M118" s="135">
        <v>45924</v>
      </c>
      <c r="N118" s="75" t="s">
        <v>2755</v>
      </c>
      <c r="P118" s="89"/>
      <c r="Q118" s="89"/>
    </row>
    <row r="119" spans="1:17" x14ac:dyDescent="0.3">
      <c r="A119" s="16" t="s">
        <v>463</v>
      </c>
      <c r="B119" s="16" t="s">
        <v>2696</v>
      </c>
      <c r="C119" s="28" t="s">
        <v>224</v>
      </c>
      <c r="D119" s="28" t="str">
        <f>IFERROR(VLOOKUP($C119,CUENTAS[],2,0),"")</f>
        <v>MATERIALES</v>
      </c>
      <c r="E119" s="28" t="str">
        <f>IFERROR(VLOOKUP($C119,CUENTAS[],3,0),"")</f>
        <v>MDE2025-004</v>
      </c>
      <c r="F119" s="86">
        <v>150.54</v>
      </c>
      <c r="G119" s="86">
        <v>24.09</v>
      </c>
      <c r="H119" s="74">
        <v>174.63</v>
      </c>
      <c r="I119" s="200" t="str">
        <f t="shared" si="1"/>
        <v>CORRECTO</v>
      </c>
      <c r="J119" s="88" t="s">
        <v>1522</v>
      </c>
      <c r="K119" s="69" t="s">
        <v>980</v>
      </c>
      <c r="L119" s="84" t="s">
        <v>227</v>
      </c>
      <c r="M119" s="135">
        <v>45924</v>
      </c>
      <c r="N119" s="75" t="s">
        <v>2756</v>
      </c>
      <c r="P119" s="89"/>
      <c r="Q119" s="89"/>
    </row>
    <row r="120" spans="1:17" x14ac:dyDescent="0.3">
      <c r="A120" s="16" t="s">
        <v>666</v>
      </c>
      <c r="B120" s="16" t="s">
        <v>2697</v>
      </c>
      <c r="C120" s="28" t="s">
        <v>224</v>
      </c>
      <c r="D120" s="28" t="str">
        <f>IFERROR(VLOOKUP($C120,CUENTAS[],2,0),"")</f>
        <v>MATERIALES</v>
      </c>
      <c r="E120" s="28" t="str">
        <f>IFERROR(VLOOKUP($C120,CUENTAS[],3,0),"")</f>
        <v>MDE2025-004</v>
      </c>
      <c r="F120" s="86">
        <v>217.68</v>
      </c>
      <c r="G120" s="86">
        <v>34.82</v>
      </c>
      <c r="H120" s="74">
        <v>252.5</v>
      </c>
      <c r="I120" s="200" t="str">
        <f t="shared" si="1"/>
        <v>CORRECTO</v>
      </c>
      <c r="J120" s="88" t="s">
        <v>175</v>
      </c>
      <c r="K120" s="69" t="s">
        <v>980</v>
      </c>
      <c r="L120" s="84" t="s">
        <v>227</v>
      </c>
      <c r="M120" s="135">
        <v>45926</v>
      </c>
      <c r="N120" s="75" t="s">
        <v>2764</v>
      </c>
      <c r="P120" s="89"/>
      <c r="Q120" s="89"/>
    </row>
    <row r="121" spans="1:17" x14ac:dyDescent="0.3">
      <c r="A121" s="16" t="s">
        <v>2667</v>
      </c>
      <c r="B121" s="16" t="s">
        <v>2688</v>
      </c>
      <c r="C121" s="28" t="s">
        <v>223</v>
      </c>
      <c r="D121" s="28" t="str">
        <f>IFERROR(VLOOKUP($C121,CUENTAS[],2,0),"")</f>
        <v>MANTENIMIENTO</v>
      </c>
      <c r="E121" s="28" t="str">
        <f>IFERROR(VLOOKUP($C121,CUENTAS[],3,0),"")</f>
        <v>MDE2025-009B</v>
      </c>
      <c r="F121" s="86">
        <v>1334.78</v>
      </c>
      <c r="G121" s="86">
        <v>213.56</v>
      </c>
      <c r="H121" s="74">
        <v>1548.34</v>
      </c>
      <c r="I121" s="200" t="str">
        <f t="shared" si="1"/>
        <v>CORRECTO</v>
      </c>
      <c r="J121" s="88" t="s">
        <v>175</v>
      </c>
      <c r="K121" s="69" t="s">
        <v>980</v>
      </c>
      <c r="L121" s="84" t="s">
        <v>227</v>
      </c>
      <c r="M121" s="136">
        <v>45925</v>
      </c>
      <c r="N121" s="75" t="s">
        <v>2757</v>
      </c>
      <c r="P121" s="89"/>
      <c r="Q121" s="89"/>
    </row>
    <row r="122" spans="1:17" x14ac:dyDescent="0.3">
      <c r="A122" s="16" t="s">
        <v>616</v>
      </c>
      <c r="B122" s="16" t="s">
        <v>2698</v>
      </c>
      <c r="C122" s="28" t="s">
        <v>223</v>
      </c>
      <c r="D122" s="28" t="str">
        <f>IFERROR(VLOOKUP($C122,CUENTAS[],2,0),"")</f>
        <v>MANTENIMIENTO</v>
      </c>
      <c r="E122" s="28" t="str">
        <f>IFERROR(VLOOKUP($C122,CUENTAS[],3,0),"")</f>
        <v>MDE2025-009B</v>
      </c>
      <c r="F122" s="86">
        <v>215.52</v>
      </c>
      <c r="G122" s="86">
        <v>34.479999999999997</v>
      </c>
      <c r="H122" s="74">
        <v>250</v>
      </c>
      <c r="I122" s="200" t="str">
        <f t="shared" si="1"/>
        <v>CORRECTO</v>
      </c>
      <c r="J122" s="88" t="s">
        <v>175</v>
      </c>
      <c r="K122" s="69" t="s">
        <v>363</v>
      </c>
      <c r="L122" s="84" t="s">
        <v>227</v>
      </c>
      <c r="M122" s="135">
        <v>45926</v>
      </c>
      <c r="N122" s="75" t="s">
        <v>2758</v>
      </c>
      <c r="P122" s="89"/>
      <c r="Q122" s="89"/>
    </row>
    <row r="123" spans="1:17" x14ac:dyDescent="0.3">
      <c r="A123" s="16" t="s">
        <v>1721</v>
      </c>
      <c r="B123" s="16" t="s">
        <v>2699</v>
      </c>
      <c r="C123" s="28" t="s">
        <v>224</v>
      </c>
      <c r="D123" s="28" t="str">
        <f>IFERROR(VLOOKUP($C123,CUENTAS[],2,0),"")</f>
        <v>MATERIALES</v>
      </c>
      <c r="E123" s="28" t="str">
        <f>IFERROR(VLOOKUP($C123,CUENTAS[],3,0),"")</f>
        <v>MDE2025-004</v>
      </c>
      <c r="F123" s="86">
        <v>192</v>
      </c>
      <c r="G123" s="86">
        <v>0</v>
      </c>
      <c r="H123" s="74">
        <v>192</v>
      </c>
      <c r="I123" s="200" t="str">
        <f t="shared" si="1"/>
        <v>CORRECTO</v>
      </c>
      <c r="J123" s="88" t="s">
        <v>1522</v>
      </c>
      <c r="K123" s="69" t="s">
        <v>980</v>
      </c>
      <c r="L123" s="84" t="s">
        <v>227</v>
      </c>
      <c r="M123" s="135">
        <v>45926</v>
      </c>
      <c r="N123" s="75" t="s">
        <v>2759</v>
      </c>
      <c r="P123" s="89"/>
      <c r="Q123" s="89"/>
    </row>
    <row r="124" spans="1:17" x14ac:dyDescent="0.3">
      <c r="A124" s="16" t="s">
        <v>2700</v>
      </c>
      <c r="B124" s="16" t="s">
        <v>2701</v>
      </c>
      <c r="C124" s="28" t="s">
        <v>109</v>
      </c>
      <c r="D124" s="28" t="str">
        <f>IFERROR(VLOOKUP($C124,CUENTAS[],2,0),"")</f>
        <v>LOGÍSTICA</v>
      </c>
      <c r="E124" s="28" t="str">
        <f>IFERROR(VLOOKUP($C124,CUENTAS[],3,0),"")</f>
        <v>MDE2025-006A</v>
      </c>
      <c r="F124" s="86">
        <v>4350</v>
      </c>
      <c r="G124" s="86">
        <v>0</v>
      </c>
      <c r="H124" s="74">
        <v>4350</v>
      </c>
      <c r="I124" s="200" t="str">
        <f t="shared" si="1"/>
        <v>CORRECTO</v>
      </c>
      <c r="J124" s="88" t="s">
        <v>175</v>
      </c>
      <c r="K124" s="69" t="s">
        <v>2230</v>
      </c>
      <c r="L124" s="84" t="s">
        <v>227</v>
      </c>
      <c r="M124" s="135">
        <v>45926</v>
      </c>
      <c r="N124" s="75" t="s">
        <v>368</v>
      </c>
      <c r="P124" s="89"/>
      <c r="Q124" s="89"/>
    </row>
    <row r="125" spans="1:17" x14ac:dyDescent="0.3">
      <c r="A125" s="16" t="s">
        <v>1229</v>
      </c>
      <c r="B125" s="16" t="s">
        <v>2702</v>
      </c>
      <c r="C125" s="28" t="s">
        <v>151</v>
      </c>
      <c r="D125" s="28" t="str">
        <f>IFERROR(VLOOKUP($C125,CUENTAS[],2,0),"")</f>
        <v>GASTOS FIJOS</v>
      </c>
      <c r="E125" s="28" t="str">
        <f>IFERROR(VLOOKUP($C125,CUENTAS[],3,0),"")</f>
        <v>MDE2025-002F</v>
      </c>
      <c r="F125" s="86">
        <v>799</v>
      </c>
      <c r="G125" s="86">
        <v>0</v>
      </c>
      <c r="H125" s="74">
        <v>799</v>
      </c>
      <c r="I125" s="200" t="str">
        <f t="shared" si="1"/>
        <v>CORRECTO</v>
      </c>
      <c r="J125" s="88" t="s">
        <v>1522</v>
      </c>
      <c r="K125" s="69" t="s">
        <v>363</v>
      </c>
      <c r="L125" s="84" t="s">
        <v>227</v>
      </c>
      <c r="M125" s="135">
        <v>45926</v>
      </c>
      <c r="N125" s="75" t="s">
        <v>371</v>
      </c>
      <c r="P125" s="89"/>
      <c r="Q125" s="89"/>
    </row>
    <row r="126" spans="1:17" x14ac:dyDescent="0.3">
      <c r="A126" s="16" t="s">
        <v>1229</v>
      </c>
      <c r="B126" s="16" t="s">
        <v>2703</v>
      </c>
      <c r="C126" s="28" t="s">
        <v>151</v>
      </c>
      <c r="D126" s="28" t="str">
        <f>IFERROR(VLOOKUP($C126,CUENTAS[],2,0),"")</f>
        <v>GASTOS FIJOS</v>
      </c>
      <c r="E126" s="28" t="str">
        <f>IFERROR(VLOOKUP($C126,CUENTAS[],3,0),"")</f>
        <v>MDE2025-002F</v>
      </c>
      <c r="F126" s="86">
        <v>799</v>
      </c>
      <c r="G126" s="86">
        <v>0</v>
      </c>
      <c r="H126" s="74">
        <v>799</v>
      </c>
      <c r="I126" s="200" t="str">
        <f t="shared" si="1"/>
        <v>CORRECTO</v>
      </c>
      <c r="J126" s="88" t="s">
        <v>1522</v>
      </c>
      <c r="K126" s="69" t="s">
        <v>363</v>
      </c>
      <c r="L126" s="84" t="s">
        <v>227</v>
      </c>
      <c r="M126" s="135">
        <v>45926</v>
      </c>
      <c r="N126" s="75" t="s">
        <v>371</v>
      </c>
      <c r="P126" s="89"/>
      <c r="Q126" s="89"/>
    </row>
    <row r="127" spans="1:17" x14ac:dyDescent="0.3">
      <c r="A127" s="16" t="s">
        <v>1721</v>
      </c>
      <c r="B127" s="16" t="s">
        <v>2699</v>
      </c>
      <c r="C127" s="28" t="s">
        <v>224</v>
      </c>
      <c r="D127" s="28" t="str">
        <f>IFERROR(VLOOKUP($C127,CUENTAS[],2,0),"")</f>
        <v>MATERIALES</v>
      </c>
      <c r="E127" s="28" t="str">
        <f>IFERROR(VLOOKUP($C127,CUENTAS[],3,0),"")</f>
        <v>MDE2025-004</v>
      </c>
      <c r="F127" s="86">
        <v>288.79000000000002</v>
      </c>
      <c r="G127" s="86">
        <v>46.21</v>
      </c>
      <c r="H127" s="74">
        <v>335</v>
      </c>
      <c r="I127" s="200" t="str">
        <f t="shared" si="1"/>
        <v>CORRECTO</v>
      </c>
      <c r="J127" s="88" t="s">
        <v>1522</v>
      </c>
      <c r="K127" s="69" t="s">
        <v>980</v>
      </c>
      <c r="L127" s="84" t="s">
        <v>227</v>
      </c>
      <c r="M127" s="139">
        <v>45929</v>
      </c>
      <c r="N127" s="75" t="s">
        <v>2760</v>
      </c>
      <c r="P127" s="89"/>
      <c r="Q127" s="89"/>
    </row>
    <row r="128" spans="1:17" x14ac:dyDescent="0.3">
      <c r="A128" s="16" t="s">
        <v>2704</v>
      </c>
      <c r="B128" s="16" t="s">
        <v>2705</v>
      </c>
      <c r="C128" s="28" t="s">
        <v>223</v>
      </c>
      <c r="D128" s="28" t="str">
        <f>IFERROR(VLOOKUP($C128,CUENTAS[],2,0),"")</f>
        <v>MANTENIMIENTO</v>
      </c>
      <c r="E128" s="28" t="str">
        <f>IFERROR(VLOOKUP($C128,CUENTAS[],3,0),"")</f>
        <v>MDE2025-009B</v>
      </c>
      <c r="F128" s="86">
        <v>4735.1000000000004</v>
      </c>
      <c r="G128" s="86">
        <v>0</v>
      </c>
      <c r="H128" s="74">
        <v>4735.1000000000004</v>
      </c>
      <c r="I128" s="200" t="str">
        <f t="shared" si="1"/>
        <v>CORRECTO</v>
      </c>
      <c r="J128" s="88" t="s">
        <v>175</v>
      </c>
      <c r="K128" s="69" t="s">
        <v>364</v>
      </c>
      <c r="L128" s="84" t="s">
        <v>227</v>
      </c>
      <c r="M128" s="139">
        <v>45930</v>
      </c>
      <c r="N128" s="75" t="s">
        <v>2761</v>
      </c>
      <c r="P128" s="89"/>
      <c r="Q128" s="89"/>
    </row>
    <row r="129" spans="1:17" x14ac:dyDescent="0.3">
      <c r="A129" s="16" t="s">
        <v>1528</v>
      </c>
      <c r="B129" s="16" t="s">
        <v>2706</v>
      </c>
      <c r="C129" s="28" t="s">
        <v>224</v>
      </c>
      <c r="D129" s="28" t="str">
        <f>IFERROR(VLOOKUP($C129,CUENTAS[],2,0),"")</f>
        <v>MATERIALES</v>
      </c>
      <c r="E129" s="28" t="str">
        <f>IFERROR(VLOOKUP($C129,CUENTAS[],3,0),"")</f>
        <v>MDE2025-004</v>
      </c>
      <c r="F129" s="86">
        <v>2949.65</v>
      </c>
      <c r="G129" s="86">
        <v>471.95</v>
      </c>
      <c r="H129" s="74">
        <v>3421.6</v>
      </c>
      <c r="I129" s="200" t="str">
        <f t="shared" si="1"/>
        <v>CORRECTO</v>
      </c>
      <c r="J129" s="88" t="s">
        <v>1522</v>
      </c>
      <c r="K129" s="69" t="s">
        <v>980</v>
      </c>
      <c r="L129" s="84" t="s">
        <v>227</v>
      </c>
      <c r="M129" s="137">
        <v>45930</v>
      </c>
      <c r="N129" s="75" t="s">
        <v>2762</v>
      </c>
      <c r="P129" s="89"/>
      <c r="Q129" s="89"/>
    </row>
    <row r="130" spans="1:17" x14ac:dyDescent="0.3">
      <c r="A130" s="16" t="s">
        <v>2787</v>
      </c>
      <c r="B130" s="16" t="s">
        <v>2788</v>
      </c>
      <c r="C130" s="28" t="s">
        <v>147</v>
      </c>
      <c r="D130" s="28" t="str">
        <f>IFERROR(VLOOKUP($C130,CUENTAS[],2,0),"")</f>
        <v>ACTIVOS FIJOS</v>
      </c>
      <c r="E130" s="28" t="str">
        <f>IFERROR(VLOOKUP($C130,CUENTAS[],3,0),"")</f>
        <v>MDE2025-007D</v>
      </c>
      <c r="F130" s="86">
        <v>245.67</v>
      </c>
      <c r="G130" s="86">
        <v>0</v>
      </c>
      <c r="H130" s="74">
        <v>245.67</v>
      </c>
      <c r="I130" s="200" t="str">
        <f t="shared" si="1"/>
        <v>CORRECTO</v>
      </c>
      <c r="J130" s="88" t="s">
        <v>2786</v>
      </c>
      <c r="K130" s="69" t="s">
        <v>961</v>
      </c>
      <c r="L130" s="84" t="s">
        <v>227</v>
      </c>
      <c r="M130" s="137">
        <v>45929</v>
      </c>
      <c r="N130" s="75"/>
      <c r="P130" s="89"/>
      <c r="Q130" s="89"/>
    </row>
    <row r="131" spans="1:17" x14ac:dyDescent="0.3">
      <c r="A131" s="16" t="s">
        <v>2787</v>
      </c>
      <c r="B131" s="16" t="s">
        <v>2789</v>
      </c>
      <c r="C131" s="28" t="s">
        <v>147</v>
      </c>
      <c r="D131" s="28" t="str">
        <f>IFERROR(VLOOKUP($C131,CUENTAS[],2,0),"")</f>
        <v>ACTIVOS FIJOS</v>
      </c>
      <c r="E131" s="28" t="str">
        <f>IFERROR(VLOOKUP($C131,CUENTAS[],3,0),"")</f>
        <v>MDE2025-007D</v>
      </c>
      <c r="F131" s="86">
        <v>150</v>
      </c>
      <c r="G131" s="86">
        <v>0</v>
      </c>
      <c r="H131" s="74">
        <v>150</v>
      </c>
      <c r="I131" s="200" t="str">
        <f t="shared" ref="I131:I180" si="2">IFERROR(IF(F131+G131&lt;&gt;H131,"REVISAR","CORRECTO"),"")</f>
        <v>CORRECTO</v>
      </c>
      <c r="J131" s="88" t="s">
        <v>2786</v>
      </c>
      <c r="K131" s="69" t="s">
        <v>961</v>
      </c>
      <c r="L131" s="84" t="s">
        <v>227</v>
      </c>
      <c r="M131" s="139">
        <v>45929</v>
      </c>
      <c r="N131" s="75"/>
      <c r="P131" s="89"/>
      <c r="Q131" s="89"/>
    </row>
    <row r="132" spans="1:17" x14ac:dyDescent="0.3">
      <c r="A132" s="16" t="s">
        <v>2790</v>
      </c>
      <c r="B132" s="16" t="s">
        <v>2791</v>
      </c>
      <c r="C132" s="28" t="s">
        <v>223</v>
      </c>
      <c r="D132" s="28" t="str">
        <f>IFERROR(VLOOKUP($C132,CUENTAS[],2,0),"")</f>
        <v>MANTENIMIENTO</v>
      </c>
      <c r="E132" s="28" t="str">
        <f>IFERROR(VLOOKUP($C132,CUENTAS[],3,0),"")</f>
        <v>MDE2025-009B</v>
      </c>
      <c r="F132" s="86">
        <v>3106.88</v>
      </c>
      <c r="G132" s="86">
        <v>0</v>
      </c>
      <c r="H132" s="74">
        <v>3106.88</v>
      </c>
      <c r="I132" s="200" t="str">
        <f t="shared" si="2"/>
        <v>CORRECTO</v>
      </c>
      <c r="J132" s="88" t="s">
        <v>2786</v>
      </c>
      <c r="K132" s="69" t="s">
        <v>1232</v>
      </c>
      <c r="L132" s="84" t="s">
        <v>227</v>
      </c>
      <c r="M132" s="139">
        <v>45930</v>
      </c>
      <c r="N132" s="75"/>
      <c r="P132" s="89"/>
      <c r="Q132" s="89"/>
    </row>
    <row r="133" spans="1:17" x14ac:dyDescent="0.3">
      <c r="A133" s="16" t="s">
        <v>2790</v>
      </c>
      <c r="B133" s="16" t="s">
        <v>2792</v>
      </c>
      <c r="C133" s="28" t="s">
        <v>223</v>
      </c>
      <c r="D133" s="28" t="str">
        <f>IFERROR(VLOOKUP($C133,CUENTAS[],2,0),"")</f>
        <v>MANTENIMIENTO</v>
      </c>
      <c r="E133" s="28" t="str">
        <f>IFERROR(VLOOKUP($C133,CUENTAS[],3,0),"")</f>
        <v>MDE2025-009B</v>
      </c>
      <c r="F133" s="86">
        <v>1156</v>
      </c>
      <c r="G133" s="86">
        <v>0</v>
      </c>
      <c r="H133" s="74">
        <v>1156</v>
      </c>
      <c r="I133" s="200" t="str">
        <f t="shared" si="2"/>
        <v>CORRECTO</v>
      </c>
      <c r="J133" s="88" t="s">
        <v>2786</v>
      </c>
      <c r="K133" s="69" t="s">
        <v>1232</v>
      </c>
      <c r="L133" s="84" t="s">
        <v>227</v>
      </c>
      <c r="M133" s="139">
        <v>45930</v>
      </c>
      <c r="N133" s="75"/>
      <c r="P133" s="89"/>
      <c r="Q133" s="89"/>
    </row>
    <row r="134" spans="1:17" x14ac:dyDescent="0.3">
      <c r="A134" s="16" t="s">
        <v>2790</v>
      </c>
      <c r="B134" s="16" t="s">
        <v>2793</v>
      </c>
      <c r="C134" s="28" t="s">
        <v>223</v>
      </c>
      <c r="D134" s="28" t="str">
        <f>IFERROR(VLOOKUP($C134,CUENTAS[],2,0),"")</f>
        <v>MANTENIMIENTO</v>
      </c>
      <c r="E134" s="28" t="str">
        <f>IFERROR(VLOOKUP($C134,CUENTAS[],3,0),"")</f>
        <v>MDE2025-009B</v>
      </c>
      <c r="F134" s="86">
        <v>67.239999999999995</v>
      </c>
      <c r="G134" s="86">
        <v>0</v>
      </c>
      <c r="H134" s="74">
        <v>67.239999999999995</v>
      </c>
      <c r="I134" s="200" t="str">
        <f t="shared" si="2"/>
        <v>CORRECTO</v>
      </c>
      <c r="J134" s="88" t="s">
        <v>2786</v>
      </c>
      <c r="K134" s="69" t="s">
        <v>1232</v>
      </c>
      <c r="L134" s="84" t="s">
        <v>227</v>
      </c>
      <c r="M134" s="139">
        <v>45930</v>
      </c>
      <c r="N134" s="75"/>
      <c r="P134" s="89"/>
      <c r="Q134" s="89"/>
    </row>
    <row r="135" spans="1:17" x14ac:dyDescent="0.3">
      <c r="A135" s="16" t="s">
        <v>2790</v>
      </c>
      <c r="B135" s="16" t="s">
        <v>2794</v>
      </c>
      <c r="C135" s="28" t="s">
        <v>223</v>
      </c>
      <c r="D135" s="28" t="str">
        <f>IFERROR(VLOOKUP($C135,CUENTAS[],2,0),"")</f>
        <v>MANTENIMIENTO</v>
      </c>
      <c r="E135" s="28" t="str">
        <f>IFERROR(VLOOKUP($C135,CUENTAS[],3,0),"")</f>
        <v>MDE2025-009B</v>
      </c>
      <c r="F135" s="86">
        <v>21.54</v>
      </c>
      <c r="G135" s="86">
        <v>0</v>
      </c>
      <c r="H135" s="74">
        <v>21.54</v>
      </c>
      <c r="I135" s="200" t="str">
        <f t="shared" si="2"/>
        <v>CORRECTO</v>
      </c>
      <c r="J135" s="88" t="s">
        <v>2786</v>
      </c>
      <c r="K135" s="69" t="s">
        <v>1232</v>
      </c>
      <c r="L135" s="84" t="s">
        <v>227</v>
      </c>
      <c r="M135" s="139">
        <v>45930</v>
      </c>
      <c r="N135" s="75"/>
      <c r="P135" s="89"/>
      <c r="Q135" s="89"/>
    </row>
    <row r="136" spans="1:17" x14ac:dyDescent="0.3">
      <c r="A136" s="16" t="s">
        <v>2790</v>
      </c>
      <c r="B136" s="16" t="s">
        <v>2795</v>
      </c>
      <c r="C136" s="28" t="s">
        <v>223</v>
      </c>
      <c r="D136" s="28" t="str">
        <f>IFERROR(VLOOKUP($C136,CUENTAS[],2,0),"")</f>
        <v>MANTENIMIENTO</v>
      </c>
      <c r="E136" s="28" t="str">
        <f>IFERROR(VLOOKUP($C136,CUENTAS[],3,0),"")</f>
        <v>MDE2025-009B</v>
      </c>
      <c r="F136" s="86">
        <v>54</v>
      </c>
      <c r="G136" s="86">
        <v>0</v>
      </c>
      <c r="H136" s="74">
        <v>54</v>
      </c>
      <c r="I136" s="200" t="str">
        <f t="shared" si="2"/>
        <v>CORRECTO</v>
      </c>
      <c r="J136" s="88" t="s">
        <v>2786</v>
      </c>
      <c r="K136" s="69" t="s">
        <v>1232</v>
      </c>
      <c r="L136" s="84" t="s">
        <v>227</v>
      </c>
      <c r="M136" s="139">
        <v>45930</v>
      </c>
      <c r="N136" s="75"/>
      <c r="P136" s="89"/>
      <c r="Q136" s="89"/>
    </row>
    <row r="137" spans="1:17" x14ac:dyDescent="0.3">
      <c r="A137" s="16" t="s">
        <v>2790</v>
      </c>
      <c r="B137" s="16" t="s">
        <v>2796</v>
      </c>
      <c r="C137" s="28" t="s">
        <v>223</v>
      </c>
      <c r="D137" s="28" t="str">
        <f>IFERROR(VLOOKUP($C137,CUENTAS[],2,0),"")</f>
        <v>MANTENIMIENTO</v>
      </c>
      <c r="E137" s="28" t="str">
        <f>IFERROR(VLOOKUP($C137,CUENTAS[],3,0),"")</f>
        <v>MDE2025-009B</v>
      </c>
      <c r="F137" s="86">
        <v>33</v>
      </c>
      <c r="G137" s="86">
        <v>0</v>
      </c>
      <c r="H137" s="74">
        <v>33</v>
      </c>
      <c r="I137" s="200" t="str">
        <f t="shared" si="2"/>
        <v>CORRECTO</v>
      </c>
      <c r="J137" s="88" t="s">
        <v>2786</v>
      </c>
      <c r="K137" s="69" t="s">
        <v>1232</v>
      </c>
      <c r="L137" s="84" t="s">
        <v>227</v>
      </c>
      <c r="M137" s="139">
        <v>45930</v>
      </c>
      <c r="N137" s="75"/>
      <c r="P137" s="89"/>
      <c r="Q137" s="89"/>
    </row>
    <row r="138" spans="1:17" x14ac:dyDescent="0.3">
      <c r="A138" s="16" t="s">
        <v>2790</v>
      </c>
      <c r="B138" s="16" t="s">
        <v>2797</v>
      </c>
      <c r="C138" s="28" t="s">
        <v>223</v>
      </c>
      <c r="D138" s="28" t="str">
        <f>IFERROR(VLOOKUP($C138,CUENTAS[],2,0),"")</f>
        <v>MANTENIMIENTO</v>
      </c>
      <c r="E138" s="28" t="str">
        <f>IFERROR(VLOOKUP($C138,CUENTAS[],3,0),"")</f>
        <v>MDE2025-009B</v>
      </c>
      <c r="F138" s="86">
        <v>28</v>
      </c>
      <c r="G138" s="86">
        <v>0</v>
      </c>
      <c r="H138" s="74">
        <v>28</v>
      </c>
      <c r="I138" s="200" t="str">
        <f t="shared" si="2"/>
        <v>CORRECTO</v>
      </c>
      <c r="J138" s="88" t="s">
        <v>2786</v>
      </c>
      <c r="K138" s="69" t="s">
        <v>1232</v>
      </c>
      <c r="L138" s="84" t="s">
        <v>227</v>
      </c>
      <c r="M138" s="139">
        <v>45930</v>
      </c>
      <c r="N138" s="75"/>
      <c r="P138" s="89"/>
      <c r="Q138" s="89"/>
    </row>
    <row r="139" spans="1:17" x14ac:dyDescent="0.3">
      <c r="A139" s="16" t="s">
        <v>2798</v>
      </c>
      <c r="B139" s="16" t="s">
        <v>1845</v>
      </c>
      <c r="C139" s="28" t="s">
        <v>19</v>
      </c>
      <c r="D139" s="28" t="str">
        <f>IFERROR(VLOOKUP($C139,CUENTAS[],2,0),"")</f>
        <v>DISEÑOS</v>
      </c>
      <c r="E139" s="28" t="str">
        <f>IFERROR(VLOOKUP($C139,CUENTAS[],3,0),"")</f>
        <v>MDE2025-001</v>
      </c>
      <c r="F139" s="86">
        <v>206.03</v>
      </c>
      <c r="G139" s="86">
        <v>0</v>
      </c>
      <c r="H139" s="74">
        <v>206.03</v>
      </c>
      <c r="I139" s="200" t="str">
        <f t="shared" si="2"/>
        <v>CORRECTO</v>
      </c>
      <c r="J139" s="88" t="s">
        <v>2786</v>
      </c>
      <c r="K139" s="69" t="s">
        <v>2799</v>
      </c>
      <c r="L139" s="84" t="s">
        <v>227</v>
      </c>
      <c r="M139" s="139">
        <v>45929</v>
      </c>
      <c r="N139" s="75"/>
      <c r="P139" s="89"/>
      <c r="Q139" s="89"/>
    </row>
    <row r="140" spans="1:17" x14ac:dyDescent="0.3">
      <c r="A140" s="16" t="s">
        <v>1272</v>
      </c>
      <c r="B140" s="16" t="s">
        <v>2800</v>
      </c>
      <c r="C140" s="28" t="s">
        <v>167</v>
      </c>
      <c r="D140" s="28" t="str">
        <f>IFERROR(VLOOKUP($C140,CUENTAS[],2,0),"")</f>
        <v>LOGÍSTICA</v>
      </c>
      <c r="E140" s="28" t="str">
        <f>IFERROR(VLOOKUP($C140,CUENTAS[],3,0),"")</f>
        <v>MDE2025-006D</v>
      </c>
      <c r="F140" s="86">
        <v>2720.21</v>
      </c>
      <c r="G140" s="86">
        <v>435.23</v>
      </c>
      <c r="H140" s="74">
        <v>3155.44</v>
      </c>
      <c r="I140" s="200" t="str">
        <f t="shared" si="2"/>
        <v>CORRECTO</v>
      </c>
      <c r="J140" s="88" t="s">
        <v>1272</v>
      </c>
      <c r="K140" s="69" t="s">
        <v>2803</v>
      </c>
      <c r="L140" s="84" t="s">
        <v>227</v>
      </c>
      <c r="M140" s="137">
        <v>45912</v>
      </c>
      <c r="N140" s="75" t="s">
        <v>2804</v>
      </c>
      <c r="P140" s="89"/>
      <c r="Q140" s="89"/>
    </row>
    <row r="141" spans="1:17" x14ac:dyDescent="0.3">
      <c r="A141" s="16" t="s">
        <v>1272</v>
      </c>
      <c r="B141" s="16" t="s">
        <v>2801</v>
      </c>
      <c r="C141" s="28" t="s">
        <v>167</v>
      </c>
      <c r="D141" s="28" t="str">
        <f>IFERROR(VLOOKUP($C141,CUENTAS[],2,0),"")</f>
        <v>LOGÍSTICA</v>
      </c>
      <c r="E141" s="28" t="str">
        <f>IFERROR(VLOOKUP($C141,CUENTAS[],3,0),"")</f>
        <v>MDE2025-006D</v>
      </c>
      <c r="F141" s="86">
        <v>677.59</v>
      </c>
      <c r="G141" s="86">
        <v>108.41</v>
      </c>
      <c r="H141" s="74">
        <v>786</v>
      </c>
      <c r="I141" s="200" t="str">
        <f t="shared" si="2"/>
        <v>CORRECTO</v>
      </c>
      <c r="J141" s="88" t="s">
        <v>1272</v>
      </c>
      <c r="K141" s="69" t="s">
        <v>2805</v>
      </c>
      <c r="L141" s="84" t="s">
        <v>227</v>
      </c>
      <c r="M141" s="137">
        <v>45922</v>
      </c>
      <c r="N141" s="75" t="s">
        <v>2806</v>
      </c>
      <c r="P141" s="89"/>
      <c r="Q141" s="89"/>
    </row>
    <row r="142" spans="1:17" x14ac:dyDescent="0.3">
      <c r="A142" s="16" t="s">
        <v>1272</v>
      </c>
      <c r="B142" s="16" t="s">
        <v>2802</v>
      </c>
      <c r="C142" s="28" t="s">
        <v>167</v>
      </c>
      <c r="D142" s="28" t="str">
        <f>IFERROR(VLOOKUP($C142,CUENTAS[],2,0),"")</f>
        <v>LOGÍSTICA</v>
      </c>
      <c r="E142" s="28" t="str">
        <f>IFERROR(VLOOKUP($C142,CUENTAS[],3,0),"")</f>
        <v>MDE2025-006D</v>
      </c>
      <c r="F142" s="86">
        <v>562.62</v>
      </c>
      <c r="G142" s="86">
        <v>90.02</v>
      </c>
      <c r="H142" s="74">
        <v>652.64</v>
      </c>
      <c r="I142" s="200" t="str">
        <f t="shared" si="2"/>
        <v>CORRECTO</v>
      </c>
      <c r="J142" s="88" t="s">
        <v>1272</v>
      </c>
      <c r="K142" s="69" t="s">
        <v>2805</v>
      </c>
      <c r="L142" s="84" t="s">
        <v>227</v>
      </c>
      <c r="M142" s="139" t="s">
        <v>2807</v>
      </c>
      <c r="N142" s="75" t="s">
        <v>2807</v>
      </c>
      <c r="P142" s="89"/>
      <c r="Q142" s="89"/>
    </row>
    <row r="143" spans="1:17" x14ac:dyDescent="0.3">
      <c r="A143" s="5" t="s">
        <v>228</v>
      </c>
      <c r="B143" s="100" t="s">
        <v>2808</v>
      </c>
      <c r="C143" s="28" t="s">
        <v>151</v>
      </c>
      <c r="D143" s="28" t="str">
        <f>IFERROR(VLOOKUP($C143,CUENTAS[],2,0),"")</f>
        <v>GASTOS FIJOS</v>
      </c>
      <c r="E143" s="28" t="str">
        <f>IFERROR(VLOOKUP($C143,CUENTAS[],3,0),"")</f>
        <v>MDE2025-002F</v>
      </c>
      <c r="F143" s="128">
        <v>3365</v>
      </c>
      <c r="G143" s="145">
        <v>0</v>
      </c>
      <c r="H143" s="128">
        <v>3365</v>
      </c>
      <c r="I143" s="200" t="str">
        <f t="shared" si="2"/>
        <v>CORRECTO</v>
      </c>
      <c r="J143" s="187" t="s">
        <v>133</v>
      </c>
      <c r="K143" s="141" t="s">
        <v>360</v>
      </c>
      <c r="L143" s="142" t="s">
        <v>227</v>
      </c>
      <c r="M143" s="139">
        <v>45902</v>
      </c>
      <c r="N143" s="143" t="s">
        <v>371</v>
      </c>
      <c r="P143" s="89"/>
      <c r="Q143" s="89"/>
    </row>
    <row r="144" spans="1:17" x14ac:dyDescent="0.3">
      <c r="A144" s="5" t="s">
        <v>228</v>
      </c>
      <c r="B144" s="100" t="s">
        <v>1861</v>
      </c>
      <c r="C144" s="28" t="s">
        <v>141</v>
      </c>
      <c r="D144" s="28" t="str">
        <f>IFERROR(VLOOKUP($C144,CUENTAS[],2,0),"")</f>
        <v>GASTOS VARIOS</v>
      </c>
      <c r="E144" s="28" t="str">
        <f>IFERROR(VLOOKUP($C144,CUENTAS[],3,0),"")</f>
        <v>MDE2025-003L</v>
      </c>
      <c r="F144" s="128">
        <v>149</v>
      </c>
      <c r="G144" s="145">
        <v>0</v>
      </c>
      <c r="H144" s="128">
        <v>149</v>
      </c>
      <c r="I144" s="200" t="str">
        <f t="shared" si="2"/>
        <v>CORRECTO</v>
      </c>
      <c r="J144" s="187" t="s">
        <v>133</v>
      </c>
      <c r="K144" s="141" t="s">
        <v>360</v>
      </c>
      <c r="L144" s="142" t="s">
        <v>227</v>
      </c>
      <c r="M144" s="139">
        <v>45912</v>
      </c>
      <c r="N144" s="143" t="s">
        <v>371</v>
      </c>
      <c r="P144" s="89"/>
      <c r="Q144" s="89"/>
    </row>
    <row r="145" spans="1:17" x14ac:dyDescent="0.3">
      <c r="A145" s="21" t="s">
        <v>228</v>
      </c>
      <c r="B145" s="104" t="s">
        <v>1001</v>
      </c>
      <c r="C145" s="28" t="s">
        <v>168</v>
      </c>
      <c r="D145" s="28" t="str">
        <f>IFERROR(VLOOKUP($C145,CUENTAS[],2,0),"")</f>
        <v>ACTIVOS FIJOS</v>
      </c>
      <c r="E145" s="28" t="str">
        <f>IFERROR(VLOOKUP($C145,CUENTAS[],3,0),"")</f>
        <v>MDE2025-007B</v>
      </c>
      <c r="F145" s="128">
        <v>4257.72</v>
      </c>
      <c r="G145" s="145">
        <v>0</v>
      </c>
      <c r="H145" s="128">
        <v>4257.72</v>
      </c>
      <c r="I145" s="200" t="str">
        <f t="shared" si="2"/>
        <v>CORRECTO</v>
      </c>
      <c r="J145" s="187" t="s">
        <v>133</v>
      </c>
      <c r="K145" s="141" t="s">
        <v>360</v>
      </c>
      <c r="L145" s="142" t="s">
        <v>227</v>
      </c>
      <c r="M145" s="139">
        <v>45910</v>
      </c>
      <c r="N145" s="146" t="s">
        <v>368</v>
      </c>
      <c r="P145" s="89"/>
      <c r="Q145" s="89"/>
    </row>
    <row r="146" spans="1:17" x14ac:dyDescent="0.3">
      <c r="A146" s="21" t="s">
        <v>228</v>
      </c>
      <c r="B146" s="104" t="s">
        <v>1000</v>
      </c>
      <c r="C146" s="28" t="s">
        <v>168</v>
      </c>
      <c r="D146" s="28" t="str">
        <f>IFERROR(VLOOKUP($C146,CUENTAS[],2,0),"")</f>
        <v>ACTIVOS FIJOS</v>
      </c>
      <c r="E146" s="28" t="str">
        <f>IFERROR(VLOOKUP($C146,CUENTAS[],3,0),"")</f>
        <v>MDE2025-007B</v>
      </c>
      <c r="F146" s="128">
        <v>810.32</v>
      </c>
      <c r="G146" s="145">
        <v>0</v>
      </c>
      <c r="H146" s="128">
        <v>810.32</v>
      </c>
      <c r="I146" s="200" t="str">
        <f t="shared" si="2"/>
        <v>CORRECTO</v>
      </c>
      <c r="J146" s="187" t="s">
        <v>133</v>
      </c>
      <c r="K146" s="141" t="s">
        <v>360</v>
      </c>
      <c r="L146" s="142" t="s">
        <v>227</v>
      </c>
      <c r="M146" s="139">
        <v>45911</v>
      </c>
      <c r="N146" s="146" t="s">
        <v>368</v>
      </c>
      <c r="P146" s="89"/>
      <c r="Q146" s="89"/>
    </row>
    <row r="147" spans="1:17" x14ac:dyDescent="0.3">
      <c r="A147" s="21" t="s">
        <v>228</v>
      </c>
      <c r="B147" s="104" t="s">
        <v>2809</v>
      </c>
      <c r="C147" s="28" t="s">
        <v>134</v>
      </c>
      <c r="D147" s="28" t="str">
        <f>IFERROR(VLOOKUP($C147,CUENTAS[],2,0),"")</f>
        <v>GASTOS FIJOS</v>
      </c>
      <c r="E147" s="28" t="str">
        <f>IFERROR(VLOOKUP($C147,CUENTAS[],3,0),"")</f>
        <v>MDE2025-002J</v>
      </c>
      <c r="F147" s="128">
        <v>15467.39</v>
      </c>
      <c r="G147" s="145">
        <v>0</v>
      </c>
      <c r="H147" s="128">
        <v>15467.39</v>
      </c>
      <c r="I147" s="200" t="str">
        <f t="shared" si="2"/>
        <v>CORRECTO</v>
      </c>
      <c r="J147" s="187" t="s">
        <v>133</v>
      </c>
      <c r="K147" s="141" t="s">
        <v>360</v>
      </c>
      <c r="L147" s="142" t="s">
        <v>227</v>
      </c>
      <c r="M147" s="139">
        <v>45920</v>
      </c>
      <c r="N147" s="146" t="s">
        <v>368</v>
      </c>
      <c r="P147" s="89"/>
      <c r="Q147" s="89"/>
    </row>
    <row r="148" spans="1:17" x14ac:dyDescent="0.3">
      <c r="A148" s="21" t="s">
        <v>228</v>
      </c>
      <c r="B148" s="104" t="s">
        <v>2810</v>
      </c>
      <c r="C148" s="28" t="s">
        <v>168</v>
      </c>
      <c r="D148" s="28" t="str">
        <f>IFERROR(VLOOKUP($C148,CUENTAS[],2,0),"")</f>
        <v>ACTIVOS FIJOS</v>
      </c>
      <c r="E148" s="28" t="str">
        <f>IFERROR(VLOOKUP($C148,CUENTAS[],3,0),"")</f>
        <v>MDE2025-007B</v>
      </c>
      <c r="F148" s="128">
        <v>1882.04</v>
      </c>
      <c r="G148" s="145">
        <v>0</v>
      </c>
      <c r="H148" s="128">
        <v>1882.04</v>
      </c>
      <c r="I148" s="200" t="str">
        <f t="shared" si="2"/>
        <v>CORRECTO</v>
      </c>
      <c r="J148" s="187" t="s">
        <v>133</v>
      </c>
      <c r="K148" s="141" t="s">
        <v>360</v>
      </c>
      <c r="L148" s="142" t="s">
        <v>227</v>
      </c>
      <c r="M148" s="139">
        <v>45918</v>
      </c>
      <c r="N148" s="146" t="s">
        <v>371</v>
      </c>
      <c r="P148" s="89"/>
      <c r="Q148" s="89"/>
    </row>
    <row r="149" spans="1:17" x14ac:dyDescent="0.3">
      <c r="A149" s="21" t="s">
        <v>228</v>
      </c>
      <c r="B149" s="104" t="s">
        <v>1574</v>
      </c>
      <c r="C149" s="28" t="s">
        <v>168</v>
      </c>
      <c r="D149" s="28" t="str">
        <f>IFERROR(VLOOKUP($C149,CUENTAS[],2,0),"")</f>
        <v>ACTIVOS FIJOS</v>
      </c>
      <c r="E149" s="28" t="str">
        <f>IFERROR(VLOOKUP($C149,CUENTAS[],3,0),"")</f>
        <v>MDE2025-007B</v>
      </c>
      <c r="F149" s="128">
        <v>8999.67</v>
      </c>
      <c r="G149" s="145">
        <v>0</v>
      </c>
      <c r="H149" s="128">
        <v>8999.67</v>
      </c>
      <c r="I149" s="200" t="str">
        <f t="shared" si="2"/>
        <v>CORRECTO</v>
      </c>
      <c r="J149" s="187" t="s">
        <v>133</v>
      </c>
      <c r="K149" s="141" t="s">
        <v>360</v>
      </c>
      <c r="L149" s="142" t="s">
        <v>227</v>
      </c>
      <c r="M149" s="139">
        <v>45920</v>
      </c>
      <c r="N149" s="146" t="s">
        <v>371</v>
      </c>
      <c r="P149" s="89"/>
      <c r="Q149" s="89"/>
    </row>
    <row r="150" spans="1:17" x14ac:dyDescent="0.3">
      <c r="A150" s="21" t="s">
        <v>228</v>
      </c>
      <c r="B150" s="104" t="s">
        <v>2811</v>
      </c>
      <c r="C150" s="28" t="s">
        <v>134</v>
      </c>
      <c r="D150" s="28" t="str">
        <f>IFERROR(VLOOKUP($C150,CUENTAS[],2,0),"")</f>
        <v>GASTOS FIJOS</v>
      </c>
      <c r="E150" s="28" t="str">
        <f>IFERROR(VLOOKUP($C150,CUENTAS[],3,0),"")</f>
        <v>MDE2025-002J</v>
      </c>
      <c r="F150" s="128">
        <v>556.55999999999995</v>
      </c>
      <c r="G150" s="145">
        <v>0</v>
      </c>
      <c r="H150" s="128">
        <v>556.55999999999995</v>
      </c>
      <c r="I150" s="200" t="str">
        <f t="shared" si="2"/>
        <v>CORRECTO</v>
      </c>
      <c r="J150" s="187" t="s">
        <v>133</v>
      </c>
      <c r="K150" s="141" t="s">
        <v>360</v>
      </c>
      <c r="L150" s="142" t="s">
        <v>227</v>
      </c>
      <c r="M150" s="139">
        <v>45903</v>
      </c>
      <c r="N150" s="146" t="s">
        <v>371</v>
      </c>
      <c r="P150" s="89"/>
      <c r="Q150" s="89"/>
    </row>
    <row r="151" spans="1:17" x14ac:dyDescent="0.3">
      <c r="A151" s="21" t="s">
        <v>228</v>
      </c>
      <c r="B151" s="104" t="s">
        <v>2812</v>
      </c>
      <c r="C151" s="28" t="s">
        <v>134</v>
      </c>
      <c r="D151" s="28" t="str">
        <f>IFERROR(VLOOKUP($C151,CUENTAS[],2,0),"")</f>
        <v>GASTOS FIJOS</v>
      </c>
      <c r="E151" s="28" t="str">
        <f>IFERROR(VLOOKUP($C151,CUENTAS[],3,0),"")</f>
        <v>MDE2025-002J</v>
      </c>
      <c r="F151" s="128">
        <v>441.21</v>
      </c>
      <c r="G151" s="145">
        <v>0</v>
      </c>
      <c r="H151" s="128">
        <v>441.21</v>
      </c>
      <c r="I151" s="200" t="str">
        <f t="shared" si="2"/>
        <v>CORRECTO</v>
      </c>
      <c r="J151" s="187" t="s">
        <v>133</v>
      </c>
      <c r="K151" s="141" t="s">
        <v>360</v>
      </c>
      <c r="L151" s="142" t="s">
        <v>227</v>
      </c>
      <c r="M151" s="139">
        <v>45908</v>
      </c>
      <c r="N151" s="146" t="s">
        <v>371</v>
      </c>
      <c r="P151" s="89"/>
      <c r="Q151" s="89"/>
    </row>
    <row r="152" spans="1:17" x14ac:dyDescent="0.3">
      <c r="A152" s="21" t="s">
        <v>1004</v>
      </c>
      <c r="B152" s="104" t="s">
        <v>2813</v>
      </c>
      <c r="C152" s="28" t="s">
        <v>168</v>
      </c>
      <c r="D152" s="28" t="str">
        <f>IFERROR(VLOOKUP($C152,CUENTAS[],2,0),"")</f>
        <v>ACTIVOS FIJOS</v>
      </c>
      <c r="E152" s="28" t="str">
        <f>IFERROR(VLOOKUP($C152,CUENTAS[],3,0),"")</f>
        <v>MDE2025-007B</v>
      </c>
      <c r="F152" s="128">
        <v>781.27</v>
      </c>
      <c r="G152" s="145">
        <v>0</v>
      </c>
      <c r="H152" s="128">
        <v>781.27</v>
      </c>
      <c r="I152" s="200" t="str">
        <f t="shared" si="2"/>
        <v>CORRECTO</v>
      </c>
      <c r="J152" s="187" t="s">
        <v>133</v>
      </c>
      <c r="K152" s="141" t="s">
        <v>1277</v>
      </c>
      <c r="L152" s="142" t="s">
        <v>227</v>
      </c>
      <c r="M152" s="139" t="s">
        <v>2817</v>
      </c>
      <c r="N152" s="146" t="s">
        <v>371</v>
      </c>
      <c r="P152" s="89"/>
      <c r="Q152" s="89"/>
    </row>
    <row r="153" spans="1:17" x14ac:dyDescent="0.3">
      <c r="A153" s="21" t="s">
        <v>228</v>
      </c>
      <c r="B153" s="104" t="s">
        <v>2814</v>
      </c>
      <c r="C153" s="28" t="s">
        <v>141</v>
      </c>
      <c r="D153" s="28" t="str">
        <f>IFERROR(VLOOKUP($C153,CUENTAS[],2,0),"")</f>
        <v>GASTOS VARIOS</v>
      </c>
      <c r="E153" s="28" t="str">
        <f>IFERROR(VLOOKUP($C153,CUENTAS[],3,0),"")</f>
        <v>MDE2025-003L</v>
      </c>
      <c r="F153" s="144">
        <v>4795</v>
      </c>
      <c r="G153" s="145">
        <v>0</v>
      </c>
      <c r="H153" s="128">
        <v>4795</v>
      </c>
      <c r="I153" s="200" t="str">
        <f t="shared" si="2"/>
        <v>CORRECTO</v>
      </c>
      <c r="J153" s="187" t="s">
        <v>133</v>
      </c>
      <c r="K153" s="141" t="s">
        <v>360</v>
      </c>
      <c r="L153" s="142" t="s">
        <v>227</v>
      </c>
      <c r="M153" s="139">
        <v>45923</v>
      </c>
      <c r="N153" s="146"/>
      <c r="P153" s="89"/>
      <c r="Q153" s="89"/>
    </row>
    <row r="154" spans="1:17" x14ac:dyDescent="0.3">
      <c r="A154" s="21" t="s">
        <v>228</v>
      </c>
      <c r="B154" s="104" t="s">
        <v>1001</v>
      </c>
      <c r="C154" s="28" t="s">
        <v>141</v>
      </c>
      <c r="D154" s="28" t="str">
        <f>IFERROR(VLOOKUP($C154,CUENTAS[],2,0),"")</f>
        <v>GASTOS VARIOS</v>
      </c>
      <c r="E154" s="28" t="str">
        <f>IFERROR(VLOOKUP($C154,CUENTAS[],3,0),"")</f>
        <v>MDE2025-003L</v>
      </c>
      <c r="F154" s="144">
        <v>816.9</v>
      </c>
      <c r="G154" s="145">
        <v>0</v>
      </c>
      <c r="H154" s="128">
        <v>816.9</v>
      </c>
      <c r="I154" s="200" t="str">
        <f t="shared" si="2"/>
        <v>CORRECTO</v>
      </c>
      <c r="J154" s="187" t="s">
        <v>133</v>
      </c>
      <c r="K154" s="141" t="s">
        <v>360</v>
      </c>
      <c r="L154" s="142" t="s">
        <v>227</v>
      </c>
      <c r="M154" s="139">
        <v>45921</v>
      </c>
      <c r="N154" s="146"/>
      <c r="P154" s="89"/>
      <c r="Q154" s="89"/>
    </row>
    <row r="155" spans="1:17" x14ac:dyDescent="0.3">
      <c r="A155" s="21" t="s">
        <v>228</v>
      </c>
      <c r="B155" s="104" t="s">
        <v>2815</v>
      </c>
      <c r="C155" s="28" t="s">
        <v>141</v>
      </c>
      <c r="D155" s="28" t="str">
        <f>IFERROR(VLOOKUP($C155,CUENTAS[],2,0),"")</f>
        <v>GASTOS VARIOS</v>
      </c>
      <c r="E155" s="28" t="str">
        <f>IFERROR(VLOOKUP($C155,CUENTAS[],3,0),"")</f>
        <v>MDE2025-003L</v>
      </c>
      <c r="F155" s="144">
        <v>3163</v>
      </c>
      <c r="G155" s="145">
        <v>0</v>
      </c>
      <c r="H155" s="128">
        <v>3163</v>
      </c>
      <c r="I155" s="200" t="str">
        <f t="shared" si="2"/>
        <v>CORRECTO</v>
      </c>
      <c r="J155" s="187" t="s">
        <v>133</v>
      </c>
      <c r="K155" s="141" t="s">
        <v>360</v>
      </c>
      <c r="L155" s="142" t="s">
        <v>227</v>
      </c>
      <c r="M155" s="139">
        <v>45920</v>
      </c>
      <c r="N155" s="146"/>
      <c r="P155" s="89"/>
      <c r="Q155" s="89"/>
    </row>
    <row r="156" spans="1:17" x14ac:dyDescent="0.3">
      <c r="A156" s="21" t="s">
        <v>228</v>
      </c>
      <c r="B156" s="104" t="s">
        <v>2816</v>
      </c>
      <c r="C156" s="28" t="s">
        <v>134</v>
      </c>
      <c r="D156" s="28" t="str">
        <f>IFERROR(VLOOKUP($C156,CUENTAS[],2,0),"")</f>
        <v>GASTOS FIJOS</v>
      </c>
      <c r="E156" s="28" t="str">
        <f>IFERROR(VLOOKUP($C156,CUENTAS[],3,0),"")</f>
        <v>MDE2025-002J</v>
      </c>
      <c r="F156" s="144">
        <v>18001.060000000001</v>
      </c>
      <c r="G156" s="145">
        <v>0</v>
      </c>
      <c r="H156" s="128">
        <v>18001.060000000001</v>
      </c>
      <c r="I156" s="200" t="str">
        <f t="shared" si="2"/>
        <v>CORRECTO</v>
      </c>
      <c r="J156" s="187" t="s">
        <v>133</v>
      </c>
      <c r="K156" s="141" t="s">
        <v>360</v>
      </c>
      <c r="L156" s="142" t="s">
        <v>227</v>
      </c>
      <c r="M156" s="139">
        <v>45924</v>
      </c>
      <c r="N156" s="146"/>
      <c r="P156" s="89"/>
      <c r="Q156" s="89"/>
    </row>
    <row r="157" spans="1:17" x14ac:dyDescent="0.3">
      <c r="A157" s="6" t="s">
        <v>2818</v>
      </c>
      <c r="B157" s="109" t="s">
        <v>2819</v>
      </c>
      <c r="C157" s="28" t="s">
        <v>117</v>
      </c>
      <c r="D157" s="28" t="str">
        <f>IFERROR(VLOOKUP($C157,CUENTAS[],2,0),"")</f>
        <v>GASTOS VARIOS</v>
      </c>
      <c r="E157" s="28" t="str">
        <f>IFERROR(VLOOKUP($C157,CUENTAS[],3,0),"")</f>
        <v>MDE2025-003D</v>
      </c>
      <c r="F157" s="126">
        <v>1600</v>
      </c>
      <c r="G157" s="129">
        <v>0</v>
      </c>
      <c r="H157" s="126">
        <v>1600</v>
      </c>
      <c r="I157" s="200" t="str">
        <f t="shared" si="2"/>
        <v>CORRECTO</v>
      </c>
      <c r="J157" s="88" t="s">
        <v>3252</v>
      </c>
      <c r="K157" s="101" t="s">
        <v>360</v>
      </c>
      <c r="L157" s="95" t="s">
        <v>227</v>
      </c>
      <c r="M157" s="184">
        <v>45901</v>
      </c>
      <c r="N157" s="8" t="s">
        <v>430</v>
      </c>
      <c r="P157" s="89"/>
      <c r="Q157" s="89"/>
    </row>
    <row r="158" spans="1:17" x14ac:dyDescent="0.3">
      <c r="A158" s="6" t="s">
        <v>2820</v>
      </c>
      <c r="B158" s="109" t="s">
        <v>2819</v>
      </c>
      <c r="C158" s="28" t="s">
        <v>117</v>
      </c>
      <c r="D158" s="28" t="str">
        <f>IFERROR(VLOOKUP($C158,CUENTAS[],2,0),"")</f>
        <v>GASTOS VARIOS</v>
      </c>
      <c r="E158" s="28" t="str">
        <f>IFERROR(VLOOKUP($C158,CUENTAS[],3,0),"")</f>
        <v>MDE2025-003D</v>
      </c>
      <c r="F158" s="126">
        <v>1600</v>
      </c>
      <c r="G158" s="129">
        <v>0</v>
      </c>
      <c r="H158" s="126">
        <v>1600</v>
      </c>
      <c r="I158" s="200" t="str">
        <f t="shared" si="2"/>
        <v>CORRECTO</v>
      </c>
      <c r="J158" s="88" t="s">
        <v>3252</v>
      </c>
      <c r="K158" s="101" t="s">
        <v>360</v>
      </c>
      <c r="L158" s="95" t="s">
        <v>227</v>
      </c>
      <c r="M158" s="184">
        <v>45924</v>
      </c>
      <c r="N158" s="8" t="s">
        <v>430</v>
      </c>
      <c r="P158" s="89"/>
      <c r="Q158" s="89"/>
    </row>
    <row r="159" spans="1:17" x14ac:dyDescent="0.3">
      <c r="A159" s="6" t="s">
        <v>2213</v>
      </c>
      <c r="B159" s="109" t="s">
        <v>2510</v>
      </c>
      <c r="C159" s="28" t="s">
        <v>117</v>
      </c>
      <c r="D159" s="28" t="str">
        <f>IFERROR(VLOOKUP($C159,CUENTAS[],2,0),"")</f>
        <v>GASTOS VARIOS</v>
      </c>
      <c r="E159" s="28" t="str">
        <f>IFERROR(VLOOKUP($C159,CUENTAS[],3,0),"")</f>
        <v>MDE2025-003D</v>
      </c>
      <c r="F159" s="86">
        <v>1296.97</v>
      </c>
      <c r="G159" s="129">
        <v>203.13</v>
      </c>
      <c r="H159" s="126">
        <v>1500.1</v>
      </c>
      <c r="I159" s="200" t="str">
        <f t="shared" si="2"/>
        <v>CORRECTO</v>
      </c>
      <c r="J159" s="88" t="s">
        <v>3252</v>
      </c>
      <c r="K159" s="101" t="s">
        <v>360</v>
      </c>
      <c r="L159" s="95" t="s">
        <v>227</v>
      </c>
      <c r="M159" s="184">
        <v>45898</v>
      </c>
      <c r="N159" s="8" t="s">
        <v>2824</v>
      </c>
      <c r="P159" s="89"/>
      <c r="Q159" s="89"/>
    </row>
    <row r="160" spans="1:17" x14ac:dyDescent="0.3">
      <c r="A160" s="6" t="s">
        <v>2821</v>
      </c>
      <c r="B160" s="109" t="s">
        <v>2822</v>
      </c>
      <c r="C160" s="28" t="s">
        <v>117</v>
      </c>
      <c r="D160" s="28" t="str">
        <f>IFERROR(VLOOKUP($C160,CUENTAS[],2,0),"")</f>
        <v>GASTOS VARIOS</v>
      </c>
      <c r="E160" s="28" t="str">
        <f>IFERROR(VLOOKUP($C160,CUENTAS[],3,0),"")</f>
        <v>MDE2025-003D</v>
      </c>
      <c r="F160" s="86">
        <v>683.69</v>
      </c>
      <c r="G160" s="129">
        <v>106.31</v>
      </c>
      <c r="H160" s="126">
        <v>790</v>
      </c>
      <c r="I160" s="200" t="str">
        <f t="shared" si="2"/>
        <v>CORRECTO</v>
      </c>
      <c r="J160" s="88" t="s">
        <v>3252</v>
      </c>
      <c r="K160" s="101" t="s">
        <v>360</v>
      </c>
      <c r="L160" s="95" t="s">
        <v>227</v>
      </c>
      <c r="M160" s="184">
        <v>45925</v>
      </c>
      <c r="N160" s="8" t="s">
        <v>2825</v>
      </c>
      <c r="P160" s="89"/>
      <c r="Q160" s="89"/>
    </row>
    <row r="161" spans="1:17" x14ac:dyDescent="0.3">
      <c r="A161" s="6" t="s">
        <v>2823</v>
      </c>
      <c r="B161" s="109" t="s">
        <v>1863</v>
      </c>
      <c r="C161" s="28" t="s">
        <v>117</v>
      </c>
      <c r="D161" s="28" t="str">
        <f>IFERROR(VLOOKUP($C161,CUENTAS[],2,0),"")</f>
        <v>GASTOS VARIOS</v>
      </c>
      <c r="E161" s="28" t="str">
        <f>IFERROR(VLOOKUP($C161,CUENTAS[],3,0),"")</f>
        <v>MDE2025-003D</v>
      </c>
      <c r="F161" s="86">
        <v>600</v>
      </c>
      <c r="G161" s="129">
        <v>0</v>
      </c>
      <c r="H161" s="126">
        <v>600</v>
      </c>
      <c r="I161" s="200" t="str">
        <f t="shared" si="2"/>
        <v>CORRECTO</v>
      </c>
      <c r="J161" s="88" t="s">
        <v>3252</v>
      </c>
      <c r="K161" s="101" t="s">
        <v>2230</v>
      </c>
      <c r="L161" s="95" t="s">
        <v>227</v>
      </c>
      <c r="M161" s="184">
        <v>45901</v>
      </c>
      <c r="N161" s="8" t="s">
        <v>2826</v>
      </c>
      <c r="P161" s="89"/>
      <c r="Q161" s="89"/>
    </row>
    <row r="162" spans="1:17" ht="14.25" customHeight="1" x14ac:dyDescent="0.3">
      <c r="A162" s="115" t="s">
        <v>453</v>
      </c>
      <c r="B162" s="115" t="s">
        <v>2765</v>
      </c>
      <c r="C162" s="28" t="s">
        <v>224</v>
      </c>
      <c r="D162" s="28" t="str">
        <f>IFERROR(VLOOKUP($C162,CUENTAS[],2,0),"")</f>
        <v>MATERIALES</v>
      </c>
      <c r="E162" s="28" t="str">
        <f>IFERROR(VLOOKUP($C162,CUENTAS[],3,0),"")</f>
        <v>MDE2025-004</v>
      </c>
      <c r="F162" s="86">
        <v>32.5</v>
      </c>
      <c r="G162" s="129">
        <v>0</v>
      </c>
      <c r="H162" s="130">
        <v>32.5</v>
      </c>
      <c r="I162" s="200" t="str">
        <f t="shared" si="2"/>
        <v>CORRECTO</v>
      </c>
      <c r="J162" s="88" t="s">
        <v>137</v>
      </c>
      <c r="K162" s="116" t="s">
        <v>980</v>
      </c>
      <c r="L162" s="95" t="s">
        <v>227</v>
      </c>
      <c r="M162" s="159">
        <v>45927</v>
      </c>
      <c r="N162" s="118" t="s">
        <v>2772</v>
      </c>
      <c r="P162" s="89"/>
      <c r="Q162" s="89"/>
    </row>
    <row r="163" spans="1:17" ht="14.25" customHeight="1" x14ac:dyDescent="0.3">
      <c r="A163" s="115" t="s">
        <v>2766</v>
      </c>
      <c r="B163" s="115" t="s">
        <v>2767</v>
      </c>
      <c r="C163" s="28" t="s">
        <v>224</v>
      </c>
      <c r="D163" s="28" t="str">
        <f>IFERROR(VLOOKUP($C163,CUENTAS[],2,0),"")</f>
        <v>MATERIALES</v>
      </c>
      <c r="E163" s="28" t="str">
        <f>IFERROR(VLOOKUP($C163,CUENTAS[],3,0),"")</f>
        <v>MDE2025-004</v>
      </c>
      <c r="F163" s="86">
        <v>104.5</v>
      </c>
      <c r="G163" s="129">
        <v>0</v>
      </c>
      <c r="H163" s="131">
        <v>104.5</v>
      </c>
      <c r="I163" s="200" t="str">
        <f t="shared" si="2"/>
        <v>CORRECTO</v>
      </c>
      <c r="J163" s="88" t="s">
        <v>137</v>
      </c>
      <c r="K163" s="116" t="s">
        <v>980</v>
      </c>
      <c r="L163" s="95" t="s">
        <v>227</v>
      </c>
      <c r="M163" s="159">
        <v>45903</v>
      </c>
      <c r="N163" s="22" t="s">
        <v>2773</v>
      </c>
      <c r="P163" s="89"/>
      <c r="Q163" s="89"/>
    </row>
    <row r="164" spans="1:17" ht="14.25" customHeight="1" x14ac:dyDescent="0.3">
      <c r="A164" s="115" t="s">
        <v>1253</v>
      </c>
      <c r="B164" s="115" t="s">
        <v>2768</v>
      </c>
      <c r="C164" s="28" t="s">
        <v>125</v>
      </c>
      <c r="D164" s="28" t="str">
        <f>IFERROR(VLOOKUP($C164,CUENTAS[],2,0),"")</f>
        <v>GASTOS FIJOS</v>
      </c>
      <c r="E164" s="28" t="str">
        <f>IFERROR(VLOOKUP($C164,CUENTAS[],3,0),"")</f>
        <v>MDE2025-002B</v>
      </c>
      <c r="F164" s="86">
        <v>850</v>
      </c>
      <c r="G164" s="129">
        <v>0</v>
      </c>
      <c r="H164" s="131">
        <v>850</v>
      </c>
      <c r="I164" s="200" t="str">
        <f t="shared" si="2"/>
        <v>CORRECTO</v>
      </c>
      <c r="J164" s="88" t="s">
        <v>137</v>
      </c>
      <c r="K164" s="116" t="s">
        <v>363</v>
      </c>
      <c r="L164" s="95" t="s">
        <v>227</v>
      </c>
      <c r="M164" s="159">
        <v>45922</v>
      </c>
      <c r="N164" s="22" t="s">
        <v>2774</v>
      </c>
      <c r="P164" s="89"/>
      <c r="Q164" s="89"/>
    </row>
    <row r="165" spans="1:17" ht="14.25" customHeight="1" x14ac:dyDescent="0.3">
      <c r="A165" s="115" t="s">
        <v>2769</v>
      </c>
      <c r="B165" s="115" t="s">
        <v>2770</v>
      </c>
      <c r="C165" s="28" t="s">
        <v>151</v>
      </c>
      <c r="D165" s="28" t="str">
        <f>IFERROR(VLOOKUP($C165,CUENTAS[],2,0),"")</f>
        <v>GASTOS FIJOS</v>
      </c>
      <c r="E165" s="28" t="str">
        <f>IFERROR(VLOOKUP($C165,CUENTAS[],3,0),"")</f>
        <v>MDE2025-002F</v>
      </c>
      <c r="F165" s="86">
        <v>100</v>
      </c>
      <c r="G165" s="129">
        <v>0</v>
      </c>
      <c r="H165" s="131">
        <v>100</v>
      </c>
      <c r="I165" s="200" t="str">
        <f t="shared" si="2"/>
        <v>CORRECTO</v>
      </c>
      <c r="J165" s="88" t="s">
        <v>137</v>
      </c>
      <c r="K165" s="116" t="s">
        <v>363</v>
      </c>
      <c r="L165" s="95" t="s">
        <v>227</v>
      </c>
      <c r="M165" s="159">
        <v>45923</v>
      </c>
      <c r="N165" s="22" t="s">
        <v>1203</v>
      </c>
      <c r="P165" s="89"/>
      <c r="Q165" s="89"/>
    </row>
    <row r="166" spans="1:17" ht="14.25" customHeight="1" x14ac:dyDescent="0.3">
      <c r="A166" s="115" t="s">
        <v>1221</v>
      </c>
      <c r="B166" s="115" t="s">
        <v>2771</v>
      </c>
      <c r="C166" s="28" t="s">
        <v>159</v>
      </c>
      <c r="D166" s="28" t="str">
        <f>IFERROR(VLOOKUP($C166,CUENTAS[],2,0),"")</f>
        <v>GASTOS VARIOS</v>
      </c>
      <c r="E166" s="28" t="str">
        <f>IFERROR(VLOOKUP($C166,CUENTAS[],3,0),"")</f>
        <v>MDE2025-003A</v>
      </c>
      <c r="F166" s="86">
        <v>92</v>
      </c>
      <c r="G166" s="129">
        <v>0</v>
      </c>
      <c r="H166" s="131">
        <v>92</v>
      </c>
      <c r="I166" s="200" t="str">
        <f t="shared" si="2"/>
        <v>CORRECTO</v>
      </c>
      <c r="J166" s="88" t="s">
        <v>137</v>
      </c>
      <c r="K166" s="116" t="s">
        <v>363</v>
      </c>
      <c r="L166" s="95" t="s">
        <v>227</v>
      </c>
      <c r="M166" s="159">
        <v>45928</v>
      </c>
      <c r="N166" s="22" t="s">
        <v>2775</v>
      </c>
      <c r="P166" s="89"/>
      <c r="Q166" s="89"/>
    </row>
    <row r="167" spans="1:17" ht="14.25" customHeight="1" x14ac:dyDescent="0.3">
      <c r="A167" s="115" t="s">
        <v>606</v>
      </c>
      <c r="B167" s="115" t="s">
        <v>2827</v>
      </c>
      <c r="C167" s="28" t="s">
        <v>158</v>
      </c>
      <c r="D167" s="28" t="str">
        <f>IFERROR(VLOOKUP($C167,CUENTAS[],2,0),"")</f>
        <v>GASTOS FIJOS</v>
      </c>
      <c r="E167" s="28" t="str">
        <f>IFERROR(VLOOKUP($C167,CUENTAS[],3,0),"")</f>
        <v>MDE2025-002R</v>
      </c>
      <c r="F167" s="86">
        <v>352112.68</v>
      </c>
      <c r="G167" s="129">
        <v>0</v>
      </c>
      <c r="H167" s="131">
        <v>352112.68</v>
      </c>
      <c r="I167" s="200" t="str">
        <f t="shared" si="2"/>
        <v>CORRECTO</v>
      </c>
      <c r="J167" s="88" t="s">
        <v>3244</v>
      </c>
      <c r="K167" s="116" t="s">
        <v>364</v>
      </c>
      <c r="L167" s="95" t="s">
        <v>227</v>
      </c>
      <c r="M167" s="159">
        <v>45915</v>
      </c>
      <c r="N167" s="22" t="s">
        <v>371</v>
      </c>
      <c r="P167" s="89"/>
      <c r="Q167" s="89"/>
    </row>
    <row r="168" spans="1:17" x14ac:dyDescent="0.3">
      <c r="A168" s="120" t="s">
        <v>2776</v>
      </c>
      <c r="B168" s="120" t="s">
        <v>2319</v>
      </c>
      <c r="C168" s="28" t="s">
        <v>178</v>
      </c>
      <c r="D168" s="28" t="str">
        <f>IFERROR(VLOOKUP($C168,CUENTAS[],2,0),"")</f>
        <v>GASTOS FIJOS</v>
      </c>
      <c r="E168" s="28" t="str">
        <f>IFERROR(VLOOKUP($C168,CUENTAS[],3,0),"")</f>
        <v>MDE2025-002O</v>
      </c>
      <c r="F168" s="86">
        <v>3750</v>
      </c>
      <c r="G168" s="129">
        <v>0</v>
      </c>
      <c r="H168" s="132">
        <v>3750</v>
      </c>
      <c r="I168" s="200" t="str">
        <f t="shared" si="2"/>
        <v>CORRECTO</v>
      </c>
      <c r="J168" s="88" t="s">
        <v>175</v>
      </c>
      <c r="K168" s="121" t="s">
        <v>364</v>
      </c>
      <c r="L168" s="95" t="s">
        <v>227</v>
      </c>
      <c r="M168" s="186">
        <v>45908</v>
      </c>
      <c r="N168" s="123" t="s">
        <v>371</v>
      </c>
      <c r="P168" s="89"/>
      <c r="Q168" s="89"/>
    </row>
    <row r="169" spans="1:17" x14ac:dyDescent="0.3">
      <c r="A169" s="120" t="s">
        <v>2392</v>
      </c>
      <c r="B169" s="120" t="s">
        <v>645</v>
      </c>
      <c r="C169" s="28" t="s">
        <v>157</v>
      </c>
      <c r="D169" s="28" t="str">
        <f>IFERROR(VLOOKUP($C169,CUENTAS[],2,0),"")</f>
        <v>GASTOS FIJOS</v>
      </c>
      <c r="E169" s="28" t="str">
        <f>IFERROR(VLOOKUP($C169,CUENTAS[],3,0),"")</f>
        <v>MDE2025-002Q</v>
      </c>
      <c r="F169" s="86">
        <v>600</v>
      </c>
      <c r="G169" s="129">
        <v>0</v>
      </c>
      <c r="H169" s="132">
        <v>600</v>
      </c>
      <c r="I169" s="200" t="str">
        <f t="shared" si="2"/>
        <v>CORRECTO</v>
      </c>
      <c r="J169" s="88" t="s">
        <v>175</v>
      </c>
      <c r="K169" s="121" t="s">
        <v>360</v>
      </c>
      <c r="L169" s="95" t="s">
        <v>227</v>
      </c>
      <c r="M169" s="186">
        <v>45902</v>
      </c>
      <c r="N169" s="123" t="s">
        <v>371</v>
      </c>
      <c r="P169" s="89"/>
      <c r="Q169" s="89"/>
    </row>
    <row r="170" spans="1:17" x14ac:dyDescent="0.3">
      <c r="A170" s="120" t="s">
        <v>116</v>
      </c>
      <c r="B170" s="120" t="s">
        <v>2777</v>
      </c>
      <c r="C170" s="28" t="s">
        <v>153</v>
      </c>
      <c r="D170" s="28" t="str">
        <f>IFERROR(VLOOKUP($C170,CUENTAS[],2,0),"")</f>
        <v>GASTOS FIJOS</v>
      </c>
      <c r="E170" s="28" t="str">
        <f>IFERROR(VLOOKUP($C170,CUENTAS[],3,0),"")</f>
        <v>MDE2025-002L</v>
      </c>
      <c r="F170" s="86">
        <v>19517.759999999998</v>
      </c>
      <c r="G170" s="129">
        <v>0</v>
      </c>
      <c r="H170" s="132">
        <v>19517.759999999998</v>
      </c>
      <c r="I170" s="200" t="str">
        <f t="shared" si="2"/>
        <v>CORRECTO</v>
      </c>
      <c r="J170" s="88" t="s">
        <v>2785</v>
      </c>
      <c r="K170" s="121" t="s">
        <v>364</v>
      </c>
      <c r="L170" s="95" t="s">
        <v>227</v>
      </c>
      <c r="M170" s="186">
        <v>45908</v>
      </c>
      <c r="N170" s="123" t="s">
        <v>371</v>
      </c>
      <c r="P170" s="89"/>
      <c r="Q170" s="89"/>
    </row>
    <row r="171" spans="1:17" x14ac:dyDescent="0.3">
      <c r="A171" s="120" t="s">
        <v>116</v>
      </c>
      <c r="B171" s="120" t="s">
        <v>2778</v>
      </c>
      <c r="C171" s="28" t="s">
        <v>153</v>
      </c>
      <c r="D171" s="28" t="str">
        <f>IFERROR(VLOOKUP($C171,CUENTAS[],2,0),"")</f>
        <v>GASTOS FIJOS</v>
      </c>
      <c r="E171" s="28" t="str">
        <f>IFERROR(VLOOKUP($C171,CUENTAS[],3,0),"")</f>
        <v>MDE2025-002L</v>
      </c>
      <c r="F171" s="132">
        <v>34183.5</v>
      </c>
      <c r="G171" s="129">
        <v>0</v>
      </c>
      <c r="H171" s="132">
        <v>34183.5</v>
      </c>
      <c r="I171" s="200" t="str">
        <f t="shared" si="2"/>
        <v>CORRECTO</v>
      </c>
      <c r="J171" s="88" t="s">
        <v>2785</v>
      </c>
      <c r="K171" s="121" t="s">
        <v>364</v>
      </c>
      <c r="L171" s="95" t="s">
        <v>227</v>
      </c>
      <c r="M171" s="186">
        <v>45915</v>
      </c>
      <c r="N171" s="123" t="s">
        <v>371</v>
      </c>
      <c r="P171" s="89"/>
      <c r="Q171" s="89"/>
    </row>
    <row r="172" spans="1:17" x14ac:dyDescent="0.3">
      <c r="A172" s="120" t="s">
        <v>2392</v>
      </c>
      <c r="B172" s="120" t="s">
        <v>2319</v>
      </c>
      <c r="C172" s="28" t="s">
        <v>153</v>
      </c>
      <c r="D172" s="28" t="str">
        <f>IFERROR(VLOOKUP($C172,CUENTAS[],2,0),"")</f>
        <v>GASTOS FIJOS</v>
      </c>
      <c r="E172" s="28" t="str">
        <f>IFERROR(VLOOKUP($C172,CUENTAS[],3,0),"")</f>
        <v>MDE2025-002L</v>
      </c>
      <c r="F172" s="86">
        <v>15206.64</v>
      </c>
      <c r="G172" s="129">
        <v>0</v>
      </c>
      <c r="H172" s="132">
        <v>15206.64</v>
      </c>
      <c r="I172" s="200" t="str">
        <f t="shared" si="2"/>
        <v>CORRECTO</v>
      </c>
      <c r="J172" s="88" t="s">
        <v>175</v>
      </c>
      <c r="K172" s="121" t="s">
        <v>364</v>
      </c>
      <c r="L172" s="95" t="s">
        <v>227</v>
      </c>
      <c r="M172" s="186">
        <v>45917</v>
      </c>
      <c r="N172" s="123" t="s">
        <v>371</v>
      </c>
      <c r="P172" s="89"/>
      <c r="Q172" s="89"/>
    </row>
    <row r="173" spans="1:17" x14ac:dyDescent="0.3">
      <c r="A173" s="120" t="s">
        <v>2779</v>
      </c>
      <c r="B173" s="120" t="s">
        <v>2319</v>
      </c>
      <c r="C173" s="28" t="s">
        <v>178</v>
      </c>
      <c r="D173" s="28" t="str">
        <f>IFERROR(VLOOKUP($C173,CUENTAS[],2,0),"")</f>
        <v>GASTOS FIJOS</v>
      </c>
      <c r="E173" s="28" t="str">
        <f>IFERROR(VLOOKUP($C173,CUENTAS[],3,0),"")</f>
        <v>MDE2025-002O</v>
      </c>
      <c r="F173" s="86">
        <v>6073.97</v>
      </c>
      <c r="G173" s="129">
        <v>0</v>
      </c>
      <c r="H173" s="132">
        <v>6073.97</v>
      </c>
      <c r="I173" s="200" t="str">
        <f t="shared" si="2"/>
        <v>CORRECTO</v>
      </c>
      <c r="J173" s="88" t="s">
        <v>175</v>
      </c>
      <c r="K173" s="121" t="s">
        <v>364</v>
      </c>
      <c r="L173" s="95" t="s">
        <v>227</v>
      </c>
      <c r="M173" s="186">
        <v>45910</v>
      </c>
      <c r="N173" s="123" t="s">
        <v>371</v>
      </c>
      <c r="P173" s="89"/>
      <c r="Q173" s="89"/>
    </row>
    <row r="174" spans="1:17" x14ac:dyDescent="0.3">
      <c r="A174" s="120" t="s">
        <v>116</v>
      </c>
      <c r="B174" s="120" t="s">
        <v>2780</v>
      </c>
      <c r="C174" s="28" t="s">
        <v>153</v>
      </c>
      <c r="D174" s="28" t="str">
        <f>IFERROR(VLOOKUP($C174,CUENTAS[],2,0),"")</f>
        <v>GASTOS FIJOS</v>
      </c>
      <c r="E174" s="28" t="str">
        <f>IFERROR(VLOOKUP($C174,CUENTAS[],3,0),"")</f>
        <v>MDE2025-002L</v>
      </c>
      <c r="F174" s="86">
        <v>34338.9</v>
      </c>
      <c r="G174" s="129">
        <v>0</v>
      </c>
      <c r="H174" s="132">
        <v>34338.9</v>
      </c>
      <c r="I174" s="200" t="str">
        <f t="shared" si="2"/>
        <v>CORRECTO</v>
      </c>
      <c r="J174" s="88" t="s">
        <v>2785</v>
      </c>
      <c r="K174" s="121" t="s">
        <v>364</v>
      </c>
      <c r="L174" s="95" t="s">
        <v>227</v>
      </c>
      <c r="M174" s="186">
        <v>45922</v>
      </c>
      <c r="N174" s="123" t="s">
        <v>371</v>
      </c>
      <c r="P174" s="89"/>
      <c r="Q174" s="89"/>
    </row>
    <row r="175" spans="1:17" x14ac:dyDescent="0.3">
      <c r="A175" s="120" t="s">
        <v>116</v>
      </c>
      <c r="B175" s="120" t="s">
        <v>2780</v>
      </c>
      <c r="C175" s="28" t="s">
        <v>177</v>
      </c>
      <c r="D175" s="28" t="str">
        <f>IFERROR(VLOOKUP($C175,CUENTAS[],2,0),"")</f>
        <v>GASTOS FIJOS</v>
      </c>
      <c r="E175" s="28" t="str">
        <f>IFERROR(VLOOKUP($C175,CUENTAS[],3,0),"")</f>
        <v>MDE2025-002A</v>
      </c>
      <c r="F175" s="86">
        <v>200</v>
      </c>
      <c r="G175" s="129">
        <v>0</v>
      </c>
      <c r="H175" s="132">
        <v>200</v>
      </c>
      <c r="I175" s="200" t="str">
        <f t="shared" si="2"/>
        <v>CORRECTO</v>
      </c>
      <c r="J175" s="88" t="s">
        <v>2785</v>
      </c>
      <c r="K175" s="121" t="s">
        <v>364</v>
      </c>
      <c r="L175" s="95" t="s">
        <v>227</v>
      </c>
      <c r="M175" s="186">
        <v>45922</v>
      </c>
      <c r="N175" s="123" t="s">
        <v>371</v>
      </c>
      <c r="P175" s="89"/>
      <c r="Q175" s="89"/>
    </row>
    <row r="176" spans="1:17" x14ac:dyDescent="0.3">
      <c r="A176" s="120" t="s">
        <v>116</v>
      </c>
      <c r="B176" s="120" t="s">
        <v>2780</v>
      </c>
      <c r="C176" s="28" t="s">
        <v>109</v>
      </c>
      <c r="D176" s="28" t="str">
        <f>IFERROR(VLOOKUP($C176,CUENTAS[],2,0),"")</f>
        <v>LOGÍSTICA</v>
      </c>
      <c r="E176" s="28" t="str">
        <f>IFERROR(VLOOKUP($C176,CUENTAS[],3,0),"")</f>
        <v>MDE2025-006A</v>
      </c>
      <c r="F176" s="86">
        <v>227.15</v>
      </c>
      <c r="G176" s="129">
        <v>0</v>
      </c>
      <c r="H176" s="132">
        <v>227.15</v>
      </c>
      <c r="I176" s="200" t="str">
        <f t="shared" si="2"/>
        <v>CORRECTO</v>
      </c>
      <c r="J176" s="88" t="s">
        <v>2785</v>
      </c>
      <c r="K176" s="121" t="s">
        <v>364</v>
      </c>
      <c r="L176" s="95" t="s">
        <v>227</v>
      </c>
      <c r="M176" s="186">
        <v>45922</v>
      </c>
      <c r="N176" s="123" t="s">
        <v>371</v>
      </c>
      <c r="P176" s="89"/>
      <c r="Q176" s="89"/>
    </row>
    <row r="177" spans="1:17" x14ac:dyDescent="0.3">
      <c r="A177" s="120" t="s">
        <v>116</v>
      </c>
      <c r="B177" s="120" t="s">
        <v>2781</v>
      </c>
      <c r="C177" s="28" t="s">
        <v>178</v>
      </c>
      <c r="D177" s="28" t="str">
        <f>IFERROR(VLOOKUP($C177,CUENTAS[],2,0),"")</f>
        <v>GASTOS FIJOS</v>
      </c>
      <c r="E177" s="28" t="str">
        <f>IFERROR(VLOOKUP($C177,CUENTAS[],3,0),"")</f>
        <v>MDE2025-002O</v>
      </c>
      <c r="F177" s="86">
        <v>108427.93</v>
      </c>
      <c r="G177" s="129">
        <v>0</v>
      </c>
      <c r="H177" s="132">
        <v>108427.93</v>
      </c>
      <c r="I177" s="200" t="str">
        <f t="shared" si="2"/>
        <v>CORRECTO</v>
      </c>
      <c r="J177" s="88" t="s">
        <v>2785</v>
      </c>
      <c r="K177" s="121" t="s">
        <v>364</v>
      </c>
      <c r="L177" s="95" t="s">
        <v>227</v>
      </c>
      <c r="M177" s="186">
        <v>45915</v>
      </c>
      <c r="N177" s="123" t="s">
        <v>371</v>
      </c>
      <c r="P177" s="89"/>
      <c r="Q177" s="89"/>
    </row>
    <row r="178" spans="1:17" x14ac:dyDescent="0.3">
      <c r="A178" s="120" t="s">
        <v>116</v>
      </c>
      <c r="B178" s="120" t="s">
        <v>2782</v>
      </c>
      <c r="C178" s="28" t="s">
        <v>178</v>
      </c>
      <c r="D178" s="28" t="str">
        <f>IFERROR(VLOOKUP($C178,CUENTAS[],2,0),"")</f>
        <v>GASTOS FIJOS</v>
      </c>
      <c r="E178" s="28" t="str">
        <f>IFERROR(VLOOKUP($C178,CUENTAS[],3,0),"")</f>
        <v>MDE2025-002O</v>
      </c>
      <c r="F178" s="86">
        <v>198836.64</v>
      </c>
      <c r="G178" s="129">
        <v>0</v>
      </c>
      <c r="H178" s="132">
        <v>198836.64</v>
      </c>
      <c r="I178" s="200" t="str">
        <f t="shared" si="2"/>
        <v>CORRECTO</v>
      </c>
      <c r="J178" s="88" t="s">
        <v>2785</v>
      </c>
      <c r="K178" s="121" t="s">
        <v>364</v>
      </c>
      <c r="L178" s="95" t="s">
        <v>227</v>
      </c>
      <c r="M178" s="186">
        <v>45915</v>
      </c>
      <c r="N178" s="123" t="s">
        <v>371</v>
      </c>
      <c r="P178" s="89"/>
      <c r="Q178" s="89"/>
    </row>
    <row r="179" spans="1:17" x14ac:dyDescent="0.3">
      <c r="A179" s="120" t="s">
        <v>116</v>
      </c>
      <c r="B179" s="120" t="s">
        <v>2783</v>
      </c>
      <c r="C179" s="28" t="s">
        <v>157</v>
      </c>
      <c r="D179" s="28" t="str">
        <f>IFERROR(VLOOKUP($C179,CUENTAS[],2,0),"")</f>
        <v>GASTOS FIJOS</v>
      </c>
      <c r="E179" s="28" t="str">
        <f>IFERROR(VLOOKUP($C179,CUENTAS[],3,0),"")</f>
        <v>MDE2025-002Q</v>
      </c>
      <c r="F179" s="86">
        <v>-2000</v>
      </c>
      <c r="G179" s="129">
        <v>0</v>
      </c>
      <c r="H179" s="132">
        <v>-2000</v>
      </c>
      <c r="I179" s="200" t="str">
        <f t="shared" si="2"/>
        <v>CORRECTO</v>
      </c>
      <c r="J179" s="88" t="s">
        <v>2785</v>
      </c>
      <c r="K179" s="121" t="s">
        <v>364</v>
      </c>
      <c r="L179" s="95" t="s">
        <v>227</v>
      </c>
      <c r="M179" s="186">
        <v>45915</v>
      </c>
      <c r="N179" s="123" t="s">
        <v>371</v>
      </c>
      <c r="P179" s="89"/>
      <c r="Q179" s="89"/>
    </row>
    <row r="180" spans="1:17" x14ac:dyDescent="0.3">
      <c r="A180" s="120" t="s">
        <v>116</v>
      </c>
      <c r="B180" s="120" t="s">
        <v>2784</v>
      </c>
      <c r="C180" s="28" t="s">
        <v>153</v>
      </c>
      <c r="D180" s="28" t="str">
        <f>IFERROR(VLOOKUP($C180,CUENTAS[],2,0),"")</f>
        <v>GASTOS FIJOS</v>
      </c>
      <c r="E180" s="28" t="str">
        <f>IFERROR(VLOOKUP($C180,CUENTAS[],3,0),"")</f>
        <v>MDE2025-002L</v>
      </c>
      <c r="F180" s="86">
        <v>29442.53</v>
      </c>
      <c r="G180" s="129">
        <v>0</v>
      </c>
      <c r="H180" s="132">
        <v>29442.53</v>
      </c>
      <c r="I180" s="200" t="str">
        <f t="shared" si="2"/>
        <v>CORRECTO</v>
      </c>
      <c r="J180" s="88" t="s">
        <v>2785</v>
      </c>
      <c r="K180" s="121" t="s">
        <v>364</v>
      </c>
      <c r="L180" s="95" t="s">
        <v>227</v>
      </c>
      <c r="M180" s="186">
        <v>45929</v>
      </c>
      <c r="N180" s="123" t="s">
        <v>371</v>
      </c>
      <c r="P180" s="89"/>
      <c r="Q180" s="89"/>
    </row>
    <row r="181" spans="1:17" x14ac:dyDescent="0.3">
      <c r="A181" s="77"/>
      <c r="B181" s="106"/>
      <c r="F181" s="124"/>
      <c r="G181" s="125"/>
      <c r="J181" s="125"/>
      <c r="L181" s="107"/>
      <c r="M181" s="183"/>
      <c r="N181" s="108"/>
    </row>
    <row r="182" spans="1:17" x14ac:dyDescent="0.3">
      <c r="A182" s="77"/>
      <c r="B182" s="106"/>
      <c r="F182" s="124"/>
      <c r="G182" s="125"/>
      <c r="J182" s="125"/>
      <c r="L182" s="107"/>
      <c r="M182" s="183"/>
      <c r="N182" s="108"/>
    </row>
    <row r="183" spans="1:17" ht="13.8" x14ac:dyDescent="0.3">
      <c r="A183" s="77"/>
      <c r="B183" s="106"/>
      <c r="F183" s="124"/>
      <c r="L183" s="107"/>
      <c r="M183" s="183"/>
      <c r="N183" s="4" t="s">
        <v>106</v>
      </c>
      <c r="O183" s="7">
        <f>+SUM(F:F)</f>
        <v>1672603.3199999996</v>
      </c>
    </row>
    <row r="184" spans="1:17" ht="13.8" x14ac:dyDescent="0.3">
      <c r="A184" s="77"/>
      <c r="B184" s="106"/>
      <c r="F184" s="124"/>
      <c r="L184" s="107"/>
      <c r="M184" s="183"/>
      <c r="N184" s="4" t="s">
        <v>107</v>
      </c>
      <c r="O184" s="7">
        <f>+SUM(G:G)</f>
        <v>86916.119999999981</v>
      </c>
    </row>
    <row r="185" spans="1:17" ht="15.6" x14ac:dyDescent="0.3">
      <c r="A185" s="77"/>
      <c r="B185" s="106"/>
      <c r="F185" s="124"/>
      <c r="L185" s="107"/>
      <c r="M185" s="183"/>
      <c r="N185" s="29" t="s">
        <v>149</v>
      </c>
      <c r="O185" s="7">
        <f>+SUM(H:H)</f>
        <v>1759519.4399999997</v>
      </c>
      <c r="P185" s="31">
        <f>O185-O184-O183</f>
        <v>0</v>
      </c>
    </row>
    <row r="186" spans="1:17" x14ac:dyDescent="0.3">
      <c r="A186" s="77"/>
      <c r="B186" s="106"/>
      <c r="F186" s="124"/>
      <c r="G186" s="77"/>
      <c r="L186" s="107"/>
      <c r="M186" s="183"/>
      <c r="N186" s="77"/>
      <c r="O186" s="67" t="str">
        <f>IF(P185&lt;&gt;0,"REVISAR CAPTURA","")</f>
        <v/>
      </c>
    </row>
    <row r="187" spans="1:17" x14ac:dyDescent="0.3">
      <c r="A187" s="77"/>
      <c r="B187" s="106"/>
      <c r="F187" s="124"/>
      <c r="G187" s="125"/>
      <c r="J187" s="125"/>
      <c r="L187" s="107"/>
      <c r="M187" s="183"/>
      <c r="N187" s="108"/>
    </row>
    <row r="188" spans="1:17" x14ac:dyDescent="0.3">
      <c r="A188" s="77"/>
      <c r="B188" s="106"/>
      <c r="F188" s="124"/>
      <c r="G188" s="125"/>
      <c r="J188" s="125"/>
      <c r="L188" s="107"/>
      <c r="M188" s="183"/>
      <c r="N188" s="108"/>
    </row>
    <row r="189" spans="1:17" x14ac:dyDescent="0.3">
      <c r="A189" s="77"/>
      <c r="B189" s="106"/>
      <c r="F189" s="124"/>
      <c r="G189" s="125"/>
      <c r="J189" s="125"/>
      <c r="L189" s="107"/>
      <c r="M189" s="183"/>
      <c r="N189" s="108"/>
    </row>
    <row r="190" spans="1:17" x14ac:dyDescent="0.3">
      <c r="A190" s="77"/>
      <c r="B190" s="106"/>
      <c r="F190" s="124"/>
      <c r="G190" s="125"/>
      <c r="J190" s="125"/>
      <c r="L190" s="107"/>
      <c r="M190" s="183"/>
      <c r="N190" s="108"/>
    </row>
    <row r="191" spans="1:17" x14ac:dyDescent="0.3">
      <c r="A191" s="77"/>
      <c r="B191" s="106"/>
      <c r="F191" s="124"/>
      <c r="G191" s="125"/>
      <c r="J191" s="125"/>
      <c r="L191" s="107"/>
      <c r="M191" s="183"/>
      <c r="N191" s="108"/>
    </row>
    <row r="192" spans="1:17" x14ac:dyDescent="0.3">
      <c r="A192" s="77"/>
      <c r="B192" s="106"/>
      <c r="F192" s="124"/>
      <c r="G192" s="125"/>
      <c r="J192" s="125"/>
      <c r="L192" s="107"/>
      <c r="M192" s="183"/>
      <c r="N192" s="108"/>
    </row>
    <row r="193" spans="1:14" x14ac:dyDescent="0.3">
      <c r="A193" s="77"/>
      <c r="B193" s="106"/>
      <c r="F193" s="124"/>
      <c r="G193" s="125"/>
      <c r="J193" s="125"/>
      <c r="L193" s="107"/>
      <c r="M193" s="183"/>
      <c r="N193" s="108"/>
    </row>
    <row r="194" spans="1:14" x14ac:dyDescent="0.3">
      <c r="A194" s="77"/>
      <c r="B194" s="106"/>
      <c r="F194" s="124"/>
      <c r="G194" s="125"/>
      <c r="J194" s="125"/>
      <c r="L194" s="107"/>
      <c r="M194" s="183"/>
      <c r="N194" s="108"/>
    </row>
    <row r="195" spans="1:14" x14ac:dyDescent="0.3">
      <c r="A195" s="77"/>
      <c r="B195" s="106"/>
      <c r="F195" s="124"/>
      <c r="G195" s="125"/>
      <c r="J195" s="125"/>
      <c r="L195" s="107"/>
      <c r="M195" s="183"/>
      <c r="N195" s="108"/>
    </row>
    <row r="196" spans="1:14" x14ac:dyDescent="0.3">
      <c r="A196" s="77"/>
      <c r="B196" s="106"/>
      <c r="F196" s="124"/>
      <c r="G196" s="125"/>
      <c r="J196" s="125"/>
      <c r="L196" s="107"/>
      <c r="M196" s="183"/>
      <c r="N196" s="108"/>
    </row>
    <row r="197" spans="1:14" x14ac:dyDescent="0.3">
      <c r="A197" s="77"/>
      <c r="B197" s="106"/>
      <c r="F197" s="124"/>
      <c r="G197" s="125"/>
      <c r="J197" s="125"/>
      <c r="L197" s="107"/>
      <c r="M197" s="183"/>
      <c r="N197" s="108"/>
    </row>
    <row r="198" spans="1:14" x14ac:dyDescent="0.3">
      <c r="A198" s="77"/>
      <c r="B198" s="106"/>
      <c r="F198" s="124"/>
      <c r="G198" s="125"/>
      <c r="J198" s="125"/>
      <c r="L198" s="107"/>
      <c r="M198" s="183"/>
      <c r="N198" s="108"/>
    </row>
    <row r="199" spans="1:14" x14ac:dyDescent="0.3">
      <c r="A199" s="77"/>
      <c r="B199" s="106"/>
      <c r="F199" s="124"/>
      <c r="G199" s="125"/>
      <c r="J199" s="125"/>
      <c r="L199" s="107"/>
      <c r="M199" s="183"/>
      <c r="N199" s="108"/>
    </row>
    <row r="200" spans="1:14" x14ac:dyDescent="0.3">
      <c r="A200" s="77"/>
      <c r="B200" s="106"/>
      <c r="F200" s="124"/>
      <c r="G200" s="125"/>
      <c r="J200" s="125"/>
      <c r="L200" s="107"/>
      <c r="M200" s="183"/>
      <c r="N200" s="108"/>
    </row>
    <row r="201" spans="1:14" x14ac:dyDescent="0.3">
      <c r="A201" s="77"/>
      <c r="B201" s="106"/>
      <c r="F201" s="124"/>
      <c r="G201" s="125"/>
      <c r="J201" s="125"/>
      <c r="L201" s="107"/>
      <c r="M201" s="183"/>
      <c r="N201" s="108"/>
    </row>
    <row r="202" spans="1:14" x14ac:dyDescent="0.3">
      <c r="A202" s="77"/>
      <c r="B202" s="106"/>
      <c r="F202" s="124"/>
      <c r="G202" s="125"/>
      <c r="J202" s="125"/>
      <c r="L202" s="107"/>
      <c r="M202" s="183"/>
      <c r="N202" s="108"/>
    </row>
    <row r="203" spans="1:14" x14ac:dyDescent="0.3">
      <c r="A203" s="77"/>
      <c r="B203" s="106"/>
      <c r="F203" s="124"/>
      <c r="G203" s="125"/>
      <c r="J203" s="125"/>
      <c r="L203" s="107"/>
      <c r="M203" s="183"/>
      <c r="N203" s="108"/>
    </row>
    <row r="204" spans="1:14" x14ac:dyDescent="0.3">
      <c r="A204" s="77"/>
      <c r="B204" s="106"/>
      <c r="F204" s="124"/>
      <c r="G204" s="125"/>
      <c r="J204" s="125"/>
      <c r="L204" s="107"/>
      <c r="M204" s="183"/>
      <c r="N204" s="108"/>
    </row>
    <row r="205" spans="1:14" x14ac:dyDescent="0.3">
      <c r="A205" s="77"/>
      <c r="B205" s="106"/>
      <c r="F205" s="124"/>
      <c r="G205" s="125"/>
      <c r="J205" s="125"/>
      <c r="L205" s="107"/>
      <c r="M205" s="183"/>
      <c r="N205" s="108"/>
    </row>
    <row r="206" spans="1:14" x14ac:dyDescent="0.3">
      <c r="A206" s="77"/>
      <c r="B206" s="106"/>
      <c r="F206" s="124"/>
      <c r="G206" s="125"/>
      <c r="J206" s="125"/>
      <c r="L206" s="107"/>
      <c r="M206" s="183"/>
      <c r="N206" s="108"/>
    </row>
    <row r="207" spans="1:14" x14ac:dyDescent="0.3">
      <c r="A207" s="77"/>
      <c r="B207" s="106"/>
      <c r="F207" s="124"/>
      <c r="G207" s="125"/>
      <c r="J207" s="125"/>
      <c r="L207" s="107"/>
      <c r="M207" s="183"/>
      <c r="N207" s="108"/>
    </row>
    <row r="208" spans="1:14" x14ac:dyDescent="0.3">
      <c r="A208" s="77"/>
      <c r="B208" s="106"/>
      <c r="F208" s="124"/>
      <c r="G208" s="125"/>
      <c r="J208" s="125"/>
      <c r="L208" s="107"/>
      <c r="M208" s="183"/>
      <c r="N208" s="108"/>
    </row>
    <row r="209" spans="1:14" x14ac:dyDescent="0.3">
      <c r="A209" s="77"/>
      <c r="B209" s="106"/>
      <c r="F209" s="124"/>
      <c r="G209" s="125"/>
      <c r="J209" s="125"/>
      <c r="L209" s="107"/>
      <c r="M209" s="183"/>
      <c r="N209" s="108"/>
    </row>
    <row r="210" spans="1:14" x14ac:dyDescent="0.3">
      <c r="A210" s="77"/>
      <c r="B210" s="106"/>
      <c r="F210" s="124"/>
      <c r="G210" s="125"/>
      <c r="J210" s="125"/>
      <c r="L210" s="107"/>
      <c r="M210" s="183"/>
      <c r="N210" s="108"/>
    </row>
    <row r="211" spans="1:14" x14ac:dyDescent="0.3">
      <c r="A211" s="77"/>
      <c r="B211" s="106"/>
      <c r="F211" s="124"/>
      <c r="G211" s="125"/>
      <c r="J211" s="125"/>
      <c r="L211" s="107"/>
      <c r="M211" s="183"/>
      <c r="N211" s="108"/>
    </row>
    <row r="212" spans="1:14" x14ac:dyDescent="0.3">
      <c r="A212" s="77"/>
      <c r="B212" s="106"/>
      <c r="F212" s="124"/>
      <c r="G212" s="125"/>
      <c r="J212" s="125"/>
      <c r="L212" s="107"/>
      <c r="M212" s="183"/>
      <c r="N212" s="108"/>
    </row>
    <row r="213" spans="1:14" x14ac:dyDescent="0.3">
      <c r="A213" s="77"/>
      <c r="B213" s="106"/>
      <c r="F213" s="124"/>
      <c r="G213" s="125"/>
      <c r="J213" s="125"/>
      <c r="L213" s="107"/>
      <c r="M213" s="183"/>
      <c r="N213" s="108"/>
    </row>
    <row r="214" spans="1:14" x14ac:dyDescent="0.3">
      <c r="A214" s="77"/>
      <c r="B214" s="106"/>
      <c r="F214" s="124"/>
      <c r="G214" s="125"/>
      <c r="J214" s="125"/>
      <c r="L214" s="107"/>
      <c r="M214" s="183"/>
      <c r="N214" s="108"/>
    </row>
    <row r="215" spans="1:14" x14ac:dyDescent="0.3">
      <c r="A215" s="77"/>
      <c r="B215" s="106"/>
      <c r="F215" s="124"/>
      <c r="G215" s="125"/>
      <c r="J215" s="125"/>
      <c r="L215" s="107"/>
      <c r="M215" s="183"/>
      <c r="N215" s="108"/>
    </row>
    <row r="216" spans="1:14" x14ac:dyDescent="0.3">
      <c r="A216" s="77"/>
      <c r="B216" s="106"/>
      <c r="F216" s="124"/>
      <c r="G216" s="125"/>
      <c r="J216" s="125"/>
      <c r="L216" s="107"/>
      <c r="M216" s="183"/>
      <c r="N216" s="108"/>
    </row>
    <row r="217" spans="1:14" x14ac:dyDescent="0.3">
      <c r="A217" s="77"/>
      <c r="B217" s="106"/>
      <c r="F217" s="124"/>
      <c r="G217" s="125"/>
      <c r="J217" s="125"/>
      <c r="L217" s="107"/>
      <c r="M217" s="183"/>
      <c r="N217" s="108"/>
    </row>
    <row r="218" spans="1:14" x14ac:dyDescent="0.3">
      <c r="A218" s="77"/>
      <c r="B218" s="106"/>
      <c r="F218" s="124"/>
      <c r="G218" s="125"/>
      <c r="J218" s="125"/>
      <c r="L218" s="107"/>
      <c r="M218" s="183"/>
      <c r="N218" s="108"/>
    </row>
    <row r="219" spans="1:14" x14ac:dyDescent="0.3">
      <c r="A219" s="77"/>
      <c r="B219" s="106"/>
      <c r="F219" s="124"/>
      <c r="G219" s="125"/>
      <c r="J219" s="125"/>
      <c r="L219" s="107"/>
      <c r="M219" s="183"/>
      <c r="N219" s="108"/>
    </row>
    <row r="220" spans="1:14" x14ac:dyDescent="0.3">
      <c r="A220" s="77"/>
      <c r="B220" s="106"/>
      <c r="F220" s="124"/>
      <c r="G220" s="125"/>
      <c r="J220" s="125"/>
      <c r="L220" s="107"/>
      <c r="M220" s="183"/>
      <c r="N220" s="108"/>
    </row>
    <row r="221" spans="1:14" x14ac:dyDescent="0.3">
      <c r="A221" s="77"/>
      <c r="B221" s="106"/>
      <c r="F221" s="124"/>
      <c r="G221" s="125"/>
      <c r="J221" s="125"/>
      <c r="L221" s="107"/>
      <c r="M221" s="183"/>
      <c r="N221" s="108"/>
    </row>
    <row r="222" spans="1:14" x14ac:dyDescent="0.3">
      <c r="A222" s="77"/>
      <c r="B222" s="106"/>
      <c r="F222" s="124"/>
      <c r="G222" s="125"/>
      <c r="J222" s="125"/>
      <c r="L222" s="107"/>
      <c r="M222" s="183"/>
      <c r="N222" s="108"/>
    </row>
    <row r="223" spans="1:14" x14ac:dyDescent="0.3">
      <c r="A223" s="77"/>
      <c r="B223" s="106"/>
      <c r="F223" s="124"/>
      <c r="G223" s="125"/>
      <c r="J223" s="125"/>
      <c r="L223" s="107"/>
      <c r="M223" s="183"/>
      <c r="N223" s="108"/>
    </row>
    <row r="224" spans="1:14" x14ac:dyDescent="0.3">
      <c r="A224" s="77"/>
      <c r="B224" s="106"/>
      <c r="F224" s="124"/>
      <c r="G224" s="125"/>
      <c r="J224" s="125"/>
      <c r="L224" s="107"/>
      <c r="M224" s="183"/>
      <c r="N224" s="108"/>
    </row>
    <row r="225" spans="1:14" x14ac:dyDescent="0.3">
      <c r="A225" s="77"/>
      <c r="B225" s="106"/>
      <c r="F225" s="124"/>
      <c r="G225" s="125"/>
      <c r="J225" s="125"/>
      <c r="L225" s="107"/>
      <c r="M225" s="183"/>
      <c r="N225" s="108"/>
    </row>
    <row r="226" spans="1:14" x14ac:dyDescent="0.3">
      <c r="A226" s="77"/>
      <c r="B226" s="106"/>
      <c r="F226" s="124"/>
      <c r="G226" s="125"/>
      <c r="J226" s="125"/>
      <c r="L226" s="107"/>
      <c r="M226" s="183"/>
      <c r="N226" s="108"/>
    </row>
    <row r="227" spans="1:14" x14ac:dyDescent="0.3">
      <c r="A227" s="77"/>
      <c r="B227" s="106"/>
      <c r="F227" s="124"/>
      <c r="G227" s="125"/>
      <c r="J227" s="125"/>
      <c r="L227" s="107"/>
      <c r="M227" s="183"/>
      <c r="N227" s="108"/>
    </row>
    <row r="228" spans="1:14" x14ac:dyDescent="0.3">
      <c r="A228" s="77"/>
      <c r="B228" s="106"/>
      <c r="F228" s="124"/>
      <c r="G228" s="125"/>
      <c r="J228" s="125"/>
      <c r="L228" s="107"/>
      <c r="M228" s="183"/>
      <c r="N228" s="108"/>
    </row>
    <row r="229" spans="1:14" x14ac:dyDescent="0.3">
      <c r="A229" s="77"/>
      <c r="B229" s="106"/>
      <c r="F229" s="124"/>
      <c r="G229" s="125"/>
      <c r="J229" s="125"/>
      <c r="L229" s="107"/>
      <c r="M229" s="183"/>
      <c r="N229" s="108"/>
    </row>
    <row r="230" spans="1:14" x14ac:dyDescent="0.3">
      <c r="A230" s="77"/>
      <c r="B230" s="106"/>
      <c r="F230" s="124"/>
      <c r="G230" s="125"/>
      <c r="J230" s="125"/>
      <c r="L230" s="107"/>
      <c r="M230" s="183"/>
      <c r="N230" s="108"/>
    </row>
    <row r="231" spans="1:14" x14ac:dyDescent="0.3">
      <c r="A231" s="77"/>
      <c r="B231" s="106"/>
      <c r="F231" s="124"/>
      <c r="G231" s="125"/>
      <c r="J231" s="125"/>
      <c r="L231" s="107"/>
      <c r="M231" s="183"/>
      <c r="N231" s="108"/>
    </row>
    <row r="232" spans="1:14" x14ac:dyDescent="0.3">
      <c r="A232" s="77"/>
      <c r="B232" s="106"/>
      <c r="F232" s="124"/>
      <c r="G232" s="125"/>
      <c r="J232" s="125"/>
      <c r="L232" s="107"/>
      <c r="M232" s="183"/>
      <c r="N232" s="108"/>
    </row>
    <row r="233" spans="1:14" x14ac:dyDescent="0.3">
      <c r="A233" s="77"/>
      <c r="B233" s="106"/>
      <c r="F233" s="124"/>
      <c r="G233" s="125"/>
      <c r="J233" s="125"/>
      <c r="L233" s="107"/>
      <c r="M233" s="183"/>
      <c r="N233" s="108"/>
    </row>
    <row r="234" spans="1:14" x14ac:dyDescent="0.3">
      <c r="A234" s="77"/>
      <c r="B234" s="106"/>
      <c r="F234" s="124"/>
      <c r="G234" s="125"/>
      <c r="J234" s="125"/>
      <c r="L234" s="107"/>
      <c r="M234" s="183"/>
      <c r="N234" s="108"/>
    </row>
    <row r="235" spans="1:14" x14ac:dyDescent="0.3">
      <c r="A235" s="77"/>
      <c r="B235" s="106"/>
      <c r="F235" s="124"/>
      <c r="G235" s="125"/>
      <c r="J235" s="125"/>
      <c r="L235" s="107"/>
      <c r="M235" s="183"/>
      <c r="N235" s="108"/>
    </row>
    <row r="236" spans="1:14" x14ac:dyDescent="0.3">
      <c r="A236" s="77"/>
      <c r="B236" s="106"/>
      <c r="F236" s="124"/>
      <c r="G236" s="125"/>
      <c r="J236" s="125"/>
      <c r="L236" s="107"/>
      <c r="M236" s="183"/>
      <c r="N236" s="108"/>
    </row>
    <row r="237" spans="1:14" x14ac:dyDescent="0.3">
      <c r="A237" s="77"/>
      <c r="B237" s="106"/>
      <c r="F237" s="124"/>
      <c r="G237" s="125"/>
      <c r="J237" s="125"/>
      <c r="L237" s="107"/>
      <c r="M237" s="183"/>
      <c r="N237" s="108"/>
    </row>
    <row r="238" spans="1:14" x14ac:dyDescent="0.3">
      <c r="A238" s="77"/>
      <c r="B238" s="106"/>
      <c r="F238" s="124"/>
      <c r="G238" s="125"/>
      <c r="J238" s="125"/>
      <c r="L238" s="107"/>
      <c r="M238" s="183"/>
      <c r="N238" s="108"/>
    </row>
    <row r="239" spans="1:14" x14ac:dyDescent="0.3">
      <c r="A239" s="77"/>
      <c r="B239" s="106"/>
      <c r="F239" s="124"/>
      <c r="G239" s="125"/>
      <c r="J239" s="125"/>
      <c r="L239" s="107"/>
      <c r="M239" s="183"/>
      <c r="N239" s="108"/>
    </row>
    <row r="240" spans="1:14" x14ac:dyDescent="0.3">
      <c r="A240" s="77"/>
      <c r="B240" s="106"/>
      <c r="F240" s="124"/>
      <c r="G240" s="125"/>
      <c r="J240" s="125"/>
      <c r="L240" s="107"/>
      <c r="M240" s="183"/>
      <c r="N240" s="108"/>
    </row>
    <row r="241" spans="1:14" x14ac:dyDescent="0.3">
      <c r="A241" s="77"/>
      <c r="B241" s="106"/>
      <c r="F241" s="124"/>
      <c r="G241" s="125"/>
      <c r="J241" s="125"/>
      <c r="L241" s="107"/>
      <c r="M241" s="183"/>
      <c r="N241" s="108"/>
    </row>
    <row r="242" spans="1:14" x14ac:dyDescent="0.3">
      <c r="A242" s="77"/>
      <c r="B242" s="106"/>
      <c r="F242" s="124"/>
      <c r="G242" s="125"/>
      <c r="J242" s="125"/>
      <c r="L242" s="107"/>
      <c r="M242" s="183"/>
      <c r="N242" s="108"/>
    </row>
    <row r="243" spans="1:14" x14ac:dyDescent="0.3">
      <c r="A243" s="77"/>
      <c r="B243" s="106"/>
      <c r="F243" s="124"/>
      <c r="G243" s="125"/>
      <c r="J243" s="125"/>
      <c r="L243" s="107"/>
      <c r="M243" s="183"/>
      <c r="N243" s="108"/>
    </row>
    <row r="244" spans="1:14" x14ac:dyDescent="0.3">
      <c r="A244" s="77"/>
      <c r="B244" s="106"/>
      <c r="F244" s="124"/>
      <c r="G244" s="125"/>
      <c r="J244" s="125"/>
      <c r="L244" s="107"/>
      <c r="M244" s="183"/>
      <c r="N244" s="108"/>
    </row>
    <row r="245" spans="1:14" x14ac:dyDescent="0.3">
      <c r="A245" s="77"/>
      <c r="B245" s="106"/>
      <c r="F245" s="124"/>
      <c r="G245" s="125"/>
      <c r="J245" s="125"/>
      <c r="L245" s="107"/>
      <c r="M245" s="183"/>
      <c r="N245" s="108"/>
    </row>
    <row r="246" spans="1:14" x14ac:dyDescent="0.3">
      <c r="A246" s="77"/>
      <c r="B246" s="106"/>
      <c r="F246" s="124"/>
      <c r="G246" s="125"/>
      <c r="J246" s="125"/>
      <c r="L246" s="107"/>
      <c r="M246" s="183"/>
      <c r="N246" s="108"/>
    </row>
    <row r="247" spans="1:14" x14ac:dyDescent="0.3">
      <c r="A247" s="77"/>
      <c r="B247" s="106"/>
      <c r="F247" s="124"/>
      <c r="G247" s="125"/>
      <c r="J247" s="125"/>
      <c r="L247" s="107"/>
      <c r="M247" s="183"/>
      <c r="N247" s="108"/>
    </row>
    <row r="248" spans="1:14" x14ac:dyDescent="0.3">
      <c r="A248" s="77"/>
      <c r="B248" s="106"/>
      <c r="F248" s="124"/>
      <c r="G248" s="125"/>
      <c r="J248" s="125"/>
      <c r="L248" s="107"/>
      <c r="M248" s="183"/>
      <c r="N248" s="108"/>
    </row>
    <row r="249" spans="1:14" x14ac:dyDescent="0.3">
      <c r="A249" s="77"/>
      <c r="B249" s="106"/>
      <c r="F249" s="124"/>
      <c r="G249" s="125"/>
      <c r="J249" s="125"/>
      <c r="L249" s="107"/>
      <c r="M249" s="183"/>
      <c r="N249" s="108"/>
    </row>
    <row r="250" spans="1:14" x14ac:dyDescent="0.3">
      <c r="A250" s="77"/>
      <c r="B250" s="106"/>
      <c r="F250" s="124"/>
      <c r="G250" s="125"/>
      <c r="J250" s="125"/>
      <c r="L250" s="107"/>
      <c r="M250" s="183"/>
      <c r="N250" s="108"/>
    </row>
    <row r="251" spans="1:14" x14ac:dyDescent="0.3">
      <c r="A251" s="77"/>
      <c r="B251" s="106"/>
      <c r="F251" s="124"/>
      <c r="G251" s="125"/>
      <c r="J251" s="125"/>
      <c r="L251" s="107"/>
      <c r="M251" s="183"/>
      <c r="N251" s="108"/>
    </row>
    <row r="252" spans="1:14" x14ac:dyDescent="0.3">
      <c r="A252" s="77"/>
      <c r="B252" s="106"/>
      <c r="F252" s="124"/>
      <c r="G252" s="125"/>
      <c r="J252" s="125"/>
      <c r="L252" s="107"/>
      <c r="M252" s="183"/>
      <c r="N252" s="108"/>
    </row>
    <row r="253" spans="1:14" x14ac:dyDescent="0.3">
      <c r="A253" s="77"/>
      <c r="B253" s="106"/>
      <c r="F253" s="124"/>
      <c r="G253" s="125"/>
      <c r="J253" s="125"/>
      <c r="L253" s="107"/>
      <c r="M253" s="183"/>
      <c r="N253" s="108"/>
    </row>
    <row r="254" spans="1:14" x14ac:dyDescent="0.3">
      <c r="A254" s="77"/>
      <c r="B254" s="106"/>
      <c r="F254" s="124"/>
      <c r="G254" s="125"/>
      <c r="J254" s="125"/>
      <c r="L254" s="107"/>
      <c r="M254" s="183"/>
      <c r="N254" s="108"/>
    </row>
    <row r="255" spans="1:14" x14ac:dyDescent="0.3">
      <c r="A255" s="77"/>
      <c r="B255" s="106"/>
      <c r="F255" s="124"/>
      <c r="G255" s="125"/>
      <c r="J255" s="125"/>
      <c r="L255" s="107"/>
      <c r="M255" s="183"/>
      <c r="N255" s="108"/>
    </row>
    <row r="256" spans="1:14" x14ac:dyDescent="0.3">
      <c r="A256" s="77"/>
      <c r="B256" s="106"/>
      <c r="F256" s="124"/>
      <c r="G256" s="125"/>
      <c r="J256" s="125"/>
      <c r="L256" s="107"/>
      <c r="M256" s="183"/>
      <c r="N256" s="108"/>
    </row>
    <row r="257" spans="1:14" x14ac:dyDescent="0.3">
      <c r="A257" s="77"/>
      <c r="B257" s="106"/>
      <c r="F257" s="124"/>
      <c r="G257" s="125"/>
      <c r="J257" s="125"/>
      <c r="L257" s="107"/>
      <c r="M257" s="183"/>
      <c r="N257" s="108"/>
    </row>
    <row r="258" spans="1:14" x14ac:dyDescent="0.3">
      <c r="A258" s="77"/>
      <c r="B258" s="106"/>
      <c r="F258" s="124"/>
      <c r="G258" s="125"/>
      <c r="J258" s="125"/>
      <c r="L258" s="107"/>
      <c r="M258" s="183"/>
      <c r="N258" s="108"/>
    </row>
    <row r="259" spans="1:14" x14ac:dyDescent="0.3">
      <c r="A259" s="77"/>
      <c r="B259" s="106"/>
      <c r="F259" s="124"/>
      <c r="G259" s="125"/>
      <c r="J259" s="125"/>
      <c r="L259" s="107"/>
      <c r="M259" s="183"/>
      <c r="N259" s="108"/>
    </row>
    <row r="260" spans="1:14" x14ac:dyDescent="0.3">
      <c r="A260" s="77"/>
      <c r="B260" s="106"/>
      <c r="F260" s="124"/>
      <c r="G260" s="125"/>
      <c r="J260" s="125"/>
      <c r="L260" s="107"/>
      <c r="M260" s="183"/>
      <c r="N260" s="108"/>
    </row>
    <row r="261" spans="1:14" x14ac:dyDescent="0.3">
      <c r="A261" s="77"/>
      <c r="B261" s="106"/>
      <c r="F261" s="124"/>
      <c r="G261" s="125"/>
      <c r="J261" s="125"/>
      <c r="L261" s="107"/>
      <c r="M261" s="183"/>
      <c r="N261" s="108"/>
    </row>
    <row r="262" spans="1:14" x14ac:dyDescent="0.3">
      <c r="A262" s="77"/>
      <c r="B262" s="106"/>
      <c r="F262" s="124"/>
      <c r="G262" s="125"/>
      <c r="J262" s="125"/>
      <c r="L262" s="107"/>
      <c r="M262" s="183"/>
      <c r="N262" s="108"/>
    </row>
    <row r="263" spans="1:14" x14ac:dyDescent="0.3">
      <c r="A263" s="77"/>
      <c r="B263" s="106"/>
      <c r="F263" s="124"/>
      <c r="G263" s="125"/>
      <c r="J263" s="125"/>
      <c r="L263" s="107"/>
      <c r="M263" s="183"/>
      <c r="N263" s="108"/>
    </row>
    <row r="264" spans="1:14" x14ac:dyDescent="0.3">
      <c r="A264" s="77"/>
      <c r="B264" s="106"/>
      <c r="F264" s="124"/>
      <c r="G264" s="125"/>
      <c r="J264" s="125"/>
      <c r="L264" s="107"/>
      <c r="M264" s="183"/>
      <c r="N264" s="108"/>
    </row>
    <row r="265" spans="1:14" x14ac:dyDescent="0.3">
      <c r="A265" s="77"/>
      <c r="B265" s="106"/>
      <c r="F265" s="124"/>
      <c r="G265" s="125"/>
      <c r="J265" s="125"/>
      <c r="L265" s="107"/>
      <c r="M265" s="183"/>
      <c r="N265" s="108"/>
    </row>
    <row r="266" spans="1:14" x14ac:dyDescent="0.3">
      <c r="A266" s="77"/>
      <c r="B266" s="106"/>
      <c r="F266" s="124"/>
      <c r="G266" s="125"/>
      <c r="J266" s="125"/>
      <c r="L266" s="107"/>
      <c r="M266" s="183"/>
      <c r="N266" s="108"/>
    </row>
    <row r="267" spans="1:14" x14ac:dyDescent="0.3">
      <c r="A267" s="77"/>
      <c r="B267" s="106"/>
      <c r="F267" s="124"/>
      <c r="G267" s="125"/>
      <c r="J267" s="125"/>
      <c r="L267" s="107"/>
      <c r="M267" s="183"/>
      <c r="N267" s="108"/>
    </row>
    <row r="268" spans="1:14" x14ac:dyDescent="0.3">
      <c r="A268" s="77"/>
      <c r="B268" s="106"/>
      <c r="F268" s="124"/>
      <c r="G268" s="125"/>
      <c r="J268" s="125"/>
      <c r="L268" s="107"/>
      <c r="M268" s="183"/>
      <c r="N268" s="108"/>
    </row>
    <row r="269" spans="1:14" x14ac:dyDescent="0.3">
      <c r="A269" s="77"/>
      <c r="B269" s="106"/>
      <c r="F269" s="124"/>
      <c r="G269" s="125"/>
      <c r="J269" s="125"/>
      <c r="L269" s="107"/>
      <c r="M269" s="183"/>
      <c r="N269" s="108"/>
    </row>
    <row r="270" spans="1:14" x14ac:dyDescent="0.3">
      <c r="A270" s="77"/>
      <c r="B270" s="106"/>
      <c r="F270" s="124"/>
      <c r="G270" s="125"/>
      <c r="J270" s="125"/>
      <c r="L270" s="107"/>
      <c r="M270" s="183"/>
      <c r="N270" s="108"/>
    </row>
    <row r="271" spans="1:14" x14ac:dyDescent="0.3">
      <c r="A271" s="77"/>
      <c r="B271" s="106"/>
      <c r="F271" s="124"/>
      <c r="G271" s="125"/>
      <c r="J271" s="125"/>
      <c r="L271" s="107"/>
      <c r="M271" s="183"/>
      <c r="N271" s="108"/>
    </row>
    <row r="272" spans="1:14" x14ac:dyDescent="0.3">
      <c r="A272" s="77"/>
      <c r="B272" s="106"/>
      <c r="F272" s="124"/>
      <c r="G272" s="125"/>
      <c r="J272" s="125"/>
      <c r="L272" s="107"/>
      <c r="M272" s="183"/>
      <c r="N272" s="108"/>
    </row>
    <row r="273" spans="1:14" x14ac:dyDescent="0.3">
      <c r="A273" s="77"/>
      <c r="B273" s="106"/>
      <c r="F273" s="124"/>
      <c r="G273" s="125"/>
      <c r="J273" s="125"/>
      <c r="L273" s="107"/>
      <c r="M273" s="183"/>
      <c r="N273" s="108"/>
    </row>
    <row r="274" spans="1:14" x14ac:dyDescent="0.3">
      <c r="A274" s="77"/>
      <c r="B274" s="106"/>
      <c r="F274" s="124"/>
      <c r="G274" s="125"/>
      <c r="J274" s="125"/>
      <c r="L274" s="107"/>
      <c r="M274" s="183"/>
      <c r="N274" s="108"/>
    </row>
    <row r="275" spans="1:14" x14ac:dyDescent="0.3">
      <c r="A275" s="77"/>
      <c r="B275" s="106"/>
      <c r="F275" s="124"/>
      <c r="G275" s="125"/>
      <c r="J275" s="125"/>
      <c r="L275" s="107"/>
      <c r="M275" s="183"/>
      <c r="N275" s="108"/>
    </row>
    <row r="276" spans="1:14" x14ac:dyDescent="0.3">
      <c r="A276" s="77"/>
      <c r="B276" s="106"/>
      <c r="F276" s="124"/>
      <c r="G276" s="125"/>
      <c r="J276" s="125"/>
      <c r="L276" s="107"/>
      <c r="M276" s="183"/>
      <c r="N276" s="108"/>
    </row>
    <row r="277" spans="1:14" x14ac:dyDescent="0.3">
      <c r="A277" s="77"/>
      <c r="B277" s="106"/>
      <c r="F277" s="124"/>
      <c r="G277" s="125"/>
      <c r="J277" s="125"/>
      <c r="L277" s="107"/>
      <c r="M277" s="183"/>
      <c r="N277" s="108"/>
    </row>
    <row r="278" spans="1:14" x14ac:dyDescent="0.3">
      <c r="A278" s="77"/>
      <c r="B278" s="106"/>
      <c r="F278" s="124"/>
      <c r="G278" s="125"/>
      <c r="J278" s="125"/>
      <c r="L278" s="107"/>
      <c r="M278" s="183"/>
      <c r="N278" s="108"/>
    </row>
    <row r="279" spans="1:14" x14ac:dyDescent="0.3">
      <c r="A279" s="77"/>
      <c r="B279" s="106"/>
      <c r="F279" s="124"/>
      <c r="G279" s="125"/>
      <c r="J279" s="125"/>
      <c r="L279" s="107"/>
      <c r="M279" s="183"/>
      <c r="N279" s="108"/>
    </row>
    <row r="280" spans="1:14" x14ac:dyDescent="0.3">
      <c r="A280" s="77"/>
      <c r="B280" s="106"/>
      <c r="F280" s="124"/>
      <c r="G280" s="125"/>
      <c r="J280" s="125"/>
      <c r="L280" s="107"/>
      <c r="M280" s="183"/>
      <c r="N280" s="108"/>
    </row>
    <row r="281" spans="1:14" x14ac:dyDescent="0.3">
      <c r="A281" s="77"/>
      <c r="B281" s="106"/>
      <c r="F281" s="124"/>
      <c r="G281" s="125"/>
      <c r="J281" s="125"/>
      <c r="L281" s="107"/>
      <c r="M281" s="183"/>
      <c r="N281" s="108"/>
    </row>
    <row r="282" spans="1:14" x14ac:dyDescent="0.3">
      <c r="A282" s="77"/>
      <c r="B282" s="106"/>
      <c r="F282" s="124"/>
      <c r="G282" s="125"/>
      <c r="J282" s="125"/>
      <c r="L282" s="107"/>
      <c r="M282" s="183"/>
      <c r="N282" s="108"/>
    </row>
    <row r="283" spans="1:14" x14ac:dyDescent="0.3">
      <c r="A283" s="77"/>
      <c r="B283" s="106"/>
      <c r="F283" s="124"/>
      <c r="G283" s="125"/>
      <c r="J283" s="125"/>
      <c r="L283" s="107"/>
      <c r="M283" s="183"/>
      <c r="N283" s="108"/>
    </row>
    <row r="284" spans="1:14" x14ac:dyDescent="0.3">
      <c r="A284" s="77"/>
      <c r="B284" s="106"/>
      <c r="F284" s="124"/>
      <c r="G284" s="125"/>
      <c r="J284" s="125"/>
      <c r="L284" s="107"/>
      <c r="M284" s="183"/>
      <c r="N284" s="108"/>
    </row>
    <row r="285" spans="1:14" x14ac:dyDescent="0.3">
      <c r="A285" s="77"/>
      <c r="B285" s="106"/>
      <c r="F285" s="124"/>
      <c r="G285" s="125"/>
      <c r="J285" s="125"/>
      <c r="L285" s="107"/>
      <c r="M285" s="183"/>
      <c r="N285" s="108"/>
    </row>
    <row r="286" spans="1:14" x14ac:dyDescent="0.3">
      <c r="A286" s="77"/>
      <c r="B286" s="106"/>
      <c r="F286" s="124"/>
      <c r="G286" s="125"/>
      <c r="J286" s="125"/>
      <c r="L286" s="107"/>
      <c r="M286" s="183"/>
      <c r="N286" s="108"/>
    </row>
    <row r="287" spans="1:14" x14ac:dyDescent="0.3">
      <c r="A287" s="77"/>
      <c r="B287" s="106"/>
      <c r="F287" s="124"/>
      <c r="G287" s="125"/>
      <c r="J287" s="125"/>
      <c r="L287" s="107"/>
      <c r="M287" s="183"/>
      <c r="N287" s="108"/>
    </row>
    <row r="288" spans="1:14" x14ac:dyDescent="0.3">
      <c r="A288" s="77"/>
      <c r="B288" s="106"/>
      <c r="F288" s="124"/>
      <c r="G288" s="125"/>
      <c r="J288" s="125"/>
      <c r="L288" s="107"/>
      <c r="M288" s="183"/>
      <c r="N288" s="108"/>
    </row>
    <row r="289" spans="1:14" x14ac:dyDescent="0.3">
      <c r="A289" s="77"/>
      <c r="B289" s="106"/>
      <c r="F289" s="124"/>
      <c r="G289" s="125"/>
      <c r="J289" s="125"/>
      <c r="L289" s="107"/>
      <c r="M289" s="183"/>
      <c r="N289" s="108"/>
    </row>
    <row r="290" spans="1:14" x14ac:dyDescent="0.3">
      <c r="A290" s="77"/>
      <c r="B290" s="106"/>
      <c r="F290" s="124"/>
      <c r="G290" s="125"/>
      <c r="J290" s="125"/>
      <c r="L290" s="107"/>
      <c r="M290" s="183"/>
      <c r="N290" s="108"/>
    </row>
    <row r="291" spans="1:14" x14ac:dyDescent="0.3">
      <c r="A291" s="77"/>
      <c r="B291" s="106"/>
      <c r="F291" s="124"/>
      <c r="G291" s="125"/>
      <c r="J291" s="125"/>
      <c r="L291" s="107"/>
      <c r="M291" s="183"/>
      <c r="N291" s="108"/>
    </row>
    <row r="292" spans="1:14" x14ac:dyDescent="0.3">
      <c r="A292" s="77"/>
      <c r="B292" s="106"/>
      <c r="F292" s="124"/>
      <c r="G292" s="125"/>
      <c r="J292" s="125"/>
      <c r="L292" s="107"/>
      <c r="M292" s="183"/>
      <c r="N292" s="108"/>
    </row>
    <row r="293" spans="1:14" x14ac:dyDescent="0.3">
      <c r="A293" s="77"/>
      <c r="B293" s="106"/>
      <c r="F293" s="124"/>
      <c r="G293" s="125"/>
      <c r="J293" s="125"/>
      <c r="L293" s="107"/>
      <c r="M293" s="183"/>
      <c r="N293" s="108"/>
    </row>
    <row r="294" spans="1:14" x14ac:dyDescent="0.3">
      <c r="A294" s="77"/>
      <c r="B294" s="106"/>
      <c r="F294" s="124"/>
      <c r="G294" s="125"/>
      <c r="J294" s="125"/>
      <c r="L294" s="107"/>
      <c r="M294" s="183"/>
      <c r="N294" s="108"/>
    </row>
    <row r="295" spans="1:14" x14ac:dyDescent="0.3">
      <c r="A295" s="77"/>
      <c r="B295" s="106"/>
      <c r="F295" s="124"/>
      <c r="G295" s="125"/>
      <c r="J295" s="125"/>
      <c r="L295" s="107"/>
      <c r="M295" s="183"/>
      <c r="N295" s="108"/>
    </row>
    <row r="296" spans="1:14" x14ac:dyDescent="0.3">
      <c r="A296" s="77"/>
      <c r="B296" s="106"/>
      <c r="F296" s="124"/>
      <c r="G296" s="125"/>
      <c r="J296" s="125"/>
      <c r="L296" s="107"/>
      <c r="M296" s="183"/>
      <c r="N296" s="108"/>
    </row>
    <row r="297" spans="1:14" x14ac:dyDescent="0.3">
      <c r="A297" s="77"/>
      <c r="B297" s="106"/>
      <c r="F297" s="124"/>
      <c r="G297" s="125"/>
      <c r="J297" s="125"/>
      <c r="L297" s="107"/>
      <c r="M297" s="183"/>
      <c r="N297" s="108"/>
    </row>
    <row r="298" spans="1:14" x14ac:dyDescent="0.3">
      <c r="A298" s="77"/>
      <c r="B298" s="106"/>
      <c r="F298" s="124"/>
      <c r="G298" s="125"/>
      <c r="J298" s="125"/>
      <c r="L298" s="107"/>
      <c r="M298" s="183"/>
      <c r="N298" s="108"/>
    </row>
    <row r="299" spans="1:14" x14ac:dyDescent="0.3">
      <c r="A299" s="77"/>
      <c r="B299" s="106"/>
      <c r="F299" s="124"/>
      <c r="G299" s="125"/>
      <c r="J299" s="125"/>
      <c r="L299" s="107"/>
      <c r="M299" s="183"/>
      <c r="N299" s="108"/>
    </row>
    <row r="300" spans="1:14" x14ac:dyDescent="0.3">
      <c r="A300" s="77"/>
      <c r="B300" s="106"/>
      <c r="F300" s="124"/>
      <c r="G300" s="125"/>
      <c r="J300" s="125"/>
      <c r="L300" s="107"/>
      <c r="M300" s="183"/>
      <c r="N300" s="108"/>
    </row>
    <row r="301" spans="1:14" x14ac:dyDescent="0.3">
      <c r="A301" s="77"/>
      <c r="B301" s="106"/>
      <c r="F301" s="124"/>
      <c r="G301" s="125"/>
      <c r="J301" s="125"/>
      <c r="L301" s="107"/>
      <c r="M301" s="183"/>
      <c r="N301" s="108"/>
    </row>
    <row r="302" spans="1:14" x14ac:dyDescent="0.3">
      <c r="A302" s="77"/>
      <c r="B302" s="106"/>
      <c r="F302" s="124"/>
      <c r="G302" s="125"/>
      <c r="J302" s="125"/>
      <c r="L302" s="107"/>
      <c r="M302" s="183"/>
      <c r="N302" s="108"/>
    </row>
    <row r="303" spans="1:14" x14ac:dyDescent="0.3">
      <c r="A303" s="77"/>
      <c r="B303" s="106"/>
      <c r="F303" s="124"/>
      <c r="G303" s="125"/>
      <c r="J303" s="125"/>
      <c r="L303" s="107"/>
      <c r="M303" s="183"/>
      <c r="N303" s="108"/>
    </row>
    <row r="304" spans="1:14" x14ac:dyDescent="0.3">
      <c r="A304" s="77"/>
      <c r="B304" s="106"/>
      <c r="F304" s="124"/>
      <c r="G304" s="125"/>
      <c r="J304" s="125"/>
      <c r="L304" s="107"/>
      <c r="M304" s="183"/>
      <c r="N304" s="108"/>
    </row>
    <row r="305" spans="1:14" x14ac:dyDescent="0.3">
      <c r="A305" s="77"/>
      <c r="B305" s="106"/>
      <c r="F305" s="124"/>
      <c r="G305" s="125"/>
      <c r="J305" s="125"/>
      <c r="L305" s="107"/>
      <c r="M305" s="183"/>
      <c r="N305" s="108"/>
    </row>
    <row r="306" spans="1:14" x14ac:dyDescent="0.3">
      <c r="A306" s="77"/>
      <c r="B306" s="106"/>
      <c r="F306" s="124"/>
      <c r="G306" s="125"/>
      <c r="J306" s="125"/>
      <c r="L306" s="107"/>
      <c r="M306" s="183"/>
      <c r="N306" s="108"/>
    </row>
    <row r="307" spans="1:14" x14ac:dyDescent="0.3">
      <c r="A307" s="77"/>
      <c r="B307" s="106"/>
      <c r="F307" s="124"/>
      <c r="G307" s="125"/>
      <c r="J307" s="125"/>
      <c r="L307" s="107"/>
      <c r="M307" s="183"/>
      <c r="N307" s="108"/>
    </row>
    <row r="308" spans="1:14" x14ac:dyDescent="0.3">
      <c r="A308" s="77"/>
      <c r="B308" s="106"/>
      <c r="F308" s="124"/>
      <c r="G308" s="125"/>
      <c r="J308" s="125"/>
      <c r="L308" s="107"/>
      <c r="M308" s="183"/>
      <c r="N308" s="108"/>
    </row>
    <row r="309" spans="1:14" x14ac:dyDescent="0.3">
      <c r="A309" s="77"/>
      <c r="B309" s="106"/>
      <c r="F309" s="124"/>
      <c r="G309" s="125"/>
      <c r="J309" s="125"/>
      <c r="L309" s="107"/>
      <c r="M309" s="183"/>
      <c r="N309" s="108"/>
    </row>
    <row r="310" spans="1:14" x14ac:dyDescent="0.3">
      <c r="A310" s="77"/>
      <c r="B310" s="106"/>
      <c r="F310" s="124"/>
      <c r="G310" s="125"/>
      <c r="J310" s="125"/>
      <c r="L310" s="107"/>
      <c r="M310" s="183"/>
      <c r="N310" s="108"/>
    </row>
    <row r="311" spans="1:14" x14ac:dyDescent="0.3">
      <c r="A311" s="77"/>
      <c r="B311" s="106"/>
      <c r="F311" s="124"/>
      <c r="G311" s="125"/>
      <c r="J311" s="125"/>
      <c r="L311" s="107"/>
      <c r="M311" s="183"/>
      <c r="N311" s="108"/>
    </row>
    <row r="312" spans="1:14" x14ac:dyDescent="0.3">
      <c r="A312" s="77"/>
      <c r="B312" s="106"/>
      <c r="F312" s="124"/>
      <c r="G312" s="125"/>
      <c r="J312" s="125"/>
      <c r="L312" s="107"/>
      <c r="M312" s="183"/>
      <c r="N312" s="108"/>
    </row>
    <row r="313" spans="1:14" x14ac:dyDescent="0.3">
      <c r="A313" s="77"/>
      <c r="B313" s="106"/>
      <c r="F313" s="124"/>
      <c r="G313" s="125"/>
      <c r="J313" s="125"/>
      <c r="L313" s="107"/>
      <c r="M313" s="183"/>
      <c r="N313" s="108"/>
    </row>
    <row r="314" spans="1:14" x14ac:dyDescent="0.3">
      <c r="A314" s="77"/>
      <c r="B314" s="106"/>
      <c r="F314" s="124"/>
      <c r="G314" s="125"/>
      <c r="J314" s="125"/>
      <c r="L314" s="107"/>
      <c r="M314" s="183"/>
      <c r="N314" s="108"/>
    </row>
    <row r="315" spans="1:14" x14ac:dyDescent="0.3">
      <c r="A315" s="77"/>
      <c r="B315" s="106"/>
      <c r="F315" s="124"/>
      <c r="G315" s="125"/>
      <c r="J315" s="125"/>
      <c r="L315" s="107"/>
      <c r="M315" s="183"/>
      <c r="N315" s="108"/>
    </row>
    <row r="316" spans="1:14" x14ac:dyDescent="0.3">
      <c r="A316" s="77"/>
      <c r="B316" s="106"/>
      <c r="F316" s="124"/>
      <c r="G316" s="125"/>
      <c r="J316" s="125"/>
      <c r="L316" s="107"/>
      <c r="M316" s="183"/>
      <c r="N316" s="108"/>
    </row>
    <row r="317" spans="1:14" x14ac:dyDescent="0.3">
      <c r="A317" s="77"/>
      <c r="B317" s="106"/>
      <c r="F317" s="124"/>
      <c r="G317" s="125"/>
      <c r="J317" s="125"/>
      <c r="L317" s="107"/>
      <c r="M317" s="183"/>
      <c r="N317" s="108"/>
    </row>
    <row r="318" spans="1:14" x14ac:dyDescent="0.3">
      <c r="A318" s="77"/>
      <c r="B318" s="106"/>
      <c r="F318" s="124"/>
      <c r="G318" s="125"/>
      <c r="J318" s="125"/>
      <c r="L318" s="107"/>
      <c r="M318" s="183"/>
      <c r="N318" s="108"/>
    </row>
    <row r="319" spans="1:14" x14ac:dyDescent="0.3">
      <c r="A319" s="77"/>
      <c r="B319" s="106"/>
      <c r="F319" s="124"/>
      <c r="G319" s="125"/>
      <c r="J319" s="125"/>
      <c r="L319" s="107"/>
      <c r="M319" s="183"/>
      <c r="N319" s="108"/>
    </row>
    <row r="320" spans="1:14" x14ac:dyDescent="0.3">
      <c r="A320" s="77"/>
      <c r="B320" s="106"/>
      <c r="F320" s="124"/>
      <c r="G320" s="125"/>
      <c r="J320" s="125"/>
      <c r="L320" s="107"/>
      <c r="M320" s="183"/>
      <c r="N320" s="108"/>
    </row>
    <row r="321" spans="1:14" x14ac:dyDescent="0.3">
      <c r="A321" s="77"/>
      <c r="B321" s="106"/>
      <c r="F321" s="124"/>
      <c r="G321" s="125"/>
      <c r="J321" s="125"/>
      <c r="L321" s="107"/>
      <c r="M321" s="183"/>
      <c r="N321" s="108"/>
    </row>
    <row r="322" spans="1:14" x14ac:dyDescent="0.3">
      <c r="A322" s="77"/>
      <c r="B322" s="106"/>
      <c r="F322" s="124"/>
      <c r="G322" s="125"/>
      <c r="J322" s="125"/>
      <c r="L322" s="107"/>
      <c r="M322" s="183"/>
      <c r="N322" s="108"/>
    </row>
    <row r="323" spans="1:14" x14ac:dyDescent="0.3">
      <c r="A323" s="77"/>
      <c r="B323" s="106"/>
      <c r="F323" s="124"/>
      <c r="G323" s="125"/>
      <c r="J323" s="125"/>
      <c r="L323" s="107"/>
      <c r="M323" s="183"/>
      <c r="N323" s="108"/>
    </row>
    <row r="324" spans="1:14" x14ac:dyDescent="0.3">
      <c r="A324" s="77"/>
      <c r="B324" s="106"/>
      <c r="F324" s="124"/>
      <c r="G324" s="125"/>
      <c r="J324" s="125"/>
      <c r="L324" s="107"/>
      <c r="M324" s="183"/>
      <c r="N324" s="108"/>
    </row>
    <row r="325" spans="1:14" x14ac:dyDescent="0.3">
      <c r="A325" s="77"/>
      <c r="B325" s="106"/>
      <c r="F325" s="124"/>
      <c r="G325" s="125"/>
      <c r="J325" s="125"/>
      <c r="L325" s="107"/>
      <c r="M325" s="183"/>
      <c r="N325" s="108"/>
    </row>
    <row r="326" spans="1:14" x14ac:dyDescent="0.3">
      <c r="A326" s="77"/>
      <c r="B326" s="106"/>
      <c r="F326" s="124"/>
      <c r="G326" s="125"/>
      <c r="J326" s="125"/>
      <c r="L326" s="107"/>
      <c r="M326" s="183"/>
      <c r="N326" s="108"/>
    </row>
    <row r="327" spans="1:14" x14ac:dyDescent="0.3">
      <c r="A327" s="77"/>
      <c r="B327" s="106"/>
      <c r="F327" s="124"/>
      <c r="G327" s="125"/>
      <c r="J327" s="125"/>
      <c r="L327" s="107"/>
      <c r="M327" s="183"/>
      <c r="N327" s="108"/>
    </row>
    <row r="328" spans="1:14" x14ac:dyDescent="0.3">
      <c r="A328" s="77"/>
      <c r="B328" s="106"/>
      <c r="F328" s="124"/>
      <c r="G328" s="125"/>
      <c r="J328" s="125"/>
      <c r="L328" s="107"/>
      <c r="M328" s="183"/>
      <c r="N328" s="108"/>
    </row>
    <row r="329" spans="1:14" x14ac:dyDescent="0.3">
      <c r="A329" s="77"/>
      <c r="B329" s="106"/>
      <c r="F329" s="124"/>
      <c r="G329" s="125"/>
      <c r="J329" s="125"/>
      <c r="L329" s="107"/>
      <c r="M329" s="183"/>
      <c r="N329" s="108"/>
    </row>
    <row r="330" spans="1:14" x14ac:dyDescent="0.3">
      <c r="A330" s="77"/>
      <c r="B330" s="106"/>
      <c r="F330" s="124"/>
      <c r="G330" s="125"/>
      <c r="J330" s="125"/>
      <c r="L330" s="107"/>
      <c r="M330" s="183"/>
      <c r="N330" s="108"/>
    </row>
    <row r="331" spans="1:14" x14ac:dyDescent="0.3">
      <c r="A331" s="77"/>
      <c r="B331" s="106"/>
      <c r="F331" s="124"/>
      <c r="G331" s="125"/>
      <c r="J331" s="125"/>
      <c r="L331" s="107"/>
      <c r="M331" s="183"/>
      <c r="N331" s="108"/>
    </row>
    <row r="332" spans="1:14" x14ac:dyDescent="0.3">
      <c r="A332" s="77"/>
      <c r="B332" s="106"/>
      <c r="F332" s="124"/>
      <c r="G332" s="125"/>
      <c r="J332" s="125"/>
      <c r="L332" s="107"/>
      <c r="M332" s="183"/>
      <c r="N332" s="108"/>
    </row>
    <row r="333" spans="1:14" x14ac:dyDescent="0.3">
      <c r="A333" s="77"/>
      <c r="B333" s="106"/>
      <c r="F333" s="124"/>
      <c r="G333" s="125"/>
      <c r="J333" s="125"/>
      <c r="L333" s="107"/>
      <c r="M333" s="183"/>
      <c r="N333" s="108"/>
    </row>
    <row r="334" spans="1:14" x14ac:dyDescent="0.3">
      <c r="A334" s="77"/>
      <c r="B334" s="106"/>
      <c r="F334" s="124"/>
      <c r="G334" s="125"/>
      <c r="J334" s="125"/>
      <c r="L334" s="107"/>
      <c r="M334" s="183"/>
      <c r="N334" s="108"/>
    </row>
    <row r="335" spans="1:14" x14ac:dyDescent="0.3">
      <c r="A335" s="77"/>
      <c r="B335" s="106"/>
      <c r="F335" s="124"/>
      <c r="G335" s="125"/>
      <c r="J335" s="125"/>
      <c r="L335" s="107"/>
      <c r="M335" s="183"/>
      <c r="N335" s="108"/>
    </row>
    <row r="336" spans="1:14" x14ac:dyDescent="0.3">
      <c r="A336" s="77"/>
      <c r="B336" s="106"/>
      <c r="F336" s="124"/>
      <c r="G336" s="125"/>
      <c r="J336" s="125"/>
      <c r="L336" s="107"/>
      <c r="M336" s="183"/>
      <c r="N336" s="108"/>
    </row>
    <row r="337" spans="1:14" x14ac:dyDescent="0.3">
      <c r="A337" s="77"/>
      <c r="B337" s="106"/>
      <c r="F337" s="124"/>
      <c r="G337" s="125"/>
      <c r="J337" s="125"/>
      <c r="L337" s="107"/>
      <c r="M337" s="183"/>
      <c r="N337" s="108"/>
    </row>
    <row r="338" spans="1:14" x14ac:dyDescent="0.3">
      <c r="A338" s="77"/>
      <c r="B338" s="106"/>
      <c r="F338" s="124"/>
      <c r="G338" s="125"/>
      <c r="J338" s="125"/>
      <c r="L338" s="107"/>
      <c r="M338" s="183"/>
      <c r="N338" s="108"/>
    </row>
    <row r="339" spans="1:14" x14ac:dyDescent="0.3">
      <c r="A339" s="77"/>
      <c r="B339" s="106"/>
      <c r="F339" s="124"/>
      <c r="G339" s="125"/>
      <c r="J339" s="125"/>
      <c r="L339" s="107"/>
      <c r="M339" s="183"/>
      <c r="N339" s="108"/>
    </row>
    <row r="340" spans="1:14" x14ac:dyDescent="0.3">
      <c r="A340" s="77"/>
      <c r="B340" s="106"/>
      <c r="F340" s="124"/>
      <c r="G340" s="125"/>
      <c r="J340" s="125"/>
      <c r="L340" s="107"/>
      <c r="M340" s="183"/>
      <c r="N340" s="108"/>
    </row>
    <row r="341" spans="1:14" x14ac:dyDescent="0.3">
      <c r="A341" s="77"/>
      <c r="B341" s="106"/>
      <c r="F341" s="124"/>
      <c r="G341" s="125"/>
      <c r="J341" s="125"/>
      <c r="L341" s="107"/>
      <c r="M341" s="183"/>
      <c r="N341" s="108"/>
    </row>
    <row r="342" spans="1:14" x14ac:dyDescent="0.3">
      <c r="A342" s="77"/>
      <c r="B342" s="106"/>
      <c r="F342" s="124"/>
      <c r="G342" s="125"/>
      <c r="J342" s="125"/>
      <c r="L342" s="107"/>
      <c r="M342" s="183"/>
      <c r="N342" s="108"/>
    </row>
    <row r="343" spans="1:14" x14ac:dyDescent="0.3">
      <c r="A343" s="77"/>
      <c r="B343" s="106"/>
      <c r="F343" s="124"/>
      <c r="G343" s="125"/>
      <c r="J343" s="125"/>
      <c r="L343" s="107"/>
      <c r="M343" s="183"/>
      <c r="N343" s="108"/>
    </row>
    <row r="344" spans="1:14" x14ac:dyDescent="0.3">
      <c r="A344" s="77"/>
      <c r="B344" s="106"/>
      <c r="F344" s="124"/>
      <c r="G344" s="125"/>
      <c r="J344" s="125"/>
      <c r="L344" s="107"/>
      <c r="M344" s="183"/>
      <c r="N344" s="108"/>
    </row>
    <row r="345" spans="1:14" x14ac:dyDescent="0.3">
      <c r="A345" s="77"/>
      <c r="B345" s="106"/>
      <c r="F345" s="124"/>
      <c r="G345" s="125"/>
      <c r="J345" s="125"/>
      <c r="L345" s="107"/>
      <c r="M345" s="183"/>
      <c r="N345" s="108"/>
    </row>
    <row r="346" spans="1:14" x14ac:dyDescent="0.3">
      <c r="A346" s="77"/>
      <c r="B346" s="106"/>
      <c r="F346" s="124"/>
      <c r="G346" s="125"/>
      <c r="J346" s="125"/>
      <c r="L346" s="107"/>
      <c r="M346" s="183"/>
      <c r="N346" s="108"/>
    </row>
    <row r="347" spans="1:14" x14ac:dyDescent="0.3">
      <c r="A347" s="77"/>
      <c r="B347" s="106"/>
      <c r="F347" s="124"/>
      <c r="G347" s="125"/>
      <c r="J347" s="125"/>
      <c r="L347" s="107"/>
      <c r="M347" s="183"/>
      <c r="N347" s="108"/>
    </row>
    <row r="348" spans="1:14" x14ac:dyDescent="0.3">
      <c r="A348" s="77"/>
      <c r="B348" s="106"/>
      <c r="F348" s="124"/>
      <c r="G348" s="125"/>
      <c r="J348" s="125"/>
      <c r="L348" s="107"/>
      <c r="M348" s="183"/>
      <c r="N348" s="108"/>
    </row>
    <row r="349" spans="1:14" x14ac:dyDescent="0.3">
      <c r="A349" s="77"/>
      <c r="B349" s="106"/>
      <c r="F349" s="124"/>
      <c r="G349" s="125"/>
      <c r="J349" s="125"/>
      <c r="L349" s="107"/>
      <c r="M349" s="183"/>
      <c r="N349" s="108"/>
    </row>
    <row r="350" spans="1:14" x14ac:dyDescent="0.3">
      <c r="A350" s="77"/>
      <c r="B350" s="106"/>
      <c r="F350" s="124"/>
      <c r="G350" s="125"/>
      <c r="J350" s="125"/>
      <c r="L350" s="107"/>
      <c r="M350" s="183"/>
      <c r="N350" s="108"/>
    </row>
    <row r="351" spans="1:14" x14ac:dyDescent="0.3">
      <c r="A351" s="77"/>
      <c r="B351" s="106"/>
      <c r="F351" s="124"/>
      <c r="G351" s="125"/>
      <c r="J351" s="125"/>
      <c r="L351" s="107"/>
      <c r="M351" s="183"/>
      <c r="N351" s="108"/>
    </row>
    <row r="352" spans="1:14" x14ac:dyDescent="0.3">
      <c r="A352" s="77"/>
      <c r="B352" s="106"/>
      <c r="F352" s="124"/>
      <c r="G352" s="125"/>
      <c r="J352" s="125"/>
      <c r="L352" s="107"/>
      <c r="M352" s="183"/>
      <c r="N352" s="108"/>
    </row>
    <row r="353" spans="1:14" x14ac:dyDescent="0.3">
      <c r="A353" s="77"/>
      <c r="B353" s="106"/>
      <c r="F353" s="124"/>
      <c r="G353" s="125"/>
      <c r="J353" s="125"/>
      <c r="L353" s="107"/>
      <c r="M353" s="183"/>
      <c r="N353" s="108"/>
    </row>
    <row r="354" spans="1:14" x14ac:dyDescent="0.3">
      <c r="A354" s="77"/>
      <c r="B354" s="106"/>
      <c r="F354" s="124"/>
      <c r="G354" s="125"/>
      <c r="J354" s="125"/>
      <c r="L354" s="107"/>
      <c r="M354" s="183"/>
      <c r="N354" s="108"/>
    </row>
    <row r="355" spans="1:14" x14ac:dyDescent="0.3">
      <c r="A355" s="77"/>
      <c r="B355" s="106"/>
      <c r="F355" s="124"/>
      <c r="G355" s="125"/>
      <c r="J355" s="125"/>
      <c r="L355" s="107"/>
      <c r="M355" s="183"/>
      <c r="N355" s="108"/>
    </row>
    <row r="356" spans="1:14" x14ac:dyDescent="0.3">
      <c r="A356" s="77"/>
      <c r="B356" s="106"/>
      <c r="F356" s="124"/>
      <c r="G356" s="125"/>
      <c r="J356" s="125"/>
      <c r="L356" s="107"/>
      <c r="M356" s="183"/>
      <c r="N356" s="108"/>
    </row>
    <row r="357" spans="1:14" x14ac:dyDescent="0.3">
      <c r="A357" s="77"/>
      <c r="B357" s="106"/>
      <c r="F357" s="124"/>
      <c r="G357" s="125"/>
      <c r="J357" s="125"/>
      <c r="L357" s="107"/>
      <c r="M357" s="183"/>
      <c r="N357" s="108"/>
    </row>
    <row r="358" spans="1:14" x14ac:dyDescent="0.3">
      <c r="A358" s="77"/>
      <c r="B358" s="106"/>
      <c r="F358" s="124"/>
      <c r="G358" s="125"/>
      <c r="J358" s="125"/>
      <c r="L358" s="107"/>
      <c r="M358" s="183"/>
      <c r="N358" s="108"/>
    </row>
    <row r="359" spans="1:14" x14ac:dyDescent="0.3">
      <c r="A359" s="77"/>
      <c r="B359" s="106"/>
      <c r="F359" s="124"/>
      <c r="G359" s="125"/>
      <c r="J359" s="125"/>
      <c r="L359" s="107"/>
      <c r="M359" s="183"/>
      <c r="N359" s="108"/>
    </row>
    <row r="360" spans="1:14" x14ac:dyDescent="0.3">
      <c r="A360" s="77"/>
      <c r="B360" s="106"/>
      <c r="F360" s="124"/>
      <c r="G360" s="125"/>
      <c r="J360" s="125"/>
      <c r="L360" s="107"/>
      <c r="M360" s="183"/>
      <c r="N360" s="108"/>
    </row>
    <row r="361" spans="1:14" x14ac:dyDescent="0.3">
      <c r="A361" s="77"/>
      <c r="B361" s="106"/>
      <c r="F361" s="124"/>
      <c r="G361" s="125"/>
      <c r="J361" s="125"/>
      <c r="L361" s="107"/>
      <c r="M361" s="183"/>
      <c r="N361" s="108"/>
    </row>
    <row r="362" spans="1:14" x14ac:dyDescent="0.3">
      <c r="A362" s="77"/>
      <c r="B362" s="106"/>
      <c r="F362" s="124"/>
      <c r="G362" s="125"/>
      <c r="J362" s="125"/>
      <c r="L362" s="107"/>
      <c r="M362" s="183"/>
      <c r="N362" s="108"/>
    </row>
    <row r="363" spans="1:14" x14ac:dyDescent="0.3">
      <c r="A363" s="77"/>
      <c r="B363" s="106"/>
      <c r="F363" s="124"/>
      <c r="G363" s="125"/>
      <c r="J363" s="125"/>
      <c r="L363" s="107"/>
      <c r="M363" s="183"/>
      <c r="N363" s="108"/>
    </row>
    <row r="364" spans="1:14" x14ac:dyDescent="0.3">
      <c r="A364" s="77"/>
      <c r="B364" s="106"/>
      <c r="F364" s="124"/>
      <c r="G364" s="125"/>
      <c r="J364" s="125"/>
      <c r="L364" s="107"/>
      <c r="M364" s="183"/>
      <c r="N364" s="108"/>
    </row>
    <row r="365" spans="1:14" x14ac:dyDescent="0.3">
      <c r="A365" s="77"/>
      <c r="B365" s="106"/>
      <c r="F365" s="124"/>
      <c r="G365" s="125"/>
      <c r="J365" s="125"/>
      <c r="L365" s="107"/>
      <c r="M365" s="183"/>
      <c r="N365" s="108"/>
    </row>
    <row r="366" spans="1:14" x14ac:dyDescent="0.3">
      <c r="A366" s="77"/>
      <c r="B366" s="106"/>
      <c r="F366" s="124"/>
      <c r="G366" s="125"/>
      <c r="J366" s="125"/>
      <c r="L366" s="107"/>
      <c r="M366" s="183"/>
      <c r="N366" s="108"/>
    </row>
    <row r="367" spans="1:14" x14ac:dyDescent="0.3">
      <c r="A367" s="77"/>
      <c r="B367" s="106"/>
      <c r="F367" s="124"/>
      <c r="G367" s="125"/>
      <c r="J367" s="125"/>
      <c r="L367" s="107"/>
      <c r="M367" s="183"/>
      <c r="N367" s="108"/>
    </row>
    <row r="368" spans="1:14" x14ac:dyDescent="0.3">
      <c r="A368" s="77"/>
      <c r="B368" s="106"/>
      <c r="F368" s="124"/>
      <c r="G368" s="125"/>
      <c r="J368" s="125"/>
      <c r="L368" s="107"/>
      <c r="M368" s="183"/>
      <c r="N368" s="108"/>
    </row>
    <row r="369" spans="1:14" x14ac:dyDescent="0.3">
      <c r="A369" s="77"/>
      <c r="B369" s="106"/>
      <c r="F369" s="124"/>
      <c r="G369" s="125"/>
      <c r="J369" s="125"/>
      <c r="L369" s="107"/>
      <c r="M369" s="183"/>
      <c r="N369" s="108"/>
    </row>
    <row r="370" spans="1:14" x14ac:dyDescent="0.3">
      <c r="A370" s="77"/>
      <c r="B370" s="106"/>
      <c r="F370" s="124"/>
      <c r="G370" s="125"/>
      <c r="J370" s="125"/>
      <c r="L370" s="107"/>
      <c r="M370" s="183"/>
      <c r="N370" s="108"/>
    </row>
    <row r="371" spans="1:14" x14ac:dyDescent="0.3">
      <c r="A371" s="77"/>
      <c r="B371" s="106"/>
      <c r="F371" s="124"/>
      <c r="G371" s="125"/>
      <c r="J371" s="125"/>
      <c r="L371" s="107"/>
      <c r="M371" s="183"/>
      <c r="N371" s="108"/>
    </row>
    <row r="372" spans="1:14" x14ac:dyDescent="0.3">
      <c r="A372" s="77"/>
      <c r="B372" s="106"/>
      <c r="F372" s="124"/>
      <c r="G372" s="125"/>
      <c r="J372" s="125"/>
      <c r="L372" s="107"/>
      <c r="M372" s="183"/>
      <c r="N372" s="108"/>
    </row>
    <row r="373" spans="1:14" x14ac:dyDescent="0.3">
      <c r="A373" s="77"/>
      <c r="B373" s="106"/>
      <c r="F373" s="124"/>
      <c r="G373" s="125"/>
      <c r="J373" s="125"/>
      <c r="L373" s="107"/>
      <c r="M373" s="183"/>
      <c r="N373" s="108"/>
    </row>
    <row r="374" spans="1:14" x14ac:dyDescent="0.3">
      <c r="A374" s="77"/>
      <c r="B374" s="106"/>
      <c r="F374" s="124"/>
      <c r="G374" s="125"/>
      <c r="J374" s="125"/>
      <c r="L374" s="107"/>
      <c r="M374" s="183"/>
      <c r="N374" s="108"/>
    </row>
    <row r="375" spans="1:14" x14ac:dyDescent="0.3">
      <c r="A375" s="77"/>
      <c r="B375" s="106"/>
      <c r="F375" s="124"/>
      <c r="G375" s="125"/>
      <c r="J375" s="125"/>
      <c r="L375" s="107"/>
      <c r="M375" s="183"/>
      <c r="N375" s="108"/>
    </row>
    <row r="376" spans="1:14" x14ac:dyDescent="0.3">
      <c r="A376" s="77"/>
      <c r="B376" s="106"/>
      <c r="F376" s="124"/>
      <c r="G376" s="125"/>
      <c r="J376" s="125"/>
      <c r="L376" s="107"/>
      <c r="M376" s="183"/>
      <c r="N376" s="108"/>
    </row>
    <row r="377" spans="1:14" x14ac:dyDescent="0.3">
      <c r="A377" s="77"/>
      <c r="B377" s="106"/>
      <c r="F377" s="124"/>
      <c r="G377" s="125"/>
      <c r="J377" s="125"/>
      <c r="L377" s="107"/>
      <c r="M377" s="183"/>
      <c r="N377" s="108"/>
    </row>
    <row r="378" spans="1:14" x14ac:dyDescent="0.3">
      <c r="A378" s="77"/>
      <c r="B378" s="106"/>
      <c r="F378" s="124"/>
      <c r="G378" s="125"/>
      <c r="J378" s="125"/>
      <c r="L378" s="107"/>
      <c r="M378" s="183"/>
      <c r="N378" s="108"/>
    </row>
    <row r="379" spans="1:14" x14ac:dyDescent="0.3">
      <c r="A379" s="77"/>
      <c r="B379" s="106"/>
      <c r="F379" s="124"/>
      <c r="G379" s="125"/>
      <c r="J379" s="125"/>
      <c r="L379" s="107"/>
      <c r="M379" s="183"/>
      <c r="N379" s="108"/>
    </row>
    <row r="380" spans="1:14" x14ac:dyDescent="0.3">
      <c r="A380" s="77"/>
      <c r="B380" s="106"/>
      <c r="F380" s="124"/>
      <c r="G380" s="125"/>
      <c r="J380" s="125"/>
      <c r="L380" s="107"/>
      <c r="M380" s="183"/>
      <c r="N380" s="108"/>
    </row>
    <row r="381" spans="1:14" x14ac:dyDescent="0.3">
      <c r="A381" s="77"/>
      <c r="B381" s="106"/>
      <c r="F381" s="124"/>
      <c r="G381" s="125"/>
      <c r="J381" s="125"/>
      <c r="L381" s="107"/>
      <c r="M381" s="183"/>
      <c r="N381" s="108"/>
    </row>
    <row r="382" spans="1:14" x14ac:dyDescent="0.3">
      <c r="A382" s="77"/>
      <c r="B382" s="106"/>
      <c r="F382" s="124"/>
      <c r="G382" s="125"/>
      <c r="J382" s="125"/>
      <c r="L382" s="107"/>
      <c r="M382" s="183"/>
      <c r="N382" s="108"/>
    </row>
    <row r="383" spans="1:14" x14ac:dyDescent="0.3">
      <c r="A383" s="77"/>
      <c r="B383" s="106"/>
      <c r="F383" s="124"/>
      <c r="G383" s="125"/>
      <c r="J383" s="125"/>
      <c r="L383" s="107"/>
      <c r="M383" s="183"/>
      <c r="N383" s="108"/>
    </row>
    <row r="384" spans="1:14" x14ac:dyDescent="0.3">
      <c r="A384" s="77"/>
      <c r="B384" s="106"/>
      <c r="F384" s="124"/>
      <c r="G384" s="125"/>
      <c r="J384" s="125"/>
      <c r="L384" s="107"/>
      <c r="M384" s="183"/>
      <c r="N384" s="108"/>
    </row>
    <row r="385" spans="1:14" x14ac:dyDescent="0.3">
      <c r="A385" s="77"/>
      <c r="B385" s="106"/>
      <c r="F385" s="124"/>
      <c r="G385" s="125"/>
      <c r="J385" s="125"/>
      <c r="L385" s="107"/>
      <c r="M385" s="183"/>
      <c r="N385" s="108"/>
    </row>
    <row r="386" spans="1:14" x14ac:dyDescent="0.3">
      <c r="A386" s="77"/>
      <c r="B386" s="106"/>
      <c r="F386" s="124"/>
      <c r="G386" s="125"/>
      <c r="J386" s="125"/>
      <c r="L386" s="107"/>
      <c r="M386" s="183"/>
      <c r="N386" s="108"/>
    </row>
    <row r="387" spans="1:14" x14ac:dyDescent="0.3">
      <c r="A387" s="77"/>
      <c r="B387" s="106"/>
      <c r="F387" s="124"/>
      <c r="G387" s="125"/>
      <c r="J387" s="125"/>
      <c r="L387" s="107"/>
      <c r="M387" s="183"/>
      <c r="N387" s="108"/>
    </row>
    <row r="388" spans="1:14" x14ac:dyDescent="0.3">
      <c r="A388" s="77"/>
      <c r="B388" s="106"/>
      <c r="F388" s="124"/>
      <c r="G388" s="125"/>
      <c r="J388" s="125"/>
      <c r="L388" s="107"/>
      <c r="M388" s="183"/>
      <c r="N388" s="108"/>
    </row>
    <row r="389" spans="1:14" x14ac:dyDescent="0.3">
      <c r="A389" s="77"/>
      <c r="B389" s="106"/>
      <c r="F389" s="124"/>
      <c r="G389" s="125"/>
      <c r="J389" s="125"/>
      <c r="L389" s="107"/>
      <c r="M389" s="183"/>
      <c r="N389" s="108"/>
    </row>
    <row r="390" spans="1:14" x14ac:dyDescent="0.3">
      <c r="A390" s="77"/>
      <c r="B390" s="106"/>
      <c r="F390" s="124"/>
      <c r="G390" s="125"/>
      <c r="J390" s="125"/>
      <c r="L390" s="107"/>
      <c r="M390" s="183"/>
      <c r="N390" s="108"/>
    </row>
    <row r="391" spans="1:14" x14ac:dyDescent="0.3">
      <c r="A391" s="77"/>
      <c r="B391" s="106"/>
      <c r="F391" s="124"/>
      <c r="G391" s="125"/>
      <c r="J391" s="125"/>
      <c r="L391" s="107"/>
      <c r="M391" s="183"/>
      <c r="N391" s="108"/>
    </row>
    <row r="392" spans="1:14" x14ac:dyDescent="0.3">
      <c r="A392" s="77"/>
      <c r="B392" s="106"/>
      <c r="F392" s="124"/>
      <c r="G392" s="125"/>
      <c r="J392" s="125"/>
      <c r="L392" s="107"/>
      <c r="M392" s="183"/>
      <c r="N392" s="108"/>
    </row>
    <row r="393" spans="1:14" x14ac:dyDescent="0.3">
      <c r="A393" s="77"/>
      <c r="B393" s="106"/>
      <c r="F393" s="124"/>
      <c r="G393" s="125"/>
      <c r="J393" s="125"/>
      <c r="L393" s="107"/>
      <c r="M393" s="183"/>
      <c r="N393" s="108"/>
    </row>
    <row r="394" spans="1:14" x14ac:dyDescent="0.3">
      <c r="A394" s="77"/>
      <c r="B394" s="106"/>
      <c r="F394" s="124"/>
      <c r="G394" s="125"/>
      <c r="J394" s="125"/>
      <c r="L394" s="107"/>
      <c r="M394" s="183"/>
      <c r="N394" s="108"/>
    </row>
    <row r="395" spans="1:14" x14ac:dyDescent="0.3">
      <c r="A395" s="77"/>
      <c r="B395" s="106"/>
      <c r="F395" s="124"/>
      <c r="G395" s="125"/>
      <c r="J395" s="125"/>
      <c r="L395" s="107"/>
      <c r="M395" s="183"/>
      <c r="N395" s="108"/>
    </row>
    <row r="396" spans="1:14" x14ac:dyDescent="0.3">
      <c r="A396" s="77"/>
      <c r="B396" s="106"/>
      <c r="F396" s="124"/>
      <c r="G396" s="125"/>
      <c r="J396" s="125"/>
      <c r="L396" s="107"/>
      <c r="M396" s="183"/>
      <c r="N396" s="108"/>
    </row>
    <row r="397" spans="1:14" x14ac:dyDescent="0.3">
      <c r="A397" s="77"/>
      <c r="B397" s="106"/>
      <c r="F397" s="124"/>
      <c r="G397" s="125"/>
      <c r="J397" s="125"/>
      <c r="L397" s="107"/>
      <c r="M397" s="183"/>
      <c r="N397" s="108"/>
    </row>
    <row r="398" spans="1:14" x14ac:dyDescent="0.3">
      <c r="A398" s="77"/>
      <c r="B398" s="106"/>
      <c r="F398" s="124"/>
      <c r="G398" s="125"/>
      <c r="J398" s="125"/>
      <c r="L398" s="107"/>
      <c r="M398" s="183"/>
      <c r="N398" s="108"/>
    </row>
    <row r="399" spans="1:14" x14ac:dyDescent="0.3">
      <c r="A399" s="77"/>
      <c r="B399" s="106"/>
      <c r="F399" s="124"/>
      <c r="G399" s="125"/>
      <c r="J399" s="125"/>
      <c r="L399" s="107"/>
      <c r="M399" s="183"/>
      <c r="N399" s="108"/>
    </row>
    <row r="400" spans="1:14" x14ac:dyDescent="0.3">
      <c r="A400" s="77"/>
      <c r="B400" s="106"/>
      <c r="F400" s="124"/>
      <c r="G400" s="125"/>
      <c r="J400" s="125"/>
      <c r="L400" s="107"/>
      <c r="M400" s="183"/>
      <c r="N400" s="108"/>
    </row>
    <row r="401" spans="1:14" x14ac:dyDescent="0.3">
      <c r="A401" s="77"/>
      <c r="B401" s="106"/>
      <c r="F401" s="124"/>
      <c r="G401" s="125"/>
      <c r="J401" s="125"/>
      <c r="L401" s="107"/>
      <c r="M401" s="183"/>
      <c r="N401" s="108"/>
    </row>
    <row r="402" spans="1:14" x14ac:dyDescent="0.3">
      <c r="A402" s="77"/>
      <c r="B402" s="106"/>
      <c r="F402" s="124"/>
      <c r="G402" s="125"/>
      <c r="J402" s="125"/>
      <c r="L402" s="107"/>
      <c r="M402" s="183"/>
      <c r="N402" s="108"/>
    </row>
    <row r="403" spans="1:14" x14ac:dyDescent="0.3">
      <c r="A403" s="77"/>
      <c r="B403" s="106"/>
      <c r="F403" s="124"/>
      <c r="G403" s="125"/>
      <c r="J403" s="125"/>
      <c r="L403" s="107"/>
      <c r="M403" s="183"/>
      <c r="N403" s="108"/>
    </row>
    <row r="404" spans="1:14" x14ac:dyDescent="0.3">
      <c r="A404" s="77"/>
      <c r="B404" s="106"/>
      <c r="F404" s="124"/>
      <c r="G404" s="125"/>
      <c r="J404" s="125"/>
      <c r="L404" s="107"/>
      <c r="M404" s="183"/>
      <c r="N404" s="108"/>
    </row>
    <row r="405" spans="1:14" x14ac:dyDescent="0.3">
      <c r="A405" s="77"/>
      <c r="B405" s="106"/>
      <c r="F405" s="124"/>
      <c r="G405" s="125"/>
      <c r="J405" s="125"/>
      <c r="L405" s="107"/>
      <c r="M405" s="183"/>
      <c r="N405" s="108"/>
    </row>
    <row r="406" spans="1:14" x14ac:dyDescent="0.3">
      <c r="A406" s="77"/>
      <c r="B406" s="106"/>
      <c r="F406" s="124"/>
      <c r="G406" s="125"/>
      <c r="J406" s="125"/>
      <c r="L406" s="107"/>
      <c r="M406" s="183"/>
      <c r="N406" s="108"/>
    </row>
    <row r="407" spans="1:14" x14ac:dyDescent="0.3">
      <c r="A407" s="77"/>
      <c r="B407" s="106"/>
      <c r="F407" s="124"/>
      <c r="G407" s="125"/>
      <c r="J407" s="125"/>
      <c r="L407" s="107"/>
      <c r="M407" s="183"/>
      <c r="N407" s="108"/>
    </row>
    <row r="408" spans="1:14" x14ac:dyDescent="0.3">
      <c r="A408" s="77"/>
      <c r="B408" s="106"/>
      <c r="F408" s="124"/>
      <c r="G408" s="125"/>
      <c r="J408" s="125"/>
      <c r="L408" s="107"/>
      <c r="M408" s="183"/>
      <c r="N408" s="108"/>
    </row>
    <row r="409" spans="1:14" x14ac:dyDescent="0.3">
      <c r="A409" s="77"/>
      <c r="B409" s="106"/>
      <c r="F409" s="124"/>
      <c r="G409" s="125"/>
      <c r="J409" s="125"/>
      <c r="L409" s="107"/>
      <c r="M409" s="183"/>
      <c r="N409" s="108"/>
    </row>
    <row r="410" spans="1:14" x14ac:dyDescent="0.3">
      <c r="A410" s="77"/>
      <c r="B410" s="106"/>
      <c r="F410" s="124"/>
      <c r="G410" s="125"/>
      <c r="J410" s="125"/>
      <c r="L410" s="107"/>
      <c r="M410" s="183"/>
      <c r="N410" s="108"/>
    </row>
    <row r="411" spans="1:14" x14ac:dyDescent="0.3">
      <c r="A411" s="77"/>
      <c r="B411" s="106"/>
      <c r="F411" s="124"/>
      <c r="G411" s="125"/>
      <c r="J411" s="125"/>
      <c r="L411" s="107"/>
      <c r="M411" s="183"/>
      <c r="N411" s="108"/>
    </row>
    <row r="412" spans="1:14" x14ac:dyDescent="0.3">
      <c r="A412" s="77"/>
      <c r="B412" s="106"/>
      <c r="F412" s="124"/>
      <c r="G412" s="125"/>
      <c r="J412" s="125"/>
      <c r="L412" s="107"/>
      <c r="M412" s="183"/>
      <c r="N412" s="108"/>
    </row>
    <row r="413" spans="1:14" x14ac:dyDescent="0.3">
      <c r="A413" s="77"/>
      <c r="B413" s="106"/>
      <c r="F413" s="124"/>
      <c r="G413" s="125"/>
      <c r="J413" s="125"/>
      <c r="L413" s="107"/>
      <c r="M413" s="183"/>
      <c r="N413" s="108"/>
    </row>
    <row r="414" spans="1:14" x14ac:dyDescent="0.3">
      <c r="A414" s="77"/>
      <c r="B414" s="106"/>
      <c r="F414" s="124"/>
      <c r="G414" s="125"/>
      <c r="J414" s="125"/>
      <c r="L414" s="107"/>
      <c r="M414" s="183"/>
      <c r="N414" s="108"/>
    </row>
    <row r="415" spans="1:14" x14ac:dyDescent="0.3">
      <c r="A415" s="77"/>
      <c r="B415" s="106"/>
      <c r="F415" s="124"/>
      <c r="G415" s="125"/>
      <c r="J415" s="125"/>
      <c r="L415" s="107"/>
      <c r="M415" s="183"/>
      <c r="N415" s="108"/>
    </row>
    <row r="416" spans="1:14" x14ac:dyDescent="0.3">
      <c r="A416" s="77"/>
      <c r="B416" s="106"/>
      <c r="F416" s="124"/>
      <c r="G416" s="125"/>
      <c r="J416" s="125"/>
      <c r="L416" s="107"/>
      <c r="M416" s="183"/>
      <c r="N416" s="108"/>
    </row>
    <row r="417" spans="1:14" x14ac:dyDescent="0.3">
      <c r="A417" s="77"/>
      <c r="B417" s="106"/>
      <c r="F417" s="124"/>
      <c r="G417" s="125"/>
      <c r="J417" s="125"/>
      <c r="L417" s="107"/>
      <c r="M417" s="183"/>
      <c r="N417" s="108"/>
    </row>
    <row r="418" spans="1:14" x14ac:dyDescent="0.3">
      <c r="A418" s="77"/>
      <c r="B418" s="106"/>
      <c r="F418" s="124"/>
      <c r="G418" s="125"/>
      <c r="J418" s="125"/>
      <c r="L418" s="107"/>
      <c r="M418" s="183"/>
      <c r="N418" s="108"/>
    </row>
    <row r="419" spans="1:14" x14ac:dyDescent="0.3">
      <c r="A419" s="77"/>
      <c r="B419" s="106"/>
      <c r="F419" s="124"/>
      <c r="G419" s="125"/>
      <c r="J419" s="125"/>
      <c r="L419" s="107"/>
      <c r="M419" s="183"/>
      <c r="N419" s="108"/>
    </row>
    <row r="420" spans="1:14" x14ac:dyDescent="0.3">
      <c r="A420" s="77"/>
      <c r="B420" s="106"/>
      <c r="F420" s="124"/>
      <c r="G420" s="125"/>
      <c r="J420" s="125"/>
      <c r="L420" s="107"/>
      <c r="M420" s="183"/>
      <c r="N420" s="108"/>
    </row>
    <row r="421" spans="1:14" x14ac:dyDescent="0.3">
      <c r="A421" s="77"/>
      <c r="B421" s="106"/>
      <c r="F421" s="124"/>
      <c r="G421" s="125"/>
      <c r="J421" s="125"/>
      <c r="L421" s="107"/>
      <c r="M421" s="183"/>
      <c r="N421" s="108"/>
    </row>
    <row r="422" spans="1:14" x14ac:dyDescent="0.3">
      <c r="A422" s="77"/>
      <c r="B422" s="106"/>
      <c r="F422" s="124"/>
      <c r="G422" s="125"/>
      <c r="J422" s="125"/>
      <c r="L422" s="107"/>
      <c r="M422" s="183"/>
      <c r="N422" s="108"/>
    </row>
    <row r="423" spans="1:14" x14ac:dyDescent="0.3">
      <c r="A423" s="77"/>
      <c r="B423" s="106"/>
      <c r="F423" s="124"/>
      <c r="G423" s="125"/>
      <c r="J423" s="125"/>
      <c r="L423" s="107"/>
      <c r="M423" s="183"/>
      <c r="N423" s="108"/>
    </row>
    <row r="424" spans="1:14" x14ac:dyDescent="0.3">
      <c r="A424" s="77"/>
      <c r="B424" s="106"/>
      <c r="F424" s="124"/>
      <c r="G424" s="125"/>
      <c r="J424" s="125"/>
      <c r="L424" s="107"/>
      <c r="M424" s="183"/>
      <c r="N424" s="108"/>
    </row>
    <row r="425" spans="1:14" x14ac:dyDescent="0.3">
      <c r="A425" s="77"/>
      <c r="B425" s="106"/>
      <c r="F425" s="124"/>
      <c r="G425" s="125"/>
      <c r="J425" s="125"/>
      <c r="L425" s="107"/>
      <c r="M425" s="183"/>
      <c r="N425" s="108"/>
    </row>
    <row r="426" spans="1:14" x14ac:dyDescent="0.3">
      <c r="A426" s="77"/>
      <c r="B426" s="106"/>
      <c r="F426" s="124"/>
      <c r="G426" s="125"/>
      <c r="J426" s="125"/>
      <c r="L426" s="107"/>
      <c r="M426" s="183"/>
      <c r="N426" s="108"/>
    </row>
    <row r="427" spans="1:14" x14ac:dyDescent="0.3">
      <c r="A427" s="77"/>
      <c r="B427" s="106"/>
      <c r="F427" s="124"/>
      <c r="G427" s="125"/>
      <c r="J427" s="125"/>
      <c r="L427" s="107"/>
      <c r="M427" s="183"/>
      <c r="N427" s="108"/>
    </row>
    <row r="428" spans="1:14" x14ac:dyDescent="0.3">
      <c r="A428" s="77"/>
      <c r="B428" s="106"/>
      <c r="F428" s="124"/>
      <c r="G428" s="125"/>
      <c r="J428" s="125"/>
      <c r="L428" s="107"/>
      <c r="M428" s="183"/>
      <c r="N428" s="108"/>
    </row>
    <row r="429" spans="1:14" x14ac:dyDescent="0.3">
      <c r="A429" s="77"/>
      <c r="B429" s="106"/>
      <c r="F429" s="124"/>
      <c r="G429" s="125"/>
      <c r="J429" s="125"/>
      <c r="L429" s="107"/>
      <c r="M429" s="183"/>
      <c r="N429" s="108"/>
    </row>
    <row r="430" spans="1:14" x14ac:dyDescent="0.3">
      <c r="A430" s="77"/>
      <c r="B430" s="106"/>
      <c r="F430" s="124"/>
      <c r="G430" s="125"/>
      <c r="J430" s="125"/>
      <c r="L430" s="107"/>
      <c r="M430" s="183"/>
      <c r="N430" s="108"/>
    </row>
    <row r="431" spans="1:14" x14ac:dyDescent="0.3">
      <c r="A431" s="77"/>
      <c r="B431" s="106"/>
      <c r="F431" s="124"/>
      <c r="G431" s="125"/>
      <c r="J431" s="125"/>
      <c r="L431" s="107"/>
      <c r="M431" s="183"/>
      <c r="N431" s="108"/>
    </row>
    <row r="432" spans="1:14" x14ac:dyDescent="0.3">
      <c r="A432" s="77"/>
      <c r="B432" s="106"/>
      <c r="F432" s="124"/>
      <c r="G432" s="125"/>
      <c r="J432" s="125"/>
      <c r="L432" s="107"/>
      <c r="M432" s="183"/>
      <c r="N432" s="108"/>
    </row>
    <row r="433" spans="1:14" x14ac:dyDescent="0.3">
      <c r="A433" s="77"/>
      <c r="B433" s="106"/>
      <c r="F433" s="124"/>
      <c r="G433" s="125"/>
      <c r="J433" s="125"/>
      <c r="L433" s="107"/>
      <c r="M433" s="183"/>
      <c r="N433" s="108"/>
    </row>
    <row r="434" spans="1:14" x14ac:dyDescent="0.3">
      <c r="A434" s="77"/>
      <c r="B434" s="106"/>
      <c r="F434" s="124"/>
      <c r="G434" s="125"/>
      <c r="J434" s="125"/>
      <c r="L434" s="107"/>
      <c r="M434" s="183"/>
      <c r="N434" s="108"/>
    </row>
    <row r="435" spans="1:14" x14ac:dyDescent="0.3">
      <c r="A435" s="77"/>
      <c r="B435" s="106"/>
      <c r="F435" s="124"/>
      <c r="G435" s="125"/>
      <c r="J435" s="125"/>
      <c r="L435" s="107"/>
      <c r="M435" s="183"/>
      <c r="N435" s="108"/>
    </row>
    <row r="436" spans="1:14" x14ac:dyDescent="0.3">
      <c r="A436" s="77"/>
      <c r="B436" s="106"/>
      <c r="F436" s="124"/>
      <c r="G436" s="125"/>
      <c r="J436" s="125"/>
      <c r="L436" s="107"/>
      <c r="M436" s="183"/>
      <c r="N436" s="108"/>
    </row>
    <row r="437" spans="1:14" x14ac:dyDescent="0.3">
      <c r="A437" s="77"/>
      <c r="B437" s="106"/>
      <c r="F437" s="124"/>
      <c r="G437" s="125"/>
      <c r="J437" s="125"/>
      <c r="L437" s="107"/>
      <c r="M437" s="183"/>
      <c r="N437" s="108"/>
    </row>
    <row r="438" spans="1:14" x14ac:dyDescent="0.3">
      <c r="A438" s="77"/>
      <c r="B438" s="106"/>
      <c r="F438" s="124"/>
      <c r="G438" s="125"/>
      <c r="J438" s="125"/>
      <c r="L438" s="107"/>
      <c r="M438" s="183"/>
      <c r="N438" s="108"/>
    </row>
    <row r="439" spans="1:14" x14ac:dyDescent="0.3">
      <c r="A439" s="77"/>
      <c r="B439" s="106"/>
      <c r="F439" s="124"/>
      <c r="G439" s="125"/>
      <c r="J439" s="125"/>
      <c r="L439" s="107"/>
      <c r="M439" s="183"/>
      <c r="N439" s="108"/>
    </row>
    <row r="440" spans="1:14" x14ac:dyDescent="0.3">
      <c r="A440" s="77"/>
      <c r="B440" s="106"/>
      <c r="F440" s="124"/>
      <c r="G440" s="125"/>
      <c r="J440" s="125"/>
      <c r="L440" s="107"/>
      <c r="M440" s="183"/>
      <c r="N440" s="108"/>
    </row>
    <row r="441" spans="1:14" x14ac:dyDescent="0.3">
      <c r="A441" s="77"/>
      <c r="B441" s="106"/>
      <c r="F441" s="124"/>
      <c r="G441" s="125"/>
      <c r="J441" s="125"/>
      <c r="L441" s="107"/>
      <c r="M441" s="183"/>
      <c r="N441" s="108"/>
    </row>
    <row r="442" spans="1:14" x14ac:dyDescent="0.3">
      <c r="A442" s="77"/>
      <c r="B442" s="106"/>
      <c r="F442" s="124"/>
      <c r="G442" s="125"/>
      <c r="J442" s="125"/>
      <c r="L442" s="107"/>
      <c r="M442" s="183"/>
      <c r="N442" s="108"/>
    </row>
    <row r="443" spans="1:14" x14ac:dyDescent="0.3">
      <c r="A443" s="77"/>
      <c r="B443" s="106"/>
      <c r="F443" s="124"/>
      <c r="G443" s="125"/>
      <c r="J443" s="125"/>
      <c r="L443" s="107"/>
      <c r="M443" s="183"/>
      <c r="N443" s="108"/>
    </row>
    <row r="444" spans="1:14" x14ac:dyDescent="0.3">
      <c r="A444" s="77"/>
      <c r="B444" s="106"/>
      <c r="F444" s="124"/>
      <c r="G444" s="125"/>
      <c r="J444" s="125"/>
      <c r="L444" s="107"/>
      <c r="M444" s="183"/>
      <c r="N444" s="108"/>
    </row>
    <row r="445" spans="1:14" x14ac:dyDescent="0.3">
      <c r="A445" s="77"/>
      <c r="B445" s="106"/>
      <c r="F445" s="124"/>
      <c r="G445" s="125"/>
      <c r="J445" s="125"/>
      <c r="L445" s="107"/>
      <c r="M445" s="183"/>
      <c r="N445" s="108"/>
    </row>
    <row r="446" spans="1:14" x14ac:dyDescent="0.3">
      <c r="A446" s="77"/>
      <c r="B446" s="106"/>
      <c r="F446" s="124"/>
      <c r="G446" s="125"/>
      <c r="J446" s="125"/>
      <c r="L446" s="107"/>
      <c r="M446" s="183"/>
      <c r="N446" s="108"/>
    </row>
    <row r="447" spans="1:14" x14ac:dyDescent="0.3">
      <c r="A447" s="77"/>
      <c r="B447" s="106"/>
      <c r="F447" s="124"/>
      <c r="G447" s="125"/>
      <c r="J447" s="125"/>
      <c r="L447" s="107"/>
      <c r="M447" s="183"/>
      <c r="N447" s="108"/>
    </row>
    <row r="448" spans="1:14" x14ac:dyDescent="0.3">
      <c r="A448" s="77"/>
      <c r="B448" s="106"/>
      <c r="F448" s="124"/>
      <c r="G448" s="125"/>
      <c r="J448" s="125"/>
      <c r="L448" s="107"/>
      <c r="M448" s="183"/>
      <c r="N448" s="108"/>
    </row>
    <row r="449" spans="1:14" x14ac:dyDescent="0.3">
      <c r="A449" s="77"/>
      <c r="B449" s="106"/>
      <c r="F449" s="124"/>
      <c r="G449" s="125"/>
      <c r="J449" s="125"/>
      <c r="L449" s="107"/>
      <c r="M449" s="183"/>
      <c r="N449" s="108"/>
    </row>
    <row r="450" spans="1:14" x14ac:dyDescent="0.3">
      <c r="A450" s="77"/>
      <c r="B450" s="106"/>
      <c r="F450" s="124"/>
      <c r="G450" s="125"/>
      <c r="J450" s="125"/>
      <c r="L450" s="107"/>
      <c r="M450" s="183"/>
      <c r="N450" s="108"/>
    </row>
    <row r="451" spans="1:14" x14ac:dyDescent="0.3">
      <c r="A451" s="77"/>
      <c r="B451" s="106"/>
      <c r="F451" s="124"/>
      <c r="G451" s="125"/>
      <c r="J451" s="125"/>
      <c r="L451" s="107"/>
      <c r="M451" s="183"/>
      <c r="N451" s="108"/>
    </row>
    <row r="452" spans="1:14" x14ac:dyDescent="0.3">
      <c r="A452" s="77"/>
      <c r="B452" s="106"/>
      <c r="F452" s="124"/>
      <c r="G452" s="125"/>
      <c r="J452" s="125"/>
      <c r="L452" s="107"/>
      <c r="M452" s="183"/>
      <c r="N452" s="108"/>
    </row>
    <row r="453" spans="1:14" x14ac:dyDescent="0.3">
      <c r="A453" s="77"/>
      <c r="B453" s="106"/>
      <c r="F453" s="124"/>
      <c r="G453" s="125"/>
      <c r="J453" s="125"/>
      <c r="L453" s="107"/>
      <c r="M453" s="183"/>
      <c r="N453" s="108"/>
    </row>
    <row r="454" spans="1:14" x14ac:dyDescent="0.3">
      <c r="A454" s="77"/>
      <c r="B454" s="106"/>
      <c r="F454" s="124"/>
      <c r="G454" s="125"/>
      <c r="J454" s="125"/>
      <c r="L454" s="107"/>
      <c r="M454" s="183"/>
      <c r="N454" s="108"/>
    </row>
    <row r="455" spans="1:14" x14ac:dyDescent="0.3">
      <c r="A455" s="77"/>
      <c r="B455" s="106"/>
      <c r="F455" s="124"/>
      <c r="G455" s="125"/>
      <c r="J455" s="125"/>
      <c r="L455" s="107"/>
      <c r="M455" s="183"/>
      <c r="N455" s="108"/>
    </row>
    <row r="456" spans="1:14" x14ac:dyDescent="0.3">
      <c r="A456" s="77"/>
      <c r="B456" s="106"/>
      <c r="F456" s="124"/>
      <c r="G456" s="125"/>
      <c r="J456" s="125"/>
      <c r="L456" s="107"/>
      <c r="M456" s="183"/>
      <c r="N456" s="108"/>
    </row>
    <row r="457" spans="1:14" x14ac:dyDescent="0.3">
      <c r="A457" s="77"/>
      <c r="B457" s="106"/>
      <c r="F457" s="124"/>
      <c r="G457" s="125"/>
      <c r="J457" s="125"/>
      <c r="L457" s="107"/>
      <c r="M457" s="183"/>
      <c r="N457" s="108"/>
    </row>
    <row r="458" spans="1:14" x14ac:dyDescent="0.3">
      <c r="A458" s="77"/>
      <c r="B458" s="106"/>
      <c r="F458" s="124"/>
      <c r="G458" s="125"/>
      <c r="J458" s="125"/>
      <c r="L458" s="107"/>
      <c r="M458" s="183"/>
      <c r="N458" s="108"/>
    </row>
    <row r="459" spans="1:14" x14ac:dyDescent="0.3">
      <c r="A459" s="77"/>
      <c r="B459" s="106"/>
      <c r="F459" s="124"/>
      <c r="G459" s="125"/>
      <c r="J459" s="125"/>
      <c r="L459" s="107"/>
      <c r="M459" s="183"/>
      <c r="N459" s="108"/>
    </row>
    <row r="460" spans="1:14" x14ac:dyDescent="0.3">
      <c r="A460" s="77"/>
      <c r="B460" s="106"/>
      <c r="F460" s="124"/>
      <c r="G460" s="125"/>
      <c r="J460" s="125"/>
      <c r="L460" s="107"/>
      <c r="M460" s="183"/>
      <c r="N460" s="108"/>
    </row>
    <row r="461" spans="1:14" x14ac:dyDescent="0.3">
      <c r="A461" s="77"/>
      <c r="B461" s="106"/>
      <c r="F461" s="124"/>
      <c r="G461" s="125"/>
      <c r="J461" s="125"/>
      <c r="L461" s="107"/>
      <c r="M461" s="183"/>
      <c r="N461" s="108"/>
    </row>
    <row r="462" spans="1:14" x14ac:dyDescent="0.3">
      <c r="A462" s="77"/>
      <c r="B462" s="106"/>
      <c r="F462" s="124"/>
      <c r="G462" s="125"/>
      <c r="J462" s="125"/>
      <c r="L462" s="107"/>
      <c r="M462" s="183"/>
      <c r="N462" s="108"/>
    </row>
    <row r="463" spans="1:14" x14ac:dyDescent="0.3">
      <c r="A463" s="77"/>
      <c r="B463" s="106"/>
      <c r="F463" s="124"/>
      <c r="G463" s="125"/>
      <c r="J463" s="125"/>
      <c r="L463" s="107"/>
      <c r="M463" s="183"/>
      <c r="N463" s="108"/>
    </row>
    <row r="464" spans="1:14" x14ac:dyDescent="0.3">
      <c r="A464" s="77"/>
      <c r="B464" s="106"/>
      <c r="F464" s="124"/>
      <c r="G464" s="125"/>
      <c r="J464" s="125"/>
      <c r="L464" s="107"/>
      <c r="M464" s="183"/>
      <c r="N464" s="108"/>
    </row>
    <row r="465" spans="1:14" x14ac:dyDescent="0.3">
      <c r="A465" s="77"/>
      <c r="B465" s="106"/>
      <c r="F465" s="124"/>
      <c r="G465" s="125"/>
      <c r="J465" s="125"/>
      <c r="L465" s="107"/>
      <c r="M465" s="183"/>
      <c r="N465" s="108"/>
    </row>
    <row r="466" spans="1:14" x14ac:dyDescent="0.3">
      <c r="A466" s="77"/>
      <c r="B466" s="106"/>
      <c r="F466" s="124"/>
      <c r="G466" s="125"/>
      <c r="J466" s="125"/>
      <c r="L466" s="107"/>
      <c r="M466" s="183"/>
      <c r="N466" s="108"/>
    </row>
    <row r="467" spans="1:14" x14ac:dyDescent="0.3">
      <c r="A467" s="77"/>
      <c r="B467" s="106"/>
      <c r="F467" s="124"/>
      <c r="G467" s="125"/>
      <c r="J467" s="125"/>
      <c r="L467" s="107"/>
      <c r="M467" s="183"/>
      <c r="N467" s="108"/>
    </row>
    <row r="468" spans="1:14" x14ac:dyDescent="0.3">
      <c r="A468" s="77"/>
      <c r="B468" s="106"/>
      <c r="F468" s="124"/>
      <c r="G468" s="125"/>
      <c r="J468" s="125"/>
      <c r="L468" s="107"/>
      <c r="M468" s="183"/>
      <c r="N468" s="108"/>
    </row>
    <row r="469" spans="1:14" x14ac:dyDescent="0.3">
      <c r="A469" s="77"/>
      <c r="B469" s="106"/>
      <c r="F469" s="124"/>
      <c r="G469" s="125"/>
      <c r="J469" s="125"/>
      <c r="L469" s="107"/>
      <c r="M469" s="183"/>
      <c r="N469" s="108"/>
    </row>
    <row r="470" spans="1:14" x14ac:dyDescent="0.3">
      <c r="A470" s="77"/>
      <c r="B470" s="106"/>
      <c r="F470" s="124"/>
      <c r="G470" s="125"/>
      <c r="J470" s="125"/>
      <c r="L470" s="107"/>
      <c r="M470" s="183"/>
      <c r="N470" s="108"/>
    </row>
    <row r="471" spans="1:14" x14ac:dyDescent="0.3">
      <c r="A471" s="77"/>
      <c r="B471" s="106"/>
      <c r="F471" s="124"/>
      <c r="G471" s="125"/>
      <c r="J471" s="125"/>
      <c r="L471" s="107"/>
      <c r="M471" s="183"/>
      <c r="N471" s="108"/>
    </row>
    <row r="472" spans="1:14" x14ac:dyDescent="0.3">
      <c r="A472" s="77"/>
      <c r="B472" s="106"/>
      <c r="F472" s="124"/>
      <c r="G472" s="125"/>
      <c r="J472" s="125"/>
      <c r="L472" s="107"/>
      <c r="M472" s="183"/>
      <c r="N472" s="108"/>
    </row>
    <row r="473" spans="1:14" x14ac:dyDescent="0.3">
      <c r="A473" s="77"/>
      <c r="B473" s="106"/>
      <c r="F473" s="124"/>
      <c r="G473" s="125"/>
      <c r="J473" s="125"/>
      <c r="L473" s="107"/>
      <c r="M473" s="183"/>
      <c r="N473" s="108"/>
    </row>
    <row r="474" spans="1:14" x14ac:dyDescent="0.3">
      <c r="A474" s="77"/>
      <c r="B474" s="106"/>
      <c r="F474" s="124"/>
      <c r="G474" s="125"/>
      <c r="J474" s="125"/>
      <c r="L474" s="107"/>
      <c r="M474" s="183"/>
      <c r="N474" s="108"/>
    </row>
    <row r="475" spans="1:14" x14ac:dyDescent="0.3">
      <c r="A475" s="77"/>
      <c r="B475" s="106"/>
      <c r="F475" s="124"/>
      <c r="G475" s="125"/>
      <c r="J475" s="125"/>
      <c r="L475" s="107"/>
      <c r="M475" s="183"/>
      <c r="N475" s="108"/>
    </row>
    <row r="476" spans="1:14" x14ac:dyDescent="0.3">
      <c r="A476" s="77"/>
      <c r="B476" s="106"/>
      <c r="F476" s="124"/>
      <c r="G476" s="125"/>
      <c r="J476" s="125"/>
      <c r="L476" s="107"/>
      <c r="M476" s="183"/>
      <c r="N476" s="108"/>
    </row>
    <row r="477" spans="1:14" x14ac:dyDescent="0.3">
      <c r="A477" s="77"/>
      <c r="B477" s="106"/>
      <c r="F477" s="124"/>
      <c r="G477" s="125"/>
      <c r="J477" s="125"/>
      <c r="L477" s="107"/>
      <c r="M477" s="183"/>
      <c r="N477" s="108"/>
    </row>
    <row r="478" spans="1:14" x14ac:dyDescent="0.3">
      <c r="A478" s="77"/>
      <c r="B478" s="106"/>
      <c r="F478" s="124"/>
      <c r="G478" s="125"/>
      <c r="J478" s="125"/>
      <c r="L478" s="107"/>
      <c r="M478" s="183"/>
      <c r="N478" s="108"/>
    </row>
    <row r="479" spans="1:14" x14ac:dyDescent="0.3">
      <c r="A479" s="77"/>
      <c r="B479" s="106"/>
      <c r="F479" s="124"/>
      <c r="G479" s="125"/>
      <c r="J479" s="125"/>
      <c r="L479" s="107"/>
      <c r="M479" s="183"/>
      <c r="N479" s="108"/>
    </row>
    <row r="480" spans="1:14" x14ac:dyDescent="0.3">
      <c r="A480" s="77"/>
      <c r="B480" s="106"/>
      <c r="F480" s="124"/>
      <c r="G480" s="125"/>
      <c r="J480" s="125"/>
      <c r="L480" s="107"/>
      <c r="M480" s="183"/>
      <c r="N480" s="108"/>
    </row>
    <row r="481" spans="1:14" x14ac:dyDescent="0.3">
      <c r="A481" s="77"/>
      <c r="B481" s="106"/>
      <c r="F481" s="124"/>
      <c r="G481" s="125"/>
      <c r="J481" s="125"/>
      <c r="L481" s="107"/>
      <c r="M481" s="183"/>
      <c r="N481" s="108"/>
    </row>
    <row r="482" spans="1:14" x14ac:dyDescent="0.3">
      <c r="A482" s="77"/>
      <c r="B482" s="106"/>
      <c r="F482" s="124"/>
      <c r="G482" s="125"/>
      <c r="J482" s="125"/>
      <c r="L482" s="107"/>
      <c r="M482" s="183"/>
      <c r="N482" s="108"/>
    </row>
    <row r="483" spans="1:14" x14ac:dyDescent="0.3">
      <c r="A483" s="77"/>
      <c r="B483" s="106"/>
      <c r="F483" s="124"/>
      <c r="G483" s="125"/>
      <c r="J483" s="125"/>
      <c r="L483" s="107"/>
      <c r="M483" s="183"/>
      <c r="N483" s="108"/>
    </row>
    <row r="484" spans="1:14" x14ac:dyDescent="0.3">
      <c r="A484" s="77"/>
      <c r="B484" s="106"/>
      <c r="F484" s="124"/>
      <c r="G484" s="125"/>
      <c r="J484" s="125"/>
      <c r="L484" s="107"/>
      <c r="M484" s="183"/>
      <c r="N484" s="108"/>
    </row>
    <row r="485" spans="1:14" x14ac:dyDescent="0.3">
      <c r="A485" s="77"/>
      <c r="B485" s="106"/>
      <c r="F485" s="124"/>
      <c r="G485" s="125"/>
      <c r="J485" s="125"/>
      <c r="L485" s="107"/>
      <c r="M485" s="183"/>
      <c r="N485" s="108"/>
    </row>
    <row r="486" spans="1:14" x14ac:dyDescent="0.3">
      <c r="A486" s="77"/>
      <c r="B486" s="106"/>
      <c r="F486" s="124"/>
      <c r="G486" s="125"/>
      <c r="J486" s="125"/>
      <c r="L486" s="107"/>
      <c r="M486" s="183"/>
      <c r="N486" s="108"/>
    </row>
    <row r="487" spans="1:14" x14ac:dyDescent="0.3">
      <c r="A487" s="77"/>
      <c r="B487" s="106"/>
      <c r="F487" s="124"/>
      <c r="G487" s="125"/>
      <c r="J487" s="125"/>
      <c r="L487" s="107"/>
      <c r="M487" s="183"/>
      <c r="N487" s="108"/>
    </row>
    <row r="488" spans="1:14" x14ac:dyDescent="0.3">
      <c r="A488" s="77"/>
      <c r="B488" s="106"/>
      <c r="F488" s="124"/>
      <c r="G488" s="125"/>
      <c r="J488" s="125"/>
      <c r="L488" s="107"/>
      <c r="M488" s="183"/>
      <c r="N488" s="108"/>
    </row>
    <row r="489" spans="1:14" x14ac:dyDescent="0.3">
      <c r="A489" s="77"/>
      <c r="B489" s="106"/>
      <c r="F489" s="124"/>
      <c r="G489" s="125"/>
      <c r="J489" s="125"/>
      <c r="L489" s="107"/>
      <c r="M489" s="183"/>
      <c r="N489" s="108"/>
    </row>
    <row r="490" spans="1:14" x14ac:dyDescent="0.3">
      <c r="A490" s="77"/>
      <c r="B490" s="106"/>
      <c r="F490" s="124"/>
      <c r="G490" s="125"/>
      <c r="J490" s="125"/>
      <c r="L490" s="107"/>
      <c r="M490" s="183"/>
      <c r="N490" s="108"/>
    </row>
    <row r="491" spans="1:14" x14ac:dyDescent="0.3">
      <c r="A491" s="77"/>
      <c r="B491" s="106"/>
      <c r="F491" s="124"/>
      <c r="G491" s="125"/>
      <c r="J491" s="125"/>
      <c r="L491" s="107"/>
      <c r="M491" s="183"/>
      <c r="N491" s="108"/>
    </row>
    <row r="492" spans="1:14" x14ac:dyDescent="0.3">
      <c r="A492" s="77"/>
      <c r="B492" s="106"/>
      <c r="F492" s="124"/>
      <c r="G492" s="125"/>
      <c r="J492" s="125"/>
      <c r="L492" s="107"/>
      <c r="M492" s="183"/>
      <c r="N492" s="108"/>
    </row>
    <row r="493" spans="1:14" x14ac:dyDescent="0.3">
      <c r="A493" s="77"/>
      <c r="B493" s="106"/>
      <c r="F493" s="124"/>
      <c r="G493" s="125"/>
      <c r="J493" s="125"/>
      <c r="L493" s="107"/>
      <c r="M493" s="183"/>
      <c r="N493" s="108"/>
    </row>
    <row r="494" spans="1:14" x14ac:dyDescent="0.3">
      <c r="A494" s="77"/>
      <c r="B494" s="106"/>
      <c r="F494" s="124"/>
      <c r="G494" s="125"/>
      <c r="J494" s="125"/>
      <c r="L494" s="107"/>
      <c r="M494" s="183"/>
      <c r="N494" s="108"/>
    </row>
    <row r="495" spans="1:14" x14ac:dyDescent="0.3">
      <c r="A495" s="77"/>
      <c r="B495" s="106"/>
      <c r="F495" s="124"/>
      <c r="G495" s="125"/>
      <c r="J495" s="125"/>
      <c r="L495" s="107"/>
      <c r="M495" s="183"/>
      <c r="N495" s="108"/>
    </row>
    <row r="496" spans="1:14" x14ac:dyDescent="0.3">
      <c r="A496" s="77"/>
      <c r="B496" s="106"/>
      <c r="F496" s="124"/>
      <c r="G496" s="125"/>
      <c r="J496" s="125"/>
      <c r="L496" s="107"/>
      <c r="M496" s="183"/>
      <c r="N496" s="108"/>
    </row>
    <row r="497" spans="1:14" x14ac:dyDescent="0.3">
      <c r="A497" s="77"/>
      <c r="B497" s="106"/>
      <c r="F497" s="124"/>
      <c r="G497" s="125"/>
      <c r="J497" s="125"/>
      <c r="L497" s="107"/>
      <c r="M497" s="183"/>
      <c r="N497" s="108"/>
    </row>
    <row r="498" spans="1:14" x14ac:dyDescent="0.3">
      <c r="A498" s="77"/>
      <c r="B498" s="106"/>
      <c r="F498" s="124"/>
      <c r="G498" s="125"/>
      <c r="J498" s="125"/>
      <c r="L498" s="107"/>
      <c r="M498" s="183"/>
      <c r="N498" s="108"/>
    </row>
    <row r="499" spans="1:14" x14ac:dyDescent="0.3">
      <c r="A499" s="77"/>
      <c r="B499" s="106"/>
      <c r="F499" s="124"/>
      <c r="G499" s="125"/>
      <c r="J499" s="125"/>
      <c r="L499" s="107"/>
      <c r="M499" s="183"/>
      <c r="N499" s="108"/>
    </row>
    <row r="500" spans="1:14" x14ac:dyDescent="0.3">
      <c r="A500" s="77"/>
      <c r="B500" s="106"/>
      <c r="F500" s="124"/>
      <c r="G500" s="125"/>
      <c r="J500" s="125"/>
      <c r="L500" s="107"/>
      <c r="M500" s="183"/>
      <c r="N500" s="108"/>
    </row>
    <row r="501" spans="1:14" x14ac:dyDescent="0.3">
      <c r="A501" s="77"/>
      <c r="B501" s="106"/>
      <c r="F501" s="124"/>
      <c r="G501" s="125"/>
      <c r="J501" s="125"/>
      <c r="L501" s="107"/>
      <c r="M501" s="183"/>
      <c r="N501" s="108"/>
    </row>
    <row r="502" spans="1:14" x14ac:dyDescent="0.3">
      <c r="A502" s="77"/>
      <c r="B502" s="106"/>
      <c r="F502" s="124"/>
      <c r="G502" s="125"/>
      <c r="J502" s="125"/>
      <c r="L502" s="107"/>
      <c r="M502" s="183"/>
      <c r="N502" s="108"/>
    </row>
    <row r="503" spans="1:14" x14ac:dyDescent="0.3">
      <c r="A503" s="77"/>
      <c r="B503" s="106"/>
      <c r="F503" s="124"/>
      <c r="G503" s="125"/>
      <c r="J503" s="125"/>
      <c r="L503" s="107"/>
      <c r="M503" s="183"/>
      <c r="N503" s="108"/>
    </row>
    <row r="504" spans="1:14" x14ac:dyDescent="0.3">
      <c r="A504" s="77"/>
      <c r="B504" s="106"/>
      <c r="F504" s="124"/>
      <c r="G504" s="125"/>
      <c r="J504" s="125"/>
      <c r="L504" s="107"/>
      <c r="M504" s="183"/>
      <c r="N504" s="108"/>
    </row>
    <row r="505" spans="1:14" x14ac:dyDescent="0.3">
      <c r="A505" s="77"/>
      <c r="B505" s="106"/>
      <c r="F505" s="124"/>
      <c r="G505" s="125"/>
      <c r="J505" s="125"/>
      <c r="L505" s="107"/>
      <c r="M505" s="183"/>
      <c r="N505" s="108"/>
    </row>
    <row r="506" spans="1:14" x14ac:dyDescent="0.3">
      <c r="A506" s="77"/>
      <c r="B506" s="106"/>
      <c r="F506" s="124"/>
      <c r="G506" s="125"/>
      <c r="J506" s="125"/>
      <c r="L506" s="107"/>
      <c r="M506" s="183"/>
      <c r="N506" s="108"/>
    </row>
    <row r="507" spans="1:14" x14ac:dyDescent="0.3">
      <c r="A507" s="77"/>
      <c r="B507" s="106"/>
      <c r="F507" s="124"/>
      <c r="G507" s="125"/>
      <c r="J507" s="125"/>
      <c r="L507" s="107"/>
      <c r="M507" s="183"/>
      <c r="N507" s="108"/>
    </row>
    <row r="508" spans="1:14" x14ac:dyDescent="0.3">
      <c r="A508" s="77"/>
      <c r="B508" s="106"/>
      <c r="F508" s="124"/>
      <c r="G508" s="125"/>
      <c r="J508" s="125"/>
      <c r="L508" s="107"/>
      <c r="M508" s="183"/>
      <c r="N508" s="108"/>
    </row>
    <row r="509" spans="1:14" x14ac:dyDescent="0.3">
      <c r="A509" s="77"/>
      <c r="B509" s="106"/>
      <c r="F509" s="124"/>
      <c r="G509" s="125"/>
      <c r="J509" s="125"/>
      <c r="L509" s="107"/>
      <c r="M509" s="183"/>
      <c r="N509" s="108"/>
    </row>
    <row r="510" spans="1:14" x14ac:dyDescent="0.3">
      <c r="A510" s="77"/>
      <c r="B510" s="106"/>
      <c r="F510" s="124"/>
      <c r="G510" s="125"/>
      <c r="J510" s="125"/>
      <c r="L510" s="107"/>
      <c r="M510" s="183"/>
      <c r="N510" s="108"/>
    </row>
    <row r="511" spans="1:14" x14ac:dyDescent="0.3">
      <c r="A511" s="77"/>
      <c r="B511" s="106"/>
      <c r="F511" s="124"/>
      <c r="G511" s="125"/>
      <c r="J511" s="125"/>
      <c r="L511" s="107"/>
      <c r="M511" s="183"/>
      <c r="N511" s="108"/>
    </row>
    <row r="512" spans="1:14" x14ac:dyDescent="0.3">
      <c r="A512" s="77"/>
      <c r="B512" s="106"/>
      <c r="F512" s="124"/>
      <c r="G512" s="125"/>
      <c r="J512" s="125"/>
      <c r="L512" s="107"/>
      <c r="M512" s="183"/>
      <c r="N512" s="108"/>
    </row>
    <row r="513" spans="1:14" x14ac:dyDescent="0.3">
      <c r="A513" s="77"/>
      <c r="B513" s="106"/>
      <c r="F513" s="124"/>
      <c r="G513" s="125"/>
      <c r="J513" s="125"/>
      <c r="L513" s="107"/>
      <c r="M513" s="183"/>
      <c r="N513" s="108"/>
    </row>
    <row r="514" spans="1:14" x14ac:dyDescent="0.3">
      <c r="A514" s="77"/>
      <c r="B514" s="106"/>
      <c r="F514" s="124"/>
      <c r="G514" s="125"/>
      <c r="J514" s="125"/>
      <c r="L514" s="107"/>
      <c r="M514" s="183"/>
      <c r="N514" s="108"/>
    </row>
    <row r="515" spans="1:14" x14ac:dyDescent="0.3">
      <c r="A515" s="77"/>
      <c r="B515" s="106"/>
      <c r="F515" s="124"/>
      <c r="G515" s="125"/>
      <c r="J515" s="125"/>
      <c r="L515" s="107"/>
      <c r="M515" s="183"/>
      <c r="N515" s="108"/>
    </row>
    <row r="516" spans="1:14" x14ac:dyDescent="0.3">
      <c r="A516" s="77"/>
      <c r="B516" s="106"/>
      <c r="F516" s="124"/>
      <c r="G516" s="125"/>
      <c r="J516" s="125"/>
      <c r="L516" s="107"/>
      <c r="M516" s="183"/>
      <c r="N516" s="108"/>
    </row>
    <row r="517" spans="1:14" x14ac:dyDescent="0.3">
      <c r="A517" s="77"/>
      <c r="B517" s="106"/>
      <c r="F517" s="124"/>
      <c r="G517" s="125"/>
      <c r="J517" s="125"/>
      <c r="L517" s="107"/>
      <c r="M517" s="183"/>
      <c r="N517" s="108"/>
    </row>
    <row r="518" spans="1:14" x14ac:dyDescent="0.3">
      <c r="A518" s="77"/>
      <c r="B518" s="106"/>
      <c r="F518" s="124"/>
      <c r="G518" s="125"/>
      <c r="J518" s="125"/>
      <c r="L518" s="107"/>
      <c r="M518" s="183"/>
      <c r="N518" s="108"/>
    </row>
    <row r="519" spans="1:14" x14ac:dyDescent="0.3">
      <c r="A519" s="77"/>
      <c r="B519" s="106"/>
      <c r="F519" s="124"/>
      <c r="G519" s="125"/>
      <c r="J519" s="125"/>
      <c r="L519" s="107"/>
      <c r="M519" s="183"/>
      <c r="N519" s="108"/>
    </row>
    <row r="520" spans="1:14" x14ac:dyDescent="0.3">
      <c r="A520" s="77"/>
      <c r="B520" s="106"/>
      <c r="F520" s="124"/>
      <c r="G520" s="125"/>
      <c r="J520" s="125"/>
      <c r="L520" s="107"/>
      <c r="M520" s="183"/>
      <c r="N520" s="108"/>
    </row>
    <row r="521" spans="1:14" x14ac:dyDescent="0.3">
      <c r="A521" s="77"/>
      <c r="B521" s="106"/>
      <c r="F521" s="124"/>
      <c r="G521" s="125"/>
      <c r="J521" s="125"/>
      <c r="L521" s="107"/>
      <c r="M521" s="183"/>
      <c r="N521" s="108"/>
    </row>
    <row r="522" spans="1:14" x14ac:dyDescent="0.3">
      <c r="A522" s="77"/>
      <c r="B522" s="106"/>
      <c r="F522" s="124"/>
      <c r="G522" s="125"/>
      <c r="J522" s="125"/>
      <c r="L522" s="107"/>
      <c r="M522" s="183"/>
      <c r="N522" s="108"/>
    </row>
    <row r="523" spans="1:14" x14ac:dyDescent="0.3">
      <c r="A523" s="77"/>
      <c r="B523" s="106"/>
      <c r="F523" s="124"/>
      <c r="G523" s="125"/>
      <c r="J523" s="125"/>
      <c r="L523" s="107"/>
      <c r="M523" s="183"/>
      <c r="N523" s="108"/>
    </row>
    <row r="524" spans="1:14" x14ac:dyDescent="0.3">
      <c r="A524" s="77"/>
      <c r="B524" s="106"/>
      <c r="F524" s="124"/>
      <c r="G524" s="125"/>
      <c r="J524" s="125"/>
      <c r="L524" s="107"/>
      <c r="M524" s="183"/>
      <c r="N524" s="108"/>
    </row>
    <row r="525" spans="1:14" x14ac:dyDescent="0.3">
      <c r="A525" s="77"/>
      <c r="B525" s="106"/>
      <c r="F525" s="124"/>
      <c r="G525" s="125"/>
      <c r="J525" s="125"/>
      <c r="L525" s="107"/>
      <c r="M525" s="183"/>
      <c r="N525" s="108"/>
    </row>
    <row r="526" spans="1:14" x14ac:dyDescent="0.3">
      <c r="A526" s="77"/>
      <c r="B526" s="106"/>
      <c r="F526" s="124"/>
      <c r="G526" s="125"/>
      <c r="J526" s="125"/>
      <c r="L526" s="107"/>
      <c r="M526" s="183"/>
      <c r="N526" s="108"/>
    </row>
    <row r="527" spans="1:14" x14ac:dyDescent="0.3">
      <c r="A527" s="77"/>
      <c r="B527" s="106"/>
      <c r="F527" s="124"/>
      <c r="G527" s="125"/>
      <c r="J527" s="125"/>
      <c r="L527" s="107"/>
      <c r="M527" s="183"/>
      <c r="N527" s="108"/>
    </row>
    <row r="528" spans="1:14" x14ac:dyDescent="0.3">
      <c r="A528" s="77"/>
      <c r="B528" s="106"/>
      <c r="F528" s="124"/>
      <c r="G528" s="125"/>
      <c r="J528" s="125"/>
      <c r="L528" s="107"/>
      <c r="M528" s="183"/>
      <c r="N528" s="108"/>
    </row>
    <row r="529" spans="1:14" x14ac:dyDescent="0.3">
      <c r="A529" s="77"/>
      <c r="B529" s="106"/>
      <c r="F529" s="124"/>
      <c r="G529" s="125"/>
      <c r="J529" s="125"/>
      <c r="L529" s="107"/>
      <c r="M529" s="183"/>
      <c r="N529" s="108"/>
    </row>
    <row r="530" spans="1:14" x14ac:dyDescent="0.3">
      <c r="A530" s="77"/>
      <c r="B530" s="106"/>
      <c r="F530" s="124"/>
      <c r="G530" s="125"/>
      <c r="J530" s="125"/>
      <c r="L530" s="107"/>
      <c r="M530" s="183"/>
      <c r="N530" s="108"/>
    </row>
    <row r="531" spans="1:14" x14ac:dyDescent="0.3">
      <c r="A531" s="77"/>
      <c r="B531" s="106"/>
      <c r="F531" s="124"/>
      <c r="G531" s="125"/>
      <c r="J531" s="125"/>
      <c r="L531" s="107"/>
      <c r="M531" s="183"/>
      <c r="N531" s="108"/>
    </row>
    <row r="532" spans="1:14" x14ac:dyDescent="0.3">
      <c r="A532" s="77"/>
      <c r="B532" s="106"/>
      <c r="F532" s="124"/>
      <c r="G532" s="125"/>
      <c r="J532" s="125"/>
      <c r="L532" s="107"/>
      <c r="M532" s="183"/>
      <c r="N532" s="108"/>
    </row>
    <row r="533" spans="1:14" x14ac:dyDescent="0.3">
      <c r="A533" s="77"/>
      <c r="B533" s="106"/>
      <c r="F533" s="124"/>
      <c r="G533" s="125"/>
      <c r="J533" s="125"/>
      <c r="L533" s="107"/>
      <c r="M533" s="183"/>
      <c r="N533" s="108"/>
    </row>
    <row r="534" spans="1:14" x14ac:dyDescent="0.3">
      <c r="A534" s="77"/>
      <c r="B534" s="106"/>
      <c r="F534" s="124"/>
      <c r="G534" s="125"/>
      <c r="J534" s="125"/>
      <c r="L534" s="107"/>
      <c r="M534" s="183"/>
      <c r="N534" s="108"/>
    </row>
    <row r="535" spans="1:14" x14ac:dyDescent="0.3">
      <c r="A535" s="77"/>
      <c r="B535" s="106"/>
      <c r="F535" s="124"/>
      <c r="G535" s="125"/>
      <c r="J535" s="125"/>
      <c r="L535" s="107"/>
      <c r="M535" s="183"/>
      <c r="N535" s="108"/>
    </row>
    <row r="536" spans="1:14" x14ac:dyDescent="0.3">
      <c r="A536" s="77"/>
      <c r="B536" s="106"/>
      <c r="F536" s="124"/>
      <c r="G536" s="125"/>
      <c r="J536" s="125"/>
      <c r="L536" s="107"/>
      <c r="M536" s="183"/>
      <c r="N536" s="108"/>
    </row>
    <row r="537" spans="1:14" x14ac:dyDescent="0.3">
      <c r="A537" s="77"/>
      <c r="B537" s="106"/>
      <c r="F537" s="124"/>
      <c r="G537" s="125"/>
      <c r="J537" s="125"/>
      <c r="L537" s="107"/>
      <c r="M537" s="183"/>
      <c r="N537" s="108"/>
    </row>
    <row r="538" spans="1:14" x14ac:dyDescent="0.3">
      <c r="A538" s="77"/>
      <c r="B538" s="106"/>
      <c r="F538" s="124"/>
      <c r="G538" s="125"/>
      <c r="J538" s="125"/>
      <c r="L538" s="107"/>
      <c r="M538" s="183"/>
      <c r="N538" s="108"/>
    </row>
    <row r="539" spans="1:14" x14ac:dyDescent="0.3">
      <c r="A539" s="77"/>
      <c r="B539" s="106"/>
      <c r="F539" s="124"/>
      <c r="G539" s="125"/>
      <c r="J539" s="125"/>
      <c r="L539" s="107"/>
      <c r="M539" s="183"/>
      <c r="N539" s="108"/>
    </row>
    <row r="540" spans="1:14" x14ac:dyDescent="0.3">
      <c r="A540" s="77"/>
      <c r="B540" s="106"/>
      <c r="F540" s="124"/>
      <c r="G540" s="125"/>
      <c r="J540" s="125"/>
      <c r="L540" s="107"/>
      <c r="M540" s="183"/>
      <c r="N540" s="108"/>
    </row>
    <row r="541" spans="1:14" x14ac:dyDescent="0.3">
      <c r="A541" s="77"/>
      <c r="B541" s="106"/>
      <c r="F541" s="124"/>
      <c r="G541" s="125"/>
      <c r="J541" s="125"/>
      <c r="L541" s="107"/>
      <c r="M541" s="183"/>
      <c r="N541" s="108"/>
    </row>
    <row r="542" spans="1:14" x14ac:dyDescent="0.3">
      <c r="A542" s="77"/>
      <c r="B542" s="106"/>
      <c r="F542" s="124"/>
      <c r="G542" s="125"/>
      <c r="J542" s="125"/>
      <c r="L542" s="107"/>
      <c r="M542" s="183"/>
      <c r="N542" s="108"/>
    </row>
    <row r="543" spans="1:14" x14ac:dyDescent="0.3">
      <c r="A543" s="77"/>
      <c r="B543" s="106"/>
      <c r="F543" s="124"/>
      <c r="G543" s="125"/>
      <c r="J543" s="125"/>
      <c r="L543" s="107"/>
      <c r="M543" s="183"/>
      <c r="N543" s="108"/>
    </row>
    <row r="544" spans="1:14" x14ac:dyDescent="0.3">
      <c r="A544" s="77"/>
      <c r="B544" s="106"/>
      <c r="F544" s="124"/>
      <c r="G544" s="125"/>
      <c r="J544" s="125"/>
      <c r="L544" s="107"/>
      <c r="M544" s="183"/>
      <c r="N544" s="108"/>
    </row>
    <row r="545" spans="1:14" x14ac:dyDescent="0.3">
      <c r="A545" s="77"/>
      <c r="B545" s="106"/>
      <c r="F545" s="124"/>
      <c r="G545" s="125"/>
      <c r="J545" s="125"/>
      <c r="L545" s="107"/>
      <c r="M545" s="183"/>
      <c r="N545" s="108"/>
    </row>
    <row r="546" spans="1:14" x14ac:dyDescent="0.3">
      <c r="A546" s="77"/>
      <c r="B546" s="106"/>
      <c r="F546" s="124"/>
      <c r="G546" s="125"/>
      <c r="J546" s="125"/>
      <c r="L546" s="107"/>
      <c r="M546" s="183"/>
      <c r="N546" s="108"/>
    </row>
    <row r="547" spans="1:14" x14ac:dyDescent="0.3">
      <c r="A547" s="77"/>
      <c r="B547" s="106"/>
      <c r="F547" s="124"/>
      <c r="G547" s="125"/>
      <c r="J547" s="125"/>
      <c r="L547" s="107"/>
      <c r="M547" s="183"/>
      <c r="N547" s="108"/>
    </row>
    <row r="548" spans="1:14" x14ac:dyDescent="0.3">
      <c r="A548" s="77"/>
      <c r="B548" s="106"/>
      <c r="F548" s="124"/>
      <c r="G548" s="125"/>
      <c r="J548" s="125"/>
      <c r="L548" s="107"/>
      <c r="M548" s="183"/>
      <c r="N548" s="108"/>
    </row>
    <row r="549" spans="1:14" x14ac:dyDescent="0.3">
      <c r="A549" s="77"/>
      <c r="B549" s="106"/>
      <c r="F549" s="124"/>
      <c r="G549" s="125"/>
      <c r="J549" s="125"/>
      <c r="L549" s="107"/>
      <c r="M549" s="183"/>
      <c r="N549" s="108"/>
    </row>
    <row r="550" spans="1:14" x14ac:dyDescent="0.3">
      <c r="A550" s="77"/>
      <c r="B550" s="106"/>
      <c r="F550" s="124"/>
      <c r="G550" s="125"/>
      <c r="J550" s="125"/>
      <c r="L550" s="107"/>
      <c r="M550" s="183"/>
      <c r="N550" s="108"/>
    </row>
    <row r="551" spans="1:14" x14ac:dyDescent="0.3">
      <c r="A551" s="77"/>
      <c r="B551" s="106"/>
      <c r="F551" s="124"/>
      <c r="G551" s="125"/>
      <c r="J551" s="125"/>
      <c r="L551" s="107"/>
      <c r="M551" s="183"/>
      <c r="N551" s="108"/>
    </row>
    <row r="552" spans="1:14" x14ac:dyDescent="0.3">
      <c r="A552" s="77"/>
      <c r="B552" s="106"/>
      <c r="F552" s="124"/>
      <c r="G552" s="125"/>
      <c r="J552" s="125"/>
      <c r="L552" s="107"/>
      <c r="M552" s="183"/>
      <c r="N552" s="108"/>
    </row>
    <row r="553" spans="1:14" x14ac:dyDescent="0.3">
      <c r="A553" s="77"/>
      <c r="B553" s="106"/>
      <c r="F553" s="124"/>
      <c r="G553" s="125"/>
      <c r="J553" s="125"/>
      <c r="L553" s="107"/>
      <c r="M553" s="183"/>
      <c r="N553" s="108"/>
    </row>
    <row r="554" spans="1:14" x14ac:dyDescent="0.3">
      <c r="A554" s="77"/>
      <c r="B554" s="106"/>
      <c r="F554" s="124"/>
      <c r="G554" s="125"/>
      <c r="J554" s="125"/>
      <c r="L554" s="107"/>
      <c r="M554" s="183"/>
      <c r="N554" s="108"/>
    </row>
    <row r="555" spans="1:14" x14ac:dyDescent="0.3">
      <c r="A555" s="77"/>
      <c r="B555" s="106"/>
      <c r="F555" s="124"/>
      <c r="G555" s="125"/>
      <c r="J555" s="125"/>
      <c r="L555" s="107"/>
      <c r="M555" s="183"/>
      <c r="N555" s="108"/>
    </row>
    <row r="556" spans="1:14" x14ac:dyDescent="0.3">
      <c r="A556" s="77"/>
      <c r="B556" s="106"/>
      <c r="F556" s="124"/>
      <c r="G556" s="125"/>
      <c r="J556" s="125"/>
      <c r="L556" s="107"/>
      <c r="M556" s="183"/>
      <c r="N556" s="108"/>
    </row>
    <row r="557" spans="1:14" x14ac:dyDescent="0.3">
      <c r="A557" s="77"/>
      <c r="B557" s="106"/>
      <c r="F557" s="124"/>
      <c r="G557" s="125"/>
      <c r="J557" s="125"/>
      <c r="L557" s="107"/>
      <c r="M557" s="183"/>
      <c r="N557" s="108"/>
    </row>
    <row r="558" spans="1:14" x14ac:dyDescent="0.3">
      <c r="A558" s="77"/>
      <c r="B558" s="106"/>
      <c r="F558" s="124"/>
      <c r="G558" s="125"/>
      <c r="J558" s="125"/>
      <c r="L558" s="107"/>
      <c r="M558" s="183"/>
      <c r="N558" s="108"/>
    </row>
    <row r="559" spans="1:14" x14ac:dyDescent="0.3">
      <c r="A559" s="77"/>
      <c r="B559" s="106"/>
      <c r="F559" s="124"/>
      <c r="G559" s="125"/>
      <c r="J559" s="125"/>
      <c r="L559" s="107"/>
      <c r="M559" s="183"/>
      <c r="N559" s="108"/>
    </row>
    <row r="560" spans="1:14" x14ac:dyDescent="0.3">
      <c r="A560" s="77"/>
      <c r="B560" s="106"/>
      <c r="F560" s="124"/>
      <c r="G560" s="125"/>
      <c r="J560" s="125"/>
      <c r="L560" s="107"/>
      <c r="M560" s="183"/>
      <c r="N560" s="108"/>
    </row>
    <row r="561" spans="1:14" x14ac:dyDescent="0.3">
      <c r="A561" s="77"/>
      <c r="B561" s="106"/>
      <c r="F561" s="124"/>
      <c r="G561" s="125"/>
      <c r="J561" s="125"/>
      <c r="L561" s="107"/>
      <c r="M561" s="183"/>
      <c r="N561" s="108"/>
    </row>
    <row r="562" spans="1:14" x14ac:dyDescent="0.3">
      <c r="A562" s="77"/>
      <c r="B562" s="106"/>
      <c r="F562" s="124"/>
      <c r="G562" s="125"/>
      <c r="J562" s="125"/>
      <c r="L562" s="107"/>
      <c r="M562" s="183"/>
      <c r="N562" s="108"/>
    </row>
    <row r="563" spans="1:14" x14ac:dyDescent="0.3">
      <c r="A563" s="77"/>
      <c r="B563" s="106"/>
      <c r="F563" s="124"/>
      <c r="G563" s="125"/>
      <c r="J563" s="125"/>
      <c r="L563" s="107"/>
      <c r="M563" s="183"/>
      <c r="N563" s="108"/>
    </row>
    <row r="564" spans="1:14" x14ac:dyDescent="0.3">
      <c r="A564" s="77"/>
      <c r="B564" s="106"/>
      <c r="F564" s="124"/>
      <c r="G564" s="125"/>
      <c r="J564" s="125"/>
      <c r="L564" s="107"/>
      <c r="M564" s="183"/>
      <c r="N564" s="108"/>
    </row>
    <row r="565" spans="1:14" x14ac:dyDescent="0.3">
      <c r="A565" s="77"/>
      <c r="B565" s="106"/>
      <c r="F565" s="124"/>
      <c r="G565" s="125"/>
      <c r="J565" s="125"/>
      <c r="L565" s="107"/>
      <c r="M565" s="183"/>
      <c r="N565" s="108"/>
    </row>
    <row r="566" spans="1:14" x14ac:dyDescent="0.3">
      <c r="A566" s="77"/>
      <c r="B566" s="106"/>
      <c r="F566" s="124"/>
      <c r="G566" s="125"/>
      <c r="J566" s="125"/>
      <c r="L566" s="107"/>
      <c r="M566" s="183"/>
      <c r="N566" s="108"/>
    </row>
    <row r="567" spans="1:14" x14ac:dyDescent="0.3">
      <c r="A567" s="77"/>
      <c r="B567" s="106"/>
      <c r="F567" s="124"/>
      <c r="G567" s="125"/>
      <c r="J567" s="125"/>
      <c r="L567" s="107"/>
      <c r="M567" s="183"/>
      <c r="N567" s="108"/>
    </row>
    <row r="568" spans="1:14" x14ac:dyDescent="0.3">
      <c r="A568" s="77"/>
      <c r="B568" s="106"/>
      <c r="F568" s="124"/>
      <c r="G568" s="125"/>
      <c r="J568" s="125"/>
      <c r="L568" s="107"/>
      <c r="M568" s="183"/>
      <c r="N568" s="108"/>
    </row>
    <row r="569" spans="1:14" x14ac:dyDescent="0.3">
      <c r="A569" s="77"/>
      <c r="B569" s="106"/>
      <c r="F569" s="124"/>
      <c r="G569" s="125"/>
      <c r="J569" s="125"/>
      <c r="L569" s="107"/>
      <c r="M569" s="183"/>
      <c r="N569" s="108"/>
    </row>
    <row r="570" spans="1:14" x14ac:dyDescent="0.3">
      <c r="A570" s="77"/>
      <c r="B570" s="106"/>
      <c r="F570" s="124"/>
      <c r="G570" s="125"/>
      <c r="J570" s="125"/>
      <c r="L570" s="107"/>
      <c r="M570" s="183"/>
      <c r="N570" s="108"/>
    </row>
    <row r="571" spans="1:14" x14ac:dyDescent="0.3">
      <c r="A571" s="77"/>
      <c r="B571" s="106"/>
      <c r="F571" s="124"/>
      <c r="G571" s="125"/>
      <c r="J571" s="125"/>
      <c r="L571" s="107"/>
      <c r="M571" s="183"/>
      <c r="N571" s="108"/>
    </row>
    <row r="572" spans="1:14" x14ac:dyDescent="0.3">
      <c r="A572" s="77"/>
      <c r="B572" s="106"/>
      <c r="F572" s="124"/>
      <c r="G572" s="125"/>
      <c r="J572" s="125"/>
      <c r="L572" s="107"/>
      <c r="M572" s="183"/>
      <c r="N572" s="108"/>
    </row>
    <row r="573" spans="1:14" x14ac:dyDescent="0.3">
      <c r="A573" s="77"/>
      <c r="B573" s="106"/>
      <c r="F573" s="124"/>
      <c r="G573" s="125"/>
      <c r="J573" s="125"/>
      <c r="L573" s="107"/>
      <c r="M573" s="183"/>
      <c r="N573" s="108"/>
    </row>
    <row r="574" spans="1:14" x14ac:dyDescent="0.3">
      <c r="A574" s="77"/>
      <c r="B574" s="106"/>
      <c r="F574" s="124"/>
      <c r="G574" s="125"/>
      <c r="J574" s="125"/>
      <c r="L574" s="107"/>
      <c r="M574" s="183"/>
      <c r="N574" s="108"/>
    </row>
    <row r="575" spans="1:14" x14ac:dyDescent="0.3">
      <c r="A575" s="77"/>
      <c r="B575" s="106"/>
      <c r="F575" s="124"/>
      <c r="G575" s="125"/>
      <c r="J575" s="125"/>
      <c r="L575" s="107"/>
      <c r="M575" s="183"/>
      <c r="N575" s="108"/>
    </row>
    <row r="576" spans="1:14" x14ac:dyDescent="0.3">
      <c r="A576" s="77"/>
      <c r="B576" s="106"/>
      <c r="F576" s="124"/>
      <c r="G576" s="125"/>
      <c r="J576" s="125"/>
      <c r="L576" s="107"/>
      <c r="M576" s="183"/>
      <c r="N576" s="108"/>
    </row>
    <row r="577" spans="1:14" x14ac:dyDescent="0.3">
      <c r="A577" s="77"/>
      <c r="B577" s="106"/>
      <c r="F577" s="124"/>
      <c r="G577" s="125"/>
      <c r="J577" s="125"/>
      <c r="L577" s="107"/>
      <c r="M577" s="183"/>
      <c r="N577" s="108"/>
    </row>
    <row r="578" spans="1:14" x14ac:dyDescent="0.3">
      <c r="A578" s="77"/>
      <c r="B578" s="106"/>
      <c r="F578" s="124"/>
      <c r="G578" s="125"/>
      <c r="J578" s="125"/>
      <c r="L578" s="107"/>
      <c r="M578" s="183"/>
      <c r="N578" s="108"/>
    </row>
    <row r="579" spans="1:14" x14ac:dyDescent="0.3">
      <c r="A579" s="77"/>
      <c r="B579" s="106"/>
      <c r="F579" s="124"/>
      <c r="G579" s="125"/>
      <c r="J579" s="125"/>
      <c r="L579" s="107"/>
      <c r="M579" s="183"/>
      <c r="N579" s="108"/>
    </row>
    <row r="580" spans="1:14" x14ac:dyDescent="0.3">
      <c r="A580" s="77"/>
      <c r="B580" s="106"/>
      <c r="F580" s="124"/>
      <c r="G580" s="125"/>
      <c r="J580" s="125"/>
      <c r="L580" s="107"/>
      <c r="M580" s="183"/>
      <c r="N580" s="108"/>
    </row>
    <row r="581" spans="1:14" x14ac:dyDescent="0.3">
      <c r="A581" s="77"/>
      <c r="B581" s="106"/>
      <c r="F581" s="124"/>
      <c r="G581" s="125"/>
      <c r="J581" s="125"/>
      <c r="L581" s="107"/>
      <c r="M581" s="183"/>
      <c r="N581" s="108"/>
    </row>
    <row r="582" spans="1:14" x14ac:dyDescent="0.3">
      <c r="A582" s="77"/>
      <c r="B582" s="106"/>
      <c r="F582" s="124"/>
      <c r="G582" s="125"/>
      <c r="J582" s="125"/>
      <c r="L582" s="107"/>
      <c r="M582" s="183"/>
      <c r="N582" s="108"/>
    </row>
    <row r="583" spans="1:14" x14ac:dyDescent="0.3">
      <c r="A583" s="77"/>
      <c r="B583" s="106"/>
      <c r="F583" s="124"/>
      <c r="G583" s="125"/>
      <c r="J583" s="125"/>
      <c r="L583" s="107"/>
      <c r="M583" s="183"/>
      <c r="N583" s="108"/>
    </row>
    <row r="584" spans="1:14" x14ac:dyDescent="0.3">
      <c r="A584" s="77"/>
      <c r="B584" s="106"/>
      <c r="F584" s="124"/>
      <c r="G584" s="125"/>
      <c r="J584" s="125"/>
      <c r="L584" s="107"/>
      <c r="M584" s="183"/>
      <c r="N584" s="108"/>
    </row>
    <row r="585" spans="1:14" x14ac:dyDescent="0.3">
      <c r="A585" s="77"/>
      <c r="B585" s="106"/>
      <c r="F585" s="124"/>
      <c r="G585" s="125"/>
      <c r="J585" s="125"/>
      <c r="L585" s="107"/>
      <c r="M585" s="183"/>
      <c r="N585" s="108"/>
    </row>
    <row r="586" spans="1:14" x14ac:dyDescent="0.3">
      <c r="A586" s="77"/>
      <c r="B586" s="106"/>
      <c r="F586" s="124"/>
      <c r="G586" s="125"/>
      <c r="J586" s="125"/>
      <c r="L586" s="107"/>
      <c r="M586" s="183"/>
      <c r="N586" s="108"/>
    </row>
    <row r="587" spans="1:14" x14ac:dyDescent="0.3">
      <c r="A587" s="77"/>
      <c r="B587" s="106"/>
      <c r="F587" s="124"/>
      <c r="G587" s="125"/>
      <c r="J587" s="125"/>
      <c r="L587" s="107"/>
      <c r="M587" s="183"/>
      <c r="N587" s="108"/>
    </row>
    <row r="588" spans="1:14" x14ac:dyDescent="0.3">
      <c r="A588" s="77"/>
      <c r="B588" s="106"/>
      <c r="F588" s="124"/>
      <c r="G588" s="125"/>
      <c r="J588" s="125"/>
      <c r="L588" s="107"/>
      <c r="M588" s="183"/>
      <c r="N588" s="108"/>
    </row>
    <row r="589" spans="1:14" x14ac:dyDescent="0.3">
      <c r="A589" s="77"/>
      <c r="B589" s="106"/>
      <c r="F589" s="124"/>
      <c r="G589" s="125"/>
      <c r="J589" s="125"/>
      <c r="L589" s="107"/>
      <c r="M589" s="183"/>
      <c r="N589" s="108"/>
    </row>
    <row r="590" spans="1:14" x14ac:dyDescent="0.3">
      <c r="A590" s="77"/>
      <c r="B590" s="106"/>
      <c r="F590" s="124"/>
      <c r="G590" s="125"/>
      <c r="J590" s="125"/>
      <c r="L590" s="107"/>
      <c r="M590" s="183"/>
      <c r="N590" s="108"/>
    </row>
    <row r="591" spans="1:14" x14ac:dyDescent="0.3">
      <c r="A591" s="77"/>
      <c r="B591" s="106"/>
      <c r="F591" s="124"/>
      <c r="G591" s="125"/>
      <c r="J591" s="125"/>
      <c r="L591" s="107"/>
      <c r="M591" s="183"/>
      <c r="N591" s="108"/>
    </row>
    <row r="592" spans="1:14" x14ac:dyDescent="0.3">
      <c r="A592" s="77"/>
      <c r="B592" s="106"/>
      <c r="F592" s="124"/>
      <c r="G592" s="125"/>
      <c r="J592" s="125"/>
      <c r="L592" s="107"/>
      <c r="M592" s="183"/>
      <c r="N592" s="108"/>
    </row>
    <row r="593" spans="1:14" x14ac:dyDescent="0.3">
      <c r="A593" s="77"/>
      <c r="B593" s="106"/>
      <c r="F593" s="124"/>
      <c r="G593" s="125"/>
      <c r="J593" s="125"/>
      <c r="L593" s="107"/>
      <c r="M593" s="183"/>
      <c r="N593" s="108"/>
    </row>
    <row r="594" spans="1:14" x14ac:dyDescent="0.3">
      <c r="A594" s="77"/>
      <c r="B594" s="106"/>
      <c r="F594" s="124"/>
      <c r="G594" s="125"/>
      <c r="J594" s="125"/>
      <c r="L594" s="107"/>
      <c r="M594" s="183"/>
      <c r="N594" s="108"/>
    </row>
    <row r="595" spans="1:14" x14ac:dyDescent="0.3">
      <c r="A595" s="77"/>
      <c r="B595" s="106"/>
      <c r="F595" s="124"/>
      <c r="G595" s="125"/>
      <c r="J595" s="125"/>
      <c r="L595" s="107"/>
      <c r="M595" s="183"/>
      <c r="N595" s="108"/>
    </row>
    <row r="596" spans="1:14" x14ac:dyDescent="0.3">
      <c r="A596" s="77"/>
      <c r="B596" s="106"/>
      <c r="F596" s="124"/>
      <c r="G596" s="125"/>
      <c r="J596" s="125"/>
      <c r="L596" s="107"/>
      <c r="M596" s="183"/>
      <c r="N596" s="108"/>
    </row>
    <row r="597" spans="1:14" x14ac:dyDescent="0.3">
      <c r="A597" s="77"/>
      <c r="B597" s="106"/>
      <c r="F597" s="124"/>
      <c r="G597" s="125"/>
      <c r="J597" s="125"/>
      <c r="L597" s="107"/>
      <c r="M597" s="183"/>
      <c r="N597" s="108"/>
    </row>
    <row r="598" spans="1:14" x14ac:dyDescent="0.3">
      <c r="A598" s="77"/>
      <c r="B598" s="106"/>
      <c r="F598" s="124"/>
      <c r="G598" s="125"/>
      <c r="J598" s="125"/>
      <c r="L598" s="107"/>
      <c r="M598" s="183"/>
      <c r="N598" s="108"/>
    </row>
    <row r="599" spans="1:14" x14ac:dyDescent="0.3">
      <c r="A599" s="77"/>
      <c r="B599" s="106"/>
      <c r="F599" s="124"/>
      <c r="G599" s="125"/>
      <c r="J599" s="125"/>
      <c r="L599" s="107"/>
      <c r="M599" s="183"/>
      <c r="N599" s="108"/>
    </row>
    <row r="600" spans="1:14" x14ac:dyDescent="0.3">
      <c r="A600" s="77"/>
      <c r="B600" s="106"/>
      <c r="F600" s="124"/>
      <c r="G600" s="125"/>
      <c r="J600" s="125"/>
      <c r="L600" s="107"/>
      <c r="M600" s="183"/>
      <c r="N600" s="108"/>
    </row>
    <row r="601" spans="1:14" x14ac:dyDescent="0.3">
      <c r="A601" s="77"/>
      <c r="B601" s="106"/>
      <c r="F601" s="124"/>
      <c r="G601" s="125"/>
      <c r="J601" s="125"/>
      <c r="L601" s="107"/>
      <c r="M601" s="183"/>
      <c r="N601" s="108"/>
    </row>
    <row r="602" spans="1:14" x14ac:dyDescent="0.3">
      <c r="A602" s="77"/>
      <c r="B602" s="106"/>
      <c r="F602" s="124"/>
      <c r="G602" s="125"/>
      <c r="J602" s="125"/>
      <c r="L602" s="107"/>
      <c r="M602" s="183"/>
      <c r="N602" s="108"/>
    </row>
    <row r="603" spans="1:14" x14ac:dyDescent="0.3">
      <c r="A603" s="77"/>
      <c r="B603" s="106"/>
      <c r="F603" s="124"/>
      <c r="G603" s="125"/>
      <c r="J603" s="125"/>
      <c r="L603" s="107"/>
      <c r="M603" s="183"/>
      <c r="N603" s="108"/>
    </row>
    <row r="604" spans="1:14" x14ac:dyDescent="0.3">
      <c r="A604" s="77"/>
      <c r="B604" s="106"/>
      <c r="F604" s="124"/>
      <c r="G604" s="125"/>
      <c r="J604" s="125"/>
      <c r="L604" s="107"/>
      <c r="M604" s="183"/>
      <c r="N604" s="108"/>
    </row>
    <row r="605" spans="1:14" x14ac:dyDescent="0.3">
      <c r="A605" s="77"/>
      <c r="B605" s="106"/>
      <c r="F605" s="124"/>
      <c r="G605" s="125"/>
      <c r="J605" s="125"/>
      <c r="L605" s="107"/>
      <c r="M605" s="183"/>
      <c r="N605" s="108"/>
    </row>
    <row r="606" spans="1:14" x14ac:dyDescent="0.3">
      <c r="A606" s="77"/>
      <c r="B606" s="106"/>
      <c r="F606" s="124"/>
      <c r="G606" s="125"/>
      <c r="J606" s="125"/>
      <c r="L606" s="107"/>
      <c r="M606" s="183"/>
      <c r="N606" s="108"/>
    </row>
    <row r="607" spans="1:14" x14ac:dyDescent="0.3">
      <c r="A607" s="77"/>
      <c r="B607" s="106"/>
      <c r="F607" s="124"/>
      <c r="G607" s="125"/>
      <c r="J607" s="125"/>
      <c r="L607" s="107"/>
      <c r="M607" s="183"/>
      <c r="N607" s="108"/>
    </row>
    <row r="608" spans="1:14" x14ac:dyDescent="0.3">
      <c r="A608" s="77"/>
      <c r="B608" s="106"/>
      <c r="F608" s="124"/>
      <c r="G608" s="125"/>
      <c r="J608" s="125"/>
      <c r="L608" s="107"/>
      <c r="M608" s="183"/>
      <c r="N608" s="108"/>
    </row>
    <row r="609" spans="1:14" x14ac:dyDescent="0.3">
      <c r="A609" s="77"/>
      <c r="B609" s="106"/>
      <c r="F609" s="124"/>
      <c r="G609" s="125"/>
      <c r="J609" s="125"/>
      <c r="L609" s="107"/>
      <c r="M609" s="183"/>
      <c r="N609" s="108"/>
    </row>
    <row r="610" spans="1:14" x14ac:dyDescent="0.3">
      <c r="A610" s="77"/>
      <c r="B610" s="106"/>
      <c r="F610" s="124"/>
      <c r="G610" s="125"/>
      <c r="J610" s="125"/>
      <c r="L610" s="107"/>
      <c r="M610" s="183"/>
      <c r="N610" s="108"/>
    </row>
    <row r="611" spans="1:14" x14ac:dyDescent="0.3">
      <c r="A611" s="77"/>
      <c r="B611" s="106"/>
      <c r="F611" s="124"/>
      <c r="G611" s="125"/>
      <c r="J611" s="125"/>
      <c r="L611" s="107"/>
      <c r="M611" s="183"/>
      <c r="N611" s="108"/>
    </row>
    <row r="612" spans="1:14" x14ac:dyDescent="0.3">
      <c r="A612" s="77"/>
      <c r="B612" s="106"/>
      <c r="F612" s="124"/>
      <c r="G612" s="125"/>
      <c r="J612" s="125"/>
      <c r="L612" s="107"/>
      <c r="M612" s="183"/>
      <c r="N612" s="108"/>
    </row>
    <row r="613" spans="1:14" x14ac:dyDescent="0.3">
      <c r="A613" s="77"/>
      <c r="B613" s="106"/>
      <c r="F613" s="124"/>
      <c r="G613" s="125"/>
      <c r="J613" s="125"/>
      <c r="L613" s="107"/>
      <c r="M613" s="183"/>
      <c r="N613" s="108"/>
    </row>
    <row r="614" spans="1:14" x14ac:dyDescent="0.3">
      <c r="A614" s="77"/>
      <c r="B614" s="106"/>
      <c r="F614" s="124"/>
      <c r="G614" s="125"/>
      <c r="J614" s="125"/>
      <c r="L614" s="107"/>
      <c r="M614" s="183"/>
      <c r="N614" s="108"/>
    </row>
    <row r="615" spans="1:14" x14ac:dyDescent="0.3">
      <c r="A615" s="77"/>
      <c r="B615" s="106"/>
      <c r="F615" s="124"/>
      <c r="G615" s="125"/>
      <c r="J615" s="125"/>
      <c r="L615" s="107"/>
      <c r="M615" s="183"/>
      <c r="N615" s="108"/>
    </row>
    <row r="616" spans="1:14" x14ac:dyDescent="0.3">
      <c r="A616" s="77"/>
      <c r="B616" s="106"/>
      <c r="F616" s="124"/>
      <c r="G616" s="125"/>
      <c r="J616" s="125"/>
      <c r="L616" s="107"/>
      <c r="M616" s="183"/>
      <c r="N616" s="108"/>
    </row>
    <row r="617" spans="1:14" x14ac:dyDescent="0.3">
      <c r="A617" s="77"/>
      <c r="B617" s="106"/>
      <c r="F617" s="124"/>
      <c r="G617" s="125"/>
      <c r="J617" s="125"/>
      <c r="L617" s="107"/>
      <c r="M617" s="183"/>
      <c r="N617" s="108"/>
    </row>
    <row r="618" spans="1:14" x14ac:dyDescent="0.3">
      <c r="A618" s="77"/>
      <c r="B618" s="106"/>
      <c r="F618" s="124"/>
      <c r="G618" s="125"/>
      <c r="J618" s="125"/>
      <c r="L618" s="107"/>
      <c r="M618" s="183"/>
      <c r="N618" s="108"/>
    </row>
    <row r="619" spans="1:14" x14ac:dyDescent="0.3">
      <c r="A619" s="77"/>
      <c r="B619" s="106"/>
      <c r="F619" s="124"/>
      <c r="G619" s="125"/>
      <c r="J619" s="125"/>
      <c r="L619" s="107"/>
      <c r="M619" s="183"/>
      <c r="N619" s="108"/>
    </row>
    <row r="620" spans="1:14" x14ac:dyDescent="0.3">
      <c r="A620" s="77"/>
      <c r="B620" s="106"/>
      <c r="F620" s="124"/>
      <c r="G620" s="125"/>
      <c r="J620" s="125"/>
      <c r="L620" s="107"/>
      <c r="M620" s="183"/>
      <c r="N620" s="108"/>
    </row>
    <row r="621" spans="1:14" x14ac:dyDescent="0.3">
      <c r="A621" s="77"/>
      <c r="B621" s="106"/>
      <c r="F621" s="124"/>
      <c r="G621" s="125"/>
      <c r="J621" s="125"/>
      <c r="L621" s="107"/>
      <c r="M621" s="183"/>
      <c r="N621" s="108"/>
    </row>
    <row r="622" spans="1:14" x14ac:dyDescent="0.3">
      <c r="A622" s="77"/>
      <c r="B622" s="106"/>
      <c r="F622" s="124"/>
      <c r="G622" s="125"/>
      <c r="J622" s="125"/>
      <c r="L622" s="107"/>
      <c r="M622" s="183"/>
      <c r="N622" s="108"/>
    </row>
    <row r="623" spans="1:14" x14ac:dyDescent="0.3">
      <c r="A623" s="77"/>
      <c r="B623" s="106"/>
      <c r="F623" s="124"/>
      <c r="G623" s="125"/>
      <c r="J623" s="125"/>
      <c r="L623" s="107"/>
      <c r="M623" s="183"/>
      <c r="N623" s="108"/>
    </row>
    <row r="624" spans="1:14" x14ac:dyDescent="0.3">
      <c r="A624" s="77"/>
      <c r="B624" s="106"/>
      <c r="F624" s="124"/>
      <c r="G624" s="125"/>
      <c r="J624" s="125"/>
      <c r="L624" s="107"/>
      <c r="M624" s="183"/>
      <c r="N624" s="108"/>
    </row>
    <row r="625" spans="1:14" x14ac:dyDescent="0.3">
      <c r="A625" s="77"/>
      <c r="B625" s="106"/>
      <c r="F625" s="124"/>
      <c r="G625" s="125"/>
      <c r="J625" s="125"/>
      <c r="L625" s="107"/>
      <c r="M625" s="183"/>
      <c r="N625" s="108"/>
    </row>
    <row r="626" spans="1:14" x14ac:dyDescent="0.3">
      <c r="A626" s="77"/>
      <c r="B626" s="106"/>
      <c r="F626" s="124"/>
      <c r="G626" s="125"/>
      <c r="J626" s="125"/>
      <c r="L626" s="107"/>
      <c r="M626" s="183"/>
      <c r="N626" s="108"/>
    </row>
    <row r="627" spans="1:14" x14ac:dyDescent="0.3">
      <c r="A627" s="77"/>
      <c r="B627" s="106"/>
      <c r="F627" s="124"/>
      <c r="G627" s="125"/>
      <c r="J627" s="125"/>
      <c r="L627" s="107"/>
      <c r="M627" s="183"/>
      <c r="N627" s="108"/>
    </row>
    <row r="628" spans="1:14" x14ac:dyDescent="0.3">
      <c r="A628" s="77"/>
      <c r="B628" s="106"/>
      <c r="F628" s="124"/>
      <c r="G628" s="125"/>
      <c r="J628" s="125"/>
      <c r="L628" s="107"/>
      <c r="M628" s="183"/>
      <c r="N628" s="108"/>
    </row>
    <row r="629" spans="1:14" x14ac:dyDescent="0.3">
      <c r="A629" s="77"/>
      <c r="B629" s="106"/>
      <c r="F629" s="124"/>
      <c r="G629" s="125"/>
      <c r="J629" s="125"/>
      <c r="L629" s="107"/>
      <c r="M629" s="183"/>
      <c r="N629" s="108"/>
    </row>
    <row r="630" spans="1:14" x14ac:dyDescent="0.3">
      <c r="A630" s="77"/>
      <c r="B630" s="106"/>
      <c r="F630" s="124"/>
      <c r="G630" s="125"/>
      <c r="J630" s="125"/>
      <c r="L630" s="107"/>
      <c r="M630" s="183"/>
      <c r="N630" s="108"/>
    </row>
    <row r="631" spans="1:14" x14ac:dyDescent="0.3">
      <c r="A631" s="77"/>
      <c r="B631" s="106"/>
      <c r="F631" s="124"/>
      <c r="G631" s="125"/>
      <c r="J631" s="125"/>
      <c r="L631" s="107"/>
      <c r="M631" s="183"/>
      <c r="N631" s="108"/>
    </row>
    <row r="632" spans="1:14" x14ac:dyDescent="0.3">
      <c r="A632" s="77"/>
      <c r="B632" s="106"/>
      <c r="F632" s="124"/>
      <c r="G632" s="125"/>
      <c r="J632" s="125"/>
      <c r="L632" s="107"/>
      <c r="M632" s="183"/>
      <c r="N632" s="108"/>
    </row>
    <row r="633" spans="1:14" x14ac:dyDescent="0.3">
      <c r="A633" s="77"/>
      <c r="B633" s="106"/>
      <c r="F633" s="124"/>
      <c r="G633" s="125"/>
      <c r="J633" s="125"/>
      <c r="L633" s="107"/>
      <c r="M633" s="183"/>
      <c r="N633" s="108"/>
    </row>
    <row r="634" spans="1:14" x14ac:dyDescent="0.3">
      <c r="A634" s="77"/>
      <c r="B634" s="106"/>
      <c r="F634" s="124"/>
      <c r="G634" s="125"/>
      <c r="J634" s="125"/>
      <c r="L634" s="107"/>
      <c r="M634" s="183"/>
      <c r="N634" s="108"/>
    </row>
    <row r="635" spans="1:14" x14ac:dyDescent="0.3">
      <c r="A635" s="77"/>
      <c r="B635" s="106"/>
      <c r="F635" s="124"/>
      <c r="G635" s="125"/>
      <c r="J635" s="125"/>
      <c r="L635" s="107"/>
      <c r="M635" s="183"/>
      <c r="N635" s="108"/>
    </row>
    <row r="636" spans="1:14" x14ac:dyDescent="0.3">
      <c r="A636" s="77"/>
      <c r="B636" s="106"/>
      <c r="F636" s="124"/>
      <c r="G636" s="125"/>
      <c r="J636" s="125"/>
      <c r="L636" s="107"/>
      <c r="M636" s="183"/>
      <c r="N636" s="108"/>
    </row>
    <row r="637" spans="1:14" x14ac:dyDescent="0.3">
      <c r="A637" s="77"/>
      <c r="B637" s="106"/>
      <c r="F637" s="124"/>
      <c r="G637" s="125"/>
      <c r="J637" s="125"/>
      <c r="L637" s="107"/>
      <c r="M637" s="183"/>
      <c r="N637" s="108"/>
    </row>
    <row r="638" spans="1:14" x14ac:dyDescent="0.3">
      <c r="A638" s="77"/>
      <c r="B638" s="106"/>
      <c r="F638" s="124"/>
      <c r="G638" s="125"/>
      <c r="J638" s="125"/>
      <c r="L638" s="107"/>
      <c r="M638" s="183"/>
      <c r="N638" s="108"/>
    </row>
    <row r="639" spans="1:14" x14ac:dyDescent="0.3">
      <c r="A639" s="77"/>
      <c r="B639" s="106"/>
      <c r="F639" s="124"/>
      <c r="G639" s="125"/>
      <c r="J639" s="125"/>
      <c r="L639" s="107"/>
      <c r="M639" s="183"/>
      <c r="N639" s="108"/>
    </row>
    <row r="640" spans="1:14" x14ac:dyDescent="0.3">
      <c r="A640" s="77"/>
      <c r="B640" s="106"/>
      <c r="F640" s="124"/>
      <c r="G640" s="125"/>
      <c r="J640" s="125"/>
      <c r="L640" s="107"/>
      <c r="M640" s="183"/>
      <c r="N640" s="108"/>
    </row>
    <row r="641" spans="1:14" x14ac:dyDescent="0.3">
      <c r="A641" s="77"/>
      <c r="B641" s="106"/>
      <c r="F641" s="124"/>
      <c r="G641" s="125"/>
      <c r="J641" s="125"/>
      <c r="L641" s="107"/>
      <c r="M641" s="183"/>
      <c r="N641" s="108"/>
    </row>
    <row r="642" spans="1:14" x14ac:dyDescent="0.3">
      <c r="A642" s="77"/>
      <c r="B642" s="106"/>
      <c r="F642" s="124"/>
      <c r="G642" s="125"/>
      <c r="J642" s="125"/>
      <c r="L642" s="107"/>
      <c r="M642" s="183"/>
      <c r="N642" s="108"/>
    </row>
    <row r="643" spans="1:14" x14ac:dyDescent="0.3">
      <c r="A643" s="77"/>
      <c r="B643" s="106"/>
      <c r="F643" s="124"/>
      <c r="G643" s="125"/>
      <c r="J643" s="125"/>
      <c r="L643" s="107"/>
      <c r="M643" s="183"/>
      <c r="N643" s="108"/>
    </row>
    <row r="644" spans="1:14" x14ac:dyDescent="0.3">
      <c r="A644" s="77"/>
      <c r="B644" s="106"/>
      <c r="F644" s="124"/>
      <c r="G644" s="125"/>
      <c r="J644" s="125"/>
      <c r="L644" s="107"/>
      <c r="M644" s="183"/>
      <c r="N644" s="108"/>
    </row>
    <row r="645" spans="1:14" x14ac:dyDescent="0.3">
      <c r="A645" s="77"/>
      <c r="B645" s="106"/>
      <c r="F645" s="124"/>
      <c r="G645" s="125"/>
      <c r="J645" s="125"/>
      <c r="L645" s="107"/>
      <c r="M645" s="183"/>
      <c r="N645" s="108"/>
    </row>
    <row r="646" spans="1:14" x14ac:dyDescent="0.3">
      <c r="A646" s="77"/>
      <c r="B646" s="106"/>
      <c r="F646" s="124"/>
      <c r="G646" s="125"/>
      <c r="J646" s="125"/>
      <c r="L646" s="107"/>
      <c r="M646" s="183"/>
      <c r="N646" s="108"/>
    </row>
    <row r="647" spans="1:14" x14ac:dyDescent="0.3">
      <c r="A647" s="77"/>
      <c r="B647" s="106"/>
      <c r="F647" s="124"/>
      <c r="G647" s="125"/>
      <c r="J647" s="125"/>
      <c r="L647" s="107"/>
      <c r="M647" s="183"/>
      <c r="N647" s="108"/>
    </row>
    <row r="648" spans="1:14" x14ac:dyDescent="0.3">
      <c r="A648" s="77"/>
      <c r="B648" s="106"/>
      <c r="F648" s="124"/>
      <c r="G648" s="125"/>
      <c r="J648" s="125"/>
      <c r="L648" s="107"/>
      <c r="M648" s="183"/>
      <c r="N648" s="108"/>
    </row>
    <row r="649" spans="1:14" x14ac:dyDescent="0.3">
      <c r="A649" s="77"/>
      <c r="B649" s="106"/>
      <c r="F649" s="124"/>
      <c r="G649" s="125"/>
      <c r="J649" s="125"/>
      <c r="L649" s="107"/>
      <c r="M649" s="183"/>
      <c r="N649" s="108"/>
    </row>
    <row r="650" spans="1:14" x14ac:dyDescent="0.3">
      <c r="A650" s="77"/>
      <c r="B650" s="106"/>
      <c r="F650" s="124"/>
      <c r="G650" s="125"/>
      <c r="J650" s="125"/>
      <c r="L650" s="107"/>
      <c r="M650" s="183"/>
      <c r="N650" s="108"/>
    </row>
    <row r="651" spans="1:14" x14ac:dyDescent="0.3">
      <c r="A651" s="77"/>
      <c r="B651" s="106"/>
      <c r="F651" s="124"/>
      <c r="G651" s="125"/>
      <c r="J651" s="125"/>
      <c r="L651" s="107"/>
      <c r="M651" s="183"/>
      <c r="N651" s="108"/>
    </row>
    <row r="652" spans="1:14" x14ac:dyDescent="0.3">
      <c r="A652" s="77"/>
      <c r="B652" s="106"/>
      <c r="F652" s="124"/>
      <c r="G652" s="125"/>
      <c r="J652" s="125"/>
      <c r="L652" s="107"/>
      <c r="M652" s="183"/>
      <c r="N652" s="108"/>
    </row>
    <row r="653" spans="1:14" x14ac:dyDescent="0.3">
      <c r="A653" s="77"/>
      <c r="B653" s="106"/>
      <c r="F653" s="124"/>
      <c r="G653" s="125"/>
      <c r="J653" s="125"/>
      <c r="L653" s="107"/>
      <c r="M653" s="183"/>
      <c r="N653" s="108"/>
    </row>
  </sheetData>
  <conditionalFormatting sqref="I2:I180">
    <cfRule type="cellIs" dxfId="19" priority="1" operator="equal">
      <formula>"REVISAR"</formula>
    </cfRule>
    <cfRule type="cellIs" dxfId="18" priority="2" operator="equal">
      <formula>"CORRECTO"</formula>
    </cfRule>
  </conditionalFormatting>
  <conditionalFormatting sqref="L2:L180">
    <cfRule type="cellIs" dxfId="17" priority="3" operator="equal">
      <formula>"APROBADO"</formula>
    </cfRule>
    <cfRule type="cellIs" dxfId="16" priority="4" operator="equal">
      <formula>"PENDIENTE"</formula>
    </cfRule>
    <cfRule type="cellIs" dxfId="15" priority="5" operator="equal">
      <formula>"PAGADO"</formula>
    </cfRule>
  </conditionalFormatting>
  <dataValidations count="1">
    <dataValidation type="list" allowBlank="1" showErrorMessage="1" sqref="L2:L180" xr:uid="{B2FB1A36-819A-4020-A085-2F91535F3048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AF1846A-A351-4A68-AD99-BF0B1EC303B4}">
          <x14:formula1>
            <xm:f>'CUENTAS'!$A$2:$A$59</xm:f>
          </x14:formula1>
          <xm:sqref>C2:C180</xm:sqref>
        </x14:dataValidation>
        <x14:dataValidation type="list" allowBlank="1" showInputMessage="1" showErrorMessage="1" xr:uid="{1977A158-DB2B-4627-A6FD-6C39E51049B8}">
          <x14:formula1>
            <xm:f>'CUENTAS'!$G$2:$G$8</xm:f>
          </x14:formula1>
          <xm:sqref>J2:J180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CF9C-C9E2-47D4-A86A-7AA06252C4BB}">
  <sheetPr>
    <tabColor theme="1" tint="4.9989318521683403E-2"/>
  </sheetPr>
  <dimension ref="A1:P710"/>
  <sheetViews>
    <sheetView topLeftCell="C1" workbookViewId="0">
      <pane ySplit="1" topLeftCell="A131" activePane="bottomLeft" state="frozen"/>
      <selection pane="bottomLeft" activeCell="F146" sqref="F1:F1048576"/>
    </sheetView>
  </sheetViews>
  <sheetFormatPr baseColWidth="10" defaultColWidth="12.6640625" defaultRowHeight="15.6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7.88671875" style="83" customWidth="1"/>
    <col min="8" max="9" width="17.88671875" style="97" customWidth="1"/>
    <col min="10" max="10" width="27.109375" style="235" bestFit="1" customWidth="1"/>
    <col min="11" max="11" width="14.77734375" style="98" customWidth="1"/>
    <col min="12" max="12" width="11.21875" style="99" bestFit="1" customWidth="1"/>
    <col min="13" max="13" width="11.6640625" style="182" customWidth="1"/>
    <col min="14" max="14" width="25.21875" style="83" customWidth="1"/>
    <col min="15" max="15" width="18.33203125" style="238" customWidth="1"/>
    <col min="16" max="16" width="19.77734375" style="241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6" s="77" customFormat="1" ht="24.6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81" t="s">
        <v>104</v>
      </c>
      <c r="N1" s="12" t="s">
        <v>105</v>
      </c>
      <c r="O1" s="236"/>
      <c r="P1" s="204"/>
    </row>
    <row r="2" spans="1:16" x14ac:dyDescent="0.3">
      <c r="A2" s="16" t="s">
        <v>232</v>
      </c>
      <c r="B2" s="16" t="s">
        <v>2828</v>
      </c>
      <c r="C2" s="28" t="s">
        <v>224</v>
      </c>
      <c r="D2" s="28" t="str">
        <f>IFERROR(VLOOKUP($C2,CUENTAS[],2,0),"")</f>
        <v>MATERIALES</v>
      </c>
      <c r="E2" s="28" t="str">
        <f>IFERROR(VLOOKUP($C2,CUENTAS[],3,0),"")</f>
        <v>MDE2025-004</v>
      </c>
      <c r="F2" s="86">
        <v>71260.2</v>
      </c>
      <c r="G2" s="86">
        <v>11401.63</v>
      </c>
      <c r="H2" s="74">
        <v>82661.83</v>
      </c>
      <c r="I2" s="200" t="str">
        <f>IFERROR(IF(F2+G2&lt;&gt;H2,"REVISAR","CORRECTO"),"")</f>
        <v>CORRECTO</v>
      </c>
      <c r="J2" s="232" t="s">
        <v>3244</v>
      </c>
      <c r="K2" s="69" t="s">
        <v>980</v>
      </c>
      <c r="L2" s="84" t="s">
        <v>227</v>
      </c>
      <c r="M2" s="135">
        <v>45933</v>
      </c>
      <c r="N2" s="75" t="s">
        <v>2903</v>
      </c>
      <c r="O2" s="237"/>
      <c r="P2" s="240"/>
    </row>
    <row r="3" spans="1:16" x14ac:dyDescent="0.3">
      <c r="A3" s="16" t="s">
        <v>232</v>
      </c>
      <c r="B3" s="16" t="s">
        <v>2829</v>
      </c>
      <c r="C3" s="28" t="s">
        <v>224</v>
      </c>
      <c r="D3" s="28" t="str">
        <f>IFERROR(VLOOKUP($C3,CUENTAS[],2,0),"")</f>
        <v>MATERIALES</v>
      </c>
      <c r="E3" s="28" t="str">
        <f>IFERROR(VLOOKUP($C3,CUENTAS[],3,0),"")</f>
        <v>MDE2025-004</v>
      </c>
      <c r="F3" s="86">
        <v>22076.04</v>
      </c>
      <c r="G3" s="86">
        <v>3532.16</v>
      </c>
      <c r="H3" s="74">
        <v>25608.2</v>
      </c>
      <c r="I3" s="200" t="str">
        <f t="shared" ref="I3:I66" si="0">IFERROR(IF(F3+G3&lt;&gt;H3,"REVISAR","CORRECTO"),"")</f>
        <v>CORRECTO</v>
      </c>
      <c r="J3" s="232" t="s">
        <v>3244</v>
      </c>
      <c r="K3" s="69" t="s">
        <v>980</v>
      </c>
      <c r="L3" s="84" t="s">
        <v>227</v>
      </c>
      <c r="M3" s="135">
        <v>45933</v>
      </c>
      <c r="N3" s="75" t="s">
        <v>2940</v>
      </c>
      <c r="O3" s="237"/>
      <c r="P3" s="240"/>
    </row>
    <row r="4" spans="1:16" x14ac:dyDescent="0.3">
      <c r="A4" s="16" t="s">
        <v>2830</v>
      </c>
      <c r="B4" s="16" t="s">
        <v>2831</v>
      </c>
      <c r="C4" s="28" t="s">
        <v>223</v>
      </c>
      <c r="D4" s="28" t="str">
        <f>IFERROR(VLOOKUP($C4,CUENTAS[],2,0),"")</f>
        <v>MANTENIMIENTO</v>
      </c>
      <c r="E4" s="28" t="str">
        <f>IFERROR(VLOOKUP($C4,CUENTAS[],3,0),"")</f>
        <v>MDE2025-009B</v>
      </c>
      <c r="F4" s="86">
        <v>19000</v>
      </c>
      <c r="G4" s="86">
        <v>3277.5</v>
      </c>
      <c r="H4" s="74">
        <v>21802.5</v>
      </c>
      <c r="I4" s="200" t="str">
        <f t="shared" si="0"/>
        <v>REVISAR</v>
      </c>
      <c r="J4" s="232" t="s">
        <v>3244</v>
      </c>
      <c r="K4" s="69" t="s">
        <v>360</v>
      </c>
      <c r="L4" s="84" t="s">
        <v>227</v>
      </c>
      <c r="M4" s="135">
        <v>45933</v>
      </c>
      <c r="N4" s="75" t="s">
        <v>2904</v>
      </c>
      <c r="O4" s="237"/>
      <c r="P4" s="240"/>
    </row>
    <row r="5" spans="1:16" x14ac:dyDescent="0.3">
      <c r="A5" s="16" t="s">
        <v>2557</v>
      </c>
      <c r="B5" s="16" t="s">
        <v>2832</v>
      </c>
      <c r="C5" s="28" t="s">
        <v>224</v>
      </c>
      <c r="D5" s="28" t="str">
        <f>IFERROR(VLOOKUP($C5,CUENTAS[],2,0),"")</f>
        <v>MATERIALES</v>
      </c>
      <c r="E5" s="28" t="str">
        <f>IFERROR(VLOOKUP($C5,CUENTAS[],3,0),"")</f>
        <v>MDE2025-004</v>
      </c>
      <c r="F5" s="86">
        <v>3094.82</v>
      </c>
      <c r="G5" s="86">
        <v>495.17</v>
      </c>
      <c r="H5" s="74">
        <v>3590</v>
      </c>
      <c r="I5" s="200" t="str">
        <f t="shared" si="0"/>
        <v>REVISAR</v>
      </c>
      <c r="J5" s="232" t="s">
        <v>3244</v>
      </c>
      <c r="K5" s="69" t="s">
        <v>980</v>
      </c>
      <c r="L5" s="84" t="s">
        <v>227</v>
      </c>
      <c r="M5" s="136">
        <v>45933</v>
      </c>
      <c r="N5" s="75" t="s">
        <v>2941</v>
      </c>
      <c r="O5" s="237"/>
      <c r="P5" s="240"/>
    </row>
    <row r="6" spans="1:16" x14ac:dyDescent="0.3">
      <c r="A6" s="16" t="s">
        <v>310</v>
      </c>
      <c r="B6" s="16" t="s">
        <v>2833</v>
      </c>
      <c r="C6" s="28" t="s">
        <v>224</v>
      </c>
      <c r="D6" s="28" t="str">
        <f>IFERROR(VLOOKUP($C6,CUENTAS[],2,0),"")</f>
        <v>MATERIALES</v>
      </c>
      <c r="E6" s="28" t="str">
        <f>IFERROR(VLOOKUP($C6,CUENTAS[],3,0),"")</f>
        <v>MDE2025-004</v>
      </c>
      <c r="F6" s="86">
        <v>746.2</v>
      </c>
      <c r="G6" s="86">
        <v>119.39</v>
      </c>
      <c r="H6" s="74">
        <v>865.59</v>
      </c>
      <c r="I6" s="200" t="str">
        <f t="shared" si="0"/>
        <v>CORRECTO</v>
      </c>
      <c r="J6" s="232" t="s">
        <v>3244</v>
      </c>
      <c r="K6" s="69" t="s">
        <v>980</v>
      </c>
      <c r="L6" s="84" t="s">
        <v>227</v>
      </c>
      <c r="M6" s="135">
        <v>45933</v>
      </c>
      <c r="N6" s="75" t="s">
        <v>2942</v>
      </c>
      <c r="O6" s="237"/>
      <c r="P6" s="240"/>
    </row>
    <row r="7" spans="1:16" x14ac:dyDescent="0.3">
      <c r="A7" s="16" t="s">
        <v>666</v>
      </c>
      <c r="B7" s="16" t="s">
        <v>2834</v>
      </c>
      <c r="C7" s="28" t="s">
        <v>224</v>
      </c>
      <c r="D7" s="28" t="str">
        <f>IFERROR(VLOOKUP($C7,CUENTAS[],2,0),"")</f>
        <v>MATERIALES</v>
      </c>
      <c r="E7" s="28" t="str">
        <f>IFERROR(VLOOKUP($C7,CUENTAS[],3,0),"")</f>
        <v>MDE2025-004</v>
      </c>
      <c r="F7" s="86">
        <v>3016.37</v>
      </c>
      <c r="G7" s="86">
        <v>482.62</v>
      </c>
      <c r="H7" s="74">
        <v>3499</v>
      </c>
      <c r="I7" s="200" t="str">
        <f t="shared" si="0"/>
        <v>REVISAR</v>
      </c>
      <c r="J7" s="232" t="s">
        <v>3244</v>
      </c>
      <c r="K7" s="69" t="s">
        <v>980</v>
      </c>
      <c r="L7" s="84" t="s">
        <v>227</v>
      </c>
      <c r="M7" s="135">
        <v>45933</v>
      </c>
      <c r="N7" s="75" t="s">
        <v>2905</v>
      </c>
      <c r="O7" s="237"/>
      <c r="P7" s="240"/>
    </row>
    <row r="8" spans="1:16" x14ac:dyDescent="0.3">
      <c r="A8" s="16" t="s">
        <v>2835</v>
      </c>
      <c r="B8" s="16" t="s">
        <v>2836</v>
      </c>
      <c r="C8" s="28" t="s">
        <v>224</v>
      </c>
      <c r="D8" s="28" t="str">
        <f>IFERROR(VLOOKUP($C8,CUENTAS[],2,0),"")</f>
        <v>MATERIALES</v>
      </c>
      <c r="E8" s="28" t="str">
        <f>IFERROR(VLOOKUP($C8,CUENTAS[],3,0),"")</f>
        <v>MDE2025-004</v>
      </c>
      <c r="F8" s="86">
        <v>5184.8599999999997</v>
      </c>
      <c r="G8" s="86">
        <v>829.57</v>
      </c>
      <c r="H8" s="74">
        <v>6014.44</v>
      </c>
      <c r="I8" s="200" t="str">
        <f t="shared" si="0"/>
        <v>REVISAR</v>
      </c>
      <c r="J8" s="232" t="s">
        <v>3244</v>
      </c>
      <c r="K8" s="69" t="s">
        <v>980</v>
      </c>
      <c r="L8" s="84" t="s">
        <v>227</v>
      </c>
      <c r="M8" s="135">
        <v>45933</v>
      </c>
      <c r="N8" s="75" t="s">
        <v>798</v>
      </c>
      <c r="O8" s="237"/>
      <c r="P8" s="240"/>
    </row>
    <row r="9" spans="1:16" x14ac:dyDescent="0.3">
      <c r="A9" s="16" t="s">
        <v>666</v>
      </c>
      <c r="B9" s="16" t="s">
        <v>2837</v>
      </c>
      <c r="C9" s="28" t="s">
        <v>224</v>
      </c>
      <c r="D9" s="28" t="str">
        <f>IFERROR(VLOOKUP($C9,CUENTAS[],2,0),"")</f>
        <v>MATERIALES</v>
      </c>
      <c r="E9" s="28" t="str">
        <f>IFERROR(VLOOKUP($C9,CUENTAS[],3,0),"")</f>
        <v>MDE2025-004</v>
      </c>
      <c r="F9" s="86">
        <v>2257.75</v>
      </c>
      <c r="G9" s="86">
        <v>361.24</v>
      </c>
      <c r="H9" s="74">
        <v>2619</v>
      </c>
      <c r="I9" s="200" t="str">
        <f t="shared" si="0"/>
        <v>REVISAR</v>
      </c>
      <c r="J9" s="232" t="s">
        <v>3244</v>
      </c>
      <c r="K9" s="69" t="s">
        <v>980</v>
      </c>
      <c r="L9" s="84" t="s">
        <v>227</v>
      </c>
      <c r="M9" s="136">
        <v>45933</v>
      </c>
      <c r="N9" s="75" t="s">
        <v>2906</v>
      </c>
      <c r="O9" s="237"/>
      <c r="P9" s="240"/>
    </row>
    <row r="10" spans="1:16" x14ac:dyDescent="0.3">
      <c r="A10" s="16" t="s">
        <v>228</v>
      </c>
      <c r="B10" s="16" t="s">
        <v>2838</v>
      </c>
      <c r="C10" s="28" t="s">
        <v>143</v>
      </c>
      <c r="D10" s="28" t="str">
        <f>IFERROR(VLOOKUP($C10,CUENTAS[],2,0),"")</f>
        <v>GASTOS FIJOS</v>
      </c>
      <c r="E10" s="28" t="str">
        <f>IFERROR(VLOOKUP($C10,CUENTAS[],3,0),"")</f>
        <v>MDE2025-002C</v>
      </c>
      <c r="F10" s="86">
        <v>1500</v>
      </c>
      <c r="G10" s="86">
        <v>0</v>
      </c>
      <c r="H10" s="74">
        <v>1500</v>
      </c>
      <c r="I10" s="200" t="str">
        <f t="shared" si="0"/>
        <v>CORRECTO</v>
      </c>
      <c r="J10" s="232" t="s">
        <v>3244</v>
      </c>
      <c r="K10" s="69" t="s">
        <v>360</v>
      </c>
      <c r="L10" s="84" t="s">
        <v>227</v>
      </c>
      <c r="M10" s="136">
        <v>45933</v>
      </c>
      <c r="N10" s="75" t="s">
        <v>368</v>
      </c>
      <c r="O10" s="237"/>
      <c r="P10" s="240"/>
    </row>
    <row r="11" spans="1:16" x14ac:dyDescent="0.3">
      <c r="A11" s="16" t="s">
        <v>1129</v>
      </c>
      <c r="B11" s="16" t="s">
        <v>2839</v>
      </c>
      <c r="C11" s="28" t="s">
        <v>224</v>
      </c>
      <c r="D11" s="28" t="str">
        <f>IFERROR(VLOOKUP($C11,CUENTAS[],2,0),"")</f>
        <v>MATERIALES</v>
      </c>
      <c r="E11" s="28" t="str">
        <f>IFERROR(VLOOKUP($C11,CUENTAS[],3,0),"")</f>
        <v>MDE2025-004</v>
      </c>
      <c r="F11" s="86">
        <v>3931.03</v>
      </c>
      <c r="G11" s="86">
        <v>628.97</v>
      </c>
      <c r="H11" s="74">
        <v>4560</v>
      </c>
      <c r="I11" s="200" t="str">
        <f t="shared" si="0"/>
        <v>CORRECTO</v>
      </c>
      <c r="J11" s="232" t="s">
        <v>3244</v>
      </c>
      <c r="K11" s="69" t="s">
        <v>980</v>
      </c>
      <c r="L11" s="84" t="s">
        <v>227</v>
      </c>
      <c r="M11" s="135">
        <v>45937</v>
      </c>
      <c r="N11" s="75" t="s">
        <v>2907</v>
      </c>
      <c r="O11" s="237"/>
      <c r="P11" s="240"/>
    </row>
    <row r="12" spans="1:16" x14ac:dyDescent="0.3">
      <c r="A12" s="16" t="s">
        <v>666</v>
      </c>
      <c r="B12" s="16" t="s">
        <v>2840</v>
      </c>
      <c r="C12" s="28" t="s">
        <v>224</v>
      </c>
      <c r="D12" s="28" t="str">
        <f>IFERROR(VLOOKUP($C12,CUENTAS[],2,0),"")</f>
        <v>MATERIALES</v>
      </c>
      <c r="E12" s="28" t="str">
        <f>IFERROR(VLOOKUP($C12,CUENTAS[],3,0),"")</f>
        <v>MDE2025-004</v>
      </c>
      <c r="F12" s="86">
        <v>1505.17</v>
      </c>
      <c r="G12" s="86">
        <v>240.82</v>
      </c>
      <c r="H12" s="74">
        <v>1746</v>
      </c>
      <c r="I12" s="200" t="str">
        <f t="shared" si="0"/>
        <v>REVISAR</v>
      </c>
      <c r="J12" s="232" t="s">
        <v>3244</v>
      </c>
      <c r="K12" s="69" t="s">
        <v>980</v>
      </c>
      <c r="L12" s="84" t="s">
        <v>227</v>
      </c>
      <c r="M12" s="135">
        <v>45937</v>
      </c>
      <c r="N12" s="75" t="s">
        <v>2908</v>
      </c>
      <c r="O12" s="237"/>
      <c r="P12" s="240"/>
    </row>
    <row r="13" spans="1:16" x14ac:dyDescent="0.3">
      <c r="A13" s="16" t="s">
        <v>616</v>
      </c>
      <c r="B13" s="16" t="s">
        <v>2841</v>
      </c>
      <c r="C13" s="28" t="s">
        <v>110</v>
      </c>
      <c r="D13" s="28" t="str">
        <f>IFERROR(VLOOKUP($C13,CUENTAS[],2,0),"")</f>
        <v>GASTOS FIJOS</v>
      </c>
      <c r="E13" s="28" t="str">
        <f>IFERROR(VLOOKUP($C13,CUENTAS[],3,0),"")</f>
        <v>MDE2025-002D</v>
      </c>
      <c r="F13" s="86">
        <v>7327.59</v>
      </c>
      <c r="G13" s="86">
        <v>1172.4100000000001</v>
      </c>
      <c r="H13" s="74">
        <v>8500</v>
      </c>
      <c r="I13" s="200" t="str">
        <f t="shared" si="0"/>
        <v>CORRECTO</v>
      </c>
      <c r="J13" s="232" t="s">
        <v>3244</v>
      </c>
      <c r="K13" s="69" t="s">
        <v>1954</v>
      </c>
      <c r="L13" s="84" t="s">
        <v>227</v>
      </c>
      <c r="M13" s="135">
        <v>45937</v>
      </c>
      <c r="N13" s="75" t="s">
        <v>2909</v>
      </c>
      <c r="O13" s="237"/>
      <c r="P13" s="240"/>
    </row>
    <row r="14" spans="1:16" x14ac:dyDescent="0.3">
      <c r="A14" s="16" t="s">
        <v>1068</v>
      </c>
      <c r="B14" s="16" t="s">
        <v>2842</v>
      </c>
      <c r="C14" s="28" t="s">
        <v>177</v>
      </c>
      <c r="D14" s="28" t="str">
        <f>IFERROR(VLOOKUP($C14,CUENTAS[],2,0),"")</f>
        <v>GASTOS FIJOS</v>
      </c>
      <c r="E14" s="28" t="str">
        <f>IFERROR(VLOOKUP($C14,CUENTAS[],3,0),"")</f>
        <v>MDE2025-002A</v>
      </c>
      <c r="F14" s="86">
        <v>3750</v>
      </c>
      <c r="G14" s="86">
        <v>0</v>
      </c>
      <c r="H14" s="74">
        <v>3750</v>
      </c>
      <c r="I14" s="200" t="str">
        <f t="shared" si="0"/>
        <v>CORRECTO</v>
      </c>
      <c r="J14" s="232" t="s">
        <v>3244</v>
      </c>
      <c r="K14" s="69" t="s">
        <v>1954</v>
      </c>
      <c r="L14" s="84" t="s">
        <v>227</v>
      </c>
      <c r="M14" s="135">
        <v>45937</v>
      </c>
      <c r="N14" s="75" t="s">
        <v>371</v>
      </c>
      <c r="O14" s="237"/>
      <c r="P14" s="240"/>
    </row>
    <row r="15" spans="1:16" x14ac:dyDescent="0.3">
      <c r="A15" s="16" t="s">
        <v>283</v>
      </c>
      <c r="B15" s="16">
        <v>2681198</v>
      </c>
      <c r="C15" s="28" t="s">
        <v>120</v>
      </c>
      <c r="D15" s="28" t="str">
        <f>IFERROR(VLOOKUP($C15,CUENTAS[],2,0),"")</f>
        <v>TOKA</v>
      </c>
      <c r="E15" s="28" t="str">
        <f>IFERROR(VLOOKUP($C15,CUENTAS[],3,0),"")</f>
        <v>TOK2025-001C</v>
      </c>
      <c r="F15" s="86">
        <v>100</v>
      </c>
      <c r="G15" s="86">
        <v>60</v>
      </c>
      <c r="H15" s="74">
        <v>160</v>
      </c>
      <c r="I15" s="200" t="str">
        <f t="shared" si="0"/>
        <v>CORRECTO</v>
      </c>
      <c r="J15" s="232" t="s">
        <v>3244</v>
      </c>
      <c r="K15" s="69" t="s">
        <v>2230</v>
      </c>
      <c r="L15" s="84" t="s">
        <v>227</v>
      </c>
      <c r="M15" s="135">
        <v>45939</v>
      </c>
      <c r="N15" s="75" t="s">
        <v>570</v>
      </c>
      <c r="O15" s="237"/>
      <c r="P15" s="240"/>
    </row>
    <row r="16" spans="1:16" x14ac:dyDescent="0.3">
      <c r="A16" s="16" t="s">
        <v>2843</v>
      </c>
      <c r="B16" s="16" t="s">
        <v>2844</v>
      </c>
      <c r="C16" s="28" t="s">
        <v>224</v>
      </c>
      <c r="D16" s="28" t="str">
        <f>IFERROR(VLOOKUP($C16,CUENTAS[],2,0),"")</f>
        <v>MATERIALES</v>
      </c>
      <c r="E16" s="28" t="str">
        <f>IFERROR(VLOOKUP($C16,CUENTAS[],3,0),"")</f>
        <v>MDE2025-004</v>
      </c>
      <c r="F16" s="86">
        <v>5706.89</v>
      </c>
      <c r="G16" s="86">
        <v>913.1</v>
      </c>
      <c r="H16" s="74">
        <v>6620</v>
      </c>
      <c r="I16" s="200" t="str">
        <f t="shared" si="0"/>
        <v>REVISAR</v>
      </c>
      <c r="J16" s="232" t="s">
        <v>3244</v>
      </c>
      <c r="K16" s="69" t="s">
        <v>980</v>
      </c>
      <c r="L16" s="84" t="s">
        <v>227</v>
      </c>
      <c r="M16" s="135">
        <v>45939</v>
      </c>
      <c r="N16" s="75" t="s">
        <v>371</v>
      </c>
      <c r="O16" s="237"/>
      <c r="P16" s="240"/>
    </row>
    <row r="17" spans="1:16" x14ac:dyDescent="0.3">
      <c r="A17" s="16" t="s">
        <v>666</v>
      </c>
      <c r="B17" s="16" t="s">
        <v>2845</v>
      </c>
      <c r="C17" s="28" t="s">
        <v>224</v>
      </c>
      <c r="D17" s="28" t="str">
        <f>IFERROR(VLOOKUP($C17,CUENTAS[],2,0),"")</f>
        <v>MATERIALES</v>
      </c>
      <c r="E17" s="28" t="str">
        <f>IFERROR(VLOOKUP($C17,CUENTAS[],3,0),"")</f>
        <v>MDE2025-004</v>
      </c>
      <c r="F17" s="86">
        <v>2534.48</v>
      </c>
      <c r="G17" s="86">
        <v>405.51</v>
      </c>
      <c r="H17" s="74">
        <v>2940</v>
      </c>
      <c r="I17" s="200" t="str">
        <f t="shared" si="0"/>
        <v>REVISAR</v>
      </c>
      <c r="J17" s="232" t="s">
        <v>3244</v>
      </c>
      <c r="K17" s="69" t="s">
        <v>980</v>
      </c>
      <c r="L17" s="84" t="s">
        <v>227</v>
      </c>
      <c r="M17" s="135">
        <v>45940</v>
      </c>
      <c r="N17" s="75" t="s">
        <v>2910</v>
      </c>
      <c r="O17" s="237"/>
      <c r="P17" s="240"/>
    </row>
    <row r="18" spans="1:16" x14ac:dyDescent="0.3">
      <c r="A18" s="16" t="s">
        <v>1930</v>
      </c>
      <c r="B18" s="16" t="s">
        <v>2846</v>
      </c>
      <c r="C18" s="28" t="s">
        <v>224</v>
      </c>
      <c r="D18" s="28" t="str">
        <f>IFERROR(VLOOKUP($C18,CUENTAS[],2,0),"")</f>
        <v>MATERIALES</v>
      </c>
      <c r="E18" s="28" t="str">
        <f>IFERROR(VLOOKUP($C18,CUENTAS[],3,0),"")</f>
        <v>MDE2025-004</v>
      </c>
      <c r="F18" s="86">
        <v>3700</v>
      </c>
      <c r="G18" s="86">
        <v>592</v>
      </c>
      <c r="H18" s="74">
        <v>4292</v>
      </c>
      <c r="I18" s="200" t="str">
        <f t="shared" si="0"/>
        <v>CORRECTO</v>
      </c>
      <c r="J18" s="232" t="s">
        <v>3244</v>
      </c>
      <c r="K18" s="69" t="s">
        <v>980</v>
      </c>
      <c r="L18" s="84" t="s">
        <v>227</v>
      </c>
      <c r="M18" s="135">
        <v>45940</v>
      </c>
      <c r="N18" s="75" t="s">
        <v>2943</v>
      </c>
      <c r="O18" s="237"/>
      <c r="P18" s="240"/>
    </row>
    <row r="19" spans="1:16" x14ac:dyDescent="0.3">
      <c r="A19" s="16" t="s">
        <v>666</v>
      </c>
      <c r="B19" s="16" t="s">
        <v>2847</v>
      </c>
      <c r="C19" s="28" t="s">
        <v>224</v>
      </c>
      <c r="D19" s="28" t="str">
        <f>IFERROR(VLOOKUP($C19,CUENTAS[],2,0),"")</f>
        <v>MATERIALES</v>
      </c>
      <c r="E19" s="28" t="str">
        <f>IFERROR(VLOOKUP($C19,CUENTAS[],3,0),"")</f>
        <v>MDE2025-004</v>
      </c>
      <c r="F19" s="86">
        <v>1029.31</v>
      </c>
      <c r="G19" s="86">
        <v>164.69</v>
      </c>
      <c r="H19" s="74">
        <v>1194</v>
      </c>
      <c r="I19" s="200" t="str">
        <f t="shared" si="0"/>
        <v>CORRECTO</v>
      </c>
      <c r="J19" s="232" t="s">
        <v>3244</v>
      </c>
      <c r="K19" s="69" t="s">
        <v>980</v>
      </c>
      <c r="L19" s="84" t="s">
        <v>227</v>
      </c>
      <c r="M19" s="135">
        <v>45940</v>
      </c>
      <c r="N19" s="75" t="s">
        <v>2944</v>
      </c>
      <c r="O19" s="237"/>
      <c r="P19" s="240"/>
    </row>
    <row r="20" spans="1:16" x14ac:dyDescent="0.3">
      <c r="A20" s="16" t="s">
        <v>2625</v>
      </c>
      <c r="B20" s="16" t="s">
        <v>2848</v>
      </c>
      <c r="C20" s="28" t="s">
        <v>169</v>
      </c>
      <c r="D20" s="28" t="str">
        <f>IFERROR(VLOOKUP($C20,CUENTAS[],2,0),"")</f>
        <v>ACTIVOS FIJOS</v>
      </c>
      <c r="E20" s="28" t="str">
        <f>IFERROR(VLOOKUP($C20,CUENTAS[],3,0),"")</f>
        <v>MDE2025-007F</v>
      </c>
      <c r="F20" s="86">
        <v>3000</v>
      </c>
      <c r="G20" s="86">
        <v>0</v>
      </c>
      <c r="H20" s="74">
        <v>3000</v>
      </c>
      <c r="I20" s="200" t="str">
        <f t="shared" si="0"/>
        <v>CORRECTO</v>
      </c>
      <c r="J20" s="232" t="s">
        <v>3244</v>
      </c>
      <c r="K20" s="69" t="s">
        <v>363</v>
      </c>
      <c r="L20" s="84" t="s">
        <v>227</v>
      </c>
      <c r="M20" s="135">
        <v>45940</v>
      </c>
      <c r="N20" s="75" t="s">
        <v>371</v>
      </c>
      <c r="O20" s="237"/>
      <c r="P20" s="240"/>
    </row>
    <row r="21" spans="1:16" x14ac:dyDescent="0.3">
      <c r="A21" s="16" t="s">
        <v>2625</v>
      </c>
      <c r="B21" s="16" t="s">
        <v>2849</v>
      </c>
      <c r="C21" s="28" t="s">
        <v>169</v>
      </c>
      <c r="D21" s="28" t="str">
        <f>IFERROR(VLOOKUP($C21,CUENTAS[],2,0),"")</f>
        <v>ACTIVOS FIJOS</v>
      </c>
      <c r="E21" s="28" t="str">
        <f>IFERROR(VLOOKUP($C21,CUENTAS[],3,0),"")</f>
        <v>MDE2025-007F</v>
      </c>
      <c r="F21" s="86">
        <v>3000</v>
      </c>
      <c r="G21" s="86">
        <v>0</v>
      </c>
      <c r="H21" s="74">
        <v>3000</v>
      </c>
      <c r="I21" s="200" t="str">
        <f t="shared" si="0"/>
        <v>CORRECTO</v>
      </c>
      <c r="J21" s="232" t="s">
        <v>3244</v>
      </c>
      <c r="K21" s="69" t="s">
        <v>363</v>
      </c>
      <c r="L21" s="84" t="s">
        <v>227</v>
      </c>
      <c r="M21" s="135">
        <v>45940</v>
      </c>
      <c r="N21" s="75" t="s">
        <v>371</v>
      </c>
      <c r="O21" s="237"/>
      <c r="P21" s="240"/>
    </row>
    <row r="22" spans="1:16" x14ac:dyDescent="0.3">
      <c r="A22" s="16" t="s">
        <v>666</v>
      </c>
      <c r="B22" s="16" t="s">
        <v>2850</v>
      </c>
      <c r="C22" s="28" t="s">
        <v>224</v>
      </c>
      <c r="D22" s="28" t="str">
        <f>IFERROR(VLOOKUP($C22,CUENTAS[],2,0),"")</f>
        <v>MATERIALES</v>
      </c>
      <c r="E22" s="28" t="str">
        <f>IFERROR(VLOOKUP($C22,CUENTAS[],3,0),"")</f>
        <v>MDE2025-004</v>
      </c>
      <c r="F22" s="86">
        <v>7662.06</v>
      </c>
      <c r="G22" s="86">
        <v>1225.93</v>
      </c>
      <c r="H22" s="74">
        <v>8888</v>
      </c>
      <c r="I22" s="200" t="str">
        <f t="shared" si="0"/>
        <v>REVISAR</v>
      </c>
      <c r="J22" s="232" t="s">
        <v>3244</v>
      </c>
      <c r="K22" s="69" t="s">
        <v>980</v>
      </c>
      <c r="L22" s="84" t="s">
        <v>227</v>
      </c>
      <c r="M22" s="135">
        <v>45940</v>
      </c>
      <c r="N22" s="75" t="s">
        <v>2911</v>
      </c>
      <c r="O22" s="237"/>
      <c r="P22" s="240"/>
    </row>
    <row r="23" spans="1:16" x14ac:dyDescent="0.3">
      <c r="A23" s="16" t="s">
        <v>2540</v>
      </c>
      <c r="B23" s="16" t="s">
        <v>2851</v>
      </c>
      <c r="C23" s="28" t="s">
        <v>159</v>
      </c>
      <c r="D23" s="28" t="str">
        <f>IFERROR(VLOOKUP($C23,CUENTAS[],2,0),"")</f>
        <v>GASTOS VARIOS</v>
      </c>
      <c r="E23" s="28" t="str">
        <f>IFERROR(VLOOKUP($C23,CUENTAS[],3,0),"")</f>
        <v>MDE2025-003A</v>
      </c>
      <c r="F23" s="86">
        <v>2201</v>
      </c>
      <c r="G23" s="86">
        <v>352.16</v>
      </c>
      <c r="H23" s="74">
        <v>2553.16</v>
      </c>
      <c r="I23" s="200" t="str">
        <f t="shared" si="0"/>
        <v>CORRECTO</v>
      </c>
      <c r="J23" s="232" t="s">
        <v>3244</v>
      </c>
      <c r="K23" s="69" t="s">
        <v>363</v>
      </c>
      <c r="L23" s="84" t="s">
        <v>227</v>
      </c>
      <c r="M23" s="135">
        <v>45940</v>
      </c>
      <c r="N23" s="75" t="s">
        <v>2912</v>
      </c>
      <c r="O23" s="237"/>
      <c r="P23" s="240"/>
    </row>
    <row r="24" spans="1:16" x14ac:dyDescent="0.3">
      <c r="A24" s="16" t="s">
        <v>508</v>
      </c>
      <c r="B24" s="16" t="s">
        <v>509</v>
      </c>
      <c r="C24" s="28" t="s">
        <v>224</v>
      </c>
      <c r="D24" s="28" t="str">
        <f>IFERROR(VLOOKUP($C24,CUENTAS[],2,0),"")</f>
        <v>MATERIALES</v>
      </c>
      <c r="E24" s="28" t="str">
        <f>IFERROR(VLOOKUP($C24,CUENTAS[],3,0),"")</f>
        <v>MDE2025-004</v>
      </c>
      <c r="F24" s="86">
        <v>18762.5</v>
      </c>
      <c r="G24" s="86">
        <v>3040</v>
      </c>
      <c r="H24" s="74">
        <v>21802.5</v>
      </c>
      <c r="I24" s="200" t="str">
        <f t="shared" si="0"/>
        <v>CORRECTO</v>
      </c>
      <c r="J24" s="232" t="s">
        <v>3244</v>
      </c>
      <c r="K24" s="69" t="s">
        <v>360</v>
      </c>
      <c r="L24" s="84" t="s">
        <v>227</v>
      </c>
      <c r="M24" s="135">
        <v>45940</v>
      </c>
      <c r="N24" s="75" t="s">
        <v>2913</v>
      </c>
      <c r="O24" s="237"/>
      <c r="P24" s="240"/>
    </row>
    <row r="25" spans="1:16" x14ac:dyDescent="0.3">
      <c r="A25" s="16" t="s">
        <v>2565</v>
      </c>
      <c r="B25" s="16" t="s">
        <v>2852</v>
      </c>
      <c r="C25" s="28" t="s">
        <v>224</v>
      </c>
      <c r="D25" s="28" t="str">
        <f>IFERROR(VLOOKUP($C25,CUENTAS[],2,0),"")</f>
        <v>MATERIALES</v>
      </c>
      <c r="E25" s="28" t="str">
        <f>IFERROR(VLOOKUP($C25,CUENTAS[],3,0),"")</f>
        <v>MDE2025-004</v>
      </c>
      <c r="F25" s="86">
        <v>3840</v>
      </c>
      <c r="G25" s="86">
        <v>614.4</v>
      </c>
      <c r="H25" s="74">
        <v>4454.3999999999996</v>
      </c>
      <c r="I25" s="200" t="str">
        <f t="shared" si="0"/>
        <v>CORRECTO</v>
      </c>
      <c r="J25" s="232" t="s">
        <v>3244</v>
      </c>
      <c r="K25" s="69" t="s">
        <v>980</v>
      </c>
      <c r="L25" s="84" t="s">
        <v>227</v>
      </c>
      <c r="M25" s="135">
        <v>45940</v>
      </c>
      <c r="N25" s="75" t="s">
        <v>2914</v>
      </c>
      <c r="O25" s="237"/>
      <c r="P25" s="240"/>
    </row>
    <row r="26" spans="1:16" x14ac:dyDescent="0.3">
      <c r="A26" s="16" t="s">
        <v>262</v>
      </c>
      <c r="B26" s="16" t="s">
        <v>2853</v>
      </c>
      <c r="C26" s="28" t="s">
        <v>224</v>
      </c>
      <c r="D26" s="28" t="str">
        <f>IFERROR(VLOOKUP($C26,CUENTAS[],2,0),"")</f>
        <v>MATERIALES</v>
      </c>
      <c r="E26" s="28" t="str">
        <f>IFERROR(VLOOKUP($C26,CUENTAS[],3,0),"")</f>
        <v>MDE2025-004</v>
      </c>
      <c r="F26" s="86">
        <v>25000</v>
      </c>
      <c r="G26" s="86">
        <v>0</v>
      </c>
      <c r="H26" s="74">
        <v>25000</v>
      </c>
      <c r="I26" s="200" t="str">
        <f t="shared" si="0"/>
        <v>CORRECTO</v>
      </c>
      <c r="J26" s="232" t="s">
        <v>3244</v>
      </c>
      <c r="K26" s="69" t="s">
        <v>360</v>
      </c>
      <c r="L26" s="84" t="s">
        <v>227</v>
      </c>
      <c r="M26" s="135">
        <v>45940</v>
      </c>
      <c r="N26" s="75" t="s">
        <v>371</v>
      </c>
      <c r="O26" s="237"/>
      <c r="P26" s="240"/>
    </row>
    <row r="27" spans="1:16" x14ac:dyDescent="0.3">
      <c r="A27" s="16" t="s">
        <v>264</v>
      </c>
      <c r="B27" s="16" t="s">
        <v>2853</v>
      </c>
      <c r="C27" s="28" t="s">
        <v>224</v>
      </c>
      <c r="D27" s="28" t="str">
        <f>IFERROR(VLOOKUP($C27,CUENTAS[],2,0),"")</f>
        <v>MATERIALES</v>
      </c>
      <c r="E27" s="28" t="str">
        <f>IFERROR(VLOOKUP($C27,CUENTAS[],3,0),"")</f>
        <v>MDE2025-004</v>
      </c>
      <c r="F27" s="86">
        <v>25000</v>
      </c>
      <c r="G27" s="86">
        <v>0</v>
      </c>
      <c r="H27" s="74">
        <v>25000</v>
      </c>
      <c r="I27" s="200" t="str">
        <f t="shared" si="0"/>
        <v>CORRECTO</v>
      </c>
      <c r="J27" s="232" t="s">
        <v>3244</v>
      </c>
      <c r="K27" s="69" t="s">
        <v>360</v>
      </c>
      <c r="L27" s="84" t="s">
        <v>227</v>
      </c>
      <c r="M27" s="135">
        <v>45940</v>
      </c>
      <c r="N27" s="75" t="s">
        <v>371</v>
      </c>
      <c r="O27" s="237"/>
      <c r="P27" s="240"/>
    </row>
    <row r="28" spans="1:16" x14ac:dyDescent="0.3">
      <c r="A28" s="16" t="s">
        <v>266</v>
      </c>
      <c r="B28" s="16" t="s">
        <v>2853</v>
      </c>
      <c r="C28" s="28" t="s">
        <v>224</v>
      </c>
      <c r="D28" s="28" t="str">
        <f>IFERROR(VLOOKUP($C28,CUENTAS[],2,0),"")</f>
        <v>MATERIALES</v>
      </c>
      <c r="E28" s="28" t="str">
        <f>IFERROR(VLOOKUP($C28,CUENTAS[],3,0),"")</f>
        <v>MDE2025-004</v>
      </c>
      <c r="F28" s="86">
        <v>25000</v>
      </c>
      <c r="G28" s="86">
        <v>0</v>
      </c>
      <c r="H28" s="74">
        <v>25000</v>
      </c>
      <c r="I28" s="200" t="str">
        <f t="shared" si="0"/>
        <v>CORRECTO</v>
      </c>
      <c r="J28" s="232" t="s">
        <v>3244</v>
      </c>
      <c r="K28" s="69" t="s">
        <v>360</v>
      </c>
      <c r="L28" s="84" t="s">
        <v>227</v>
      </c>
      <c r="M28" s="135">
        <v>45940</v>
      </c>
      <c r="N28" s="75" t="s">
        <v>371</v>
      </c>
      <c r="O28" s="237"/>
      <c r="P28" s="240"/>
    </row>
    <row r="29" spans="1:16" x14ac:dyDescent="0.3">
      <c r="A29" s="16" t="s">
        <v>265</v>
      </c>
      <c r="B29" s="16" t="s">
        <v>2853</v>
      </c>
      <c r="C29" s="28" t="s">
        <v>224</v>
      </c>
      <c r="D29" s="28" t="str">
        <f>IFERROR(VLOOKUP($C29,CUENTAS[],2,0),"")</f>
        <v>MATERIALES</v>
      </c>
      <c r="E29" s="28" t="str">
        <f>IFERROR(VLOOKUP($C29,CUENTAS[],3,0),"")</f>
        <v>MDE2025-004</v>
      </c>
      <c r="F29" s="86">
        <v>25000</v>
      </c>
      <c r="G29" s="86">
        <v>0</v>
      </c>
      <c r="H29" s="74">
        <v>25000</v>
      </c>
      <c r="I29" s="200" t="str">
        <f t="shared" si="0"/>
        <v>CORRECTO</v>
      </c>
      <c r="J29" s="232" t="s">
        <v>3244</v>
      </c>
      <c r="K29" s="69" t="s">
        <v>360</v>
      </c>
      <c r="L29" s="84" t="s">
        <v>227</v>
      </c>
      <c r="M29" s="136">
        <v>45940</v>
      </c>
      <c r="N29" s="75" t="s">
        <v>371</v>
      </c>
      <c r="O29" s="237"/>
      <c r="P29" s="240"/>
    </row>
    <row r="30" spans="1:16" x14ac:dyDescent="0.3">
      <c r="A30" s="16" t="s">
        <v>1109</v>
      </c>
      <c r="B30" s="16" t="s">
        <v>2854</v>
      </c>
      <c r="C30" s="28" t="s">
        <v>224</v>
      </c>
      <c r="D30" s="28" t="str">
        <f>IFERROR(VLOOKUP($C30,CUENTAS[],2,0),"")</f>
        <v>MATERIALES</v>
      </c>
      <c r="E30" s="28" t="str">
        <f>IFERROR(VLOOKUP($C30,CUENTAS[],3,0),"")</f>
        <v>MDE2025-004</v>
      </c>
      <c r="F30" s="86">
        <v>7508</v>
      </c>
      <c r="G30" s="86">
        <v>1201.28</v>
      </c>
      <c r="H30" s="74">
        <v>8709.2800000000007</v>
      </c>
      <c r="I30" s="200" t="str">
        <f t="shared" si="0"/>
        <v>CORRECTO</v>
      </c>
      <c r="J30" s="232" t="s">
        <v>3244</v>
      </c>
      <c r="K30" s="69" t="s">
        <v>363</v>
      </c>
      <c r="L30" s="84" t="s">
        <v>227</v>
      </c>
      <c r="M30" s="136">
        <v>45946</v>
      </c>
      <c r="N30" s="75" t="s">
        <v>2915</v>
      </c>
      <c r="O30" s="237"/>
      <c r="P30" s="240"/>
    </row>
    <row r="31" spans="1:16" x14ac:dyDescent="0.3">
      <c r="A31" s="16" t="s">
        <v>1607</v>
      </c>
      <c r="B31" s="16" t="s">
        <v>2855</v>
      </c>
      <c r="C31" s="28" t="s">
        <v>224</v>
      </c>
      <c r="D31" s="28" t="str">
        <f>IFERROR(VLOOKUP($C31,CUENTAS[],2,0),"")</f>
        <v>MATERIALES</v>
      </c>
      <c r="E31" s="28" t="str">
        <f>IFERROR(VLOOKUP($C31,CUENTAS[],3,0),"")</f>
        <v>MDE2025-004</v>
      </c>
      <c r="F31" s="86">
        <v>9250</v>
      </c>
      <c r="G31" s="86">
        <v>1480</v>
      </c>
      <c r="H31" s="74">
        <v>10730</v>
      </c>
      <c r="I31" s="200" t="str">
        <f t="shared" si="0"/>
        <v>CORRECTO</v>
      </c>
      <c r="J31" s="232" t="s">
        <v>3244</v>
      </c>
      <c r="K31" s="69" t="s">
        <v>980</v>
      </c>
      <c r="L31" s="84" t="s">
        <v>227</v>
      </c>
      <c r="M31" s="135">
        <v>45946</v>
      </c>
      <c r="N31" s="75" t="s">
        <v>2916</v>
      </c>
      <c r="O31" s="237"/>
      <c r="P31" s="240"/>
    </row>
    <row r="32" spans="1:16" x14ac:dyDescent="0.3">
      <c r="A32" s="16" t="s">
        <v>616</v>
      </c>
      <c r="B32" s="16" t="s">
        <v>2856</v>
      </c>
      <c r="C32" s="28" t="s">
        <v>223</v>
      </c>
      <c r="D32" s="28" t="str">
        <f>IFERROR(VLOOKUP($C32,CUENTAS[],2,0),"")</f>
        <v>MANTENIMIENTO</v>
      </c>
      <c r="E32" s="28" t="str">
        <f>IFERROR(VLOOKUP($C32,CUENTAS[],3,0),"")</f>
        <v>MDE2025-009B</v>
      </c>
      <c r="F32" s="86">
        <v>9961.2099999999991</v>
      </c>
      <c r="G32" s="86">
        <v>1593.79</v>
      </c>
      <c r="H32" s="74">
        <v>11555</v>
      </c>
      <c r="I32" s="200" t="str">
        <f t="shared" si="0"/>
        <v>CORRECTO</v>
      </c>
      <c r="J32" s="232" t="s">
        <v>3244</v>
      </c>
      <c r="K32" s="69" t="s">
        <v>980</v>
      </c>
      <c r="L32" s="84" t="s">
        <v>227</v>
      </c>
      <c r="M32" s="135">
        <v>45946</v>
      </c>
      <c r="N32" s="75" t="s">
        <v>2917</v>
      </c>
      <c r="O32" s="237"/>
      <c r="P32" s="240"/>
    </row>
    <row r="33" spans="1:16" x14ac:dyDescent="0.3">
      <c r="A33" s="16" t="s">
        <v>232</v>
      </c>
      <c r="B33" s="16" t="s">
        <v>2857</v>
      </c>
      <c r="C33" s="28" t="s">
        <v>224</v>
      </c>
      <c r="D33" s="28" t="str">
        <f>IFERROR(VLOOKUP($C33,CUENTAS[],2,0),"")</f>
        <v>MATERIALES</v>
      </c>
      <c r="E33" s="28" t="str">
        <f>IFERROR(VLOOKUP($C33,CUENTAS[],3,0),"")</f>
        <v>MDE2025-004</v>
      </c>
      <c r="F33" s="86">
        <v>47039.97</v>
      </c>
      <c r="G33" s="86">
        <v>9006.39</v>
      </c>
      <c r="H33" s="74">
        <v>56046.37</v>
      </c>
      <c r="I33" s="200" t="str">
        <f t="shared" si="0"/>
        <v>REVISAR</v>
      </c>
      <c r="J33" s="232" t="s">
        <v>3244</v>
      </c>
      <c r="K33" s="69" t="s">
        <v>980</v>
      </c>
      <c r="L33" s="84" t="s">
        <v>227</v>
      </c>
      <c r="M33" s="135">
        <v>45946</v>
      </c>
      <c r="N33" s="75" t="s">
        <v>2918</v>
      </c>
      <c r="O33" s="237"/>
      <c r="P33" s="240"/>
    </row>
    <row r="34" spans="1:16" x14ac:dyDescent="0.3">
      <c r="A34" s="16" t="s">
        <v>1607</v>
      </c>
      <c r="B34" s="16" t="s">
        <v>2858</v>
      </c>
      <c r="C34" s="28" t="s">
        <v>224</v>
      </c>
      <c r="D34" s="28" t="str">
        <f>IFERROR(VLOOKUP($C34,CUENTAS[],2,0),"")</f>
        <v>MATERIALES</v>
      </c>
      <c r="E34" s="28" t="str">
        <f>IFERROR(VLOOKUP($C34,CUENTAS[],3,0),"")</f>
        <v>MDE2025-004</v>
      </c>
      <c r="F34" s="86">
        <v>15000</v>
      </c>
      <c r="G34" s="86">
        <v>2400</v>
      </c>
      <c r="H34" s="74">
        <v>17400</v>
      </c>
      <c r="I34" s="200" t="str">
        <f t="shared" si="0"/>
        <v>CORRECTO</v>
      </c>
      <c r="J34" s="232" t="s">
        <v>3244</v>
      </c>
      <c r="K34" s="69" t="s">
        <v>980</v>
      </c>
      <c r="L34" s="84" t="s">
        <v>227</v>
      </c>
      <c r="M34" s="135">
        <v>45946</v>
      </c>
      <c r="N34" s="75" t="s">
        <v>226</v>
      </c>
      <c r="O34" s="237"/>
      <c r="P34" s="240"/>
    </row>
    <row r="35" spans="1:16" x14ac:dyDescent="0.3">
      <c r="A35" s="16" t="s">
        <v>534</v>
      </c>
      <c r="B35" s="16" t="s">
        <v>2859</v>
      </c>
      <c r="C35" s="28" t="s">
        <v>224</v>
      </c>
      <c r="D35" s="28" t="str">
        <f>IFERROR(VLOOKUP($C35,CUENTAS[],2,0),"")</f>
        <v>MATERIALES</v>
      </c>
      <c r="E35" s="28" t="str">
        <f>IFERROR(VLOOKUP($C35,CUENTAS[],3,0),"")</f>
        <v>MDE2025-004</v>
      </c>
      <c r="F35" s="86">
        <v>15741.82</v>
      </c>
      <c r="G35" s="86">
        <v>2518.69</v>
      </c>
      <c r="H35" s="74">
        <v>18260.509999999998</v>
      </c>
      <c r="I35" s="200" t="str">
        <f t="shared" si="0"/>
        <v>CORRECTO</v>
      </c>
      <c r="J35" s="232" t="s">
        <v>3244</v>
      </c>
      <c r="K35" s="69" t="s">
        <v>2919</v>
      </c>
      <c r="L35" s="84" t="s">
        <v>227</v>
      </c>
      <c r="M35" s="135">
        <v>45946</v>
      </c>
      <c r="N35" s="75" t="s">
        <v>2920</v>
      </c>
      <c r="O35" s="237"/>
      <c r="P35" s="240"/>
    </row>
    <row r="36" spans="1:16" x14ac:dyDescent="0.3">
      <c r="A36" s="16" t="s">
        <v>2860</v>
      </c>
      <c r="B36" s="16" t="s">
        <v>2861</v>
      </c>
      <c r="C36" s="28" t="s">
        <v>121</v>
      </c>
      <c r="D36" s="28" t="str">
        <f>IFERROR(VLOOKUP($C36,CUENTAS[],2,0),"")</f>
        <v>GASTOS FIJOS</v>
      </c>
      <c r="E36" s="28" t="str">
        <f>IFERROR(VLOOKUP($C36,CUENTAS[],3,0),"")</f>
        <v>MDE2025-002K</v>
      </c>
      <c r="F36" s="86">
        <v>0</v>
      </c>
      <c r="G36" s="86">
        <v>0</v>
      </c>
      <c r="H36" s="74">
        <v>0</v>
      </c>
      <c r="I36" s="200" t="str">
        <f t="shared" si="0"/>
        <v>CORRECTO</v>
      </c>
      <c r="J36" s="232" t="s">
        <v>3244</v>
      </c>
      <c r="K36" s="69" t="s">
        <v>1954</v>
      </c>
      <c r="L36" s="84" t="s">
        <v>227</v>
      </c>
      <c r="M36" s="135">
        <v>45946</v>
      </c>
      <c r="N36" s="75" t="s">
        <v>105</v>
      </c>
      <c r="O36" s="237"/>
      <c r="P36" s="240"/>
    </row>
    <row r="37" spans="1:16" x14ac:dyDescent="0.3">
      <c r="A37" s="16" t="s">
        <v>1744</v>
      </c>
      <c r="B37" s="16" t="s">
        <v>2862</v>
      </c>
      <c r="C37" s="28" t="s">
        <v>224</v>
      </c>
      <c r="D37" s="28" t="str">
        <f>IFERROR(VLOOKUP($C37,CUENTAS[],2,0),"")</f>
        <v>MATERIALES</v>
      </c>
      <c r="E37" s="28" t="str">
        <f>IFERROR(VLOOKUP($C37,CUENTAS[],3,0),"")</f>
        <v>MDE2025-004</v>
      </c>
      <c r="F37" s="86">
        <v>6724.13</v>
      </c>
      <c r="G37" s="86">
        <v>1075.8599999999999</v>
      </c>
      <c r="H37" s="74">
        <v>7800</v>
      </c>
      <c r="I37" s="200" t="str">
        <f t="shared" si="0"/>
        <v>REVISAR</v>
      </c>
      <c r="J37" s="232" t="s">
        <v>3244</v>
      </c>
      <c r="K37" s="69" t="s">
        <v>980</v>
      </c>
      <c r="L37" s="84" t="s">
        <v>227</v>
      </c>
      <c r="M37" s="135">
        <v>45946</v>
      </c>
      <c r="N37" s="75" t="s">
        <v>2921</v>
      </c>
      <c r="O37" s="237"/>
      <c r="P37" s="240"/>
    </row>
    <row r="38" spans="1:16" x14ac:dyDescent="0.3">
      <c r="A38" s="16" t="s">
        <v>1144</v>
      </c>
      <c r="B38" s="16" t="s">
        <v>2863</v>
      </c>
      <c r="C38" s="28" t="s">
        <v>224</v>
      </c>
      <c r="D38" s="28" t="str">
        <f>IFERROR(VLOOKUP($C38,CUENTAS[],2,0),"")</f>
        <v>MATERIALES</v>
      </c>
      <c r="E38" s="28" t="str">
        <f>IFERROR(VLOOKUP($C38,CUENTAS[],3,0),"")</f>
        <v>MDE2025-004</v>
      </c>
      <c r="F38" s="86">
        <v>33475</v>
      </c>
      <c r="G38" s="86">
        <v>5356</v>
      </c>
      <c r="H38" s="74">
        <v>38831</v>
      </c>
      <c r="I38" s="200" t="str">
        <f t="shared" si="0"/>
        <v>CORRECTO</v>
      </c>
      <c r="J38" s="232" t="s">
        <v>3244</v>
      </c>
      <c r="K38" s="69" t="s">
        <v>980</v>
      </c>
      <c r="L38" s="84" t="s">
        <v>227</v>
      </c>
      <c r="M38" s="136">
        <v>45946</v>
      </c>
      <c r="N38" s="75" t="s">
        <v>2922</v>
      </c>
      <c r="O38" s="237"/>
      <c r="P38" s="240"/>
    </row>
    <row r="39" spans="1:16" x14ac:dyDescent="0.3">
      <c r="A39" s="16" t="s">
        <v>1109</v>
      </c>
      <c r="B39" s="16" t="s">
        <v>2573</v>
      </c>
      <c r="C39" s="28" t="s">
        <v>224</v>
      </c>
      <c r="D39" s="28" t="str">
        <f>IFERROR(VLOOKUP($C39,CUENTAS[],2,0),"")</f>
        <v>MATERIALES</v>
      </c>
      <c r="E39" s="28" t="str">
        <f>IFERROR(VLOOKUP($C39,CUENTAS[],3,0),"")</f>
        <v>MDE2025-004</v>
      </c>
      <c r="F39" s="86">
        <v>27218.87</v>
      </c>
      <c r="G39" s="86">
        <v>4355.0200000000004</v>
      </c>
      <c r="H39" s="74">
        <v>31573.89</v>
      </c>
      <c r="I39" s="200" t="str">
        <f t="shared" si="0"/>
        <v>CORRECTO</v>
      </c>
      <c r="J39" s="232" t="s">
        <v>3244</v>
      </c>
      <c r="K39" s="69" t="s">
        <v>363</v>
      </c>
      <c r="L39" s="84" t="s">
        <v>227</v>
      </c>
      <c r="M39" s="135">
        <v>45951</v>
      </c>
      <c r="N39" s="75" t="s">
        <v>2923</v>
      </c>
      <c r="O39" s="237"/>
      <c r="P39" s="240"/>
    </row>
    <row r="40" spans="1:16" x14ac:dyDescent="0.3">
      <c r="A40" s="16" t="s">
        <v>1109</v>
      </c>
      <c r="B40" s="16" t="s">
        <v>2864</v>
      </c>
      <c r="C40" s="28" t="s">
        <v>224</v>
      </c>
      <c r="D40" s="28" t="str">
        <f>IFERROR(VLOOKUP($C40,CUENTAS[],2,0),"")</f>
        <v>MATERIALES</v>
      </c>
      <c r="E40" s="28" t="str">
        <f>IFERROR(VLOOKUP($C40,CUENTAS[],3,0),"")</f>
        <v>MDE2025-004</v>
      </c>
      <c r="F40" s="86">
        <v>42539.38</v>
      </c>
      <c r="G40" s="86">
        <v>6806.3</v>
      </c>
      <c r="H40" s="74">
        <v>49345.68</v>
      </c>
      <c r="I40" s="200" t="str">
        <f t="shared" si="0"/>
        <v>CORRECTO</v>
      </c>
      <c r="J40" s="232" t="s">
        <v>3244</v>
      </c>
      <c r="K40" s="69" t="s">
        <v>363</v>
      </c>
      <c r="L40" s="84" t="s">
        <v>227</v>
      </c>
      <c r="M40" s="137">
        <v>45951</v>
      </c>
      <c r="N40" s="75" t="s">
        <v>2924</v>
      </c>
      <c r="O40" s="237"/>
      <c r="P40" s="240"/>
    </row>
    <row r="41" spans="1:16" x14ac:dyDescent="0.3">
      <c r="A41" s="16" t="s">
        <v>279</v>
      </c>
      <c r="B41" s="16" t="s">
        <v>2865</v>
      </c>
      <c r="C41" s="28" t="s">
        <v>224</v>
      </c>
      <c r="D41" s="28" t="str">
        <f>IFERROR(VLOOKUP($C41,CUENTAS[],2,0),"")</f>
        <v>MATERIALES</v>
      </c>
      <c r="E41" s="28" t="str">
        <f>IFERROR(VLOOKUP($C41,CUENTAS[],3,0),"")</f>
        <v>MDE2025-004</v>
      </c>
      <c r="F41" s="86">
        <v>9522</v>
      </c>
      <c r="G41" s="86">
        <v>0</v>
      </c>
      <c r="H41" s="74">
        <v>9522</v>
      </c>
      <c r="I41" s="200" t="str">
        <f t="shared" si="0"/>
        <v>CORRECTO</v>
      </c>
      <c r="J41" s="232" t="s">
        <v>3244</v>
      </c>
      <c r="K41" s="69" t="s">
        <v>363</v>
      </c>
      <c r="L41" s="84" t="s">
        <v>227</v>
      </c>
      <c r="M41" s="137">
        <v>45952</v>
      </c>
      <c r="N41" s="75" t="s">
        <v>410</v>
      </c>
      <c r="O41" s="237"/>
      <c r="P41" s="240"/>
    </row>
    <row r="42" spans="1:16" x14ac:dyDescent="0.3">
      <c r="A42" s="16" t="s">
        <v>250</v>
      </c>
      <c r="B42" s="16" t="s">
        <v>2866</v>
      </c>
      <c r="C42" s="28" t="s">
        <v>224</v>
      </c>
      <c r="D42" s="28" t="str">
        <f>IFERROR(VLOOKUP($C42,CUENTAS[],2,0),"")</f>
        <v>MATERIALES</v>
      </c>
      <c r="E42" s="28" t="str">
        <f>IFERROR(VLOOKUP($C42,CUENTAS[],3,0),"")</f>
        <v>MDE2025-004</v>
      </c>
      <c r="F42" s="86">
        <v>80000</v>
      </c>
      <c r="G42" s="86">
        <v>0</v>
      </c>
      <c r="H42" s="74">
        <v>80000</v>
      </c>
      <c r="I42" s="200" t="str">
        <f t="shared" si="0"/>
        <v>CORRECTO</v>
      </c>
      <c r="J42" s="232" t="s">
        <v>3244</v>
      </c>
      <c r="K42" s="69" t="s">
        <v>363</v>
      </c>
      <c r="L42" s="84" t="s">
        <v>227</v>
      </c>
      <c r="M42" s="135">
        <v>45951</v>
      </c>
      <c r="N42" s="75" t="s">
        <v>371</v>
      </c>
      <c r="O42" s="237"/>
      <c r="P42" s="240"/>
    </row>
    <row r="43" spans="1:16" x14ac:dyDescent="0.3">
      <c r="A43" s="16" t="s">
        <v>283</v>
      </c>
      <c r="B43" s="16">
        <v>2681198</v>
      </c>
      <c r="C43" s="28" t="s">
        <v>120</v>
      </c>
      <c r="D43" s="28" t="str">
        <f>IFERROR(VLOOKUP($C43,CUENTAS[],2,0),"")</f>
        <v>TOKA</v>
      </c>
      <c r="E43" s="28" t="str">
        <f>IFERROR(VLOOKUP($C43,CUENTAS[],3,0),"")</f>
        <v>TOK2025-001C</v>
      </c>
      <c r="F43" s="86">
        <v>750</v>
      </c>
      <c r="G43" s="86">
        <v>120</v>
      </c>
      <c r="H43" s="74">
        <v>870</v>
      </c>
      <c r="I43" s="200" t="str">
        <f t="shared" si="0"/>
        <v>CORRECTO</v>
      </c>
      <c r="J43" s="232" t="s">
        <v>3244</v>
      </c>
      <c r="K43" s="69" t="s">
        <v>2230</v>
      </c>
      <c r="L43" s="84" t="s">
        <v>227</v>
      </c>
      <c r="M43" s="135">
        <v>45944</v>
      </c>
      <c r="N43" s="75" t="s">
        <v>570</v>
      </c>
      <c r="O43" s="237"/>
      <c r="P43" s="240"/>
    </row>
    <row r="44" spans="1:16" x14ac:dyDescent="0.3">
      <c r="A44" s="16" t="s">
        <v>283</v>
      </c>
      <c r="B44" s="16">
        <v>123</v>
      </c>
      <c r="C44" s="28" t="s">
        <v>120</v>
      </c>
      <c r="D44" s="28" t="str">
        <f>IFERROR(VLOOKUP($C44,CUENTAS[],2,0),"")</f>
        <v>TOKA</v>
      </c>
      <c r="E44" s="28" t="str">
        <f>IFERROR(VLOOKUP($C44,CUENTAS[],3,0),"")</f>
        <v>TOK2025-001C</v>
      </c>
      <c r="F44" s="86">
        <v>319.2</v>
      </c>
      <c r="G44" s="86">
        <v>0</v>
      </c>
      <c r="H44" s="74">
        <v>314.2</v>
      </c>
      <c r="I44" s="200" t="str">
        <f t="shared" si="0"/>
        <v>REVISAR</v>
      </c>
      <c r="J44" s="232" t="s">
        <v>3244</v>
      </c>
      <c r="K44" s="69" t="s">
        <v>363</v>
      </c>
      <c r="L44" s="84" t="s">
        <v>227</v>
      </c>
      <c r="M44" s="135">
        <v>45940</v>
      </c>
      <c r="N44" s="75" t="s">
        <v>570</v>
      </c>
      <c r="O44" s="237"/>
      <c r="P44" s="240"/>
    </row>
    <row r="45" spans="1:16" x14ac:dyDescent="0.3">
      <c r="A45" s="16" t="s">
        <v>283</v>
      </c>
      <c r="B45" s="16">
        <v>2682378</v>
      </c>
      <c r="C45" s="28" t="s">
        <v>120</v>
      </c>
      <c r="D45" s="28" t="str">
        <f>IFERROR(VLOOKUP($C45,CUENTAS[],2,0),"")</f>
        <v>TOKA</v>
      </c>
      <c r="E45" s="28" t="str">
        <f>IFERROR(VLOOKUP($C45,CUENTAS[],3,0),"")</f>
        <v>TOK2025-001C</v>
      </c>
      <c r="F45" s="86">
        <v>400</v>
      </c>
      <c r="G45" s="86">
        <v>36</v>
      </c>
      <c r="H45" s="74">
        <v>436</v>
      </c>
      <c r="I45" s="200" t="str">
        <f t="shared" si="0"/>
        <v>CORRECTO</v>
      </c>
      <c r="J45" s="232" t="s">
        <v>3244</v>
      </c>
      <c r="K45" s="69" t="s">
        <v>363</v>
      </c>
      <c r="L45" s="84" t="s">
        <v>227</v>
      </c>
      <c r="M45" s="135">
        <v>45940</v>
      </c>
      <c r="N45" s="75" t="s">
        <v>570</v>
      </c>
      <c r="O45" s="237"/>
      <c r="P45" s="240"/>
    </row>
    <row r="46" spans="1:16" x14ac:dyDescent="0.3">
      <c r="A46" s="16" t="s">
        <v>1144</v>
      </c>
      <c r="B46" s="16" t="s">
        <v>2867</v>
      </c>
      <c r="C46" s="28" t="s">
        <v>224</v>
      </c>
      <c r="D46" s="28" t="str">
        <f>IFERROR(VLOOKUP($C46,CUENTAS[],2,0),"")</f>
        <v>MATERIALES</v>
      </c>
      <c r="E46" s="28" t="str">
        <f>IFERROR(VLOOKUP($C46,CUENTAS[],3,0),"")</f>
        <v>MDE2025-004</v>
      </c>
      <c r="F46" s="86">
        <v>47908.5</v>
      </c>
      <c r="G46" s="86">
        <v>7665.36</v>
      </c>
      <c r="H46" s="74">
        <v>55573.86</v>
      </c>
      <c r="I46" s="200" t="str">
        <f t="shared" si="0"/>
        <v>CORRECTO</v>
      </c>
      <c r="J46" s="232" t="s">
        <v>3244</v>
      </c>
      <c r="K46" s="69" t="s">
        <v>980</v>
      </c>
      <c r="L46" s="84" t="s">
        <v>227</v>
      </c>
      <c r="M46" s="135">
        <v>45954</v>
      </c>
      <c r="N46" s="75" t="s">
        <v>2925</v>
      </c>
      <c r="O46" s="237"/>
      <c r="P46" s="240"/>
    </row>
    <row r="47" spans="1:16" x14ac:dyDescent="0.3">
      <c r="A47" s="16" t="s">
        <v>2868</v>
      </c>
      <c r="B47" s="16" t="s">
        <v>2869</v>
      </c>
      <c r="C47" s="28" t="s">
        <v>224</v>
      </c>
      <c r="D47" s="28" t="str">
        <f>IFERROR(VLOOKUP($C47,CUENTAS[],2,0),"")</f>
        <v>MATERIALES</v>
      </c>
      <c r="E47" s="28" t="str">
        <f>IFERROR(VLOOKUP($C47,CUENTAS[],3,0),"")</f>
        <v>MDE2025-004</v>
      </c>
      <c r="F47" s="86">
        <v>4137.93</v>
      </c>
      <c r="G47" s="86">
        <v>662.06</v>
      </c>
      <c r="H47" s="74">
        <v>4800</v>
      </c>
      <c r="I47" s="200" t="str">
        <f t="shared" si="0"/>
        <v>REVISAR</v>
      </c>
      <c r="J47" s="232" t="s">
        <v>3244</v>
      </c>
      <c r="K47" s="69" t="s">
        <v>980</v>
      </c>
      <c r="L47" s="84" t="s">
        <v>227</v>
      </c>
      <c r="M47" s="135">
        <v>45954</v>
      </c>
      <c r="N47" s="75" t="s">
        <v>226</v>
      </c>
      <c r="O47" s="237"/>
      <c r="P47" s="240"/>
    </row>
    <row r="48" spans="1:16" x14ac:dyDescent="0.3">
      <c r="A48" s="16" t="s">
        <v>232</v>
      </c>
      <c r="B48" s="16" t="s">
        <v>2870</v>
      </c>
      <c r="C48" s="28" t="s">
        <v>224</v>
      </c>
      <c r="D48" s="28" t="str">
        <f>IFERROR(VLOOKUP($C48,CUENTAS[],2,0),"")</f>
        <v>MATERIALES</v>
      </c>
      <c r="E48" s="28" t="str">
        <f>IFERROR(VLOOKUP($C48,CUENTAS[],3,0),"")</f>
        <v>MDE2025-004</v>
      </c>
      <c r="F48" s="86">
        <v>47917.56</v>
      </c>
      <c r="G48" s="86">
        <v>7666.81</v>
      </c>
      <c r="H48" s="74">
        <v>82524.37</v>
      </c>
      <c r="I48" s="200" t="str">
        <f t="shared" si="0"/>
        <v>REVISAR</v>
      </c>
      <c r="J48" s="232" t="s">
        <v>3244</v>
      </c>
      <c r="K48" s="69" t="s">
        <v>980</v>
      </c>
      <c r="L48" s="84" t="s">
        <v>227</v>
      </c>
      <c r="M48" s="135">
        <v>45954</v>
      </c>
      <c r="N48" s="75" t="s">
        <v>2926</v>
      </c>
      <c r="O48" s="237"/>
      <c r="P48" s="240"/>
    </row>
    <row r="49" spans="1:16" x14ac:dyDescent="0.3">
      <c r="A49" s="16" t="s">
        <v>310</v>
      </c>
      <c r="B49" s="16" t="s">
        <v>2871</v>
      </c>
      <c r="C49" s="28" t="s">
        <v>224</v>
      </c>
      <c r="D49" s="28" t="str">
        <f>IFERROR(VLOOKUP($C49,CUENTAS[],2,0),"")</f>
        <v>MATERIALES</v>
      </c>
      <c r="E49" s="28" t="str">
        <f>IFERROR(VLOOKUP($C49,CUENTAS[],3,0),"")</f>
        <v>MDE2025-004</v>
      </c>
      <c r="F49" s="86">
        <v>1492.4</v>
      </c>
      <c r="G49" s="86">
        <v>238.78</v>
      </c>
      <c r="H49" s="74">
        <v>1731.18</v>
      </c>
      <c r="I49" s="200" t="str">
        <f t="shared" si="0"/>
        <v>CORRECTO</v>
      </c>
      <c r="J49" s="232" t="s">
        <v>3244</v>
      </c>
      <c r="K49" s="69" t="s">
        <v>980</v>
      </c>
      <c r="L49" s="84" t="s">
        <v>227</v>
      </c>
      <c r="M49" s="135">
        <v>45954</v>
      </c>
      <c r="N49" s="75" t="s">
        <v>2927</v>
      </c>
      <c r="O49" s="237"/>
      <c r="P49" s="240"/>
    </row>
    <row r="50" spans="1:16" x14ac:dyDescent="0.3">
      <c r="A50" s="16" t="s">
        <v>692</v>
      </c>
      <c r="B50" s="16" t="s">
        <v>2872</v>
      </c>
      <c r="C50" s="28" t="s">
        <v>224</v>
      </c>
      <c r="D50" s="28" t="str">
        <f>IFERROR(VLOOKUP($C50,CUENTAS[],2,0),"")</f>
        <v>MATERIALES</v>
      </c>
      <c r="E50" s="28" t="str">
        <f>IFERROR(VLOOKUP($C50,CUENTAS[],3,0),"")</f>
        <v>MDE2025-004</v>
      </c>
      <c r="F50" s="86">
        <v>2200</v>
      </c>
      <c r="G50" s="86">
        <v>352</v>
      </c>
      <c r="H50" s="74">
        <v>2552</v>
      </c>
      <c r="I50" s="200" t="str">
        <f t="shared" si="0"/>
        <v>CORRECTO</v>
      </c>
      <c r="J50" s="232" t="s">
        <v>3244</v>
      </c>
      <c r="K50" s="69" t="s">
        <v>980</v>
      </c>
      <c r="L50" s="84" t="s">
        <v>227</v>
      </c>
      <c r="M50" s="135">
        <v>45954</v>
      </c>
      <c r="N50" s="75" t="s">
        <v>2928</v>
      </c>
      <c r="O50" s="237"/>
      <c r="P50" s="240"/>
    </row>
    <row r="51" spans="1:16" x14ac:dyDescent="0.3">
      <c r="A51" s="16" t="s">
        <v>666</v>
      </c>
      <c r="B51" s="16" t="s">
        <v>2873</v>
      </c>
      <c r="C51" s="28" t="s">
        <v>224</v>
      </c>
      <c r="D51" s="28" t="str">
        <f>IFERROR(VLOOKUP($C51,CUENTAS[],2,0),"")</f>
        <v>MATERIALES</v>
      </c>
      <c r="E51" s="28" t="str">
        <f>IFERROR(VLOOKUP($C51,CUENTAS[],3,0),"")</f>
        <v>MDE2025-004</v>
      </c>
      <c r="F51" s="86">
        <v>13222.75</v>
      </c>
      <c r="G51" s="86">
        <v>2115.64</v>
      </c>
      <c r="H51" s="74">
        <v>15338.39</v>
      </c>
      <c r="I51" s="200" t="str">
        <f t="shared" si="0"/>
        <v>CORRECTO</v>
      </c>
      <c r="J51" s="232" t="s">
        <v>3244</v>
      </c>
      <c r="K51" s="69" t="s">
        <v>980</v>
      </c>
      <c r="L51" s="84" t="s">
        <v>227</v>
      </c>
      <c r="M51" s="136">
        <v>45954</v>
      </c>
      <c r="N51" s="75" t="s">
        <v>2929</v>
      </c>
      <c r="O51" s="237"/>
      <c r="P51" s="240"/>
    </row>
    <row r="52" spans="1:16" x14ac:dyDescent="0.3">
      <c r="A52" s="16" t="s">
        <v>1129</v>
      </c>
      <c r="B52" s="16" t="s">
        <v>2874</v>
      </c>
      <c r="C52" s="28" t="s">
        <v>224</v>
      </c>
      <c r="D52" s="28" t="str">
        <f>IFERROR(VLOOKUP($C52,CUENTAS[],2,0),"")</f>
        <v>MATERIALES</v>
      </c>
      <c r="E52" s="28" t="str">
        <f>IFERROR(VLOOKUP($C52,CUENTAS[],3,0),"")</f>
        <v>MDE2025-004</v>
      </c>
      <c r="F52" s="86">
        <v>3279.83</v>
      </c>
      <c r="G52" s="86">
        <v>524.77</v>
      </c>
      <c r="H52" s="74">
        <v>3804.6</v>
      </c>
      <c r="I52" s="200" t="str">
        <f t="shared" si="0"/>
        <v>CORRECTO</v>
      </c>
      <c r="J52" s="232" t="s">
        <v>3244</v>
      </c>
      <c r="K52" s="69" t="s">
        <v>980</v>
      </c>
      <c r="L52" s="84" t="s">
        <v>227</v>
      </c>
      <c r="M52" s="135">
        <v>45954</v>
      </c>
      <c r="N52" s="75" t="s">
        <v>2930</v>
      </c>
      <c r="O52" s="237"/>
      <c r="P52" s="240"/>
    </row>
    <row r="53" spans="1:16" x14ac:dyDescent="0.3">
      <c r="A53" s="16" t="s">
        <v>2565</v>
      </c>
      <c r="B53" s="16" t="s">
        <v>2875</v>
      </c>
      <c r="C53" s="28" t="s">
        <v>224</v>
      </c>
      <c r="D53" s="28" t="str">
        <f>IFERROR(VLOOKUP($C53,CUENTAS[],2,0),"")</f>
        <v>MATERIALES</v>
      </c>
      <c r="E53" s="28" t="str">
        <f>IFERROR(VLOOKUP($C53,CUENTAS[],3,0),"")</f>
        <v>MDE2025-004</v>
      </c>
      <c r="F53" s="86">
        <v>4500</v>
      </c>
      <c r="G53" s="86">
        <v>720</v>
      </c>
      <c r="H53" s="74">
        <v>5220</v>
      </c>
      <c r="I53" s="200" t="str">
        <f t="shared" si="0"/>
        <v>CORRECTO</v>
      </c>
      <c r="J53" s="232" t="s">
        <v>3244</v>
      </c>
      <c r="K53" s="69" t="s">
        <v>980</v>
      </c>
      <c r="L53" s="84" t="s">
        <v>227</v>
      </c>
      <c r="M53" s="135">
        <v>45954</v>
      </c>
      <c r="N53" s="75" t="s">
        <v>2931</v>
      </c>
      <c r="O53" s="237"/>
      <c r="P53" s="240"/>
    </row>
    <row r="54" spans="1:16" x14ac:dyDescent="0.3">
      <c r="A54" s="16" t="s">
        <v>2272</v>
      </c>
      <c r="B54" s="16" t="s">
        <v>2876</v>
      </c>
      <c r="C54" s="28" t="s">
        <v>224</v>
      </c>
      <c r="D54" s="28" t="str">
        <f>IFERROR(VLOOKUP($C54,CUENTAS[],2,0),"")</f>
        <v>MATERIALES</v>
      </c>
      <c r="E54" s="28" t="str">
        <f>IFERROR(VLOOKUP($C54,CUENTAS[],3,0),"")</f>
        <v>MDE2025-004</v>
      </c>
      <c r="F54" s="86">
        <v>9715.6</v>
      </c>
      <c r="G54" s="86">
        <v>1554.5</v>
      </c>
      <c r="H54" s="74">
        <v>11270.1</v>
      </c>
      <c r="I54" s="200" t="str">
        <f t="shared" si="0"/>
        <v>CORRECTO</v>
      </c>
      <c r="J54" s="232" t="s">
        <v>3244</v>
      </c>
      <c r="K54" s="69" t="s">
        <v>980</v>
      </c>
      <c r="L54" s="84" t="s">
        <v>227</v>
      </c>
      <c r="M54" s="135">
        <v>45954</v>
      </c>
      <c r="N54" s="75" t="s">
        <v>2932</v>
      </c>
      <c r="O54" s="237"/>
      <c r="P54" s="240"/>
    </row>
    <row r="55" spans="1:16" x14ac:dyDescent="0.3">
      <c r="A55" s="16" t="s">
        <v>2557</v>
      </c>
      <c r="B55" s="16" t="s">
        <v>2877</v>
      </c>
      <c r="C55" s="28" t="s">
        <v>224</v>
      </c>
      <c r="D55" s="28" t="str">
        <f>IFERROR(VLOOKUP($C55,CUENTAS[],2,0),"")</f>
        <v>MATERIALES</v>
      </c>
      <c r="E55" s="28" t="str">
        <f>IFERROR(VLOOKUP($C55,CUENTAS[],3,0),"")</f>
        <v>MDE2025-004</v>
      </c>
      <c r="F55" s="86">
        <v>2663.79</v>
      </c>
      <c r="G55" s="86">
        <v>426.21</v>
      </c>
      <c r="H55" s="74">
        <v>3090</v>
      </c>
      <c r="I55" s="200" t="str">
        <f t="shared" si="0"/>
        <v>CORRECTO</v>
      </c>
      <c r="J55" s="232" t="s">
        <v>3244</v>
      </c>
      <c r="K55" s="69" t="s">
        <v>980</v>
      </c>
      <c r="L55" s="84" t="s">
        <v>227</v>
      </c>
      <c r="M55" s="135">
        <v>45954</v>
      </c>
      <c r="N55" s="75" t="s">
        <v>2945</v>
      </c>
      <c r="O55" s="237"/>
      <c r="P55" s="240"/>
    </row>
    <row r="56" spans="1:16" x14ac:dyDescent="0.3">
      <c r="A56" s="16" t="s">
        <v>1930</v>
      </c>
      <c r="B56" s="16" t="s">
        <v>2878</v>
      </c>
      <c r="C56" s="28" t="s">
        <v>224</v>
      </c>
      <c r="D56" s="28" t="str">
        <f>IFERROR(VLOOKUP($C56,CUENTAS[],2,0),"")</f>
        <v>MATERIALES</v>
      </c>
      <c r="E56" s="28" t="str">
        <f>IFERROR(VLOOKUP($C56,CUENTAS[],3,0),"")</f>
        <v>MDE2025-004</v>
      </c>
      <c r="F56" s="86">
        <v>8876.7199999999993</v>
      </c>
      <c r="G56" s="86">
        <v>1420.28</v>
      </c>
      <c r="H56" s="74">
        <v>10297</v>
      </c>
      <c r="I56" s="200" t="str">
        <f t="shared" si="0"/>
        <v>CORRECTO</v>
      </c>
      <c r="J56" s="232" t="s">
        <v>3244</v>
      </c>
      <c r="K56" s="69" t="s">
        <v>980</v>
      </c>
      <c r="L56" s="84" t="s">
        <v>227</v>
      </c>
      <c r="M56" s="135">
        <v>45954</v>
      </c>
      <c r="N56" s="75" t="s">
        <v>2933</v>
      </c>
      <c r="O56" s="237"/>
      <c r="P56" s="240"/>
    </row>
    <row r="57" spans="1:16" x14ac:dyDescent="0.3">
      <c r="A57" s="16" t="s">
        <v>2879</v>
      </c>
      <c r="B57" s="16" t="s">
        <v>2880</v>
      </c>
      <c r="C57" s="28" t="s">
        <v>224</v>
      </c>
      <c r="D57" s="28" t="str">
        <f>IFERROR(VLOOKUP($C57,CUENTAS[],2,0),"")</f>
        <v>MATERIALES</v>
      </c>
      <c r="E57" s="28" t="str">
        <f>IFERROR(VLOOKUP($C57,CUENTAS[],3,0),"")</f>
        <v>MDE2025-004</v>
      </c>
      <c r="F57" s="86">
        <v>15716.16</v>
      </c>
      <c r="G57" s="86">
        <v>2514.59</v>
      </c>
      <c r="H57" s="74">
        <v>18230.740000000002</v>
      </c>
      <c r="I57" s="200" t="str">
        <f t="shared" si="0"/>
        <v>REVISAR</v>
      </c>
      <c r="J57" s="232" t="s">
        <v>3244</v>
      </c>
      <c r="K57" s="69" t="s">
        <v>2919</v>
      </c>
      <c r="L57" s="84" t="s">
        <v>227</v>
      </c>
      <c r="M57" s="135">
        <v>45954</v>
      </c>
      <c r="N57" s="75" t="s">
        <v>2946</v>
      </c>
      <c r="O57" s="237"/>
      <c r="P57" s="240"/>
    </row>
    <row r="58" spans="1:16" x14ac:dyDescent="0.3">
      <c r="A58" s="16" t="s">
        <v>2881</v>
      </c>
      <c r="B58" s="16" t="s">
        <v>2882</v>
      </c>
      <c r="C58" s="28" t="s">
        <v>224</v>
      </c>
      <c r="D58" s="28" t="str">
        <f>IFERROR(VLOOKUP($C58,CUENTAS[],2,0),"")</f>
        <v>MATERIALES</v>
      </c>
      <c r="E58" s="28" t="str">
        <f>IFERROR(VLOOKUP($C58,CUENTAS[],3,0),"")</f>
        <v>MDE2025-004</v>
      </c>
      <c r="F58" s="86">
        <v>261</v>
      </c>
      <c r="G58" s="86">
        <v>41.76</v>
      </c>
      <c r="H58" s="74">
        <v>302.76</v>
      </c>
      <c r="I58" s="200" t="str">
        <f t="shared" si="0"/>
        <v>CORRECTO</v>
      </c>
      <c r="J58" s="232" t="s">
        <v>3244</v>
      </c>
      <c r="K58" s="69" t="s">
        <v>2919</v>
      </c>
      <c r="L58" s="84" t="s">
        <v>227</v>
      </c>
      <c r="M58" s="135">
        <v>45958</v>
      </c>
      <c r="N58" s="75" t="s">
        <v>2934</v>
      </c>
      <c r="O58" s="237"/>
      <c r="P58" s="240"/>
    </row>
    <row r="59" spans="1:16" x14ac:dyDescent="0.3">
      <c r="A59" s="16" t="s">
        <v>2883</v>
      </c>
      <c r="B59" s="16" t="s">
        <v>2884</v>
      </c>
      <c r="C59" s="28" t="s">
        <v>224</v>
      </c>
      <c r="D59" s="28" t="str">
        <f>IFERROR(VLOOKUP($C59,CUENTAS[],2,0),"")</f>
        <v>MATERIALES</v>
      </c>
      <c r="E59" s="28" t="str">
        <f>IFERROR(VLOOKUP($C59,CUENTAS[],3,0),"")</f>
        <v>MDE2025-004</v>
      </c>
      <c r="F59" s="86">
        <v>2100</v>
      </c>
      <c r="G59" s="86">
        <v>336</v>
      </c>
      <c r="H59" s="74">
        <v>2436</v>
      </c>
      <c r="I59" s="200" t="str">
        <f t="shared" si="0"/>
        <v>CORRECTO</v>
      </c>
      <c r="J59" s="232" t="s">
        <v>3244</v>
      </c>
      <c r="K59" s="69" t="s">
        <v>2919</v>
      </c>
      <c r="L59" s="84" t="s">
        <v>227</v>
      </c>
      <c r="M59" s="135">
        <v>45958</v>
      </c>
      <c r="N59" s="75" t="s">
        <v>368</v>
      </c>
      <c r="O59" s="237"/>
      <c r="P59" s="240"/>
    </row>
    <row r="60" spans="1:16" x14ac:dyDescent="0.3">
      <c r="A60" s="16" t="s">
        <v>2621</v>
      </c>
      <c r="B60" s="16" t="s">
        <v>2885</v>
      </c>
      <c r="C60" s="28" t="s">
        <v>224</v>
      </c>
      <c r="D60" s="28" t="str">
        <f>IFERROR(VLOOKUP($C60,CUENTAS[],2,0),"")</f>
        <v>MATERIALES</v>
      </c>
      <c r="E60" s="28" t="str">
        <f>IFERROR(VLOOKUP($C60,CUENTAS[],3,0),"")</f>
        <v>MDE2025-004</v>
      </c>
      <c r="F60" s="86">
        <v>7500</v>
      </c>
      <c r="G60" s="86">
        <v>0</v>
      </c>
      <c r="H60" s="74">
        <v>7500</v>
      </c>
      <c r="I60" s="200" t="str">
        <f t="shared" si="0"/>
        <v>CORRECTO</v>
      </c>
      <c r="J60" s="232" t="s">
        <v>3244</v>
      </c>
      <c r="K60" s="69" t="s">
        <v>360</v>
      </c>
      <c r="L60" s="84" t="s">
        <v>227</v>
      </c>
      <c r="M60" s="135">
        <v>45958</v>
      </c>
      <c r="N60" s="75" t="s">
        <v>371</v>
      </c>
      <c r="O60" s="237"/>
      <c r="P60" s="240"/>
    </row>
    <row r="61" spans="1:16" x14ac:dyDescent="0.3">
      <c r="A61" s="16" t="s">
        <v>2886</v>
      </c>
      <c r="B61" s="16" t="s">
        <v>2887</v>
      </c>
      <c r="C61" s="28" t="s">
        <v>224</v>
      </c>
      <c r="D61" s="28" t="str">
        <f>IFERROR(VLOOKUP($C61,CUENTAS[],2,0),"")</f>
        <v>MATERIALES</v>
      </c>
      <c r="E61" s="28" t="str">
        <f>IFERROR(VLOOKUP($C61,CUENTAS[],3,0),"")</f>
        <v>MDE2025-004</v>
      </c>
      <c r="F61" s="86">
        <v>13728.44</v>
      </c>
      <c r="G61" s="86">
        <v>2196.5500000000002</v>
      </c>
      <c r="H61" s="74">
        <v>15925</v>
      </c>
      <c r="I61" s="200" t="str">
        <f t="shared" si="0"/>
        <v>REVISAR</v>
      </c>
      <c r="J61" s="232" t="s">
        <v>3244</v>
      </c>
      <c r="K61" s="69" t="s">
        <v>2919</v>
      </c>
      <c r="L61" s="84" t="s">
        <v>227</v>
      </c>
      <c r="M61" s="148">
        <v>45958</v>
      </c>
      <c r="N61" s="75" t="s">
        <v>2935</v>
      </c>
      <c r="O61" s="237"/>
      <c r="P61" s="240"/>
    </row>
    <row r="62" spans="1:16" x14ac:dyDescent="0.3">
      <c r="A62" s="16" t="s">
        <v>2888</v>
      </c>
      <c r="B62" s="16" t="s">
        <v>2889</v>
      </c>
      <c r="C62" s="28" t="s">
        <v>109</v>
      </c>
      <c r="D62" s="28" t="str">
        <f>IFERROR(VLOOKUP($C62,CUENTAS[],2,0),"")</f>
        <v>LOGÍSTICA</v>
      </c>
      <c r="E62" s="28" t="str">
        <f>IFERROR(VLOOKUP($C62,CUENTAS[],3,0),"")</f>
        <v>MDE2025-006A</v>
      </c>
      <c r="F62" s="86">
        <v>3700</v>
      </c>
      <c r="G62" s="86">
        <v>0</v>
      </c>
      <c r="H62" s="74">
        <v>3700</v>
      </c>
      <c r="I62" s="200" t="str">
        <f t="shared" si="0"/>
        <v>CORRECTO</v>
      </c>
      <c r="J62" s="232" t="s">
        <v>3244</v>
      </c>
      <c r="K62" s="69" t="s">
        <v>2230</v>
      </c>
      <c r="L62" s="84" t="s">
        <v>227</v>
      </c>
      <c r="M62" s="136">
        <v>45960</v>
      </c>
      <c r="N62" s="75" t="s">
        <v>368</v>
      </c>
      <c r="O62" s="237"/>
      <c r="P62" s="240"/>
    </row>
    <row r="63" spans="1:16" x14ac:dyDescent="0.3">
      <c r="A63" s="16" t="s">
        <v>232</v>
      </c>
      <c r="B63" s="16" t="s">
        <v>2890</v>
      </c>
      <c r="C63" s="28" t="s">
        <v>224</v>
      </c>
      <c r="D63" s="28" t="str">
        <f>IFERROR(VLOOKUP($C63,CUENTAS[],2,0),"")</f>
        <v>MATERIALES</v>
      </c>
      <c r="E63" s="28" t="str">
        <f>IFERROR(VLOOKUP($C63,CUENTAS[],3,0),"")</f>
        <v>MDE2025-004</v>
      </c>
      <c r="F63" s="86">
        <v>73317.240000000005</v>
      </c>
      <c r="G63" s="86">
        <v>11730.76</v>
      </c>
      <c r="H63" s="74">
        <v>85048.02</v>
      </c>
      <c r="I63" s="200" t="str">
        <f t="shared" si="0"/>
        <v>REVISAR</v>
      </c>
      <c r="J63" s="232" t="s">
        <v>3244</v>
      </c>
      <c r="K63" s="69" t="s">
        <v>980</v>
      </c>
      <c r="L63" s="84" t="s">
        <v>227</v>
      </c>
      <c r="M63" s="135">
        <v>45960</v>
      </c>
      <c r="N63" s="75" t="s">
        <v>2947</v>
      </c>
      <c r="O63" s="237"/>
      <c r="P63" s="240"/>
    </row>
    <row r="64" spans="1:16" x14ac:dyDescent="0.3">
      <c r="A64" s="16" t="s">
        <v>2891</v>
      </c>
      <c r="B64" s="16" t="s">
        <v>2892</v>
      </c>
      <c r="C64" s="28" t="s">
        <v>168</v>
      </c>
      <c r="D64" s="28" t="str">
        <f>IFERROR(VLOOKUP($C64,CUENTAS[],2,0),"")</f>
        <v>ACTIVOS FIJOS</v>
      </c>
      <c r="E64" s="28" t="str">
        <f>IFERROR(VLOOKUP($C64,CUENTAS[],3,0),"")</f>
        <v>MDE2025-007B</v>
      </c>
      <c r="F64" s="86">
        <v>1000</v>
      </c>
      <c r="G64" s="86">
        <v>0</v>
      </c>
      <c r="H64" s="74">
        <v>1000</v>
      </c>
      <c r="I64" s="200" t="str">
        <f t="shared" si="0"/>
        <v>CORRECTO</v>
      </c>
      <c r="J64" s="232" t="s">
        <v>3244</v>
      </c>
      <c r="K64" s="69" t="s">
        <v>405</v>
      </c>
      <c r="L64" s="84" t="s">
        <v>227</v>
      </c>
      <c r="M64" s="135">
        <v>45960</v>
      </c>
      <c r="N64" s="75" t="s">
        <v>798</v>
      </c>
      <c r="O64" s="237"/>
      <c r="P64" s="240"/>
    </row>
    <row r="65" spans="1:16" x14ac:dyDescent="0.3">
      <c r="A65" s="16" t="s">
        <v>2860</v>
      </c>
      <c r="B65" s="16" t="s">
        <v>2893</v>
      </c>
      <c r="C65" s="28" t="s">
        <v>121</v>
      </c>
      <c r="D65" s="28" t="str">
        <f>IFERROR(VLOOKUP($C65,CUENTAS[],2,0),"")</f>
        <v>GASTOS FIJOS</v>
      </c>
      <c r="E65" s="28" t="str">
        <f>IFERROR(VLOOKUP($C65,CUENTAS[],3,0),"")</f>
        <v>MDE2025-002K</v>
      </c>
      <c r="F65" s="86">
        <v>34000</v>
      </c>
      <c r="G65" s="86">
        <v>5440</v>
      </c>
      <c r="H65" s="74">
        <v>39440</v>
      </c>
      <c r="I65" s="200" t="str">
        <f t="shared" si="0"/>
        <v>CORRECTO</v>
      </c>
      <c r="J65" s="232" t="s">
        <v>3244</v>
      </c>
      <c r="K65" s="69" t="s">
        <v>1954</v>
      </c>
      <c r="L65" s="84" t="s">
        <v>227</v>
      </c>
      <c r="M65" s="135">
        <v>45960</v>
      </c>
      <c r="N65" s="75" t="s">
        <v>2936</v>
      </c>
      <c r="O65" s="237"/>
      <c r="P65" s="240"/>
    </row>
    <row r="66" spans="1:16" x14ac:dyDescent="0.3">
      <c r="A66" s="16" t="s">
        <v>1744</v>
      </c>
      <c r="B66" s="16" t="s">
        <v>2894</v>
      </c>
      <c r="C66" s="28" t="s">
        <v>224</v>
      </c>
      <c r="D66" s="28" t="str">
        <f>IFERROR(VLOOKUP($C66,CUENTAS[],2,0),"")</f>
        <v>MATERIALES</v>
      </c>
      <c r="E66" s="28" t="str">
        <f>IFERROR(VLOOKUP($C66,CUENTAS[],3,0),"")</f>
        <v>MDE2025-004</v>
      </c>
      <c r="F66" s="86">
        <v>21813.79</v>
      </c>
      <c r="G66" s="86">
        <v>3490.21</v>
      </c>
      <c r="H66" s="74">
        <v>25304</v>
      </c>
      <c r="I66" s="200" t="str">
        <f t="shared" si="0"/>
        <v>CORRECTO</v>
      </c>
      <c r="J66" s="232" t="s">
        <v>3244</v>
      </c>
      <c r="K66" s="69" t="s">
        <v>2919</v>
      </c>
      <c r="L66" s="84" t="s">
        <v>227</v>
      </c>
      <c r="M66" s="135">
        <v>45960</v>
      </c>
      <c r="N66" s="75" t="s">
        <v>2948</v>
      </c>
      <c r="O66" s="237"/>
      <c r="P66" s="240"/>
    </row>
    <row r="67" spans="1:16" x14ac:dyDescent="0.3">
      <c r="A67" s="16" t="s">
        <v>2895</v>
      </c>
      <c r="B67" s="16" t="s">
        <v>2896</v>
      </c>
      <c r="C67" s="28" t="s">
        <v>123</v>
      </c>
      <c r="D67" s="28" t="str">
        <f>IFERROR(VLOOKUP($C67,CUENTAS[],2,0),"")</f>
        <v>ACTIVOS FIJOS</v>
      </c>
      <c r="E67" s="28" t="str">
        <f>IFERROR(VLOOKUP($C67,CUENTAS[],3,0),"")</f>
        <v>MDE2025-007C</v>
      </c>
      <c r="F67" s="86">
        <v>11000</v>
      </c>
      <c r="G67" s="86">
        <v>0</v>
      </c>
      <c r="H67" s="74">
        <v>11000</v>
      </c>
      <c r="I67" s="200" t="str">
        <f t="shared" ref="I67:I130" si="1">IFERROR(IF(F67+G67&lt;&gt;H67,"REVISAR","CORRECTO"),"")</f>
        <v>CORRECTO</v>
      </c>
      <c r="J67" s="232" t="s">
        <v>3244</v>
      </c>
      <c r="K67" s="69" t="s">
        <v>363</v>
      </c>
      <c r="L67" s="84" t="s">
        <v>227</v>
      </c>
      <c r="M67" s="135">
        <v>45960</v>
      </c>
      <c r="N67" s="75" t="s">
        <v>371</v>
      </c>
      <c r="O67" s="237"/>
      <c r="P67" s="240"/>
    </row>
    <row r="68" spans="1:16" x14ac:dyDescent="0.3">
      <c r="A68" s="16" t="s">
        <v>1622</v>
      </c>
      <c r="B68" s="16" t="s">
        <v>2897</v>
      </c>
      <c r="C68" s="28" t="s">
        <v>224</v>
      </c>
      <c r="D68" s="28" t="str">
        <f>IFERROR(VLOOKUP($C68,CUENTAS[],2,0),"")</f>
        <v>MATERIALES</v>
      </c>
      <c r="E68" s="28" t="str">
        <f>IFERROR(VLOOKUP($C68,CUENTAS[],3,0),"")</f>
        <v>MDE2025-004</v>
      </c>
      <c r="F68" s="86">
        <v>1956.47</v>
      </c>
      <c r="G68" s="86">
        <v>3130.15</v>
      </c>
      <c r="H68" s="74">
        <v>22693.63</v>
      </c>
      <c r="I68" s="200" t="str">
        <f t="shared" si="1"/>
        <v>REVISAR</v>
      </c>
      <c r="J68" s="232" t="s">
        <v>3244</v>
      </c>
      <c r="K68" s="69" t="s">
        <v>980</v>
      </c>
      <c r="L68" s="84" t="s">
        <v>227</v>
      </c>
      <c r="M68" s="135">
        <v>45960</v>
      </c>
      <c r="N68" s="75" t="s">
        <v>2949</v>
      </c>
      <c r="O68" s="237"/>
      <c r="P68" s="240"/>
    </row>
    <row r="69" spans="1:16" x14ac:dyDescent="0.3">
      <c r="A69" s="16" t="s">
        <v>1109</v>
      </c>
      <c r="B69" s="16" t="s">
        <v>2573</v>
      </c>
      <c r="C69" s="28" t="s">
        <v>224</v>
      </c>
      <c r="D69" s="28" t="str">
        <f>IFERROR(VLOOKUP($C69,CUENTAS[],2,0),"")</f>
        <v>MATERIALES</v>
      </c>
      <c r="E69" s="28" t="str">
        <f>IFERROR(VLOOKUP($C69,CUENTAS[],3,0),"")</f>
        <v>MDE2025-004</v>
      </c>
      <c r="F69" s="86">
        <v>31626.52</v>
      </c>
      <c r="G69" s="86">
        <v>5060.24</v>
      </c>
      <c r="H69" s="74">
        <v>36686.769999999997</v>
      </c>
      <c r="I69" s="200" t="str">
        <f t="shared" si="1"/>
        <v>REVISAR</v>
      </c>
      <c r="J69" s="232" t="s">
        <v>3244</v>
      </c>
      <c r="K69" s="69" t="s">
        <v>980</v>
      </c>
      <c r="L69" s="84" t="s">
        <v>227</v>
      </c>
      <c r="M69" s="135">
        <v>45960</v>
      </c>
      <c r="N69" s="75" t="s">
        <v>2950</v>
      </c>
      <c r="O69" s="237"/>
      <c r="P69" s="240"/>
    </row>
    <row r="70" spans="1:16" x14ac:dyDescent="0.3">
      <c r="A70" s="16" t="s">
        <v>1109</v>
      </c>
      <c r="B70" s="16" t="s">
        <v>2898</v>
      </c>
      <c r="C70" s="28" t="s">
        <v>224</v>
      </c>
      <c r="D70" s="28" t="str">
        <f>IFERROR(VLOOKUP($C70,CUENTAS[],2,0),"")</f>
        <v>MATERIALES</v>
      </c>
      <c r="E70" s="28" t="str">
        <f>IFERROR(VLOOKUP($C70,CUENTAS[],3,0),"")</f>
        <v>MDE2025-004</v>
      </c>
      <c r="F70" s="86">
        <v>43145.62</v>
      </c>
      <c r="G70" s="86">
        <v>6903.29</v>
      </c>
      <c r="H70" s="74">
        <v>50048.92</v>
      </c>
      <c r="I70" s="200" t="str">
        <f t="shared" si="1"/>
        <v>REVISAR</v>
      </c>
      <c r="J70" s="232" t="s">
        <v>3244</v>
      </c>
      <c r="K70" s="69" t="s">
        <v>980</v>
      </c>
      <c r="L70" s="84" t="s">
        <v>227</v>
      </c>
      <c r="M70" s="135">
        <v>45960</v>
      </c>
      <c r="N70" s="75" t="s">
        <v>2951</v>
      </c>
      <c r="O70" s="237"/>
      <c r="P70" s="240"/>
    </row>
    <row r="71" spans="1:16" x14ac:dyDescent="0.3">
      <c r="A71" s="16" t="s">
        <v>283</v>
      </c>
      <c r="B71" s="16">
        <v>2697975</v>
      </c>
      <c r="C71" s="28" t="s">
        <v>120</v>
      </c>
      <c r="D71" s="28" t="str">
        <f>IFERROR(VLOOKUP($C71,CUENTAS[],2,0),"")</f>
        <v>TOKA</v>
      </c>
      <c r="E71" s="28" t="str">
        <f>IFERROR(VLOOKUP($C71,CUENTAS[],3,0),"")</f>
        <v>TOK2025-001C</v>
      </c>
      <c r="F71" s="86">
        <v>5250</v>
      </c>
      <c r="G71" s="86">
        <v>840</v>
      </c>
      <c r="H71" s="74">
        <v>6090</v>
      </c>
      <c r="I71" s="200" t="str">
        <f t="shared" si="1"/>
        <v>CORRECTO</v>
      </c>
      <c r="J71" s="232" t="s">
        <v>3244</v>
      </c>
      <c r="K71" s="69" t="s">
        <v>2937</v>
      </c>
      <c r="L71" s="84" t="s">
        <v>227</v>
      </c>
      <c r="M71" s="135">
        <v>45961</v>
      </c>
      <c r="N71" s="75" t="s">
        <v>2938</v>
      </c>
      <c r="O71" s="237"/>
      <c r="P71" s="240"/>
    </row>
    <row r="72" spans="1:16" x14ac:dyDescent="0.3">
      <c r="A72" s="16" t="s">
        <v>283</v>
      </c>
      <c r="B72" s="16">
        <v>2707714</v>
      </c>
      <c r="C72" s="28" t="s">
        <v>120</v>
      </c>
      <c r="D72" s="28" t="str">
        <f>IFERROR(VLOOKUP($C72,CUENTAS[],2,0),"")</f>
        <v>TOKA</v>
      </c>
      <c r="E72" s="28" t="str">
        <f>IFERROR(VLOOKUP($C72,CUENTAS[],3,0),"")</f>
        <v>TOK2025-001C</v>
      </c>
      <c r="F72" s="86">
        <v>500</v>
      </c>
      <c r="G72" s="86">
        <v>22</v>
      </c>
      <c r="H72" s="74">
        <v>522</v>
      </c>
      <c r="I72" s="200" t="str">
        <f t="shared" si="1"/>
        <v>CORRECTO</v>
      </c>
      <c r="J72" s="232" t="s">
        <v>3244</v>
      </c>
      <c r="K72" s="69" t="s">
        <v>363</v>
      </c>
      <c r="L72" s="84" t="s">
        <v>227</v>
      </c>
      <c r="M72" s="136">
        <v>45961</v>
      </c>
      <c r="N72" s="75" t="s">
        <v>570</v>
      </c>
      <c r="O72" s="237"/>
      <c r="P72" s="240"/>
    </row>
    <row r="73" spans="1:16" x14ac:dyDescent="0.3">
      <c r="A73" s="16" t="s">
        <v>232</v>
      </c>
      <c r="B73" s="16" t="s">
        <v>2899</v>
      </c>
      <c r="C73" s="28" t="s">
        <v>224</v>
      </c>
      <c r="D73" s="28" t="str">
        <f>IFERROR(VLOOKUP($C73,CUENTAS[],2,0),"")</f>
        <v>MATERIALES</v>
      </c>
      <c r="E73" s="28" t="str">
        <f>IFERROR(VLOOKUP($C73,CUENTAS[],3,0),"")</f>
        <v>MDE2025-004</v>
      </c>
      <c r="F73" s="86">
        <v>46856.24</v>
      </c>
      <c r="G73" s="86">
        <v>7496.99</v>
      </c>
      <c r="H73" s="74">
        <v>54353.24</v>
      </c>
      <c r="I73" s="200" t="str">
        <f t="shared" si="1"/>
        <v>REVISAR</v>
      </c>
      <c r="J73" s="232" t="s">
        <v>3244</v>
      </c>
      <c r="K73" s="69" t="s">
        <v>980</v>
      </c>
      <c r="L73" s="84" t="s">
        <v>227</v>
      </c>
      <c r="M73" s="135">
        <v>45960</v>
      </c>
      <c r="N73" s="75" t="s">
        <v>2952</v>
      </c>
      <c r="O73" s="237"/>
      <c r="P73" s="240"/>
    </row>
    <row r="74" spans="1:16" x14ac:dyDescent="0.3">
      <c r="A74" s="16" t="s">
        <v>2900</v>
      </c>
      <c r="B74" s="16" t="s">
        <v>2901</v>
      </c>
      <c r="C74" s="28" t="s">
        <v>159</v>
      </c>
      <c r="D74" s="28" t="str">
        <f>IFERROR(VLOOKUP($C74,CUENTAS[],2,0),"")</f>
        <v>GASTOS VARIOS</v>
      </c>
      <c r="E74" s="28" t="str">
        <f>IFERROR(VLOOKUP($C74,CUENTAS[],3,0),"")</f>
        <v>MDE2025-003A</v>
      </c>
      <c r="F74" s="86">
        <v>5189.5</v>
      </c>
      <c r="G74" s="86">
        <v>830.32</v>
      </c>
      <c r="H74" s="74">
        <v>6019.83</v>
      </c>
      <c r="I74" s="200" t="str">
        <f t="shared" si="1"/>
        <v>REVISAR</v>
      </c>
      <c r="J74" s="232" t="s">
        <v>3244</v>
      </c>
      <c r="K74" s="69" t="s">
        <v>1423</v>
      </c>
      <c r="L74" s="84" t="s">
        <v>227</v>
      </c>
      <c r="M74" s="135">
        <v>45960</v>
      </c>
      <c r="N74" s="75" t="s">
        <v>389</v>
      </c>
      <c r="O74" s="237"/>
      <c r="P74" s="240"/>
    </row>
    <row r="75" spans="1:16" x14ac:dyDescent="0.3">
      <c r="A75" s="16" t="s">
        <v>1930</v>
      </c>
      <c r="B75" s="16" t="s">
        <v>2902</v>
      </c>
      <c r="C75" s="28" t="s">
        <v>224</v>
      </c>
      <c r="D75" s="28" t="str">
        <f>IFERROR(VLOOKUP($C75,CUENTAS[],2,0),"")</f>
        <v>MATERIALES</v>
      </c>
      <c r="E75" s="28" t="str">
        <f>IFERROR(VLOOKUP($C75,CUENTAS[],3,0),"")</f>
        <v>MDE2025-004</v>
      </c>
      <c r="F75" s="86">
        <v>8739.43</v>
      </c>
      <c r="G75" s="86">
        <v>1398.31</v>
      </c>
      <c r="H75" s="74">
        <v>10137.74</v>
      </c>
      <c r="I75" s="200" t="str">
        <f t="shared" si="1"/>
        <v>CORRECTO</v>
      </c>
      <c r="J75" s="232" t="s">
        <v>3244</v>
      </c>
      <c r="K75" s="69" t="s">
        <v>2919</v>
      </c>
      <c r="L75" s="84" t="s">
        <v>227</v>
      </c>
      <c r="M75" s="135">
        <v>45960</v>
      </c>
      <c r="N75" s="75" t="s">
        <v>2939</v>
      </c>
      <c r="O75" s="237"/>
      <c r="P75" s="240"/>
    </row>
    <row r="76" spans="1:16" x14ac:dyDescent="0.3">
      <c r="A76" s="16" t="s">
        <v>2953</v>
      </c>
      <c r="B76" s="16" t="s">
        <v>2954</v>
      </c>
      <c r="C76" s="28" t="s">
        <v>223</v>
      </c>
      <c r="D76" s="28" t="str">
        <f>IFERROR(VLOOKUP($C76,CUENTAS[],2,0),"")</f>
        <v>MANTENIMIENTO</v>
      </c>
      <c r="E76" s="28" t="str">
        <f>IFERROR(VLOOKUP($C76,CUENTAS[],3,0),"")</f>
        <v>MDE2025-009B</v>
      </c>
      <c r="F76" s="86">
        <v>9050</v>
      </c>
      <c r="G76" s="86">
        <v>0</v>
      </c>
      <c r="H76" s="74">
        <v>9050</v>
      </c>
      <c r="I76" s="200" t="str">
        <f t="shared" si="1"/>
        <v>CORRECTO</v>
      </c>
      <c r="J76" s="232" t="s">
        <v>3249</v>
      </c>
      <c r="K76" s="69" t="s">
        <v>360</v>
      </c>
      <c r="L76" s="84" t="s">
        <v>227</v>
      </c>
      <c r="M76" s="135">
        <v>45931</v>
      </c>
      <c r="N76" s="75" t="s">
        <v>371</v>
      </c>
      <c r="O76" s="237"/>
      <c r="P76" s="240"/>
    </row>
    <row r="77" spans="1:16" x14ac:dyDescent="0.3">
      <c r="A77" s="16" t="s">
        <v>2955</v>
      </c>
      <c r="B77" s="16" t="s">
        <v>949</v>
      </c>
      <c r="C77" s="28" t="s">
        <v>125</v>
      </c>
      <c r="D77" s="28" t="str">
        <f>IFERROR(VLOOKUP($C77,CUENTAS[],2,0),"")</f>
        <v>GASTOS FIJOS</v>
      </c>
      <c r="E77" s="28" t="str">
        <f>IFERROR(VLOOKUP($C77,CUENTAS[],3,0),"")</f>
        <v>MDE2025-002B</v>
      </c>
      <c r="F77" s="86">
        <v>750</v>
      </c>
      <c r="G77" s="86">
        <v>0</v>
      </c>
      <c r="H77" s="74">
        <v>750</v>
      </c>
      <c r="I77" s="200" t="str">
        <f t="shared" si="1"/>
        <v>CORRECTO</v>
      </c>
      <c r="J77" s="232" t="s">
        <v>175</v>
      </c>
      <c r="K77" s="69" t="s">
        <v>363</v>
      </c>
      <c r="L77" s="84" t="s">
        <v>227</v>
      </c>
      <c r="M77" s="136">
        <v>45931</v>
      </c>
      <c r="N77" s="75" t="s">
        <v>3051</v>
      </c>
      <c r="O77" s="237"/>
      <c r="P77" s="240"/>
    </row>
    <row r="78" spans="1:16" x14ac:dyDescent="0.3">
      <c r="A78" s="16" t="s">
        <v>2251</v>
      </c>
      <c r="B78" s="16" t="s">
        <v>2569</v>
      </c>
      <c r="C78" s="28" t="s">
        <v>201</v>
      </c>
      <c r="D78" s="28" t="str">
        <f>IFERROR(VLOOKUP($C78,CUENTAS[],2,0),"")</f>
        <v>ACTIVOS FIJOS</v>
      </c>
      <c r="E78" s="28" t="str">
        <f>IFERROR(VLOOKUP($C78,CUENTAS[],3,0),"")</f>
        <v>MDE2025-007I</v>
      </c>
      <c r="F78" s="86">
        <v>10000</v>
      </c>
      <c r="G78" s="86">
        <v>0</v>
      </c>
      <c r="H78" s="74">
        <v>10000</v>
      </c>
      <c r="I78" s="200" t="str">
        <f t="shared" si="1"/>
        <v>CORRECTO</v>
      </c>
      <c r="J78" s="232" t="s">
        <v>175</v>
      </c>
      <c r="K78" s="69" t="s">
        <v>360</v>
      </c>
      <c r="L78" s="84" t="s">
        <v>227</v>
      </c>
      <c r="M78" s="136">
        <v>45931</v>
      </c>
      <c r="N78" s="75" t="s">
        <v>371</v>
      </c>
      <c r="O78" s="237"/>
      <c r="P78" s="240"/>
    </row>
    <row r="79" spans="1:16" x14ac:dyDescent="0.3">
      <c r="A79" s="16" t="s">
        <v>2614</v>
      </c>
      <c r="B79" s="16" t="s">
        <v>2956</v>
      </c>
      <c r="C79" s="28" t="s">
        <v>114</v>
      </c>
      <c r="D79" s="28" t="str">
        <f>IFERROR(VLOOKUP($C79,CUENTAS[],2,0),"")</f>
        <v>GASTOS FIJOS</v>
      </c>
      <c r="E79" s="28" t="str">
        <f>IFERROR(VLOOKUP($C79,CUENTAS[],3,0),"")</f>
        <v>MDE2025-002G</v>
      </c>
      <c r="F79" s="86">
        <v>520</v>
      </c>
      <c r="G79" s="86">
        <v>83.2</v>
      </c>
      <c r="H79" s="74">
        <v>603.20000000000005</v>
      </c>
      <c r="I79" s="200" t="str">
        <f t="shared" si="1"/>
        <v>CORRECTO</v>
      </c>
      <c r="J79" s="232" t="s">
        <v>175</v>
      </c>
      <c r="K79" s="69" t="s">
        <v>363</v>
      </c>
      <c r="L79" s="84" t="s">
        <v>227</v>
      </c>
      <c r="M79" s="136">
        <v>45931</v>
      </c>
      <c r="N79" s="75" t="s">
        <v>371</v>
      </c>
      <c r="O79" s="237"/>
      <c r="P79" s="240"/>
    </row>
    <row r="80" spans="1:16" x14ac:dyDescent="0.3">
      <c r="A80" s="16" t="s">
        <v>2957</v>
      </c>
      <c r="B80" s="16" t="s">
        <v>2958</v>
      </c>
      <c r="C80" s="28" t="s">
        <v>224</v>
      </c>
      <c r="D80" s="28" t="str">
        <f>IFERROR(VLOOKUP($C80,CUENTAS[],2,0),"")</f>
        <v>MATERIALES</v>
      </c>
      <c r="E80" s="28" t="str">
        <f>IFERROR(VLOOKUP($C80,CUENTAS[],3,0),"")</f>
        <v>MDE2025-004</v>
      </c>
      <c r="F80" s="86">
        <v>140</v>
      </c>
      <c r="G80" s="86">
        <v>0</v>
      </c>
      <c r="H80" s="74">
        <v>140</v>
      </c>
      <c r="I80" s="200" t="str">
        <f t="shared" si="1"/>
        <v>CORRECTO</v>
      </c>
      <c r="J80" s="232" t="s">
        <v>1522</v>
      </c>
      <c r="K80" s="69" t="s">
        <v>980</v>
      </c>
      <c r="L80" s="84" t="s">
        <v>227</v>
      </c>
      <c r="M80" s="136">
        <v>45931</v>
      </c>
      <c r="N80" s="75" t="s">
        <v>3052</v>
      </c>
      <c r="O80" s="237"/>
      <c r="P80" s="240"/>
    </row>
    <row r="81" spans="1:16" x14ac:dyDescent="0.3">
      <c r="A81" s="16" t="s">
        <v>2957</v>
      </c>
      <c r="B81" s="16" t="s">
        <v>2959</v>
      </c>
      <c r="C81" s="28" t="s">
        <v>224</v>
      </c>
      <c r="D81" s="28" t="str">
        <f>IFERROR(VLOOKUP($C81,CUENTAS[],2,0),"")</f>
        <v>MATERIALES</v>
      </c>
      <c r="E81" s="28" t="str">
        <f>IFERROR(VLOOKUP($C81,CUENTAS[],3,0),"")</f>
        <v>MDE2025-004</v>
      </c>
      <c r="F81" s="86">
        <v>20</v>
      </c>
      <c r="G81" s="86">
        <v>0</v>
      </c>
      <c r="H81" s="74">
        <v>20</v>
      </c>
      <c r="I81" s="200" t="str">
        <f t="shared" si="1"/>
        <v>CORRECTO</v>
      </c>
      <c r="J81" s="232" t="s">
        <v>1522</v>
      </c>
      <c r="K81" s="69" t="s">
        <v>980</v>
      </c>
      <c r="L81" s="84" t="s">
        <v>227</v>
      </c>
      <c r="M81" s="136">
        <v>45931</v>
      </c>
      <c r="N81" s="75" t="s">
        <v>3053</v>
      </c>
      <c r="O81" s="237"/>
      <c r="P81" s="240"/>
    </row>
    <row r="82" spans="1:16" x14ac:dyDescent="0.3">
      <c r="A82" s="16" t="s">
        <v>250</v>
      </c>
      <c r="B82" s="16" t="s">
        <v>2960</v>
      </c>
      <c r="C82" s="28" t="s">
        <v>224</v>
      </c>
      <c r="D82" s="28" t="str">
        <f>IFERROR(VLOOKUP($C82,CUENTAS[],2,0),"")</f>
        <v>MATERIALES</v>
      </c>
      <c r="E82" s="28" t="str">
        <f>IFERROR(VLOOKUP($C82,CUENTAS[],3,0),"")</f>
        <v>MDE2025-004</v>
      </c>
      <c r="F82" s="86">
        <v>80000</v>
      </c>
      <c r="G82" s="86">
        <v>0</v>
      </c>
      <c r="H82" s="74">
        <v>80000</v>
      </c>
      <c r="I82" s="200" t="str">
        <f t="shared" si="1"/>
        <v>CORRECTO</v>
      </c>
      <c r="J82" s="232"/>
      <c r="K82" s="69" t="s">
        <v>363</v>
      </c>
      <c r="L82" s="84" t="s">
        <v>227</v>
      </c>
      <c r="M82" s="136">
        <v>45931</v>
      </c>
      <c r="N82" s="75" t="s">
        <v>371</v>
      </c>
      <c r="O82" s="237"/>
      <c r="P82" s="240"/>
    </row>
    <row r="83" spans="1:16" x14ac:dyDescent="0.3">
      <c r="A83" s="16" t="s">
        <v>2961</v>
      </c>
      <c r="B83" s="16" t="s">
        <v>2962</v>
      </c>
      <c r="C83" s="28" t="s">
        <v>223</v>
      </c>
      <c r="D83" s="28" t="str">
        <f>IFERROR(VLOOKUP($C83,CUENTAS[],2,0),"")</f>
        <v>MANTENIMIENTO</v>
      </c>
      <c r="E83" s="28" t="str">
        <f>IFERROR(VLOOKUP($C83,CUENTAS[],3,0),"")</f>
        <v>MDE2025-009B</v>
      </c>
      <c r="F83" s="86">
        <v>3500</v>
      </c>
      <c r="G83" s="86">
        <v>0</v>
      </c>
      <c r="H83" s="74">
        <v>3500</v>
      </c>
      <c r="I83" s="200" t="str">
        <f t="shared" si="1"/>
        <v>CORRECTO</v>
      </c>
      <c r="J83" s="232" t="s">
        <v>175</v>
      </c>
      <c r="K83" s="69" t="s">
        <v>363</v>
      </c>
      <c r="L83" s="84" t="s">
        <v>227</v>
      </c>
      <c r="M83" s="136">
        <v>45932</v>
      </c>
      <c r="N83" s="75" t="s">
        <v>371</v>
      </c>
      <c r="O83" s="237"/>
      <c r="P83" s="240"/>
    </row>
    <row r="84" spans="1:16" x14ac:dyDescent="0.3">
      <c r="A84" s="16" t="s">
        <v>2963</v>
      </c>
      <c r="B84" s="16" t="s">
        <v>2962</v>
      </c>
      <c r="C84" s="28" t="s">
        <v>223</v>
      </c>
      <c r="D84" s="28" t="str">
        <f>IFERROR(VLOOKUP($C84,CUENTAS[],2,0),"")</f>
        <v>MANTENIMIENTO</v>
      </c>
      <c r="E84" s="28" t="str">
        <f>IFERROR(VLOOKUP($C84,CUENTAS[],3,0),"")</f>
        <v>MDE2025-009B</v>
      </c>
      <c r="F84" s="86">
        <v>3200</v>
      </c>
      <c r="G84" s="86">
        <v>0</v>
      </c>
      <c r="H84" s="74">
        <v>3200</v>
      </c>
      <c r="I84" s="200" t="str">
        <f t="shared" si="1"/>
        <v>CORRECTO</v>
      </c>
      <c r="J84" s="232" t="s">
        <v>175</v>
      </c>
      <c r="K84" s="69" t="s">
        <v>363</v>
      </c>
      <c r="L84" s="84" t="s">
        <v>227</v>
      </c>
      <c r="M84" s="136">
        <v>45932</v>
      </c>
      <c r="N84" s="75" t="s">
        <v>371</v>
      </c>
      <c r="O84" s="237"/>
      <c r="P84" s="240"/>
    </row>
    <row r="85" spans="1:16" x14ac:dyDescent="0.3">
      <c r="A85" s="16" t="s">
        <v>619</v>
      </c>
      <c r="B85" s="16" t="s">
        <v>2964</v>
      </c>
      <c r="C85" s="28" t="s">
        <v>224</v>
      </c>
      <c r="D85" s="28" t="str">
        <f>IFERROR(VLOOKUP($C85,CUENTAS[],2,0),"")</f>
        <v>MATERIALES</v>
      </c>
      <c r="E85" s="28" t="str">
        <f>IFERROR(VLOOKUP($C85,CUENTAS[],3,0),"")</f>
        <v>MDE2025-004</v>
      </c>
      <c r="F85" s="86">
        <v>1323.28</v>
      </c>
      <c r="G85" s="86">
        <v>211.72</v>
      </c>
      <c r="H85" s="74">
        <v>1535</v>
      </c>
      <c r="I85" s="200" t="str">
        <f t="shared" si="1"/>
        <v>CORRECTO</v>
      </c>
      <c r="J85" s="232" t="s">
        <v>175</v>
      </c>
      <c r="K85" s="69" t="s">
        <v>980</v>
      </c>
      <c r="L85" s="84" t="s">
        <v>227</v>
      </c>
      <c r="M85" s="136">
        <v>45932</v>
      </c>
      <c r="N85" s="75" t="s">
        <v>3111</v>
      </c>
      <c r="O85" s="237"/>
      <c r="P85" s="240"/>
    </row>
    <row r="86" spans="1:16" x14ac:dyDescent="0.3">
      <c r="A86" s="16" t="s">
        <v>2019</v>
      </c>
      <c r="B86" s="16" t="s">
        <v>2965</v>
      </c>
      <c r="C86" s="28" t="s">
        <v>224</v>
      </c>
      <c r="D86" s="28" t="str">
        <f>IFERROR(VLOOKUP($C86,CUENTAS[],2,0),"")</f>
        <v>MATERIALES</v>
      </c>
      <c r="E86" s="28" t="str">
        <f>IFERROR(VLOOKUP($C86,CUENTAS[],3,0),"")</f>
        <v>MDE2025-004</v>
      </c>
      <c r="F86" s="86">
        <v>996.55</v>
      </c>
      <c r="G86" s="86">
        <v>249.14</v>
      </c>
      <c r="H86" s="74">
        <v>867</v>
      </c>
      <c r="I86" s="200" t="str">
        <f t="shared" si="1"/>
        <v>REVISAR</v>
      </c>
      <c r="J86" s="232" t="s">
        <v>1522</v>
      </c>
      <c r="K86" s="69" t="s">
        <v>980</v>
      </c>
      <c r="L86" s="84" t="s">
        <v>227</v>
      </c>
      <c r="M86" s="136">
        <v>45933</v>
      </c>
      <c r="N86" s="75" t="s">
        <v>3054</v>
      </c>
      <c r="O86" s="237"/>
      <c r="P86" s="240"/>
    </row>
    <row r="87" spans="1:16" x14ac:dyDescent="0.3">
      <c r="A87" s="16" t="s">
        <v>236</v>
      </c>
      <c r="B87" s="16" t="s">
        <v>2966</v>
      </c>
      <c r="C87" s="28" t="s">
        <v>223</v>
      </c>
      <c r="D87" s="28" t="str">
        <f>IFERROR(VLOOKUP($C87,CUENTAS[],2,0),"")</f>
        <v>MANTENIMIENTO</v>
      </c>
      <c r="E87" s="28" t="str">
        <f>IFERROR(VLOOKUP($C87,CUENTAS[],3,0),"")</f>
        <v>MDE2025-009B</v>
      </c>
      <c r="F87" s="86">
        <v>3500</v>
      </c>
      <c r="G87" s="86">
        <v>0</v>
      </c>
      <c r="H87" s="74">
        <v>3500</v>
      </c>
      <c r="I87" s="200" t="str">
        <f t="shared" si="1"/>
        <v>CORRECTO</v>
      </c>
      <c r="J87" s="232" t="s">
        <v>175</v>
      </c>
      <c r="K87" s="69" t="s">
        <v>363</v>
      </c>
      <c r="L87" s="84" t="s">
        <v>227</v>
      </c>
      <c r="M87" s="136">
        <v>45936</v>
      </c>
      <c r="N87" s="75" t="s">
        <v>371</v>
      </c>
      <c r="O87" s="237"/>
      <c r="P87" s="240"/>
    </row>
    <row r="88" spans="1:16" x14ac:dyDescent="0.3">
      <c r="A88" s="16" t="s">
        <v>238</v>
      </c>
      <c r="B88" s="16" t="s">
        <v>2966</v>
      </c>
      <c r="C88" s="28" t="s">
        <v>223</v>
      </c>
      <c r="D88" s="28" t="str">
        <f>IFERROR(VLOOKUP($C88,CUENTAS[],2,0),"")</f>
        <v>MANTENIMIENTO</v>
      </c>
      <c r="E88" s="28" t="str">
        <f>IFERROR(VLOOKUP($C88,CUENTAS[],3,0),"")</f>
        <v>MDE2025-009B</v>
      </c>
      <c r="F88" s="86">
        <v>3200</v>
      </c>
      <c r="G88" s="86">
        <v>0</v>
      </c>
      <c r="H88" s="74">
        <v>3200</v>
      </c>
      <c r="I88" s="200" t="str">
        <f t="shared" si="1"/>
        <v>CORRECTO</v>
      </c>
      <c r="J88" s="232" t="s">
        <v>175</v>
      </c>
      <c r="K88" s="69" t="s">
        <v>363</v>
      </c>
      <c r="L88" s="84" t="s">
        <v>227</v>
      </c>
      <c r="M88" s="136">
        <v>45936</v>
      </c>
      <c r="N88" s="75" t="s">
        <v>371</v>
      </c>
      <c r="O88" s="237"/>
      <c r="P88" s="240"/>
    </row>
    <row r="89" spans="1:16" x14ac:dyDescent="0.3">
      <c r="A89" s="16" t="s">
        <v>2953</v>
      </c>
      <c r="B89" s="16" t="s">
        <v>2967</v>
      </c>
      <c r="C89" s="28" t="s">
        <v>223</v>
      </c>
      <c r="D89" s="28" t="str">
        <f>IFERROR(VLOOKUP($C89,CUENTAS[],2,0),"")</f>
        <v>MANTENIMIENTO</v>
      </c>
      <c r="E89" s="28" t="str">
        <f>IFERROR(VLOOKUP($C89,CUENTAS[],3,0),"")</f>
        <v>MDE2025-009B</v>
      </c>
      <c r="F89" s="86">
        <v>1000</v>
      </c>
      <c r="G89" s="86">
        <v>0</v>
      </c>
      <c r="H89" s="74">
        <v>1000</v>
      </c>
      <c r="I89" s="200" t="str">
        <f t="shared" si="1"/>
        <v>CORRECTO</v>
      </c>
      <c r="J89" s="232" t="s">
        <v>175</v>
      </c>
      <c r="K89" s="69" t="s">
        <v>360</v>
      </c>
      <c r="L89" s="84" t="s">
        <v>227</v>
      </c>
      <c r="M89" s="136">
        <v>45936</v>
      </c>
      <c r="N89" s="75" t="s">
        <v>371</v>
      </c>
      <c r="O89" s="237"/>
      <c r="P89" s="240"/>
    </row>
    <row r="90" spans="1:16" x14ac:dyDescent="0.3">
      <c r="A90" s="16" t="s">
        <v>2957</v>
      </c>
      <c r="B90" s="16" t="s">
        <v>2968</v>
      </c>
      <c r="C90" s="28" t="s">
        <v>224</v>
      </c>
      <c r="D90" s="28" t="str">
        <f>IFERROR(VLOOKUP($C90,CUENTAS[],2,0),"")</f>
        <v>MATERIALES</v>
      </c>
      <c r="E90" s="28" t="str">
        <f>IFERROR(VLOOKUP($C90,CUENTAS[],3,0),"")</f>
        <v>MDE2025-004</v>
      </c>
      <c r="F90" s="86">
        <v>168.1</v>
      </c>
      <c r="G90" s="86">
        <v>26.9</v>
      </c>
      <c r="H90" s="74">
        <v>195</v>
      </c>
      <c r="I90" s="200" t="str">
        <f t="shared" si="1"/>
        <v>CORRECTO</v>
      </c>
      <c r="J90" s="232" t="s">
        <v>1522</v>
      </c>
      <c r="K90" s="69" t="s">
        <v>980</v>
      </c>
      <c r="L90" s="84" t="s">
        <v>227</v>
      </c>
      <c r="M90" s="136">
        <v>45936</v>
      </c>
      <c r="N90" s="75" t="s">
        <v>3055</v>
      </c>
      <c r="O90" s="237"/>
      <c r="P90" s="240"/>
    </row>
    <row r="91" spans="1:16" x14ac:dyDescent="0.3">
      <c r="A91" s="16" t="s">
        <v>2969</v>
      </c>
      <c r="B91" s="16" t="s">
        <v>2970</v>
      </c>
      <c r="C91" s="28" t="s">
        <v>168</v>
      </c>
      <c r="D91" s="28" t="str">
        <f>IFERROR(VLOOKUP($C91,CUENTAS[],2,0),"")</f>
        <v>ACTIVOS FIJOS</v>
      </c>
      <c r="E91" s="28" t="str">
        <f>IFERROR(VLOOKUP($C91,CUENTAS[],3,0),"")</f>
        <v>MDE2025-007B</v>
      </c>
      <c r="F91" s="86">
        <v>11637.16</v>
      </c>
      <c r="G91" s="86">
        <v>1861.94</v>
      </c>
      <c r="H91" s="74">
        <v>13499.1</v>
      </c>
      <c r="I91" s="200" t="str">
        <f t="shared" si="1"/>
        <v>CORRECTO</v>
      </c>
      <c r="J91" s="232" t="s">
        <v>1522</v>
      </c>
      <c r="K91" s="69" t="s">
        <v>360</v>
      </c>
      <c r="L91" s="84" t="s">
        <v>227</v>
      </c>
      <c r="M91" s="136">
        <v>45936</v>
      </c>
      <c r="N91" s="75" t="s">
        <v>3056</v>
      </c>
      <c r="O91" s="237"/>
      <c r="P91" s="240"/>
    </row>
    <row r="92" spans="1:16" x14ac:dyDescent="0.3">
      <c r="A92" s="16" t="s">
        <v>2971</v>
      </c>
      <c r="B92" s="16" t="s">
        <v>2972</v>
      </c>
      <c r="C92" s="28" t="s">
        <v>168</v>
      </c>
      <c r="D92" s="28" t="str">
        <f>IFERROR(VLOOKUP($C92,CUENTAS[],2,0),"")</f>
        <v>ACTIVOS FIJOS</v>
      </c>
      <c r="E92" s="28" t="str">
        <f>IFERROR(VLOOKUP($C92,CUENTAS[],3,0),"")</f>
        <v>MDE2025-007B</v>
      </c>
      <c r="F92" s="86">
        <v>300</v>
      </c>
      <c r="G92" s="86">
        <v>0</v>
      </c>
      <c r="H92" s="74">
        <v>300</v>
      </c>
      <c r="I92" s="200" t="str">
        <f t="shared" si="1"/>
        <v>CORRECTO</v>
      </c>
      <c r="J92" s="232" t="s">
        <v>175</v>
      </c>
      <c r="K92" s="69" t="s">
        <v>404</v>
      </c>
      <c r="L92" s="84" t="s">
        <v>227</v>
      </c>
      <c r="M92" s="136">
        <v>45938</v>
      </c>
      <c r="N92" s="75" t="s">
        <v>3057</v>
      </c>
      <c r="O92" s="237"/>
      <c r="P92" s="240"/>
    </row>
    <row r="93" spans="1:16" x14ac:dyDescent="0.3">
      <c r="A93" s="16" t="s">
        <v>2973</v>
      </c>
      <c r="B93" s="16" t="s">
        <v>2974</v>
      </c>
      <c r="C93" s="28" t="s">
        <v>109</v>
      </c>
      <c r="D93" s="28" t="str">
        <f>IFERROR(VLOOKUP($C93,CUENTAS[],2,0),"")</f>
        <v>LOGÍSTICA</v>
      </c>
      <c r="E93" s="28" t="str">
        <f>IFERROR(VLOOKUP($C93,CUENTAS[],3,0),"")</f>
        <v>MDE2025-006A</v>
      </c>
      <c r="F93" s="86">
        <v>8100</v>
      </c>
      <c r="G93" s="86">
        <v>0</v>
      </c>
      <c r="H93" s="74">
        <v>8100</v>
      </c>
      <c r="I93" s="200" t="str">
        <f t="shared" si="1"/>
        <v>CORRECTO</v>
      </c>
      <c r="J93" s="232" t="s">
        <v>175</v>
      </c>
      <c r="K93" s="69" t="s">
        <v>364</v>
      </c>
      <c r="L93" s="84" t="s">
        <v>227</v>
      </c>
      <c r="M93" s="136">
        <v>45938</v>
      </c>
      <c r="N93" s="75" t="s">
        <v>3058</v>
      </c>
      <c r="O93" s="237"/>
      <c r="P93" s="240"/>
    </row>
    <row r="94" spans="1:16" x14ac:dyDescent="0.3">
      <c r="A94" s="16" t="s">
        <v>2275</v>
      </c>
      <c r="B94" s="16" t="s">
        <v>2975</v>
      </c>
      <c r="C94" s="28" t="s">
        <v>109</v>
      </c>
      <c r="D94" s="28" t="str">
        <f>IFERROR(VLOOKUP($C94,CUENTAS[],2,0),"")</f>
        <v>LOGÍSTICA</v>
      </c>
      <c r="E94" s="28" t="str">
        <f>IFERROR(VLOOKUP($C94,CUENTAS[],3,0),"")</f>
        <v>MDE2025-006A</v>
      </c>
      <c r="F94" s="86">
        <v>200</v>
      </c>
      <c r="G94" s="86">
        <v>0</v>
      </c>
      <c r="H94" s="74">
        <v>200</v>
      </c>
      <c r="I94" s="200" t="str">
        <f t="shared" si="1"/>
        <v>CORRECTO</v>
      </c>
      <c r="J94" s="232" t="s">
        <v>175</v>
      </c>
      <c r="K94" s="69" t="s">
        <v>2230</v>
      </c>
      <c r="L94" s="84" t="s">
        <v>227</v>
      </c>
      <c r="M94" s="136">
        <v>45938</v>
      </c>
      <c r="N94" s="75" t="s">
        <v>3059</v>
      </c>
      <c r="O94" s="237"/>
      <c r="P94" s="240"/>
    </row>
    <row r="95" spans="1:16" x14ac:dyDescent="0.3">
      <c r="A95" s="16" t="s">
        <v>2360</v>
      </c>
      <c r="B95" s="16" t="s">
        <v>2976</v>
      </c>
      <c r="C95" s="28" t="s">
        <v>223</v>
      </c>
      <c r="D95" s="28" t="str">
        <f>IFERROR(VLOOKUP($C95,CUENTAS[],2,0),"")</f>
        <v>MANTENIMIENTO</v>
      </c>
      <c r="E95" s="28" t="str">
        <f>IFERROR(VLOOKUP($C95,CUENTAS[],3,0),"")</f>
        <v>MDE2025-009B</v>
      </c>
      <c r="F95" s="86">
        <v>500</v>
      </c>
      <c r="G95" s="86">
        <v>0</v>
      </c>
      <c r="H95" s="74">
        <v>500</v>
      </c>
      <c r="I95" s="200" t="str">
        <f t="shared" si="1"/>
        <v>CORRECTO</v>
      </c>
      <c r="J95" s="232" t="s">
        <v>175</v>
      </c>
      <c r="K95" s="69" t="s">
        <v>360</v>
      </c>
      <c r="L95" s="84" t="s">
        <v>227</v>
      </c>
      <c r="M95" s="136">
        <v>45938</v>
      </c>
      <c r="N95" s="75" t="s">
        <v>371</v>
      </c>
      <c r="O95" s="237"/>
      <c r="P95" s="240"/>
    </row>
    <row r="96" spans="1:16" x14ac:dyDescent="0.3">
      <c r="A96" s="16" t="s">
        <v>2572</v>
      </c>
      <c r="B96" s="16" t="s">
        <v>520</v>
      </c>
      <c r="C96" s="28" t="s">
        <v>135</v>
      </c>
      <c r="D96" s="28" t="str">
        <f>IFERROR(VLOOKUP($C96,CUENTAS[],2,0),"")</f>
        <v>EVENTOS INTERNOS</v>
      </c>
      <c r="E96" s="28" t="str">
        <f>IFERROR(VLOOKUP($C96,CUENTAS[],3,0),"")</f>
        <v>MDE2025-008B</v>
      </c>
      <c r="F96" s="86">
        <v>25000</v>
      </c>
      <c r="G96" s="86">
        <v>0</v>
      </c>
      <c r="H96" s="74">
        <v>25000</v>
      </c>
      <c r="I96" s="200" t="str">
        <f t="shared" si="1"/>
        <v>CORRECTO</v>
      </c>
      <c r="J96" s="232" t="s">
        <v>175</v>
      </c>
      <c r="K96" s="69" t="s">
        <v>363</v>
      </c>
      <c r="L96" s="84" t="s">
        <v>227</v>
      </c>
      <c r="M96" s="136">
        <v>45940</v>
      </c>
      <c r="N96" s="75" t="s">
        <v>371</v>
      </c>
      <c r="O96" s="237"/>
      <c r="P96" s="240"/>
    </row>
    <row r="97" spans="1:16" x14ac:dyDescent="0.3">
      <c r="A97" s="16" t="s">
        <v>2977</v>
      </c>
      <c r="B97" s="16" t="s">
        <v>2978</v>
      </c>
      <c r="C97" s="28" t="s">
        <v>126</v>
      </c>
      <c r="D97" s="28" t="str">
        <f>IFERROR(VLOOKUP($C97,CUENTAS[],2,0),"")</f>
        <v>ACTIVOS FIJOS</v>
      </c>
      <c r="E97" s="28" t="str">
        <f>IFERROR(VLOOKUP($C97,CUENTAS[],3,0),"")</f>
        <v>MDE2025-007A</v>
      </c>
      <c r="F97" s="86">
        <v>15000</v>
      </c>
      <c r="G97" s="86">
        <v>0</v>
      </c>
      <c r="H97" s="74">
        <v>15000</v>
      </c>
      <c r="I97" s="200" t="str">
        <f t="shared" si="1"/>
        <v>CORRECTO</v>
      </c>
      <c r="J97" s="232" t="s">
        <v>175</v>
      </c>
      <c r="K97" s="69" t="s">
        <v>360</v>
      </c>
      <c r="L97" s="84" t="s">
        <v>227</v>
      </c>
      <c r="M97" s="136">
        <v>45941</v>
      </c>
      <c r="N97" s="75" t="s">
        <v>371</v>
      </c>
      <c r="O97" s="237"/>
      <c r="P97" s="240"/>
    </row>
    <row r="98" spans="1:16" x14ac:dyDescent="0.3">
      <c r="A98" s="16" t="s">
        <v>1335</v>
      </c>
      <c r="B98" s="16" t="s">
        <v>2979</v>
      </c>
      <c r="C98" s="28" t="s">
        <v>224</v>
      </c>
      <c r="D98" s="28" t="str">
        <f>IFERROR(VLOOKUP($C98,CUENTAS[],2,0),"")</f>
        <v>MATERIALES</v>
      </c>
      <c r="E98" s="28" t="str">
        <f>IFERROR(VLOOKUP($C98,CUENTAS[],3,0),"")</f>
        <v>MDE2025-004</v>
      </c>
      <c r="F98" s="86">
        <v>1692.3</v>
      </c>
      <c r="G98" s="86">
        <v>270.77</v>
      </c>
      <c r="H98" s="74">
        <v>1963.07</v>
      </c>
      <c r="I98" s="200" t="str">
        <f t="shared" si="1"/>
        <v>CORRECTO</v>
      </c>
      <c r="J98" s="232" t="s">
        <v>175</v>
      </c>
      <c r="K98" s="69" t="s">
        <v>980</v>
      </c>
      <c r="L98" s="84" t="s">
        <v>227</v>
      </c>
      <c r="M98" s="136">
        <v>45943</v>
      </c>
      <c r="N98" s="75" t="s">
        <v>3060</v>
      </c>
      <c r="O98" s="237"/>
      <c r="P98" s="240"/>
    </row>
    <row r="99" spans="1:16" x14ac:dyDescent="0.3">
      <c r="A99" s="16" t="s">
        <v>1376</v>
      </c>
      <c r="B99" s="16" t="s">
        <v>2980</v>
      </c>
      <c r="C99" s="28" t="s">
        <v>224</v>
      </c>
      <c r="D99" s="28" t="str">
        <f>IFERROR(VLOOKUP($C99,CUENTAS[],2,0),"")</f>
        <v>MATERIALES</v>
      </c>
      <c r="E99" s="28" t="str">
        <f>IFERROR(VLOOKUP($C99,CUENTAS[],3,0),"")</f>
        <v>MDE2025-004</v>
      </c>
      <c r="F99" s="86">
        <v>7595.23</v>
      </c>
      <c r="G99" s="86">
        <v>1215.24</v>
      </c>
      <c r="H99" s="74">
        <v>8810.4699999999993</v>
      </c>
      <c r="I99" s="200" t="str">
        <f t="shared" si="1"/>
        <v>CORRECTO</v>
      </c>
      <c r="J99" s="232" t="s">
        <v>175</v>
      </c>
      <c r="K99" s="69" t="s">
        <v>363</v>
      </c>
      <c r="L99" s="84" t="s">
        <v>227</v>
      </c>
      <c r="M99" s="136">
        <v>45943</v>
      </c>
      <c r="N99" s="75" t="s">
        <v>3061</v>
      </c>
      <c r="O99" s="237"/>
      <c r="P99" s="240"/>
    </row>
    <row r="100" spans="1:16" x14ac:dyDescent="0.3">
      <c r="A100" s="16" t="s">
        <v>281</v>
      </c>
      <c r="B100" s="16" t="s">
        <v>2981</v>
      </c>
      <c r="C100" s="28" t="s">
        <v>128</v>
      </c>
      <c r="D100" s="28" t="str">
        <f>IFERROR(VLOOKUP($C100,CUENTAS[],2,0),"")</f>
        <v>GASTOS FIJOS</v>
      </c>
      <c r="E100" s="28" t="str">
        <f>IFERROR(VLOOKUP($C100,CUENTAS[],3,0),"")</f>
        <v>MDE2025-002I</v>
      </c>
      <c r="F100" s="86">
        <v>8000</v>
      </c>
      <c r="G100" s="86">
        <v>0</v>
      </c>
      <c r="H100" s="74">
        <v>8000</v>
      </c>
      <c r="I100" s="200" t="str">
        <f t="shared" si="1"/>
        <v>CORRECTO</v>
      </c>
      <c r="J100" s="232" t="s">
        <v>175</v>
      </c>
      <c r="K100" s="69" t="s">
        <v>1954</v>
      </c>
      <c r="L100" s="84" t="s">
        <v>227</v>
      </c>
      <c r="M100" s="136">
        <v>45944</v>
      </c>
      <c r="N100" s="75" t="s">
        <v>371</v>
      </c>
      <c r="O100" s="237"/>
      <c r="P100" s="240"/>
    </row>
    <row r="101" spans="1:16" x14ac:dyDescent="0.3">
      <c r="A101" s="16" t="s">
        <v>2654</v>
      </c>
      <c r="B101" s="16" t="s">
        <v>2982</v>
      </c>
      <c r="C101" s="28" t="s">
        <v>223</v>
      </c>
      <c r="D101" s="28" t="str">
        <f>IFERROR(VLOOKUP($C101,CUENTAS[],2,0),"")</f>
        <v>MANTENIMIENTO</v>
      </c>
      <c r="E101" s="28" t="str">
        <f>IFERROR(VLOOKUP($C101,CUENTAS[],3,0),"")</f>
        <v>MDE2025-009B</v>
      </c>
      <c r="F101" s="86">
        <v>156.75</v>
      </c>
      <c r="G101" s="86">
        <v>25.08</v>
      </c>
      <c r="H101" s="74">
        <v>181.83</v>
      </c>
      <c r="I101" s="200" t="str">
        <f t="shared" si="1"/>
        <v>CORRECTO</v>
      </c>
      <c r="J101" s="232" t="s">
        <v>1522</v>
      </c>
      <c r="K101" s="69" t="s">
        <v>364</v>
      </c>
      <c r="L101" s="84" t="s">
        <v>227</v>
      </c>
      <c r="M101" s="136">
        <v>45943</v>
      </c>
      <c r="N101" s="75" t="s">
        <v>3062</v>
      </c>
      <c r="O101" s="237"/>
      <c r="P101" s="240"/>
    </row>
    <row r="102" spans="1:16" x14ac:dyDescent="0.3">
      <c r="A102" s="16" t="s">
        <v>2654</v>
      </c>
      <c r="B102" s="16" t="s">
        <v>2983</v>
      </c>
      <c r="C102" s="28" t="s">
        <v>223</v>
      </c>
      <c r="D102" s="28" t="str">
        <f>IFERROR(VLOOKUP($C102,CUENTAS[],2,0),"")</f>
        <v>MANTENIMIENTO</v>
      </c>
      <c r="E102" s="28" t="str">
        <f>IFERROR(VLOOKUP($C102,CUENTAS[],3,0),"")</f>
        <v>MDE2025-009B</v>
      </c>
      <c r="F102" s="86">
        <v>4848.13</v>
      </c>
      <c r="G102" s="86">
        <v>775.7</v>
      </c>
      <c r="H102" s="74">
        <v>5623.83</v>
      </c>
      <c r="I102" s="200" t="str">
        <f t="shared" si="1"/>
        <v>CORRECTO</v>
      </c>
      <c r="J102" s="232" t="s">
        <v>1522</v>
      </c>
      <c r="K102" s="69" t="s">
        <v>364</v>
      </c>
      <c r="L102" s="84" t="s">
        <v>227</v>
      </c>
      <c r="M102" s="136">
        <v>45943</v>
      </c>
      <c r="N102" s="75" t="s">
        <v>3063</v>
      </c>
      <c r="O102" s="237"/>
      <c r="P102" s="240"/>
    </row>
    <row r="103" spans="1:16" x14ac:dyDescent="0.3">
      <c r="A103" s="16" t="s">
        <v>2984</v>
      </c>
      <c r="B103" s="16" t="s">
        <v>2985</v>
      </c>
      <c r="C103" s="28" t="s">
        <v>19</v>
      </c>
      <c r="D103" s="28" t="str">
        <f>IFERROR(VLOOKUP($C103,CUENTAS[],2,0),"")</f>
        <v>DISEÑOS</v>
      </c>
      <c r="E103" s="28" t="str">
        <f>IFERROR(VLOOKUP($C103,CUENTAS[],3,0),"")</f>
        <v>MDE2025-001</v>
      </c>
      <c r="F103" s="86">
        <v>200</v>
      </c>
      <c r="G103" s="86">
        <v>0</v>
      </c>
      <c r="H103" s="74">
        <v>200</v>
      </c>
      <c r="I103" s="200" t="str">
        <f t="shared" si="1"/>
        <v>CORRECTO</v>
      </c>
      <c r="J103" s="232" t="s">
        <v>1522</v>
      </c>
      <c r="K103" s="69" t="s">
        <v>980</v>
      </c>
      <c r="L103" s="84" t="s">
        <v>227</v>
      </c>
      <c r="M103" s="136">
        <v>45939</v>
      </c>
      <c r="N103" s="75" t="s">
        <v>3064</v>
      </c>
      <c r="O103" s="237"/>
      <c r="P103" s="240"/>
    </row>
    <row r="104" spans="1:16" x14ac:dyDescent="0.3">
      <c r="A104" s="16" t="s">
        <v>1724</v>
      </c>
      <c r="B104" s="16" t="s">
        <v>2986</v>
      </c>
      <c r="C104" s="28" t="s">
        <v>224</v>
      </c>
      <c r="D104" s="28" t="str">
        <f>IFERROR(VLOOKUP($C104,CUENTAS[],2,0),"")</f>
        <v>MATERIALES</v>
      </c>
      <c r="E104" s="28" t="str">
        <f>IFERROR(VLOOKUP($C104,CUENTAS[],3,0),"")</f>
        <v>MDE2025-004</v>
      </c>
      <c r="F104" s="86">
        <v>1955.24</v>
      </c>
      <c r="G104" s="86">
        <v>312.83999999999997</v>
      </c>
      <c r="H104" s="74">
        <v>2268.08</v>
      </c>
      <c r="I104" s="200" t="str">
        <f t="shared" si="1"/>
        <v>CORRECTO</v>
      </c>
      <c r="J104" s="232" t="s">
        <v>1522</v>
      </c>
      <c r="K104" s="69" t="s">
        <v>980</v>
      </c>
      <c r="L104" s="84" t="s">
        <v>227</v>
      </c>
      <c r="M104" s="136">
        <v>45901</v>
      </c>
      <c r="N104" s="75" t="s">
        <v>3065</v>
      </c>
      <c r="O104" s="237"/>
      <c r="P104" s="240"/>
    </row>
    <row r="105" spans="1:16" x14ac:dyDescent="0.3">
      <c r="A105" s="16" t="s">
        <v>2987</v>
      </c>
      <c r="B105" s="16" t="s">
        <v>2988</v>
      </c>
      <c r="C105" s="28" t="s">
        <v>224</v>
      </c>
      <c r="D105" s="28" t="str">
        <f>IFERROR(VLOOKUP($C105,CUENTAS[],2,0),"")</f>
        <v>MATERIALES</v>
      </c>
      <c r="E105" s="28" t="str">
        <f>IFERROR(VLOOKUP($C105,CUENTAS[],3,0),"")</f>
        <v>MDE2025-004</v>
      </c>
      <c r="F105" s="86">
        <v>1207.32</v>
      </c>
      <c r="G105" s="86">
        <v>193.18</v>
      </c>
      <c r="H105" s="74">
        <v>1400.5</v>
      </c>
      <c r="I105" s="200" t="str">
        <f t="shared" si="1"/>
        <v>CORRECTO</v>
      </c>
      <c r="J105" s="232" t="s">
        <v>1522</v>
      </c>
      <c r="K105" s="69" t="s">
        <v>980</v>
      </c>
      <c r="L105" s="84" t="s">
        <v>227</v>
      </c>
      <c r="M105" s="136">
        <v>45910</v>
      </c>
      <c r="N105" s="75" t="s">
        <v>3066</v>
      </c>
      <c r="O105" s="237"/>
      <c r="P105" s="240"/>
    </row>
    <row r="106" spans="1:16" x14ac:dyDescent="0.3">
      <c r="A106" s="16" t="s">
        <v>2957</v>
      </c>
      <c r="B106" s="16" t="s">
        <v>2989</v>
      </c>
      <c r="C106" s="28" t="s">
        <v>224</v>
      </c>
      <c r="D106" s="28" t="str">
        <f>IFERROR(VLOOKUP($C106,CUENTAS[],2,0),"")</f>
        <v>MATERIALES</v>
      </c>
      <c r="E106" s="28" t="str">
        <f>IFERROR(VLOOKUP($C106,CUENTAS[],3,0),"")</f>
        <v>MDE2025-004</v>
      </c>
      <c r="F106" s="86">
        <v>914.66</v>
      </c>
      <c r="G106" s="86">
        <v>146.34</v>
      </c>
      <c r="H106" s="74">
        <v>1061</v>
      </c>
      <c r="I106" s="200" t="str">
        <f t="shared" si="1"/>
        <v>CORRECTO</v>
      </c>
      <c r="J106" s="232" t="s">
        <v>1522</v>
      </c>
      <c r="K106" s="69" t="s">
        <v>980</v>
      </c>
      <c r="L106" s="84" t="s">
        <v>227</v>
      </c>
      <c r="M106" s="136">
        <v>45936</v>
      </c>
      <c r="N106" s="75" t="s">
        <v>3067</v>
      </c>
      <c r="O106" s="237"/>
      <c r="P106" s="240"/>
    </row>
    <row r="107" spans="1:16" x14ac:dyDescent="0.3">
      <c r="A107" s="16" t="s">
        <v>2990</v>
      </c>
      <c r="B107" s="16" t="s">
        <v>2991</v>
      </c>
      <c r="C107" s="28" t="s">
        <v>168</v>
      </c>
      <c r="D107" s="28" t="str">
        <f>IFERROR(VLOOKUP($C107,CUENTAS[],2,0),"")</f>
        <v>ACTIVOS FIJOS</v>
      </c>
      <c r="E107" s="28" t="str">
        <f>IFERROR(VLOOKUP($C107,CUENTAS[],3,0),"")</f>
        <v>MDE2025-007B</v>
      </c>
      <c r="F107" s="86">
        <v>6370.65</v>
      </c>
      <c r="G107" s="86">
        <v>1019.31</v>
      </c>
      <c r="H107" s="74">
        <v>7390</v>
      </c>
      <c r="I107" s="200" t="str">
        <f t="shared" si="1"/>
        <v>REVISAR</v>
      </c>
      <c r="J107" s="232" t="s">
        <v>1522</v>
      </c>
      <c r="K107" s="69" t="s">
        <v>364</v>
      </c>
      <c r="L107" s="84" t="s">
        <v>227</v>
      </c>
      <c r="M107" s="136">
        <v>45940</v>
      </c>
      <c r="N107" s="75" t="s">
        <v>3068</v>
      </c>
      <c r="O107" s="237"/>
      <c r="P107" s="240"/>
    </row>
    <row r="108" spans="1:16" x14ac:dyDescent="0.3">
      <c r="A108" s="16" t="s">
        <v>2990</v>
      </c>
      <c r="B108" s="16" t="s">
        <v>2992</v>
      </c>
      <c r="C108" s="28" t="s">
        <v>168</v>
      </c>
      <c r="D108" s="28" t="str">
        <f>IFERROR(VLOOKUP($C108,CUENTAS[],2,0),"")</f>
        <v>ACTIVOS FIJOS</v>
      </c>
      <c r="E108" s="28" t="str">
        <f>IFERROR(VLOOKUP($C108,CUENTAS[],3,0),"")</f>
        <v>MDE2025-007B</v>
      </c>
      <c r="F108" s="86">
        <v>6370.65</v>
      </c>
      <c r="G108" s="86">
        <v>1019.31</v>
      </c>
      <c r="H108" s="74">
        <v>7390</v>
      </c>
      <c r="I108" s="200" t="str">
        <f t="shared" si="1"/>
        <v>REVISAR</v>
      </c>
      <c r="J108" s="232" t="s">
        <v>1522</v>
      </c>
      <c r="K108" s="69" t="s">
        <v>364</v>
      </c>
      <c r="L108" s="84" t="s">
        <v>227</v>
      </c>
      <c r="M108" s="136">
        <v>45940</v>
      </c>
      <c r="N108" s="75" t="s">
        <v>3069</v>
      </c>
      <c r="O108" s="237"/>
      <c r="P108" s="240"/>
    </row>
    <row r="109" spans="1:16" x14ac:dyDescent="0.3">
      <c r="A109" s="16" t="s">
        <v>2659</v>
      </c>
      <c r="B109" s="16" t="s">
        <v>2993</v>
      </c>
      <c r="C109" s="28" t="s">
        <v>151</v>
      </c>
      <c r="D109" s="28" t="str">
        <f>IFERROR(VLOOKUP($C109,CUENTAS[],2,0),"")</f>
        <v>GASTOS FIJOS</v>
      </c>
      <c r="E109" s="28" t="str">
        <f>IFERROR(VLOOKUP($C109,CUENTAS[],3,0),"")</f>
        <v>MDE2025-002F</v>
      </c>
      <c r="F109" s="86">
        <v>490.11</v>
      </c>
      <c r="G109" s="86">
        <v>0</v>
      </c>
      <c r="H109" s="74">
        <v>490.11</v>
      </c>
      <c r="I109" s="200" t="str">
        <f t="shared" si="1"/>
        <v>CORRECTO</v>
      </c>
      <c r="J109" s="232" t="s">
        <v>1522</v>
      </c>
      <c r="K109" s="69" t="s">
        <v>363</v>
      </c>
      <c r="L109" s="84" t="s">
        <v>227</v>
      </c>
      <c r="M109" s="136">
        <v>45944</v>
      </c>
      <c r="N109" s="75" t="s">
        <v>3070</v>
      </c>
      <c r="O109" s="237"/>
      <c r="P109" s="240"/>
    </row>
    <row r="110" spans="1:16" x14ac:dyDescent="0.3">
      <c r="A110" s="16" t="s">
        <v>619</v>
      </c>
      <c r="B110" s="16" t="s">
        <v>2994</v>
      </c>
      <c r="C110" s="28" t="s">
        <v>223</v>
      </c>
      <c r="D110" s="28" t="str">
        <f>IFERROR(VLOOKUP($C110,CUENTAS[],2,0),"")</f>
        <v>MANTENIMIENTO</v>
      </c>
      <c r="E110" s="28" t="str">
        <f>IFERROR(VLOOKUP($C110,CUENTAS[],3,0),"")</f>
        <v>MDE2025-009B</v>
      </c>
      <c r="F110" s="86">
        <v>1393.1</v>
      </c>
      <c r="G110" s="86">
        <v>222.9</v>
      </c>
      <c r="H110" s="74">
        <v>1616</v>
      </c>
      <c r="I110" s="200" t="str">
        <f t="shared" si="1"/>
        <v>CORRECTO</v>
      </c>
      <c r="J110" s="232" t="s">
        <v>1522</v>
      </c>
      <c r="K110" s="69" t="s">
        <v>980</v>
      </c>
      <c r="L110" s="84" t="s">
        <v>227</v>
      </c>
      <c r="M110" s="136">
        <v>45943</v>
      </c>
      <c r="N110" s="75" t="s">
        <v>3071</v>
      </c>
      <c r="O110" s="237"/>
      <c r="P110" s="240"/>
    </row>
    <row r="111" spans="1:16" x14ac:dyDescent="0.3">
      <c r="A111" s="16" t="s">
        <v>619</v>
      </c>
      <c r="B111" s="16" t="s">
        <v>2994</v>
      </c>
      <c r="C111" s="28" t="s">
        <v>224</v>
      </c>
      <c r="D111" s="28" t="str">
        <f>IFERROR(VLOOKUP($C111,CUENTAS[],2,0),"")</f>
        <v>MATERIALES</v>
      </c>
      <c r="E111" s="28" t="str">
        <f>IFERROR(VLOOKUP($C111,CUENTAS[],3,0),"")</f>
        <v>MDE2025-004</v>
      </c>
      <c r="F111" s="86">
        <v>1356.9</v>
      </c>
      <c r="G111" s="86">
        <v>217.1</v>
      </c>
      <c r="H111" s="74">
        <v>1574</v>
      </c>
      <c r="I111" s="200" t="str">
        <f t="shared" si="1"/>
        <v>CORRECTO</v>
      </c>
      <c r="J111" s="232" t="s">
        <v>1522</v>
      </c>
      <c r="K111" s="69" t="s">
        <v>980</v>
      </c>
      <c r="L111" s="84" t="s">
        <v>227</v>
      </c>
      <c r="M111" s="136">
        <v>45943</v>
      </c>
      <c r="N111" s="75" t="s">
        <v>3072</v>
      </c>
      <c r="O111" s="237"/>
      <c r="P111" s="240"/>
    </row>
    <row r="112" spans="1:16" x14ac:dyDescent="0.3">
      <c r="A112" s="16" t="s">
        <v>619</v>
      </c>
      <c r="B112" s="16" t="s">
        <v>2995</v>
      </c>
      <c r="C112" s="28" t="s">
        <v>147</v>
      </c>
      <c r="D112" s="28" t="str">
        <f>IFERROR(VLOOKUP($C112,CUENTAS[],2,0),"")</f>
        <v>ACTIVOS FIJOS</v>
      </c>
      <c r="E112" s="28" t="str">
        <f>IFERROR(VLOOKUP($C112,CUENTAS[],3,0),"")</f>
        <v>MDE2025-007D</v>
      </c>
      <c r="F112" s="169">
        <v>405.17</v>
      </c>
      <c r="G112" s="169">
        <v>64.83</v>
      </c>
      <c r="H112" s="74">
        <v>270</v>
      </c>
      <c r="I112" s="200" t="str">
        <f t="shared" si="1"/>
        <v>REVISAR</v>
      </c>
      <c r="J112" s="233" t="s">
        <v>175</v>
      </c>
      <c r="K112" s="69" t="s">
        <v>980</v>
      </c>
      <c r="L112" s="84" t="s">
        <v>227</v>
      </c>
      <c r="M112" s="136">
        <v>45944</v>
      </c>
      <c r="N112" s="18" t="s">
        <v>3073</v>
      </c>
      <c r="O112" s="237"/>
      <c r="P112" s="240"/>
    </row>
    <row r="113" spans="1:16" x14ac:dyDescent="0.3">
      <c r="A113" s="16" t="s">
        <v>619</v>
      </c>
      <c r="B113" s="16" t="s">
        <v>2996</v>
      </c>
      <c r="C113" s="28" t="s">
        <v>223</v>
      </c>
      <c r="D113" s="28" t="str">
        <f>IFERROR(VLOOKUP($C113,CUENTAS[],2,0),"")</f>
        <v>MANTENIMIENTO</v>
      </c>
      <c r="E113" s="28" t="str">
        <f>IFERROR(VLOOKUP($C113,CUENTAS[],3,0),"")</f>
        <v>MDE2025-009B</v>
      </c>
      <c r="F113" s="177"/>
      <c r="G113" s="231"/>
      <c r="H113" s="74">
        <v>200</v>
      </c>
      <c r="I113" s="200" t="str">
        <f t="shared" si="1"/>
        <v>REVISAR</v>
      </c>
      <c r="J113" s="234"/>
      <c r="K113" s="69" t="s">
        <v>360</v>
      </c>
      <c r="L113" s="84" t="s">
        <v>227</v>
      </c>
      <c r="M113" s="136">
        <v>45944</v>
      </c>
      <c r="N113" s="18" t="s">
        <v>3073</v>
      </c>
      <c r="O113" s="237"/>
      <c r="P113" s="240"/>
    </row>
    <row r="114" spans="1:16" x14ac:dyDescent="0.3">
      <c r="A114" s="16" t="s">
        <v>2997</v>
      </c>
      <c r="B114" s="16" t="s">
        <v>2998</v>
      </c>
      <c r="C114" s="28" t="s">
        <v>224</v>
      </c>
      <c r="D114" s="28" t="str">
        <f>IFERROR(VLOOKUP($C114,CUENTAS[],2,0),"")</f>
        <v>MATERIALES</v>
      </c>
      <c r="E114" s="28" t="str">
        <f>IFERROR(VLOOKUP($C114,CUENTAS[],3,0),"")</f>
        <v>MDE2025-004</v>
      </c>
      <c r="F114" s="86">
        <v>150.86000000000001</v>
      </c>
      <c r="G114" s="86">
        <v>24.14</v>
      </c>
      <c r="H114" s="74">
        <v>175</v>
      </c>
      <c r="I114" s="200" t="str">
        <f t="shared" si="1"/>
        <v>CORRECTO</v>
      </c>
      <c r="J114" s="232" t="s">
        <v>1522</v>
      </c>
      <c r="K114" s="69" t="s">
        <v>980</v>
      </c>
      <c r="L114" s="84" t="s">
        <v>227</v>
      </c>
      <c r="M114" s="136">
        <v>45944</v>
      </c>
      <c r="N114" s="75" t="s">
        <v>3074</v>
      </c>
      <c r="O114" s="237"/>
      <c r="P114" s="240"/>
    </row>
    <row r="115" spans="1:16" x14ac:dyDescent="0.3">
      <c r="A115" s="16" t="s">
        <v>857</v>
      </c>
      <c r="B115" s="16" t="s">
        <v>2999</v>
      </c>
      <c r="C115" s="28" t="s">
        <v>224</v>
      </c>
      <c r="D115" s="28" t="str">
        <f>IFERROR(VLOOKUP($C115,CUENTAS[],2,0),"")</f>
        <v>MATERIALES</v>
      </c>
      <c r="E115" s="28" t="str">
        <f>IFERROR(VLOOKUP($C115,CUENTAS[],3,0),"")</f>
        <v>MDE2025-004</v>
      </c>
      <c r="F115" s="86">
        <v>1972.41</v>
      </c>
      <c r="G115" s="86">
        <v>315.58999999999997</v>
      </c>
      <c r="H115" s="74">
        <v>2288</v>
      </c>
      <c r="I115" s="200" t="str">
        <f t="shared" si="1"/>
        <v>CORRECTO</v>
      </c>
      <c r="J115" s="232" t="s">
        <v>1522</v>
      </c>
      <c r="K115" s="69" t="s">
        <v>980</v>
      </c>
      <c r="L115" s="84" t="s">
        <v>227</v>
      </c>
      <c r="M115" s="136">
        <v>45944</v>
      </c>
      <c r="N115" s="75" t="s">
        <v>3075</v>
      </c>
      <c r="O115" s="237"/>
      <c r="P115" s="240"/>
    </row>
    <row r="116" spans="1:16" x14ac:dyDescent="0.3">
      <c r="A116" s="16" t="s">
        <v>1253</v>
      </c>
      <c r="B116" s="16" t="s">
        <v>1540</v>
      </c>
      <c r="C116" s="28" t="s">
        <v>125</v>
      </c>
      <c r="D116" s="28" t="str">
        <f>IFERROR(VLOOKUP($C116,CUENTAS[],2,0),"")</f>
        <v>GASTOS FIJOS</v>
      </c>
      <c r="E116" s="28" t="str">
        <f>IFERROR(VLOOKUP($C116,CUENTAS[],3,0),"")</f>
        <v>MDE2025-002B</v>
      </c>
      <c r="F116" s="86">
        <v>650</v>
      </c>
      <c r="G116" s="86">
        <v>0</v>
      </c>
      <c r="H116" s="74">
        <v>650</v>
      </c>
      <c r="I116" s="200" t="str">
        <f t="shared" si="1"/>
        <v>CORRECTO</v>
      </c>
      <c r="J116" s="232" t="s">
        <v>175</v>
      </c>
      <c r="K116" s="69" t="s">
        <v>363</v>
      </c>
      <c r="L116" s="84" t="s">
        <v>227</v>
      </c>
      <c r="M116" s="136">
        <v>45944</v>
      </c>
      <c r="N116" s="75" t="s">
        <v>3076</v>
      </c>
      <c r="O116" s="237"/>
      <c r="P116" s="240"/>
    </row>
    <row r="117" spans="1:16" x14ac:dyDescent="0.3">
      <c r="A117" s="16" t="s">
        <v>857</v>
      </c>
      <c r="B117" s="16" t="s">
        <v>3000</v>
      </c>
      <c r="C117" s="28" t="s">
        <v>224</v>
      </c>
      <c r="D117" s="28" t="str">
        <f>IFERROR(VLOOKUP($C117,CUENTAS[],2,0),"")</f>
        <v>MATERIALES</v>
      </c>
      <c r="E117" s="28" t="str">
        <f>IFERROR(VLOOKUP($C117,CUENTAS[],3,0),"")</f>
        <v>MDE2025-004</v>
      </c>
      <c r="F117" s="86">
        <v>1619.48</v>
      </c>
      <c r="G117" s="86">
        <v>259.12</v>
      </c>
      <c r="H117" s="74">
        <v>1878.6</v>
      </c>
      <c r="I117" s="200" t="str">
        <f t="shared" si="1"/>
        <v>CORRECTO</v>
      </c>
      <c r="J117" s="232" t="s">
        <v>1522</v>
      </c>
      <c r="K117" s="69" t="s">
        <v>980</v>
      </c>
      <c r="L117" s="84" t="s">
        <v>227</v>
      </c>
      <c r="M117" s="136">
        <v>45945</v>
      </c>
      <c r="N117" s="75" t="s">
        <v>3077</v>
      </c>
      <c r="O117" s="237"/>
      <c r="P117" s="240"/>
    </row>
    <row r="118" spans="1:16" x14ac:dyDescent="0.3">
      <c r="A118" s="16" t="s">
        <v>835</v>
      </c>
      <c r="B118" s="16" t="s">
        <v>3001</v>
      </c>
      <c r="C118" s="28" t="s">
        <v>224</v>
      </c>
      <c r="D118" s="28" t="str">
        <f>IFERROR(VLOOKUP($C118,CUENTAS[],2,0),"")</f>
        <v>MATERIALES</v>
      </c>
      <c r="E118" s="28" t="str">
        <f>IFERROR(VLOOKUP($C118,CUENTAS[],3,0),"")</f>
        <v>MDE2025-004</v>
      </c>
      <c r="F118" s="86">
        <v>1469.82</v>
      </c>
      <c r="G118" s="86">
        <v>235.17</v>
      </c>
      <c r="H118" s="74">
        <v>1705</v>
      </c>
      <c r="I118" s="200" t="str">
        <f t="shared" si="1"/>
        <v>REVISAR</v>
      </c>
      <c r="J118" s="232" t="s">
        <v>1522</v>
      </c>
      <c r="K118" s="69" t="s">
        <v>980</v>
      </c>
      <c r="L118" s="84" t="s">
        <v>227</v>
      </c>
      <c r="M118" s="136">
        <v>45945</v>
      </c>
      <c r="N118" s="75" t="s">
        <v>3078</v>
      </c>
      <c r="O118" s="237"/>
      <c r="P118" s="240"/>
    </row>
    <row r="119" spans="1:16" x14ac:dyDescent="0.3">
      <c r="A119" s="16" t="s">
        <v>3002</v>
      </c>
      <c r="B119" s="16" t="s">
        <v>3003</v>
      </c>
      <c r="C119" s="28" t="s">
        <v>224</v>
      </c>
      <c r="D119" s="28" t="str">
        <f>IFERROR(VLOOKUP($C119,CUENTAS[],2,0),"")</f>
        <v>MATERIALES</v>
      </c>
      <c r="E119" s="28" t="str">
        <f>IFERROR(VLOOKUP($C119,CUENTAS[],3,0),"")</f>
        <v>MDE2025-004</v>
      </c>
      <c r="F119" s="86">
        <v>361</v>
      </c>
      <c r="G119" s="86">
        <v>292.94</v>
      </c>
      <c r="H119" s="74">
        <v>654</v>
      </c>
      <c r="I119" s="200" t="str">
        <f t="shared" si="1"/>
        <v>REVISAR</v>
      </c>
      <c r="J119" s="232" t="s">
        <v>1522</v>
      </c>
      <c r="K119" s="69" t="s">
        <v>980</v>
      </c>
      <c r="L119" s="84" t="s">
        <v>227</v>
      </c>
      <c r="M119" s="136">
        <v>45945</v>
      </c>
      <c r="N119" s="75" t="s">
        <v>1242</v>
      </c>
      <c r="O119" s="237"/>
      <c r="P119" s="240"/>
    </row>
    <row r="120" spans="1:16" x14ac:dyDescent="0.3">
      <c r="A120" s="16" t="s">
        <v>1724</v>
      </c>
      <c r="B120" s="16" t="s">
        <v>3004</v>
      </c>
      <c r="C120" s="28" t="s">
        <v>224</v>
      </c>
      <c r="D120" s="28" t="str">
        <f>IFERROR(VLOOKUP($C120,CUENTAS[],2,0),"")</f>
        <v>MATERIALES</v>
      </c>
      <c r="E120" s="28" t="str">
        <f>IFERROR(VLOOKUP($C120,CUENTAS[],3,0),"")</f>
        <v>MDE2025-004</v>
      </c>
      <c r="F120" s="86">
        <v>2189.58</v>
      </c>
      <c r="G120" s="86">
        <v>350.33</v>
      </c>
      <c r="H120" s="74">
        <v>2539.91</v>
      </c>
      <c r="I120" s="200" t="str">
        <f t="shared" si="1"/>
        <v>CORRECTO</v>
      </c>
      <c r="J120" s="232" t="s">
        <v>1522</v>
      </c>
      <c r="K120" s="69" t="s">
        <v>980</v>
      </c>
      <c r="L120" s="84" t="s">
        <v>227</v>
      </c>
      <c r="M120" s="136">
        <v>45901</v>
      </c>
      <c r="N120" s="75" t="s">
        <v>3079</v>
      </c>
      <c r="O120" s="237"/>
      <c r="P120" s="240"/>
    </row>
    <row r="121" spans="1:16" x14ac:dyDescent="0.3">
      <c r="A121" s="16" t="s">
        <v>666</v>
      </c>
      <c r="B121" s="16" t="s">
        <v>3005</v>
      </c>
      <c r="C121" s="28" t="s">
        <v>224</v>
      </c>
      <c r="D121" s="28" t="str">
        <f>IFERROR(VLOOKUP($C121,CUENTAS[],2,0),"")</f>
        <v>MATERIALES</v>
      </c>
      <c r="E121" s="28" t="str">
        <f>IFERROR(VLOOKUP($C121,CUENTAS[],3,0),"")</f>
        <v>MDE2025-004</v>
      </c>
      <c r="F121" s="86">
        <v>1029.31</v>
      </c>
      <c r="G121" s="86">
        <v>164.69</v>
      </c>
      <c r="H121" s="74">
        <v>1194</v>
      </c>
      <c r="I121" s="200" t="str">
        <f t="shared" si="1"/>
        <v>CORRECTO</v>
      </c>
      <c r="J121" s="232" t="s">
        <v>1522</v>
      </c>
      <c r="K121" s="69" t="s">
        <v>980</v>
      </c>
      <c r="L121" s="84" t="s">
        <v>227</v>
      </c>
      <c r="M121" s="136">
        <v>45945</v>
      </c>
      <c r="N121" s="75" t="s">
        <v>3080</v>
      </c>
      <c r="O121" s="237"/>
      <c r="P121" s="240"/>
    </row>
    <row r="122" spans="1:16" x14ac:dyDescent="0.3">
      <c r="A122" s="16" t="s">
        <v>3006</v>
      </c>
      <c r="B122" s="16" t="s">
        <v>3007</v>
      </c>
      <c r="C122" s="28" t="s">
        <v>224</v>
      </c>
      <c r="D122" s="28" t="str">
        <f>IFERROR(VLOOKUP($C122,CUENTAS[],2,0),"")</f>
        <v>MATERIALES</v>
      </c>
      <c r="E122" s="28" t="str">
        <f>IFERROR(VLOOKUP($C122,CUENTAS[],3,0),"")</f>
        <v>MDE2025-004</v>
      </c>
      <c r="F122" s="86">
        <v>221.64</v>
      </c>
      <c r="G122" s="86">
        <v>35.46</v>
      </c>
      <c r="H122" s="74">
        <v>257.10000000000002</v>
      </c>
      <c r="I122" s="200" t="str">
        <f t="shared" si="1"/>
        <v>CORRECTO</v>
      </c>
      <c r="J122" s="232" t="s">
        <v>1522</v>
      </c>
      <c r="K122" s="69" t="s">
        <v>980</v>
      </c>
      <c r="L122" s="84" t="s">
        <v>227</v>
      </c>
      <c r="M122" s="136">
        <v>45945</v>
      </c>
      <c r="N122" s="75" t="s">
        <v>105</v>
      </c>
      <c r="O122" s="237"/>
      <c r="P122" s="240"/>
    </row>
    <row r="123" spans="1:16" x14ac:dyDescent="0.3">
      <c r="A123" s="16" t="s">
        <v>3008</v>
      </c>
      <c r="B123" s="16" t="s">
        <v>3009</v>
      </c>
      <c r="C123" s="28" t="s">
        <v>224</v>
      </c>
      <c r="D123" s="28" t="str">
        <f>IFERROR(VLOOKUP($C123,CUENTAS[],2,0),"")</f>
        <v>MATERIALES</v>
      </c>
      <c r="E123" s="28" t="str">
        <f>IFERROR(VLOOKUP($C123,CUENTAS[],3,0),"")</f>
        <v>MDE2025-004</v>
      </c>
      <c r="F123" s="86">
        <v>380.17</v>
      </c>
      <c r="G123" s="86">
        <v>60.83</v>
      </c>
      <c r="H123" s="74">
        <v>441</v>
      </c>
      <c r="I123" s="200" t="str">
        <f t="shared" si="1"/>
        <v>CORRECTO</v>
      </c>
      <c r="J123" s="232" t="s">
        <v>1522</v>
      </c>
      <c r="K123" s="69" t="s">
        <v>980</v>
      </c>
      <c r="L123" s="84" t="s">
        <v>227</v>
      </c>
      <c r="M123" s="135">
        <v>45946</v>
      </c>
      <c r="N123" s="75" t="s">
        <v>3081</v>
      </c>
      <c r="O123" s="237"/>
      <c r="P123" s="240"/>
    </row>
    <row r="124" spans="1:16" x14ac:dyDescent="0.3">
      <c r="A124" s="16" t="s">
        <v>3008</v>
      </c>
      <c r="B124" s="16" t="s">
        <v>3010</v>
      </c>
      <c r="C124" s="28" t="s">
        <v>224</v>
      </c>
      <c r="D124" s="28" t="str">
        <f>IFERROR(VLOOKUP($C124,CUENTAS[],2,0),"")</f>
        <v>MATERIALES</v>
      </c>
      <c r="E124" s="28" t="str">
        <f>IFERROR(VLOOKUP($C124,CUENTAS[],3,0),"")</f>
        <v>MDE2025-004</v>
      </c>
      <c r="F124" s="86">
        <v>115.52</v>
      </c>
      <c r="G124" s="86">
        <v>18.48</v>
      </c>
      <c r="H124" s="74">
        <v>134</v>
      </c>
      <c r="I124" s="200" t="str">
        <f t="shared" si="1"/>
        <v>CORRECTO</v>
      </c>
      <c r="J124" s="232" t="s">
        <v>1522</v>
      </c>
      <c r="K124" s="69" t="s">
        <v>980</v>
      </c>
      <c r="L124" s="84" t="s">
        <v>227</v>
      </c>
      <c r="M124" s="135">
        <v>45946</v>
      </c>
      <c r="N124" s="75" t="s">
        <v>3082</v>
      </c>
      <c r="O124" s="237"/>
      <c r="P124" s="240"/>
    </row>
    <row r="125" spans="1:16" x14ac:dyDescent="0.3">
      <c r="A125" s="16" t="s">
        <v>1335</v>
      </c>
      <c r="B125" s="16" t="s">
        <v>3011</v>
      </c>
      <c r="C125" s="28" t="s">
        <v>224</v>
      </c>
      <c r="D125" s="28" t="str">
        <f>IFERROR(VLOOKUP($C125,CUENTAS[],2,0),"")</f>
        <v>MATERIALES</v>
      </c>
      <c r="E125" s="28" t="str">
        <f>IFERROR(VLOOKUP($C125,CUENTAS[],3,0),"")</f>
        <v>MDE2025-004</v>
      </c>
      <c r="F125" s="86">
        <v>687.2</v>
      </c>
      <c r="G125" s="86">
        <v>109.95</v>
      </c>
      <c r="H125" s="74">
        <v>797.15</v>
      </c>
      <c r="I125" s="200" t="str">
        <f t="shared" si="1"/>
        <v>CORRECTO</v>
      </c>
      <c r="J125" s="232" t="s">
        <v>1522</v>
      </c>
      <c r="K125" s="69" t="s">
        <v>980</v>
      </c>
      <c r="L125" s="84" t="s">
        <v>227</v>
      </c>
      <c r="M125" s="135">
        <v>45946</v>
      </c>
      <c r="N125" s="75" t="s">
        <v>3083</v>
      </c>
      <c r="O125" s="237"/>
      <c r="P125" s="240"/>
    </row>
    <row r="126" spans="1:16" x14ac:dyDescent="0.3">
      <c r="A126" s="16" t="s">
        <v>3012</v>
      </c>
      <c r="B126" s="16" t="s">
        <v>3013</v>
      </c>
      <c r="C126" s="28" t="s">
        <v>224</v>
      </c>
      <c r="D126" s="28" t="str">
        <f>IFERROR(VLOOKUP($C126,CUENTAS[],2,0),"")</f>
        <v>MATERIALES</v>
      </c>
      <c r="E126" s="28" t="str">
        <f>IFERROR(VLOOKUP($C126,CUENTAS[],3,0),"")</f>
        <v>MDE2025-004</v>
      </c>
      <c r="F126" s="86">
        <v>700</v>
      </c>
      <c r="G126" s="86">
        <v>0</v>
      </c>
      <c r="H126" s="74">
        <v>700</v>
      </c>
      <c r="I126" s="200" t="str">
        <f t="shared" si="1"/>
        <v>CORRECTO</v>
      </c>
      <c r="J126" s="232" t="s">
        <v>1522</v>
      </c>
      <c r="K126" s="69" t="s">
        <v>980</v>
      </c>
      <c r="L126" s="84" t="s">
        <v>227</v>
      </c>
      <c r="M126" s="135">
        <v>45946</v>
      </c>
      <c r="N126" s="75" t="s">
        <v>3084</v>
      </c>
      <c r="O126" s="237"/>
      <c r="P126" s="240"/>
    </row>
    <row r="127" spans="1:16" x14ac:dyDescent="0.3">
      <c r="A127" s="16" t="s">
        <v>3014</v>
      </c>
      <c r="B127" s="16" t="s">
        <v>3015</v>
      </c>
      <c r="C127" s="28" t="s">
        <v>224</v>
      </c>
      <c r="D127" s="28" t="str">
        <f>IFERROR(VLOOKUP($C127,CUENTAS[],2,0),"")</f>
        <v>MATERIALES</v>
      </c>
      <c r="E127" s="28" t="str">
        <f>IFERROR(VLOOKUP($C127,CUENTAS[],3,0),"")</f>
        <v>MDE2025-004</v>
      </c>
      <c r="F127" s="86">
        <v>256.89999999999998</v>
      </c>
      <c r="G127" s="86">
        <v>41.1</v>
      </c>
      <c r="H127" s="74">
        <v>298</v>
      </c>
      <c r="I127" s="200" t="str">
        <f t="shared" si="1"/>
        <v>CORRECTO</v>
      </c>
      <c r="J127" s="232" t="s">
        <v>1522</v>
      </c>
      <c r="K127" s="69" t="s">
        <v>980</v>
      </c>
      <c r="L127" s="84" t="s">
        <v>227</v>
      </c>
      <c r="M127" s="135">
        <v>45946</v>
      </c>
      <c r="N127" s="75" t="s">
        <v>3085</v>
      </c>
      <c r="O127" s="237"/>
      <c r="P127" s="240"/>
    </row>
    <row r="128" spans="1:16" x14ac:dyDescent="0.3">
      <c r="A128" s="16" t="s">
        <v>3002</v>
      </c>
      <c r="B128" s="16" t="s">
        <v>3016</v>
      </c>
      <c r="C128" s="28" t="s">
        <v>224</v>
      </c>
      <c r="D128" s="28" t="str">
        <f>IFERROR(VLOOKUP($C128,CUENTAS[],2,0),"")</f>
        <v>MATERIALES</v>
      </c>
      <c r="E128" s="28" t="str">
        <f>IFERROR(VLOOKUP($C128,CUENTAS[],3,0),"")</f>
        <v>MDE2025-004</v>
      </c>
      <c r="F128" s="86">
        <v>2585</v>
      </c>
      <c r="G128" s="86">
        <v>0</v>
      </c>
      <c r="H128" s="74">
        <v>2585</v>
      </c>
      <c r="I128" s="200" t="str">
        <f t="shared" si="1"/>
        <v>CORRECTO</v>
      </c>
      <c r="J128" s="232" t="s">
        <v>1522</v>
      </c>
      <c r="K128" s="69" t="s">
        <v>980</v>
      </c>
      <c r="L128" s="84" t="s">
        <v>227</v>
      </c>
      <c r="M128" s="139">
        <v>45946</v>
      </c>
      <c r="N128" s="75" t="s">
        <v>3086</v>
      </c>
      <c r="O128" s="237"/>
      <c r="P128" s="240"/>
    </row>
    <row r="129" spans="1:16" x14ac:dyDescent="0.3">
      <c r="A129" s="16" t="s">
        <v>3017</v>
      </c>
      <c r="B129" s="16" t="s">
        <v>3018</v>
      </c>
      <c r="C129" s="28" t="s">
        <v>144</v>
      </c>
      <c r="D129" s="28" t="str">
        <f>IFERROR(VLOOKUP($C129,CUENTAS[],2,0),"")</f>
        <v>LOGÍSTICA</v>
      </c>
      <c r="E129" s="28" t="str">
        <f>IFERROR(VLOOKUP($C129,CUENTAS[],3,0),"")</f>
        <v>MDE2025-006G</v>
      </c>
      <c r="F129" s="86">
        <v>7500</v>
      </c>
      <c r="G129" s="86">
        <v>0</v>
      </c>
      <c r="H129" s="74">
        <v>7500</v>
      </c>
      <c r="I129" s="200" t="str">
        <f t="shared" si="1"/>
        <v>CORRECTO</v>
      </c>
      <c r="J129" s="232" t="s">
        <v>1522</v>
      </c>
      <c r="K129" s="69" t="s">
        <v>3087</v>
      </c>
      <c r="L129" s="84" t="s">
        <v>227</v>
      </c>
      <c r="M129" s="139">
        <v>45946</v>
      </c>
      <c r="N129" s="75" t="s">
        <v>371</v>
      </c>
      <c r="O129" s="237"/>
      <c r="P129" s="240"/>
    </row>
    <row r="130" spans="1:16" x14ac:dyDescent="0.3">
      <c r="A130" s="16" t="s">
        <v>270</v>
      </c>
      <c r="B130" s="16" t="s">
        <v>3019</v>
      </c>
      <c r="C130" s="28" t="s">
        <v>223</v>
      </c>
      <c r="D130" s="28" t="str">
        <f>IFERROR(VLOOKUP($C130,CUENTAS[],2,0),"")</f>
        <v>MANTENIMIENTO</v>
      </c>
      <c r="E130" s="28" t="str">
        <f>IFERROR(VLOOKUP($C130,CUENTAS[],3,0),"")</f>
        <v>MDE2025-009B</v>
      </c>
      <c r="F130" s="86">
        <v>5750</v>
      </c>
      <c r="G130" s="86">
        <v>0</v>
      </c>
      <c r="H130" s="74">
        <v>5750</v>
      </c>
      <c r="I130" s="200" t="str">
        <f t="shared" si="1"/>
        <v>CORRECTO</v>
      </c>
      <c r="J130" s="232" t="s">
        <v>175</v>
      </c>
      <c r="K130" s="69" t="s">
        <v>363</v>
      </c>
      <c r="L130" s="84" t="s">
        <v>227</v>
      </c>
      <c r="M130" s="137">
        <v>45947</v>
      </c>
      <c r="N130" s="75" t="s">
        <v>371</v>
      </c>
      <c r="O130" s="237"/>
      <c r="P130" s="240"/>
    </row>
    <row r="131" spans="1:16" x14ac:dyDescent="0.3">
      <c r="A131" s="16" t="s">
        <v>616</v>
      </c>
      <c r="B131" s="16" t="s">
        <v>3020</v>
      </c>
      <c r="C131" s="28" t="s">
        <v>223</v>
      </c>
      <c r="D131" s="28" t="str">
        <f>IFERROR(VLOOKUP($C131,CUENTAS[],2,0),"")</f>
        <v>MANTENIMIENTO</v>
      </c>
      <c r="E131" s="28" t="str">
        <f>IFERROR(VLOOKUP($C131,CUENTAS[],3,0),"")</f>
        <v>MDE2025-009B</v>
      </c>
      <c r="F131" s="86">
        <v>478.44</v>
      </c>
      <c r="G131" s="86">
        <v>76.55</v>
      </c>
      <c r="H131" s="74">
        <v>555</v>
      </c>
      <c r="I131" s="200" t="str">
        <f t="shared" ref="I131:I194" si="2">IFERROR(IF(F131+G131&lt;&gt;H131,"REVISAR","CORRECTO"),"")</f>
        <v>REVISAR</v>
      </c>
      <c r="J131" s="232" t="s">
        <v>175</v>
      </c>
      <c r="K131" s="69" t="s">
        <v>980</v>
      </c>
      <c r="L131" s="84" t="s">
        <v>227</v>
      </c>
      <c r="M131" s="140">
        <v>45947</v>
      </c>
      <c r="N131" s="75" t="s">
        <v>3088</v>
      </c>
      <c r="O131" s="237"/>
      <c r="P131" s="240"/>
    </row>
    <row r="132" spans="1:16" x14ac:dyDescent="0.3">
      <c r="A132" s="16" t="s">
        <v>3021</v>
      </c>
      <c r="B132" s="16" t="s">
        <v>3022</v>
      </c>
      <c r="C132" s="28" t="s">
        <v>224</v>
      </c>
      <c r="D132" s="28" t="str">
        <f>IFERROR(VLOOKUP($C132,CUENTAS[],2,0),"")</f>
        <v>MATERIALES</v>
      </c>
      <c r="E132" s="28" t="str">
        <f>IFERROR(VLOOKUP($C132,CUENTAS[],3,0),"")</f>
        <v>MDE2025-004</v>
      </c>
      <c r="F132" s="86">
        <v>790</v>
      </c>
      <c r="G132" s="86">
        <v>0</v>
      </c>
      <c r="H132" s="74">
        <v>790</v>
      </c>
      <c r="I132" s="200" t="str">
        <f t="shared" si="2"/>
        <v>CORRECTO</v>
      </c>
      <c r="J132" s="232" t="s">
        <v>1522</v>
      </c>
      <c r="K132" s="69" t="s">
        <v>2919</v>
      </c>
      <c r="L132" s="84" t="s">
        <v>227</v>
      </c>
      <c r="M132" s="137">
        <v>45947</v>
      </c>
      <c r="N132" s="75" t="s">
        <v>1203</v>
      </c>
      <c r="O132" s="237"/>
      <c r="P132" s="240"/>
    </row>
    <row r="133" spans="1:16" x14ac:dyDescent="0.3">
      <c r="A133" s="16" t="s">
        <v>729</v>
      </c>
      <c r="B133" s="16" t="s">
        <v>2550</v>
      </c>
      <c r="C133" s="28" t="s">
        <v>224</v>
      </c>
      <c r="D133" s="28" t="str">
        <f>IFERROR(VLOOKUP($C133,CUENTAS[],2,0),"")</f>
        <v>MATERIALES</v>
      </c>
      <c r="E133" s="28" t="str">
        <f>IFERROR(VLOOKUP($C133,CUENTAS[],3,0),"")</f>
        <v>MDE2025-004</v>
      </c>
      <c r="F133" s="86">
        <v>8793.51</v>
      </c>
      <c r="G133" s="86">
        <v>1406.96</v>
      </c>
      <c r="H133" s="74">
        <v>2915.96</v>
      </c>
      <c r="I133" s="200" t="str">
        <f t="shared" si="2"/>
        <v>REVISAR</v>
      </c>
      <c r="J133" s="232" t="s">
        <v>1522</v>
      </c>
      <c r="K133" s="69" t="s">
        <v>363</v>
      </c>
      <c r="L133" s="84" t="s">
        <v>227</v>
      </c>
      <c r="M133" s="139">
        <v>45947</v>
      </c>
      <c r="N133" s="75" t="s">
        <v>3089</v>
      </c>
      <c r="O133" s="237"/>
      <c r="P133" s="240"/>
    </row>
    <row r="134" spans="1:16" x14ac:dyDescent="0.3">
      <c r="A134" s="16" t="s">
        <v>3023</v>
      </c>
      <c r="B134" s="16" t="s">
        <v>3024</v>
      </c>
      <c r="C134" s="28" t="s">
        <v>224</v>
      </c>
      <c r="D134" s="28" t="str">
        <f>IFERROR(VLOOKUP($C134,CUENTAS[],2,0),"")</f>
        <v>MATERIALES</v>
      </c>
      <c r="E134" s="28" t="str">
        <f>IFERROR(VLOOKUP($C134,CUENTAS[],3,0),"")</f>
        <v>MDE2025-004</v>
      </c>
      <c r="F134" s="86">
        <v>1241.3800000000001</v>
      </c>
      <c r="G134" s="86">
        <v>198.62</v>
      </c>
      <c r="H134" s="74">
        <v>1440</v>
      </c>
      <c r="I134" s="200" t="str">
        <f t="shared" si="2"/>
        <v>CORRECTO</v>
      </c>
      <c r="J134" s="232" t="s">
        <v>1522</v>
      </c>
      <c r="K134" s="69" t="s">
        <v>2919</v>
      </c>
      <c r="L134" s="84" t="s">
        <v>227</v>
      </c>
      <c r="M134" s="139">
        <v>45947</v>
      </c>
      <c r="N134" s="75" t="s">
        <v>3090</v>
      </c>
      <c r="O134" s="237"/>
      <c r="P134" s="240"/>
    </row>
    <row r="135" spans="1:16" x14ac:dyDescent="0.3">
      <c r="A135" s="16" t="s">
        <v>3025</v>
      </c>
      <c r="B135" s="16" t="s">
        <v>3026</v>
      </c>
      <c r="C135" s="28" t="s">
        <v>224</v>
      </c>
      <c r="D135" s="28" t="str">
        <f>IFERROR(VLOOKUP($C135,CUENTAS[],2,0),"")</f>
        <v>MATERIALES</v>
      </c>
      <c r="E135" s="28" t="str">
        <f>IFERROR(VLOOKUP($C135,CUENTAS[],3,0),"")</f>
        <v>MDE2025-004</v>
      </c>
      <c r="F135" s="86">
        <v>1276</v>
      </c>
      <c r="G135" s="86">
        <v>0</v>
      </c>
      <c r="H135" s="74">
        <v>1276</v>
      </c>
      <c r="I135" s="200" t="str">
        <f t="shared" si="2"/>
        <v>CORRECTO</v>
      </c>
      <c r="J135" s="232" t="s">
        <v>1522</v>
      </c>
      <c r="K135" s="69" t="s">
        <v>2919</v>
      </c>
      <c r="L135" s="84" t="s">
        <v>227</v>
      </c>
      <c r="M135" s="139">
        <v>45947</v>
      </c>
      <c r="N135" s="75" t="s">
        <v>3091</v>
      </c>
      <c r="O135" s="237"/>
      <c r="P135" s="240"/>
    </row>
    <row r="136" spans="1:16" x14ac:dyDescent="0.3">
      <c r="A136" s="16" t="s">
        <v>1604</v>
      </c>
      <c r="B136" s="16" t="s">
        <v>3027</v>
      </c>
      <c r="C136" s="28" t="s">
        <v>224</v>
      </c>
      <c r="D136" s="28" t="str">
        <f>IFERROR(VLOOKUP($C136,CUENTAS[],2,0),"")</f>
        <v>MATERIALES</v>
      </c>
      <c r="E136" s="28" t="str">
        <f>IFERROR(VLOOKUP($C136,CUENTAS[],3,0),"")</f>
        <v>MDE2025-004</v>
      </c>
      <c r="F136" s="86">
        <v>1508.5</v>
      </c>
      <c r="G136" s="86">
        <v>241.36</v>
      </c>
      <c r="H136" s="74">
        <v>1749.86</v>
      </c>
      <c r="I136" s="200" t="str">
        <f t="shared" si="2"/>
        <v>CORRECTO</v>
      </c>
      <c r="J136" s="232" t="s">
        <v>1522</v>
      </c>
      <c r="K136" s="69" t="s">
        <v>980</v>
      </c>
      <c r="L136" s="84" t="s">
        <v>227</v>
      </c>
      <c r="M136" s="139">
        <v>45947</v>
      </c>
      <c r="N136" s="75" t="s">
        <v>3092</v>
      </c>
      <c r="O136" s="237"/>
      <c r="P136" s="240"/>
    </row>
    <row r="137" spans="1:16" x14ac:dyDescent="0.3">
      <c r="A137" s="16" t="s">
        <v>1144</v>
      </c>
      <c r="B137" s="16" t="s">
        <v>3028</v>
      </c>
      <c r="C137" s="28" t="s">
        <v>224</v>
      </c>
      <c r="D137" s="28" t="str">
        <f>IFERROR(VLOOKUP($C137,CUENTAS[],2,0),"")</f>
        <v>MATERIALES</v>
      </c>
      <c r="E137" s="28" t="str">
        <f>IFERROR(VLOOKUP($C137,CUENTAS[],3,0),"")</f>
        <v>MDE2025-004</v>
      </c>
      <c r="F137" s="86">
        <v>79847.5</v>
      </c>
      <c r="G137" s="86">
        <v>12775.6</v>
      </c>
      <c r="H137" s="74">
        <v>92623.1</v>
      </c>
      <c r="I137" s="200" t="str">
        <f t="shared" si="2"/>
        <v>CORRECTO</v>
      </c>
      <c r="J137" s="232" t="s">
        <v>175</v>
      </c>
      <c r="K137" s="69" t="s">
        <v>980</v>
      </c>
      <c r="L137" s="84" t="s">
        <v>227</v>
      </c>
      <c r="M137" s="139">
        <v>45950</v>
      </c>
      <c r="N137" s="75" t="s">
        <v>3093</v>
      </c>
      <c r="O137" s="237"/>
      <c r="P137" s="240"/>
    </row>
    <row r="138" spans="1:16" x14ac:dyDescent="0.3">
      <c r="A138" s="16" t="s">
        <v>3254</v>
      </c>
      <c r="B138" s="16" t="s">
        <v>3255</v>
      </c>
      <c r="C138" s="28" t="s">
        <v>109</v>
      </c>
      <c r="D138" s="28" t="str">
        <f>IFERROR(VLOOKUP($C138,CUENTAS[],2,0),"")</f>
        <v>LOGÍSTICA</v>
      </c>
      <c r="E138" s="28" t="str">
        <f>IFERROR(VLOOKUP($C138,CUENTAS[],3,0),"")</f>
        <v>MDE2025-006A</v>
      </c>
      <c r="F138" s="86">
        <v>6283</v>
      </c>
      <c r="G138" s="86">
        <v>0</v>
      </c>
      <c r="H138" s="74">
        <v>6283</v>
      </c>
      <c r="I138" s="200" t="str">
        <f t="shared" si="2"/>
        <v>CORRECTO</v>
      </c>
      <c r="J138" s="232" t="s">
        <v>175</v>
      </c>
      <c r="K138" s="69" t="s">
        <v>2230</v>
      </c>
      <c r="L138" s="84" t="s">
        <v>227</v>
      </c>
      <c r="M138" s="139">
        <v>45947</v>
      </c>
      <c r="N138" s="75" t="s">
        <v>798</v>
      </c>
      <c r="O138" s="237"/>
      <c r="P138" s="240"/>
    </row>
    <row r="139" spans="1:16" x14ac:dyDescent="0.3">
      <c r="A139" s="16" t="s">
        <v>3029</v>
      </c>
      <c r="B139" s="16" t="s">
        <v>3030</v>
      </c>
      <c r="C139" s="28" t="s">
        <v>224</v>
      </c>
      <c r="D139" s="28" t="str">
        <f>IFERROR(VLOOKUP($C139,CUENTAS[],2,0),"")</f>
        <v>MATERIALES</v>
      </c>
      <c r="E139" s="28" t="str">
        <f>IFERROR(VLOOKUP($C139,CUENTAS[],3,0),"")</f>
        <v>MDE2025-004</v>
      </c>
      <c r="F139" s="86">
        <v>11995</v>
      </c>
      <c r="G139" s="86">
        <v>1919.2</v>
      </c>
      <c r="H139" s="74">
        <v>13914.2</v>
      </c>
      <c r="I139" s="200" t="str">
        <f t="shared" si="2"/>
        <v>CORRECTO</v>
      </c>
      <c r="J139" s="232" t="s">
        <v>175</v>
      </c>
      <c r="K139" s="69" t="s">
        <v>357</v>
      </c>
      <c r="L139" s="84" t="s">
        <v>227</v>
      </c>
      <c r="M139" s="139">
        <v>45950</v>
      </c>
      <c r="N139" s="75" t="s">
        <v>3094</v>
      </c>
      <c r="O139" s="237"/>
      <c r="P139" s="240"/>
    </row>
    <row r="140" spans="1:16" x14ac:dyDescent="0.3">
      <c r="A140" s="16" t="s">
        <v>835</v>
      </c>
      <c r="B140" s="16" t="s">
        <v>3001</v>
      </c>
      <c r="C140" s="28" t="s">
        <v>224</v>
      </c>
      <c r="D140" s="28" t="str">
        <f>IFERROR(VLOOKUP($C140,CUENTAS[],2,0),"")</f>
        <v>MATERIALES</v>
      </c>
      <c r="E140" s="28" t="str">
        <f>IFERROR(VLOOKUP($C140,CUENTAS[],3,0),"")</f>
        <v>MDE2025-004</v>
      </c>
      <c r="F140" s="86">
        <v>1306.03</v>
      </c>
      <c r="G140" s="86">
        <v>208.97</v>
      </c>
      <c r="H140" s="74">
        <v>1515</v>
      </c>
      <c r="I140" s="200" t="str">
        <f t="shared" si="2"/>
        <v>CORRECTO</v>
      </c>
      <c r="J140" s="232" t="s">
        <v>1522</v>
      </c>
      <c r="K140" s="69" t="s">
        <v>980</v>
      </c>
      <c r="L140" s="84" t="s">
        <v>227</v>
      </c>
      <c r="M140" s="139">
        <v>45945</v>
      </c>
      <c r="N140" s="75" t="s">
        <v>3095</v>
      </c>
      <c r="O140" s="237"/>
      <c r="P140" s="240"/>
    </row>
    <row r="141" spans="1:16" x14ac:dyDescent="0.3">
      <c r="A141" s="16" t="s">
        <v>2679</v>
      </c>
      <c r="B141" s="16" t="s">
        <v>2680</v>
      </c>
      <c r="C141" s="28" t="s">
        <v>224</v>
      </c>
      <c r="D141" s="28" t="str">
        <f>IFERROR(VLOOKUP($C141,CUENTAS[],2,0),"")</f>
        <v>MATERIALES</v>
      </c>
      <c r="E141" s="28" t="str">
        <f>IFERROR(VLOOKUP($C141,CUENTAS[],3,0),"")</f>
        <v>MDE2025-004</v>
      </c>
      <c r="F141" s="86">
        <v>718.09</v>
      </c>
      <c r="G141" s="86">
        <v>114.89</v>
      </c>
      <c r="H141" s="74">
        <v>832.98</v>
      </c>
      <c r="I141" s="200" t="str">
        <f t="shared" si="2"/>
        <v>CORRECTO</v>
      </c>
      <c r="J141" s="232" t="s">
        <v>1522</v>
      </c>
      <c r="K141" s="69" t="s">
        <v>980</v>
      </c>
      <c r="L141" s="84" t="s">
        <v>227</v>
      </c>
      <c r="M141" s="139">
        <v>45919</v>
      </c>
      <c r="N141" s="75" t="s">
        <v>3096</v>
      </c>
      <c r="O141" s="237"/>
      <c r="P141" s="240"/>
    </row>
    <row r="142" spans="1:16" x14ac:dyDescent="0.3">
      <c r="A142" s="16" t="s">
        <v>228</v>
      </c>
      <c r="B142" s="16" t="s">
        <v>3031</v>
      </c>
      <c r="C142" s="28" t="s">
        <v>123</v>
      </c>
      <c r="D142" s="28" t="str">
        <f>IFERROR(VLOOKUP($C142,CUENTAS[],2,0),"")</f>
        <v>ACTIVOS FIJOS</v>
      </c>
      <c r="E142" s="28" t="str">
        <f>IFERROR(VLOOKUP($C142,CUENTAS[],3,0),"")</f>
        <v>MDE2025-007C</v>
      </c>
      <c r="F142" s="86">
        <v>10000</v>
      </c>
      <c r="G142" s="86">
        <v>0</v>
      </c>
      <c r="H142" s="74">
        <v>10000</v>
      </c>
      <c r="I142" s="200" t="str">
        <f t="shared" si="2"/>
        <v>CORRECTO</v>
      </c>
      <c r="J142" s="232" t="s">
        <v>175</v>
      </c>
      <c r="K142" s="69" t="s">
        <v>360</v>
      </c>
      <c r="L142" s="84" t="s">
        <v>227</v>
      </c>
      <c r="M142" s="139">
        <v>45951</v>
      </c>
      <c r="N142" s="75"/>
      <c r="O142" s="237"/>
      <c r="P142" s="240"/>
    </row>
    <row r="143" spans="1:16" x14ac:dyDescent="0.3">
      <c r="A143" s="16" t="s">
        <v>666</v>
      </c>
      <c r="B143" s="16" t="s">
        <v>3032</v>
      </c>
      <c r="C143" s="28" t="s">
        <v>224</v>
      </c>
      <c r="D143" s="28" t="str">
        <f>IFERROR(VLOOKUP($C143,CUENTAS[],2,0),"")</f>
        <v>MATERIALES</v>
      </c>
      <c r="E143" s="28" t="str">
        <f>IFERROR(VLOOKUP($C143,CUENTAS[],3,0),"")</f>
        <v>MDE2025-004</v>
      </c>
      <c r="F143" s="86">
        <v>4037.07</v>
      </c>
      <c r="G143" s="86">
        <v>645.92999999999995</v>
      </c>
      <c r="H143" s="74">
        <v>4683</v>
      </c>
      <c r="I143" s="200" t="str">
        <f t="shared" si="2"/>
        <v>CORRECTO</v>
      </c>
      <c r="J143" s="232" t="s">
        <v>175</v>
      </c>
      <c r="K143" s="69" t="s">
        <v>980</v>
      </c>
      <c r="L143" s="84" t="s">
        <v>227</v>
      </c>
      <c r="M143" s="137">
        <v>45953</v>
      </c>
      <c r="N143" s="75" t="s">
        <v>3097</v>
      </c>
      <c r="O143" s="237"/>
      <c r="P143" s="240"/>
    </row>
    <row r="144" spans="1:16" x14ac:dyDescent="0.3">
      <c r="A144" s="16" t="s">
        <v>236</v>
      </c>
      <c r="B144" s="16" t="s">
        <v>3033</v>
      </c>
      <c r="C144" s="28" t="s">
        <v>223</v>
      </c>
      <c r="D144" s="28" t="str">
        <f>IFERROR(VLOOKUP($C144,CUENTAS[],2,0),"")</f>
        <v>MANTENIMIENTO</v>
      </c>
      <c r="E144" s="28" t="str">
        <f>IFERROR(VLOOKUP($C144,CUENTAS[],3,0),"")</f>
        <v>MDE2025-009B</v>
      </c>
      <c r="F144" s="86">
        <v>466.67</v>
      </c>
      <c r="G144" s="86">
        <v>0</v>
      </c>
      <c r="H144" s="74">
        <v>466.67</v>
      </c>
      <c r="I144" s="200" t="str">
        <f t="shared" si="2"/>
        <v>CORRECTO</v>
      </c>
      <c r="J144" s="232" t="s">
        <v>175</v>
      </c>
      <c r="K144" s="69" t="s">
        <v>363</v>
      </c>
      <c r="L144" s="84" t="s">
        <v>227</v>
      </c>
      <c r="M144" s="137">
        <v>45953</v>
      </c>
      <c r="N144" s="75" t="s">
        <v>371</v>
      </c>
      <c r="O144" s="237"/>
      <c r="P144" s="240"/>
    </row>
    <row r="145" spans="1:16" x14ac:dyDescent="0.3">
      <c r="A145" s="16" t="s">
        <v>3021</v>
      </c>
      <c r="B145" s="16" t="s">
        <v>3034</v>
      </c>
      <c r="C145" s="28" t="s">
        <v>224</v>
      </c>
      <c r="D145" s="28" t="str">
        <f>IFERROR(VLOOKUP($C145,CUENTAS[],2,0),"")</f>
        <v>MATERIALES</v>
      </c>
      <c r="E145" s="28" t="str">
        <f>IFERROR(VLOOKUP($C145,CUENTAS[],3,0),"")</f>
        <v>MDE2025-004</v>
      </c>
      <c r="F145" s="86">
        <v>889</v>
      </c>
      <c r="G145" s="86">
        <v>0</v>
      </c>
      <c r="H145" s="74">
        <v>889</v>
      </c>
      <c r="I145" s="200" t="str">
        <f t="shared" si="2"/>
        <v>CORRECTO</v>
      </c>
      <c r="J145" s="232" t="s">
        <v>1522</v>
      </c>
      <c r="K145" s="69" t="s">
        <v>2919</v>
      </c>
      <c r="L145" s="84" t="s">
        <v>227</v>
      </c>
      <c r="M145" s="139">
        <v>45953</v>
      </c>
      <c r="N145" s="75" t="s">
        <v>3098</v>
      </c>
      <c r="O145" s="237"/>
      <c r="P145" s="240"/>
    </row>
    <row r="146" spans="1:16" x14ac:dyDescent="0.3">
      <c r="A146" s="16" t="s">
        <v>3035</v>
      </c>
      <c r="B146" s="16" t="s">
        <v>3036</v>
      </c>
      <c r="C146" s="28" t="s">
        <v>224</v>
      </c>
      <c r="D146" s="28" t="str">
        <f>IFERROR(VLOOKUP($C146,CUENTAS[],2,0),"")</f>
        <v>MATERIALES</v>
      </c>
      <c r="E146" s="28" t="str">
        <f>IFERROR(VLOOKUP($C146,CUENTAS[],3,0),"")</f>
        <v>MDE2025-004</v>
      </c>
      <c r="F146" s="86">
        <v>4055</v>
      </c>
      <c r="G146" s="86">
        <v>0</v>
      </c>
      <c r="H146" s="74">
        <v>4055</v>
      </c>
      <c r="I146" s="200" t="str">
        <f t="shared" si="2"/>
        <v>CORRECTO</v>
      </c>
      <c r="J146" s="232" t="s">
        <v>1522</v>
      </c>
      <c r="K146" s="69" t="s">
        <v>2919</v>
      </c>
      <c r="L146" s="84" t="s">
        <v>227</v>
      </c>
      <c r="M146" s="137">
        <v>45953</v>
      </c>
      <c r="N146" s="75" t="s">
        <v>3099</v>
      </c>
      <c r="O146" s="237"/>
      <c r="P146" s="240"/>
    </row>
    <row r="147" spans="1:16" x14ac:dyDescent="0.3">
      <c r="A147" s="16" t="s">
        <v>3037</v>
      </c>
      <c r="B147" s="16" t="s">
        <v>3038</v>
      </c>
      <c r="C147" s="28" t="s">
        <v>224</v>
      </c>
      <c r="D147" s="28" t="str">
        <f>IFERROR(VLOOKUP($C147,CUENTAS[],2,0),"")</f>
        <v>MATERIALES</v>
      </c>
      <c r="E147" s="28" t="str">
        <f>IFERROR(VLOOKUP($C147,CUENTAS[],3,0),"")</f>
        <v>MDE2025-004</v>
      </c>
      <c r="F147" s="86">
        <v>191.6</v>
      </c>
      <c r="G147" s="86">
        <v>30.66</v>
      </c>
      <c r="H147" s="74">
        <v>222.26</v>
      </c>
      <c r="I147" s="200" t="str">
        <f t="shared" si="2"/>
        <v>CORRECTO</v>
      </c>
      <c r="J147" s="232" t="s">
        <v>1522</v>
      </c>
      <c r="K147" s="69" t="s">
        <v>2919</v>
      </c>
      <c r="L147" s="84" t="s">
        <v>227</v>
      </c>
      <c r="M147" s="137">
        <v>45954</v>
      </c>
      <c r="N147" s="75" t="s">
        <v>3100</v>
      </c>
      <c r="O147" s="237"/>
      <c r="P147" s="240"/>
    </row>
    <row r="148" spans="1:16" x14ac:dyDescent="0.3">
      <c r="A148" s="16" t="s">
        <v>3039</v>
      </c>
      <c r="B148" s="16" t="s">
        <v>3040</v>
      </c>
      <c r="C148" s="28" t="s">
        <v>159</v>
      </c>
      <c r="D148" s="28" t="str">
        <f>IFERROR(VLOOKUP($C148,CUENTAS[],2,0),"")</f>
        <v>GASTOS VARIOS</v>
      </c>
      <c r="E148" s="28" t="str">
        <f>IFERROR(VLOOKUP($C148,CUENTAS[],3,0),"")</f>
        <v>MDE2025-003A</v>
      </c>
      <c r="F148" s="86">
        <v>894</v>
      </c>
      <c r="G148" s="86">
        <v>143.04</v>
      </c>
      <c r="H148" s="74">
        <v>1037.04</v>
      </c>
      <c r="I148" s="200" t="str">
        <f t="shared" si="2"/>
        <v>CORRECTO</v>
      </c>
      <c r="J148" s="232" t="s">
        <v>175</v>
      </c>
      <c r="K148" s="69" t="s">
        <v>363</v>
      </c>
      <c r="L148" s="84" t="s">
        <v>227</v>
      </c>
      <c r="M148" s="137">
        <v>45959</v>
      </c>
      <c r="N148" s="75" t="s">
        <v>3101</v>
      </c>
      <c r="O148" s="237"/>
      <c r="P148" s="240"/>
    </row>
    <row r="149" spans="1:16" x14ac:dyDescent="0.3">
      <c r="A149" s="16" t="s">
        <v>2275</v>
      </c>
      <c r="B149" s="16" t="s">
        <v>3041</v>
      </c>
      <c r="C149" s="28" t="s">
        <v>224</v>
      </c>
      <c r="D149" s="28" t="str">
        <f>IFERROR(VLOOKUP($C149,CUENTAS[],2,0),"")</f>
        <v>MATERIALES</v>
      </c>
      <c r="E149" s="28" t="str">
        <f>IFERROR(VLOOKUP($C149,CUENTAS[],3,0),"")</f>
        <v>MDE2025-004</v>
      </c>
      <c r="F149" s="86">
        <v>960</v>
      </c>
      <c r="G149" s="86">
        <v>0</v>
      </c>
      <c r="H149" s="74">
        <v>960</v>
      </c>
      <c r="I149" s="200" t="str">
        <f t="shared" si="2"/>
        <v>CORRECTO</v>
      </c>
      <c r="J149" s="232" t="s">
        <v>175</v>
      </c>
      <c r="K149" s="69" t="s">
        <v>2230</v>
      </c>
      <c r="L149" s="84" t="s">
        <v>227</v>
      </c>
      <c r="M149" s="137">
        <v>45959</v>
      </c>
      <c r="N149" s="75" t="s">
        <v>368</v>
      </c>
      <c r="O149" s="237"/>
      <c r="P149" s="240"/>
    </row>
    <row r="150" spans="1:16" x14ac:dyDescent="0.3">
      <c r="A150" s="16" t="s">
        <v>2275</v>
      </c>
      <c r="B150" s="16" t="s">
        <v>3042</v>
      </c>
      <c r="C150" s="28" t="s">
        <v>224</v>
      </c>
      <c r="D150" s="28" t="str">
        <f>IFERROR(VLOOKUP($C150,CUENTAS[],2,0),"")</f>
        <v>MATERIALES</v>
      </c>
      <c r="E150" s="28" t="str">
        <f>IFERROR(VLOOKUP($C150,CUENTAS[],3,0),"")</f>
        <v>MDE2025-004</v>
      </c>
      <c r="F150" s="86">
        <v>200</v>
      </c>
      <c r="G150" s="86">
        <v>0</v>
      </c>
      <c r="H150" s="74">
        <v>200</v>
      </c>
      <c r="I150" s="200" t="str">
        <f t="shared" si="2"/>
        <v>CORRECTO</v>
      </c>
      <c r="J150" s="232" t="s">
        <v>175</v>
      </c>
      <c r="K150" s="69" t="s">
        <v>2230</v>
      </c>
      <c r="L150" s="84" t="s">
        <v>227</v>
      </c>
      <c r="M150" s="137">
        <v>45959</v>
      </c>
      <c r="N150" s="75" t="s">
        <v>371</v>
      </c>
      <c r="O150" s="237"/>
      <c r="P150" s="240"/>
    </row>
    <row r="151" spans="1:16" x14ac:dyDescent="0.3">
      <c r="A151" s="16" t="s">
        <v>1607</v>
      </c>
      <c r="B151" s="16" t="s">
        <v>3043</v>
      </c>
      <c r="C151" s="28" t="s">
        <v>224</v>
      </c>
      <c r="D151" s="28" t="str">
        <f>IFERROR(VLOOKUP($C151,CUENTAS[],2,0),"")</f>
        <v>MATERIALES</v>
      </c>
      <c r="E151" s="28" t="str">
        <f>IFERROR(VLOOKUP($C151,CUENTAS[],3,0),"")</f>
        <v>MDE2025-004</v>
      </c>
      <c r="F151" s="86">
        <v>19220</v>
      </c>
      <c r="G151" s="86">
        <v>3075.2</v>
      </c>
      <c r="H151" s="74">
        <v>22295.200000000001</v>
      </c>
      <c r="I151" s="200" t="str">
        <f t="shared" si="2"/>
        <v>CORRECTO</v>
      </c>
      <c r="J151" s="232" t="s">
        <v>175</v>
      </c>
      <c r="K151" s="69" t="s">
        <v>980</v>
      </c>
      <c r="L151" s="84" t="s">
        <v>227</v>
      </c>
      <c r="M151" s="139">
        <v>45959</v>
      </c>
      <c r="N151" s="75" t="s">
        <v>3102</v>
      </c>
      <c r="O151" s="237"/>
      <c r="P151" s="240"/>
    </row>
    <row r="152" spans="1:16" x14ac:dyDescent="0.3">
      <c r="A152" s="16" t="s">
        <v>3044</v>
      </c>
      <c r="B152" s="16" t="s">
        <v>3045</v>
      </c>
      <c r="C152" s="28" t="s">
        <v>224</v>
      </c>
      <c r="D152" s="28" t="str">
        <f>IFERROR(VLOOKUP($C152,CUENTAS[],2,0),"")</f>
        <v>MATERIALES</v>
      </c>
      <c r="E152" s="28" t="str">
        <f>IFERROR(VLOOKUP($C152,CUENTAS[],3,0),"")</f>
        <v>MDE2025-004</v>
      </c>
      <c r="F152" s="86">
        <v>1855</v>
      </c>
      <c r="G152" s="86" t="s">
        <v>3256</v>
      </c>
      <c r="H152" s="74">
        <v>1855</v>
      </c>
      <c r="I152" s="200" t="str">
        <f t="shared" si="2"/>
        <v/>
      </c>
      <c r="J152" s="232" t="s">
        <v>1522</v>
      </c>
      <c r="K152" s="69" t="s">
        <v>2919</v>
      </c>
      <c r="L152" s="84" t="s">
        <v>227</v>
      </c>
      <c r="M152" s="139">
        <v>45959</v>
      </c>
      <c r="N152" s="75" t="s">
        <v>3103</v>
      </c>
      <c r="O152" s="237"/>
      <c r="P152" s="240"/>
    </row>
    <row r="153" spans="1:16" x14ac:dyDescent="0.3">
      <c r="A153" s="16" t="s">
        <v>3046</v>
      </c>
      <c r="B153" s="16" t="s">
        <v>3047</v>
      </c>
      <c r="C153" s="28" t="s">
        <v>224</v>
      </c>
      <c r="D153" s="28" t="str">
        <f>IFERROR(VLOOKUP($C153,CUENTAS[],2,0),"")</f>
        <v>MATERIALES</v>
      </c>
      <c r="E153" s="28" t="str">
        <f>IFERROR(VLOOKUP($C153,CUENTAS[],3,0),"")</f>
        <v>MDE2025-004</v>
      </c>
      <c r="F153" s="86">
        <v>10391.799999999999</v>
      </c>
      <c r="G153" s="86">
        <v>1662.69</v>
      </c>
      <c r="H153" s="74">
        <v>12054.49</v>
      </c>
      <c r="I153" s="200" t="str">
        <f t="shared" si="2"/>
        <v>CORRECTO</v>
      </c>
      <c r="J153" s="232" t="s">
        <v>1522</v>
      </c>
      <c r="K153" s="69" t="s">
        <v>2919</v>
      </c>
      <c r="L153" s="84" t="s">
        <v>227</v>
      </c>
      <c r="M153" s="139">
        <v>45959</v>
      </c>
      <c r="N153" s="75" t="s">
        <v>3104</v>
      </c>
      <c r="O153" s="237"/>
      <c r="P153" s="240"/>
    </row>
    <row r="154" spans="1:16" x14ac:dyDescent="0.3">
      <c r="A154" s="16" t="s">
        <v>1728</v>
      </c>
      <c r="B154" s="16" t="s">
        <v>3048</v>
      </c>
      <c r="C154" s="28" t="s">
        <v>224</v>
      </c>
      <c r="D154" s="28" t="str">
        <f>IFERROR(VLOOKUP($C154,CUENTAS[],2,0),"")</f>
        <v>MATERIALES</v>
      </c>
      <c r="E154" s="28" t="str">
        <f>IFERROR(VLOOKUP($C154,CUENTAS[],3,0),"")</f>
        <v>MDE2025-004</v>
      </c>
      <c r="F154" s="86">
        <v>422.41</v>
      </c>
      <c r="G154" s="86">
        <v>67.59</v>
      </c>
      <c r="H154" s="74">
        <v>490</v>
      </c>
      <c r="I154" s="200" t="str">
        <f t="shared" si="2"/>
        <v>CORRECTO</v>
      </c>
      <c r="J154" s="232" t="s">
        <v>1522</v>
      </c>
      <c r="K154" s="69" t="s">
        <v>2919</v>
      </c>
      <c r="L154" s="84" t="s">
        <v>227</v>
      </c>
      <c r="M154" s="148" t="s">
        <v>3105</v>
      </c>
      <c r="N154" s="75" t="s">
        <v>3106</v>
      </c>
      <c r="O154" s="237"/>
      <c r="P154" s="240"/>
    </row>
    <row r="155" spans="1:16" x14ac:dyDescent="0.3">
      <c r="A155" s="16" t="s">
        <v>2039</v>
      </c>
      <c r="B155" s="16" t="s">
        <v>3049</v>
      </c>
      <c r="C155" s="28" t="s">
        <v>109</v>
      </c>
      <c r="D155" s="28" t="str">
        <f>IFERROR(VLOOKUP($C155,CUENTAS[],2,0),"")</f>
        <v>LOGÍSTICA</v>
      </c>
      <c r="E155" s="28" t="str">
        <f>IFERROR(VLOOKUP($C155,CUENTAS[],3,0),"")</f>
        <v>MDE2025-006A</v>
      </c>
      <c r="F155" s="86">
        <v>3593.1</v>
      </c>
      <c r="G155" s="86">
        <v>574.9</v>
      </c>
      <c r="H155" s="74">
        <v>4168</v>
      </c>
      <c r="I155" s="200" t="str">
        <f t="shared" si="2"/>
        <v>CORRECTO</v>
      </c>
      <c r="J155" s="232" t="s">
        <v>1522</v>
      </c>
      <c r="K155" s="69" t="s">
        <v>2230</v>
      </c>
      <c r="L155" s="84" t="s">
        <v>227</v>
      </c>
      <c r="M155" s="135" t="s">
        <v>3107</v>
      </c>
      <c r="N155" s="75" t="s">
        <v>3108</v>
      </c>
      <c r="O155" s="237"/>
      <c r="P155" s="240"/>
    </row>
    <row r="156" spans="1:16" x14ac:dyDescent="0.3">
      <c r="A156" s="16" t="s">
        <v>2659</v>
      </c>
      <c r="B156" s="16" t="s">
        <v>3050</v>
      </c>
      <c r="C156" s="28" t="s">
        <v>151</v>
      </c>
      <c r="D156" s="28" t="str">
        <f>IFERROR(VLOOKUP($C156,CUENTAS[],2,0),"")</f>
        <v>GASTOS FIJOS</v>
      </c>
      <c r="E156" s="28" t="str">
        <f>IFERROR(VLOOKUP($C156,CUENTAS[],3,0),"")</f>
        <v>MDE2025-002F</v>
      </c>
      <c r="F156" s="86">
        <v>1388.69</v>
      </c>
      <c r="G156" s="86">
        <v>219.31</v>
      </c>
      <c r="H156" s="74">
        <v>1608</v>
      </c>
      <c r="I156" s="200" t="str">
        <f t="shared" si="2"/>
        <v>CORRECTO</v>
      </c>
      <c r="J156" s="232" t="s">
        <v>1522</v>
      </c>
      <c r="K156" s="69" t="s">
        <v>363</v>
      </c>
      <c r="L156" s="84" t="s">
        <v>227</v>
      </c>
      <c r="M156" s="135">
        <v>45958</v>
      </c>
      <c r="N156" s="75" t="s">
        <v>3109</v>
      </c>
      <c r="O156" s="237"/>
      <c r="P156" s="240"/>
    </row>
    <row r="157" spans="1:16" x14ac:dyDescent="0.3">
      <c r="A157" s="16" t="s">
        <v>1253</v>
      </c>
      <c r="B157" s="16" t="s">
        <v>1537</v>
      </c>
      <c r="C157" s="28" t="s">
        <v>125</v>
      </c>
      <c r="D157" s="28" t="str">
        <f>IFERROR(VLOOKUP($C157,CUENTAS[],2,0),"")</f>
        <v>GASTOS FIJOS</v>
      </c>
      <c r="E157" s="28" t="str">
        <f>IFERROR(VLOOKUP($C157,CUENTAS[],3,0),"")</f>
        <v>MDE2025-002B</v>
      </c>
      <c r="F157" s="86">
        <v>550</v>
      </c>
      <c r="G157" s="86">
        <v>0</v>
      </c>
      <c r="H157" s="74">
        <v>550</v>
      </c>
      <c r="I157" s="200" t="str">
        <f t="shared" si="2"/>
        <v>CORRECTO</v>
      </c>
      <c r="J157" s="232" t="s">
        <v>175</v>
      </c>
      <c r="K157" s="69" t="s">
        <v>363</v>
      </c>
      <c r="L157" s="84" t="s">
        <v>227</v>
      </c>
      <c r="M157" s="135">
        <v>45959</v>
      </c>
      <c r="N157" s="75" t="s">
        <v>3110</v>
      </c>
      <c r="O157" s="237"/>
      <c r="P157" s="240"/>
    </row>
    <row r="158" spans="1:16" x14ac:dyDescent="0.3">
      <c r="A158" s="16" t="s">
        <v>283</v>
      </c>
      <c r="B158" s="16">
        <v>2704175</v>
      </c>
      <c r="C158" s="28" t="s">
        <v>120</v>
      </c>
      <c r="D158" s="28" t="str">
        <f>IFERROR(VLOOKUP($C158,CUENTAS[],2,0),"")</f>
        <v>TOKA</v>
      </c>
      <c r="E158" s="28" t="str">
        <f>IFERROR(VLOOKUP($C158,CUENTAS[],3,0),"")</f>
        <v>TOK2025-001C</v>
      </c>
      <c r="F158" s="86">
        <v>500</v>
      </c>
      <c r="G158" s="86">
        <v>80</v>
      </c>
      <c r="H158" s="74">
        <v>580</v>
      </c>
      <c r="I158" s="200" t="str">
        <f t="shared" si="2"/>
        <v>CORRECTO</v>
      </c>
      <c r="J158" s="232" t="s">
        <v>175</v>
      </c>
      <c r="K158" s="69" t="s">
        <v>363</v>
      </c>
      <c r="L158" s="84" t="s">
        <v>227</v>
      </c>
      <c r="M158" s="135">
        <v>45961</v>
      </c>
      <c r="N158" s="75" t="s">
        <v>570</v>
      </c>
      <c r="O158" s="237"/>
      <c r="P158" s="240"/>
    </row>
    <row r="159" spans="1:16" x14ac:dyDescent="0.3">
      <c r="A159" s="16" t="s">
        <v>2679</v>
      </c>
      <c r="B159" s="16" t="s">
        <v>3112</v>
      </c>
      <c r="C159" s="28" t="s">
        <v>224</v>
      </c>
      <c r="D159" s="28" t="str">
        <f>IFERROR(VLOOKUP($C159,CUENTAS[],2,0),"")</f>
        <v>MATERIALES</v>
      </c>
      <c r="E159" s="28" t="str">
        <f>IFERROR(VLOOKUP($C159,CUENTAS[],3,0),"")</f>
        <v>MDE2025-004</v>
      </c>
      <c r="F159" s="86">
        <v>3084</v>
      </c>
      <c r="G159" s="86">
        <v>493.44</v>
      </c>
      <c r="H159" s="74">
        <v>3577.44</v>
      </c>
      <c r="I159" s="200" t="str">
        <f t="shared" si="2"/>
        <v>CORRECTO</v>
      </c>
      <c r="J159" s="232" t="s">
        <v>3248</v>
      </c>
      <c r="K159" s="69" t="s">
        <v>2919</v>
      </c>
      <c r="L159" s="84" t="s">
        <v>227</v>
      </c>
      <c r="M159" s="135">
        <v>45961</v>
      </c>
      <c r="N159" s="75" t="s">
        <v>3115</v>
      </c>
      <c r="O159" s="237"/>
      <c r="P159" s="240"/>
    </row>
    <row r="160" spans="1:16" x14ac:dyDescent="0.3">
      <c r="A160" s="16" t="s">
        <v>2019</v>
      </c>
      <c r="B160" s="16" t="s">
        <v>3113</v>
      </c>
      <c r="C160" s="28" t="s">
        <v>224</v>
      </c>
      <c r="D160" s="28" t="str">
        <f>IFERROR(VLOOKUP($C160,CUENTAS[],2,0),"")</f>
        <v>MATERIALES</v>
      </c>
      <c r="E160" s="28" t="str">
        <f>IFERROR(VLOOKUP($C160,CUENTAS[],3,0),"")</f>
        <v>MDE2025-004</v>
      </c>
      <c r="F160" s="86">
        <v>239.66</v>
      </c>
      <c r="G160" s="86">
        <v>38.35</v>
      </c>
      <c r="H160" s="74">
        <v>278.01</v>
      </c>
      <c r="I160" s="200" t="str">
        <f t="shared" si="2"/>
        <v>CORRECTO</v>
      </c>
      <c r="J160" s="232" t="s">
        <v>3248</v>
      </c>
      <c r="K160" s="69" t="s">
        <v>2919</v>
      </c>
      <c r="L160" s="84" t="s">
        <v>227</v>
      </c>
      <c r="M160" s="135">
        <v>45961</v>
      </c>
      <c r="N160" s="75" t="s">
        <v>3116</v>
      </c>
      <c r="O160" s="237"/>
      <c r="P160" s="240"/>
    </row>
    <row r="161" spans="1:16" x14ac:dyDescent="0.3">
      <c r="A161" s="16" t="s">
        <v>1528</v>
      </c>
      <c r="B161" s="16" t="s">
        <v>3114</v>
      </c>
      <c r="C161" s="28" t="s">
        <v>224</v>
      </c>
      <c r="D161" s="28" t="str">
        <f>IFERROR(VLOOKUP($C161,CUENTAS[],2,0),"")</f>
        <v>MATERIALES</v>
      </c>
      <c r="E161" s="28" t="str">
        <f>IFERROR(VLOOKUP($C161,CUENTAS[],3,0),"")</f>
        <v>MDE2025-004</v>
      </c>
      <c r="F161" s="86">
        <v>1014.4</v>
      </c>
      <c r="G161" s="86">
        <v>162.30000000000001</v>
      </c>
      <c r="H161" s="74">
        <v>1176.7</v>
      </c>
      <c r="I161" s="200" t="str">
        <f t="shared" si="2"/>
        <v>CORRECTO</v>
      </c>
      <c r="J161" s="232" t="s">
        <v>3248</v>
      </c>
      <c r="K161" s="69" t="s">
        <v>2919</v>
      </c>
      <c r="L161" s="84" t="s">
        <v>227</v>
      </c>
      <c r="M161" s="135">
        <v>45960</v>
      </c>
      <c r="N161" s="75" t="s">
        <v>3117</v>
      </c>
      <c r="O161" s="237"/>
      <c r="P161" s="240"/>
    </row>
    <row r="162" spans="1:16" x14ac:dyDescent="0.3">
      <c r="A162" s="16" t="s">
        <v>3118</v>
      </c>
      <c r="B162" s="16" t="s">
        <v>3119</v>
      </c>
      <c r="C162" s="28" t="s">
        <v>153</v>
      </c>
      <c r="D162" s="28" t="str">
        <f>IFERROR(VLOOKUP($C162,CUENTAS[],2,0),"")</f>
        <v>GASTOS FIJOS</v>
      </c>
      <c r="E162" s="28" t="str">
        <f>IFERROR(VLOOKUP($C162,CUENTAS[],3,0),"")</f>
        <v>MDE2025-002L</v>
      </c>
      <c r="F162" s="86">
        <v>3920</v>
      </c>
      <c r="G162" s="86">
        <v>0</v>
      </c>
      <c r="H162" s="74">
        <v>3920</v>
      </c>
      <c r="I162" s="200" t="str">
        <f t="shared" si="2"/>
        <v>CORRECTO</v>
      </c>
      <c r="J162" s="232" t="s">
        <v>3249</v>
      </c>
      <c r="K162" s="69" t="s">
        <v>364</v>
      </c>
      <c r="L162" s="84" t="s">
        <v>227</v>
      </c>
      <c r="M162" s="135">
        <v>45938</v>
      </c>
      <c r="N162" s="75" t="s">
        <v>371</v>
      </c>
      <c r="O162" s="237"/>
      <c r="P162" s="240"/>
    </row>
    <row r="163" spans="1:16" x14ac:dyDescent="0.3">
      <c r="A163" s="16" t="s">
        <v>3118</v>
      </c>
      <c r="B163" s="16" t="s">
        <v>3119</v>
      </c>
      <c r="C163" s="28" t="s">
        <v>153</v>
      </c>
      <c r="D163" s="28" t="str">
        <f>IFERROR(VLOOKUP($C163,CUENTAS[],2,0),"")</f>
        <v>GASTOS FIJOS</v>
      </c>
      <c r="E163" s="28" t="str">
        <f>IFERROR(VLOOKUP($C163,CUENTAS[],3,0),"")</f>
        <v>MDE2025-002L</v>
      </c>
      <c r="F163" s="86"/>
      <c r="G163" s="129"/>
      <c r="H163" s="74">
        <v>7556.16</v>
      </c>
      <c r="I163" s="200" t="str">
        <f t="shared" si="2"/>
        <v>REVISAR</v>
      </c>
      <c r="J163" s="232"/>
      <c r="K163" s="69" t="s">
        <v>2230</v>
      </c>
      <c r="L163" s="95" t="s">
        <v>227</v>
      </c>
      <c r="M163" s="76">
        <v>45938</v>
      </c>
      <c r="N163" s="18" t="s">
        <v>3124</v>
      </c>
      <c r="O163" s="237"/>
      <c r="P163" s="240"/>
    </row>
    <row r="164" spans="1:16" x14ac:dyDescent="0.3">
      <c r="A164" s="19" t="s">
        <v>929</v>
      </c>
      <c r="B164" s="19" t="s">
        <v>3120</v>
      </c>
      <c r="C164" s="28" t="s">
        <v>153</v>
      </c>
      <c r="D164" s="28" t="str">
        <f>IFERROR(VLOOKUP($C164,CUENTAS[],2,0),"")</f>
        <v>GASTOS FIJOS</v>
      </c>
      <c r="E164" s="28" t="str">
        <f>IFERROR(VLOOKUP($C164,CUENTAS[],3,0),"")</f>
        <v>MDE2025-002L</v>
      </c>
      <c r="F164" s="86"/>
      <c r="G164" s="129"/>
      <c r="H164" s="74">
        <v>30514.74</v>
      </c>
      <c r="I164" s="200" t="str">
        <f t="shared" si="2"/>
        <v>REVISAR</v>
      </c>
      <c r="J164" s="232"/>
      <c r="K164" s="69" t="s">
        <v>364</v>
      </c>
      <c r="L164" s="95" t="s">
        <v>227</v>
      </c>
      <c r="M164" s="17">
        <v>45936</v>
      </c>
      <c r="N164" s="18"/>
      <c r="O164" s="237"/>
      <c r="P164" s="240"/>
    </row>
    <row r="165" spans="1:16" x14ac:dyDescent="0.3">
      <c r="A165" s="19" t="s">
        <v>929</v>
      </c>
      <c r="B165" s="19" t="s">
        <v>3120</v>
      </c>
      <c r="C165" s="28" t="s">
        <v>153</v>
      </c>
      <c r="D165" s="28" t="str">
        <f>IFERROR(VLOOKUP($C165,CUENTAS[],2,0),"")</f>
        <v>GASTOS FIJOS</v>
      </c>
      <c r="E165" s="28" t="str">
        <f>IFERROR(VLOOKUP($C165,CUENTAS[],3,0),"")</f>
        <v>MDE2025-002L</v>
      </c>
      <c r="F165" s="86"/>
      <c r="G165" s="129"/>
      <c r="H165" s="74">
        <v>200</v>
      </c>
      <c r="I165" s="200" t="str">
        <f t="shared" si="2"/>
        <v>REVISAR</v>
      </c>
      <c r="J165" s="232"/>
      <c r="K165" s="69" t="s">
        <v>364</v>
      </c>
      <c r="L165" s="95" t="s">
        <v>227</v>
      </c>
      <c r="M165" s="17">
        <v>45936</v>
      </c>
      <c r="N165" s="18"/>
      <c r="O165" s="237"/>
      <c r="P165" s="240"/>
    </row>
    <row r="166" spans="1:16" x14ac:dyDescent="0.3">
      <c r="A166" s="5" t="s">
        <v>929</v>
      </c>
      <c r="B166" s="100" t="s">
        <v>3120</v>
      </c>
      <c r="C166" s="28" t="s">
        <v>153</v>
      </c>
      <c r="D166" s="28" t="str">
        <f>IFERROR(VLOOKUP($C166,CUENTAS[],2,0),"")</f>
        <v>GASTOS FIJOS</v>
      </c>
      <c r="E166" s="28" t="str">
        <f>IFERROR(VLOOKUP($C166,CUENTAS[],3,0),"")</f>
        <v>MDE2025-002L</v>
      </c>
      <c r="F166" s="144"/>
      <c r="G166" s="145"/>
      <c r="H166" s="128">
        <v>151.43</v>
      </c>
      <c r="I166" s="200" t="str">
        <f t="shared" si="2"/>
        <v>REVISAR</v>
      </c>
      <c r="J166" s="232"/>
      <c r="K166" s="141" t="s">
        <v>364</v>
      </c>
      <c r="L166" s="142" t="s">
        <v>227</v>
      </c>
      <c r="M166" s="139">
        <v>45936</v>
      </c>
      <c r="N166" s="143"/>
      <c r="O166" s="237"/>
      <c r="P166" s="240"/>
    </row>
    <row r="167" spans="1:16" x14ac:dyDescent="0.3">
      <c r="A167" s="5" t="s">
        <v>929</v>
      </c>
      <c r="B167" s="100" t="s">
        <v>3121</v>
      </c>
      <c r="C167" s="28" t="s">
        <v>153</v>
      </c>
      <c r="D167" s="28" t="str">
        <f>IFERROR(VLOOKUP($C167,CUENTAS[],2,0),"")</f>
        <v>GASTOS FIJOS</v>
      </c>
      <c r="E167" s="28" t="str">
        <f>IFERROR(VLOOKUP($C167,CUENTAS[],3,0),"")</f>
        <v>MDE2025-002L</v>
      </c>
      <c r="F167" s="144"/>
      <c r="G167" s="145"/>
      <c r="H167" s="128">
        <v>24100.99</v>
      </c>
      <c r="I167" s="200" t="str">
        <f t="shared" si="2"/>
        <v>REVISAR</v>
      </c>
      <c r="J167" s="232"/>
      <c r="K167" s="141" t="s">
        <v>364</v>
      </c>
      <c r="L167" s="142" t="s">
        <v>227</v>
      </c>
      <c r="M167" s="139">
        <v>45943</v>
      </c>
      <c r="N167" s="143"/>
      <c r="O167" s="237"/>
      <c r="P167" s="240"/>
    </row>
    <row r="168" spans="1:16" x14ac:dyDescent="0.3">
      <c r="A168" s="5" t="s">
        <v>929</v>
      </c>
      <c r="B168" s="100" t="s">
        <v>3122</v>
      </c>
      <c r="C168" s="28" t="s">
        <v>109</v>
      </c>
      <c r="D168" s="28" t="str">
        <f>IFERROR(VLOOKUP($C168,CUENTAS[],2,0),"")</f>
        <v>LOGÍSTICA</v>
      </c>
      <c r="E168" s="28" t="str">
        <f>IFERROR(VLOOKUP($C168,CUENTAS[],3,0),"")</f>
        <v>MDE2025-006A</v>
      </c>
      <c r="F168" s="144"/>
      <c r="G168" s="145"/>
      <c r="H168" s="128">
        <v>1029.8399999999999</v>
      </c>
      <c r="I168" s="200" t="str">
        <f t="shared" si="2"/>
        <v>REVISAR</v>
      </c>
      <c r="J168" s="232"/>
      <c r="K168" s="141" t="s">
        <v>364</v>
      </c>
      <c r="L168" s="142" t="s">
        <v>227</v>
      </c>
      <c r="M168" s="139">
        <v>45943</v>
      </c>
      <c r="N168" s="143"/>
      <c r="O168" s="237"/>
      <c r="P168" s="240"/>
    </row>
    <row r="169" spans="1:16" x14ac:dyDescent="0.3">
      <c r="A169" s="5" t="s">
        <v>929</v>
      </c>
      <c r="B169" s="100" t="s">
        <v>3122</v>
      </c>
      <c r="C169" s="28" t="s">
        <v>168</v>
      </c>
      <c r="D169" s="28" t="str">
        <f>IFERROR(VLOOKUP($C169,CUENTAS[],2,0),"")</f>
        <v>ACTIVOS FIJOS</v>
      </c>
      <c r="E169" s="28" t="str">
        <f>IFERROR(VLOOKUP($C169,CUENTAS[],3,0),"")</f>
        <v>MDE2025-007B</v>
      </c>
      <c r="F169" s="144"/>
      <c r="G169" s="145"/>
      <c r="H169" s="128">
        <v>142.86000000000001</v>
      </c>
      <c r="I169" s="200" t="str">
        <f t="shared" si="2"/>
        <v>REVISAR</v>
      </c>
      <c r="J169" s="232"/>
      <c r="K169" s="141" t="s">
        <v>364</v>
      </c>
      <c r="L169" s="142" t="s">
        <v>227</v>
      </c>
      <c r="M169" s="139">
        <v>45943</v>
      </c>
      <c r="N169" s="143"/>
      <c r="O169" s="237"/>
      <c r="P169" s="240"/>
    </row>
    <row r="170" spans="1:16" x14ac:dyDescent="0.3">
      <c r="A170" s="5" t="s">
        <v>929</v>
      </c>
      <c r="B170" s="100" t="s">
        <v>3122</v>
      </c>
      <c r="C170" s="28" t="s">
        <v>147</v>
      </c>
      <c r="D170" s="28" t="str">
        <f>IFERROR(VLOOKUP($C170,CUENTAS[],2,0),"")</f>
        <v>ACTIVOS FIJOS</v>
      </c>
      <c r="E170" s="28" t="str">
        <f>IFERROR(VLOOKUP($C170,CUENTAS[],3,0),"")</f>
        <v>MDE2025-007D</v>
      </c>
      <c r="F170" s="144"/>
      <c r="G170" s="145"/>
      <c r="H170" s="128">
        <v>285.72000000000003</v>
      </c>
      <c r="I170" s="200" t="str">
        <f t="shared" si="2"/>
        <v>REVISAR</v>
      </c>
      <c r="J170" s="232"/>
      <c r="K170" s="141" t="s">
        <v>364</v>
      </c>
      <c r="L170" s="142" t="s">
        <v>227</v>
      </c>
      <c r="M170" s="139">
        <v>45943</v>
      </c>
      <c r="N170" s="143"/>
      <c r="O170" s="237"/>
      <c r="P170" s="240"/>
    </row>
    <row r="171" spans="1:16" x14ac:dyDescent="0.3">
      <c r="A171" s="5" t="s">
        <v>929</v>
      </c>
      <c r="B171" s="100" t="s">
        <v>3122</v>
      </c>
      <c r="C171" s="28" t="s">
        <v>223</v>
      </c>
      <c r="D171" s="28" t="str">
        <f>IFERROR(VLOOKUP($C171,CUENTAS[],2,0),"")</f>
        <v>MANTENIMIENTO</v>
      </c>
      <c r="E171" s="28" t="str">
        <f>IFERROR(VLOOKUP($C171,CUENTAS[],3,0),"")</f>
        <v>MDE2025-009B</v>
      </c>
      <c r="F171" s="144"/>
      <c r="G171" s="145"/>
      <c r="H171" s="128">
        <v>107.14</v>
      </c>
      <c r="I171" s="200" t="str">
        <f t="shared" si="2"/>
        <v>REVISAR</v>
      </c>
      <c r="J171" s="232"/>
      <c r="K171" s="141" t="s">
        <v>364</v>
      </c>
      <c r="L171" s="142" t="s">
        <v>227</v>
      </c>
      <c r="M171" s="139">
        <v>45943</v>
      </c>
      <c r="N171" s="143"/>
      <c r="O171" s="237"/>
      <c r="P171" s="240"/>
    </row>
    <row r="172" spans="1:16" x14ac:dyDescent="0.3">
      <c r="A172" s="5" t="s">
        <v>929</v>
      </c>
      <c r="B172" s="100" t="s">
        <v>3122</v>
      </c>
      <c r="C172" s="28" t="s">
        <v>109</v>
      </c>
      <c r="D172" s="28" t="str">
        <f>IFERROR(VLOOKUP($C172,CUENTAS[],2,0),"")</f>
        <v>LOGÍSTICA</v>
      </c>
      <c r="E172" s="28" t="str">
        <f>IFERROR(VLOOKUP($C172,CUENTAS[],3,0),"")</f>
        <v>MDE2025-006A</v>
      </c>
      <c r="F172" s="144"/>
      <c r="G172" s="145"/>
      <c r="H172" s="128">
        <v>1029.8399999999999</v>
      </c>
      <c r="I172" s="200" t="str">
        <f t="shared" si="2"/>
        <v>REVISAR</v>
      </c>
      <c r="J172" s="232"/>
      <c r="K172" s="141" t="s">
        <v>364</v>
      </c>
      <c r="L172" s="142" t="s">
        <v>227</v>
      </c>
      <c r="M172" s="139">
        <v>45943</v>
      </c>
      <c r="N172" s="143"/>
      <c r="O172" s="237"/>
      <c r="P172" s="240"/>
    </row>
    <row r="173" spans="1:16" x14ac:dyDescent="0.3">
      <c r="A173" s="5" t="s">
        <v>929</v>
      </c>
      <c r="B173" s="100" t="s">
        <v>3122</v>
      </c>
      <c r="C173" s="28" t="s">
        <v>153</v>
      </c>
      <c r="D173" s="28" t="str">
        <f>IFERROR(VLOOKUP($C173,CUENTAS[],2,0),"")</f>
        <v>GASTOS FIJOS</v>
      </c>
      <c r="E173" s="28" t="str">
        <f>IFERROR(VLOOKUP($C173,CUENTAS[],3,0),"")</f>
        <v>MDE2025-002L</v>
      </c>
      <c r="F173" s="144"/>
      <c r="G173" s="145"/>
      <c r="H173" s="128">
        <v>26874.25</v>
      </c>
      <c r="I173" s="200" t="str">
        <f t="shared" si="2"/>
        <v>REVISAR</v>
      </c>
      <c r="J173" s="232"/>
      <c r="K173" s="141" t="s">
        <v>364</v>
      </c>
      <c r="L173" s="142" t="s">
        <v>227</v>
      </c>
      <c r="M173" s="139">
        <v>45950</v>
      </c>
      <c r="N173" s="143"/>
      <c r="O173" s="237"/>
      <c r="P173" s="240"/>
    </row>
    <row r="174" spans="1:16" x14ac:dyDescent="0.3">
      <c r="A174" s="5" t="s">
        <v>929</v>
      </c>
      <c r="B174" s="100" t="s">
        <v>3123</v>
      </c>
      <c r="C174" s="28" t="s">
        <v>153</v>
      </c>
      <c r="D174" s="28" t="str">
        <f>IFERROR(VLOOKUP($C174,CUENTAS[],2,0),"")</f>
        <v>GASTOS FIJOS</v>
      </c>
      <c r="E174" s="28" t="str">
        <f>IFERROR(VLOOKUP($C174,CUENTAS[],3,0),"")</f>
        <v>MDE2025-002L</v>
      </c>
      <c r="F174" s="144"/>
      <c r="G174" s="145"/>
      <c r="H174" s="128">
        <v>13458.04</v>
      </c>
      <c r="I174" s="200" t="str">
        <f t="shared" si="2"/>
        <v>REVISAR</v>
      </c>
      <c r="J174" s="232"/>
      <c r="K174" s="141" t="s">
        <v>364</v>
      </c>
      <c r="L174" s="142" t="s">
        <v>227</v>
      </c>
      <c r="M174" s="139">
        <v>45957</v>
      </c>
      <c r="N174" s="143"/>
      <c r="O174" s="237"/>
      <c r="P174" s="240"/>
    </row>
    <row r="175" spans="1:16" x14ac:dyDescent="0.3">
      <c r="A175" s="5" t="s">
        <v>929</v>
      </c>
      <c r="B175" s="100" t="s">
        <v>3123</v>
      </c>
      <c r="C175" s="28" t="s">
        <v>130</v>
      </c>
      <c r="D175" s="28" t="str">
        <f>IFERROR(VLOOKUP($C175,CUENTAS[],2,0),"")</f>
        <v>MATERIALES</v>
      </c>
      <c r="E175" s="28" t="str">
        <f>IFERROR(VLOOKUP($C175,CUENTAS[],3,0),"")</f>
        <v>MDE2025-004A</v>
      </c>
      <c r="F175" s="144"/>
      <c r="G175" s="145"/>
      <c r="H175" s="128">
        <v>214.29</v>
      </c>
      <c r="I175" s="200" t="str">
        <f t="shared" si="2"/>
        <v>REVISAR</v>
      </c>
      <c r="J175" s="232"/>
      <c r="K175" s="141" t="s">
        <v>364</v>
      </c>
      <c r="L175" s="142" t="s">
        <v>227</v>
      </c>
      <c r="M175" s="139">
        <v>45957</v>
      </c>
      <c r="N175" s="143"/>
      <c r="O175" s="237"/>
      <c r="P175" s="240"/>
    </row>
    <row r="176" spans="1:16" x14ac:dyDescent="0.3">
      <c r="A176" s="5" t="s">
        <v>929</v>
      </c>
      <c r="B176" s="100" t="s">
        <v>3123</v>
      </c>
      <c r="C176" s="28" t="s">
        <v>168</v>
      </c>
      <c r="D176" s="28" t="str">
        <f>IFERROR(VLOOKUP($C176,CUENTAS[],2,0),"")</f>
        <v>ACTIVOS FIJOS</v>
      </c>
      <c r="E176" s="28" t="str">
        <f>IFERROR(VLOOKUP($C176,CUENTAS[],3,0),"")</f>
        <v>MDE2025-007B</v>
      </c>
      <c r="F176" s="144"/>
      <c r="G176" s="145"/>
      <c r="H176" s="128">
        <v>285.72000000000003</v>
      </c>
      <c r="I176" s="200" t="str">
        <f t="shared" si="2"/>
        <v>REVISAR</v>
      </c>
      <c r="J176" s="232"/>
      <c r="K176" s="141" t="s">
        <v>364</v>
      </c>
      <c r="L176" s="142" t="s">
        <v>227</v>
      </c>
      <c r="M176" s="139">
        <v>45957</v>
      </c>
      <c r="N176" s="143"/>
      <c r="O176" s="237"/>
      <c r="P176" s="240"/>
    </row>
    <row r="177" spans="1:16" x14ac:dyDescent="0.3">
      <c r="A177" s="5" t="s">
        <v>2799</v>
      </c>
      <c r="B177" s="100" t="s">
        <v>1845</v>
      </c>
      <c r="C177" s="28" t="s">
        <v>19</v>
      </c>
      <c r="D177" s="28" t="str">
        <f>IFERROR(VLOOKUP($C177,CUENTAS[],2,0),"")</f>
        <v>DISEÑOS</v>
      </c>
      <c r="E177" s="28" t="str">
        <f>IFERROR(VLOOKUP($C177,CUENTAS[],3,0),"")</f>
        <v>MDE2025-001</v>
      </c>
      <c r="F177" s="144">
        <v>206.03</v>
      </c>
      <c r="G177" s="145">
        <v>32.96</v>
      </c>
      <c r="H177" s="128">
        <v>238.99</v>
      </c>
      <c r="I177" s="200" t="str">
        <f t="shared" si="2"/>
        <v>CORRECTO</v>
      </c>
      <c r="J177" s="232" t="s">
        <v>1265</v>
      </c>
      <c r="K177" s="141" t="s">
        <v>2799</v>
      </c>
      <c r="L177" s="142" t="s">
        <v>227</v>
      </c>
      <c r="M177" s="139">
        <v>45937</v>
      </c>
      <c r="N177" s="143" t="s">
        <v>371</v>
      </c>
      <c r="O177" s="237"/>
      <c r="P177" s="240"/>
    </row>
    <row r="178" spans="1:16" x14ac:dyDescent="0.3">
      <c r="A178" s="5" t="s">
        <v>2799</v>
      </c>
      <c r="B178" s="100" t="s">
        <v>1845</v>
      </c>
      <c r="C178" s="28" t="s">
        <v>19</v>
      </c>
      <c r="D178" s="28" t="str">
        <f>IFERROR(VLOOKUP($C178,CUENTAS[],2,0),"")</f>
        <v>DISEÑOS</v>
      </c>
      <c r="E178" s="28" t="str">
        <f>IFERROR(VLOOKUP($C178,CUENTAS[],3,0),"")</f>
        <v>MDE2025-001</v>
      </c>
      <c r="F178" s="144">
        <v>206.03</v>
      </c>
      <c r="G178" s="145">
        <v>32.96</v>
      </c>
      <c r="H178" s="128">
        <v>238.99</v>
      </c>
      <c r="I178" s="200" t="str">
        <f t="shared" si="2"/>
        <v>CORRECTO</v>
      </c>
      <c r="J178" s="232" t="s">
        <v>1265</v>
      </c>
      <c r="K178" s="141" t="s">
        <v>2799</v>
      </c>
      <c r="L178" s="142" t="s">
        <v>227</v>
      </c>
      <c r="M178" s="139">
        <v>45944</v>
      </c>
      <c r="N178" s="143" t="s">
        <v>371</v>
      </c>
      <c r="O178" s="237"/>
      <c r="P178" s="240"/>
    </row>
    <row r="179" spans="1:16" x14ac:dyDescent="0.3">
      <c r="A179" s="5" t="s">
        <v>2799</v>
      </c>
      <c r="B179" s="100" t="s">
        <v>1845</v>
      </c>
      <c r="C179" s="28" t="s">
        <v>19</v>
      </c>
      <c r="D179" s="28" t="str">
        <f>IFERROR(VLOOKUP($C179,CUENTAS[],2,0),"")</f>
        <v>DISEÑOS</v>
      </c>
      <c r="E179" s="28" t="str">
        <f>IFERROR(VLOOKUP($C179,CUENTAS[],3,0),"")</f>
        <v>MDE2025-001</v>
      </c>
      <c r="F179" s="144">
        <v>206.03</v>
      </c>
      <c r="G179" s="145">
        <v>32.96</v>
      </c>
      <c r="H179" s="128">
        <v>238.99</v>
      </c>
      <c r="I179" s="200" t="str">
        <f t="shared" si="2"/>
        <v>CORRECTO</v>
      </c>
      <c r="J179" s="232" t="s">
        <v>1265</v>
      </c>
      <c r="K179" s="141" t="s">
        <v>2799</v>
      </c>
      <c r="L179" s="142" t="s">
        <v>227</v>
      </c>
      <c r="M179" s="139">
        <v>45945</v>
      </c>
      <c r="N179" s="143" t="s">
        <v>371</v>
      </c>
      <c r="O179" s="237"/>
      <c r="P179" s="240"/>
    </row>
    <row r="180" spans="1:16" x14ac:dyDescent="0.3">
      <c r="A180" s="5" t="s">
        <v>2799</v>
      </c>
      <c r="B180" s="100" t="s">
        <v>1845</v>
      </c>
      <c r="C180" s="28" t="s">
        <v>19</v>
      </c>
      <c r="D180" s="28" t="str">
        <f>IFERROR(VLOOKUP($C180,CUENTAS[],2,0),"")</f>
        <v>DISEÑOS</v>
      </c>
      <c r="E180" s="28" t="str">
        <f>IFERROR(VLOOKUP($C180,CUENTAS[],3,0),"")</f>
        <v>MDE2025-001</v>
      </c>
      <c r="F180" s="144">
        <v>206.03</v>
      </c>
      <c r="G180" s="145">
        <v>32.96</v>
      </c>
      <c r="H180" s="128">
        <v>238.99</v>
      </c>
      <c r="I180" s="200" t="str">
        <f t="shared" si="2"/>
        <v>CORRECTO</v>
      </c>
      <c r="J180" s="232" t="s">
        <v>1265</v>
      </c>
      <c r="K180" s="141" t="s">
        <v>2799</v>
      </c>
      <c r="L180" s="142" t="s">
        <v>227</v>
      </c>
      <c r="M180" s="139">
        <v>45954</v>
      </c>
      <c r="N180" s="143" t="s">
        <v>371</v>
      </c>
      <c r="O180" s="237"/>
      <c r="P180" s="240"/>
    </row>
    <row r="181" spans="1:16" x14ac:dyDescent="0.3">
      <c r="A181" s="5" t="s">
        <v>650</v>
      </c>
      <c r="B181" s="100" t="s">
        <v>3125</v>
      </c>
      <c r="C181" s="28" t="s">
        <v>167</v>
      </c>
      <c r="D181" s="28" t="str">
        <f>IFERROR(VLOOKUP($C181,CUENTAS[],2,0),"")</f>
        <v>LOGÍSTICA</v>
      </c>
      <c r="E181" s="28" t="str">
        <f>IFERROR(VLOOKUP($C181,CUENTAS[],3,0),"")</f>
        <v>MDE2025-006D</v>
      </c>
      <c r="F181" s="144">
        <v>1971.27</v>
      </c>
      <c r="G181" s="145">
        <v>315.39999999999998</v>
      </c>
      <c r="H181" s="128">
        <v>2286.67</v>
      </c>
      <c r="I181" s="200" t="str">
        <f t="shared" si="2"/>
        <v>CORRECTO</v>
      </c>
      <c r="J181" s="232" t="s">
        <v>3250</v>
      </c>
      <c r="K181" s="141" t="s">
        <v>2805</v>
      </c>
      <c r="L181" s="142" t="s">
        <v>227</v>
      </c>
      <c r="M181" s="139">
        <v>45933</v>
      </c>
      <c r="N181" s="143" t="s">
        <v>3126</v>
      </c>
      <c r="O181" s="237"/>
      <c r="P181" s="240"/>
    </row>
    <row r="182" spans="1:16" x14ac:dyDescent="0.3">
      <c r="A182" s="5" t="s">
        <v>650</v>
      </c>
      <c r="B182" s="100" t="s">
        <v>3257</v>
      </c>
      <c r="C182" s="28" t="s">
        <v>167</v>
      </c>
      <c r="D182" s="28" t="str">
        <f>IFERROR(VLOOKUP($C182,CUENTAS[],2,0),"")</f>
        <v>LOGÍSTICA</v>
      </c>
      <c r="E182" s="28" t="str">
        <f>IFERROR(VLOOKUP($C182,CUENTAS[],3,0),"")</f>
        <v>MDE2025-006D</v>
      </c>
      <c r="F182" s="144">
        <v>415</v>
      </c>
      <c r="G182" s="145">
        <v>66.400000000000006</v>
      </c>
      <c r="H182" s="128">
        <v>482</v>
      </c>
      <c r="I182" s="200" t="str">
        <f t="shared" si="2"/>
        <v>REVISAR</v>
      </c>
      <c r="J182" s="232" t="s">
        <v>3250</v>
      </c>
      <c r="K182" s="141" t="s">
        <v>2805</v>
      </c>
      <c r="L182" s="142" t="s">
        <v>227</v>
      </c>
      <c r="M182" s="139">
        <v>45943</v>
      </c>
      <c r="N182" s="143" t="s">
        <v>3259</v>
      </c>
      <c r="O182" s="237"/>
      <c r="P182" s="240"/>
    </row>
    <row r="183" spans="1:16" x14ac:dyDescent="0.3">
      <c r="A183" s="5" t="s">
        <v>650</v>
      </c>
      <c r="B183" s="100" t="s">
        <v>3257</v>
      </c>
      <c r="C183" s="28" t="s">
        <v>167</v>
      </c>
      <c r="D183" s="28" t="str">
        <f>IFERROR(VLOOKUP($C183,CUENTAS[],2,0),"")</f>
        <v>LOGÍSTICA</v>
      </c>
      <c r="E183" s="28" t="str">
        <f>IFERROR(VLOOKUP($C183,CUENTAS[],3,0),"")</f>
        <v>MDE2025-006D</v>
      </c>
      <c r="F183" s="144">
        <v>191.38</v>
      </c>
      <c r="G183" s="145">
        <v>30.62</v>
      </c>
      <c r="H183" s="128">
        <v>222</v>
      </c>
      <c r="I183" s="200" t="str">
        <f t="shared" si="2"/>
        <v>CORRECTO</v>
      </c>
      <c r="J183" s="232" t="s">
        <v>3250</v>
      </c>
      <c r="K183" s="141" t="s">
        <v>2805</v>
      </c>
      <c r="L183" s="142" t="s">
        <v>227</v>
      </c>
      <c r="M183" s="139">
        <v>45943</v>
      </c>
      <c r="N183" s="143" t="s">
        <v>3259</v>
      </c>
      <c r="O183" s="237"/>
      <c r="P183" s="240"/>
    </row>
    <row r="184" spans="1:16" x14ac:dyDescent="0.3">
      <c r="A184" s="5" t="s">
        <v>650</v>
      </c>
      <c r="B184" s="100" t="s">
        <v>3258</v>
      </c>
      <c r="C184" s="28" t="s">
        <v>167</v>
      </c>
      <c r="D184" s="28" t="str">
        <f>IFERROR(VLOOKUP($C184,CUENTAS[],2,0),"")</f>
        <v>LOGÍSTICA</v>
      </c>
      <c r="E184" s="28" t="str">
        <f>IFERROR(VLOOKUP($C184,CUENTAS[],3,0),"")</f>
        <v>MDE2025-006D</v>
      </c>
      <c r="F184" s="144">
        <v>191.38</v>
      </c>
      <c r="G184" s="145">
        <v>30.62</v>
      </c>
      <c r="H184" s="128">
        <v>376.72</v>
      </c>
      <c r="I184" s="200" t="str">
        <f t="shared" si="2"/>
        <v>REVISAR</v>
      </c>
      <c r="J184" s="232" t="s">
        <v>3250</v>
      </c>
      <c r="K184" s="141" t="s">
        <v>3260</v>
      </c>
      <c r="L184" s="142" t="s">
        <v>227</v>
      </c>
      <c r="M184" s="139">
        <v>45953</v>
      </c>
      <c r="N184" s="143" t="s">
        <v>3261</v>
      </c>
      <c r="O184" s="237"/>
      <c r="P184" s="240"/>
    </row>
    <row r="185" spans="1:16" x14ac:dyDescent="0.3">
      <c r="A185" s="5" t="s">
        <v>228</v>
      </c>
      <c r="B185" s="100" t="s">
        <v>1001</v>
      </c>
      <c r="C185" s="28" t="s">
        <v>224</v>
      </c>
      <c r="D185" s="28" t="str">
        <f>IFERROR(VLOOKUP($C185,CUENTAS[],2,0),"")</f>
        <v>MATERIALES</v>
      </c>
      <c r="E185" s="28" t="str">
        <f>IFERROR(VLOOKUP($C185,CUENTAS[],3,0),"")</f>
        <v>MDE2025-004</v>
      </c>
      <c r="F185" s="144">
        <v>4140</v>
      </c>
      <c r="G185" s="145">
        <v>0</v>
      </c>
      <c r="H185" s="128">
        <v>4140</v>
      </c>
      <c r="I185" s="200" t="str">
        <f t="shared" si="2"/>
        <v>CORRECTO</v>
      </c>
      <c r="J185" s="232" t="s">
        <v>133</v>
      </c>
      <c r="K185" s="141"/>
      <c r="L185" s="142" t="s">
        <v>227</v>
      </c>
      <c r="M185" s="139"/>
      <c r="N185" s="143"/>
      <c r="O185" s="237" t="s">
        <v>3262</v>
      </c>
      <c r="P185" s="240"/>
    </row>
    <row r="186" spans="1:16" x14ac:dyDescent="0.3">
      <c r="A186" s="5" t="s">
        <v>228</v>
      </c>
      <c r="B186" s="100" t="s">
        <v>1000</v>
      </c>
      <c r="C186" s="28" t="s">
        <v>223</v>
      </c>
      <c r="D186" s="28" t="str">
        <f>IFERROR(VLOOKUP($C186,CUENTAS[],2,0),"")</f>
        <v>MANTENIMIENTO</v>
      </c>
      <c r="E186" s="28" t="str">
        <f>IFERROR(VLOOKUP($C186,CUENTAS[],3,0),"")</f>
        <v>MDE2025-009B</v>
      </c>
      <c r="F186" s="144">
        <v>710</v>
      </c>
      <c r="G186" s="145">
        <v>0</v>
      </c>
      <c r="H186" s="128">
        <v>710</v>
      </c>
      <c r="I186" s="200" t="str">
        <f t="shared" si="2"/>
        <v>CORRECTO</v>
      </c>
      <c r="J186" s="232" t="s">
        <v>133</v>
      </c>
      <c r="K186" s="141"/>
      <c r="L186" s="142" t="s">
        <v>227</v>
      </c>
      <c r="M186" s="139"/>
      <c r="N186" s="143"/>
      <c r="O186" s="237" t="s">
        <v>3262</v>
      </c>
      <c r="P186" s="240"/>
    </row>
    <row r="187" spans="1:16" x14ac:dyDescent="0.3">
      <c r="A187" s="5" t="s">
        <v>1004</v>
      </c>
      <c r="B187" s="100" t="s">
        <v>1276</v>
      </c>
      <c r="C187" s="28" t="s">
        <v>141</v>
      </c>
      <c r="D187" s="28" t="str">
        <f>IFERROR(VLOOKUP($C187,CUENTAS[],2,0),"")</f>
        <v>GASTOS VARIOS</v>
      </c>
      <c r="E187" s="28" t="str">
        <f>IFERROR(VLOOKUP($C187,CUENTAS[],3,0),"")</f>
        <v>MDE2025-003L</v>
      </c>
      <c r="F187" s="144">
        <v>1997.88</v>
      </c>
      <c r="G187" s="145">
        <v>0</v>
      </c>
      <c r="H187" s="128">
        <v>1997.88</v>
      </c>
      <c r="I187" s="200" t="str">
        <f t="shared" si="2"/>
        <v>CORRECTO</v>
      </c>
      <c r="J187" s="232" t="s">
        <v>133</v>
      </c>
      <c r="K187" s="141"/>
      <c r="L187" s="142" t="s">
        <v>227</v>
      </c>
      <c r="M187" s="139"/>
      <c r="N187" s="143"/>
      <c r="O187" s="237" t="s">
        <v>3262</v>
      </c>
      <c r="P187" s="240"/>
    </row>
    <row r="188" spans="1:16" x14ac:dyDescent="0.3">
      <c r="A188" s="5" t="s">
        <v>1004</v>
      </c>
      <c r="B188" s="100" t="s">
        <v>1276</v>
      </c>
      <c r="C188" s="28" t="s">
        <v>141</v>
      </c>
      <c r="D188" s="28" t="str">
        <f>IFERROR(VLOOKUP($C188,CUENTAS[],2,0),"")</f>
        <v>GASTOS VARIOS</v>
      </c>
      <c r="E188" s="28" t="str">
        <f>IFERROR(VLOOKUP($C188,CUENTAS[],3,0),"")</f>
        <v>MDE2025-003L</v>
      </c>
      <c r="F188" s="144">
        <v>7991.52</v>
      </c>
      <c r="G188" s="145">
        <v>0</v>
      </c>
      <c r="H188" s="128">
        <v>7991.52</v>
      </c>
      <c r="I188" s="200" t="str">
        <f t="shared" si="2"/>
        <v>CORRECTO</v>
      </c>
      <c r="J188" s="232" t="s">
        <v>133</v>
      </c>
      <c r="K188" s="141"/>
      <c r="L188" s="142" t="s">
        <v>227</v>
      </c>
      <c r="M188" s="139"/>
      <c r="N188" s="143"/>
      <c r="O188" s="237" t="s">
        <v>3262</v>
      </c>
      <c r="P188" s="240"/>
    </row>
    <row r="189" spans="1:16" x14ac:dyDescent="0.3">
      <c r="A189" s="5" t="s">
        <v>228</v>
      </c>
      <c r="B189" s="100" t="s">
        <v>1000</v>
      </c>
      <c r="C189" s="28" t="s">
        <v>139</v>
      </c>
      <c r="D189" s="28" t="str">
        <f>IFERROR(VLOOKUP($C189,CUENTAS[],2,0),"")</f>
        <v>ACTIVOS FIJOS</v>
      </c>
      <c r="E189" s="28" t="str">
        <f>IFERROR(VLOOKUP($C189,CUENTAS[],3,0),"")</f>
        <v>MDE2025-007E</v>
      </c>
      <c r="F189" s="144">
        <v>2379.9899999999998</v>
      </c>
      <c r="G189" s="145">
        <v>0</v>
      </c>
      <c r="H189" s="128">
        <v>2379.9899999999998</v>
      </c>
      <c r="I189" s="200" t="str">
        <f t="shared" si="2"/>
        <v>CORRECTO</v>
      </c>
      <c r="J189" s="232" t="s">
        <v>133</v>
      </c>
      <c r="K189" s="141"/>
      <c r="L189" s="142" t="s">
        <v>227</v>
      </c>
      <c r="M189" s="139"/>
      <c r="N189" s="143"/>
      <c r="O189" s="237"/>
      <c r="P189" s="240"/>
    </row>
    <row r="190" spans="1:16" x14ac:dyDescent="0.3">
      <c r="A190" s="5" t="s">
        <v>228</v>
      </c>
      <c r="B190" s="100" t="s">
        <v>1000</v>
      </c>
      <c r="C190" s="28" t="s">
        <v>139</v>
      </c>
      <c r="D190" s="28" t="str">
        <f>IFERROR(VLOOKUP($C190,CUENTAS[],2,0),"")</f>
        <v>ACTIVOS FIJOS</v>
      </c>
      <c r="E190" s="28" t="str">
        <f>IFERROR(VLOOKUP($C190,CUENTAS[],3,0),"")</f>
        <v>MDE2025-007E</v>
      </c>
      <c r="F190" s="144">
        <v>2379.9899999999998</v>
      </c>
      <c r="G190" s="145">
        <v>0</v>
      </c>
      <c r="H190" s="128">
        <v>2379.9899999999998</v>
      </c>
      <c r="I190" s="200" t="str">
        <f t="shared" si="2"/>
        <v>CORRECTO</v>
      </c>
      <c r="J190" s="232" t="s">
        <v>133</v>
      </c>
      <c r="K190" s="141"/>
      <c r="L190" s="142" t="s">
        <v>227</v>
      </c>
      <c r="M190" s="139"/>
      <c r="N190" s="143"/>
      <c r="O190" s="237" t="s">
        <v>3263</v>
      </c>
      <c r="P190" s="240"/>
    </row>
    <row r="191" spans="1:16" x14ac:dyDescent="0.3">
      <c r="A191" s="5" t="s">
        <v>228</v>
      </c>
      <c r="B191" s="100" t="s">
        <v>1000</v>
      </c>
      <c r="C191" s="28" t="s">
        <v>139</v>
      </c>
      <c r="D191" s="28" t="str">
        <f>IFERROR(VLOOKUP($C191,CUENTAS[],2,0),"")</f>
        <v>ACTIVOS FIJOS</v>
      </c>
      <c r="E191" s="28" t="str">
        <f>IFERROR(VLOOKUP($C191,CUENTAS[],3,0),"")</f>
        <v>MDE2025-007E</v>
      </c>
      <c r="F191" s="144">
        <v>2379.9899999999998</v>
      </c>
      <c r="G191" s="145">
        <v>0</v>
      </c>
      <c r="H191" s="128">
        <v>2379.9899999999998</v>
      </c>
      <c r="I191" s="200" t="str">
        <f t="shared" si="2"/>
        <v>CORRECTO</v>
      </c>
      <c r="J191" s="232" t="s">
        <v>133</v>
      </c>
      <c r="K191" s="141"/>
      <c r="L191" s="142" t="s">
        <v>227</v>
      </c>
      <c r="M191" s="139"/>
      <c r="N191" s="143"/>
      <c r="O191" s="237" t="s">
        <v>3263</v>
      </c>
      <c r="P191" s="240"/>
    </row>
    <row r="192" spans="1:16" x14ac:dyDescent="0.3">
      <c r="A192" s="5" t="s">
        <v>228</v>
      </c>
      <c r="B192" s="100" t="s">
        <v>1000</v>
      </c>
      <c r="C192" s="28" t="s">
        <v>139</v>
      </c>
      <c r="D192" s="28" t="str">
        <f>IFERROR(VLOOKUP($C192,CUENTAS[],2,0),"")</f>
        <v>ACTIVOS FIJOS</v>
      </c>
      <c r="E192" s="28" t="str">
        <f>IFERROR(VLOOKUP($C192,CUENTAS[],3,0),"")</f>
        <v>MDE2025-007E</v>
      </c>
      <c r="F192" s="144">
        <v>2379.9899999999998</v>
      </c>
      <c r="G192" s="145">
        <v>0</v>
      </c>
      <c r="H192" s="128">
        <v>2379.9899999999998</v>
      </c>
      <c r="I192" s="200" t="str">
        <f t="shared" si="2"/>
        <v>CORRECTO</v>
      </c>
      <c r="J192" s="232" t="s">
        <v>133</v>
      </c>
      <c r="K192" s="141"/>
      <c r="L192" s="142" t="s">
        <v>227</v>
      </c>
      <c r="M192" s="139"/>
      <c r="N192" s="143"/>
      <c r="O192" s="237" t="s">
        <v>3263</v>
      </c>
      <c r="P192" s="240"/>
    </row>
    <row r="193" spans="1:16" x14ac:dyDescent="0.3">
      <c r="A193" s="6" t="s">
        <v>228</v>
      </c>
      <c r="B193" s="109" t="s">
        <v>1000</v>
      </c>
      <c r="C193" s="28" t="s">
        <v>139</v>
      </c>
      <c r="D193" s="28" t="str">
        <f>IFERROR(VLOOKUP($C193,CUENTAS[],2,0),"")</f>
        <v>ACTIVOS FIJOS</v>
      </c>
      <c r="E193" s="28" t="str">
        <f>IFERROR(VLOOKUP($C193,CUENTAS[],3,0),"")</f>
        <v>MDE2025-007E</v>
      </c>
      <c r="F193" s="86">
        <v>2379.9899999999998</v>
      </c>
      <c r="G193" s="129">
        <v>0</v>
      </c>
      <c r="H193" s="126">
        <v>2379.9899999999998</v>
      </c>
      <c r="I193" s="200" t="str">
        <f t="shared" si="2"/>
        <v>CORRECTO</v>
      </c>
      <c r="J193" s="232" t="s">
        <v>133</v>
      </c>
      <c r="K193" s="101"/>
      <c r="L193" s="95" t="s">
        <v>227</v>
      </c>
      <c r="M193" s="184"/>
      <c r="N193" s="8"/>
      <c r="O193" s="237" t="s">
        <v>3263</v>
      </c>
      <c r="P193" s="240"/>
    </row>
    <row r="194" spans="1:16" x14ac:dyDescent="0.3">
      <c r="A194" s="6" t="s">
        <v>228</v>
      </c>
      <c r="B194" s="109" t="s">
        <v>1000</v>
      </c>
      <c r="C194" s="28" t="s">
        <v>139</v>
      </c>
      <c r="D194" s="28" t="str">
        <f>IFERROR(VLOOKUP($C194,CUENTAS[],2,0),"")</f>
        <v>ACTIVOS FIJOS</v>
      </c>
      <c r="E194" s="28" t="str">
        <f>IFERROR(VLOOKUP($C194,CUENTAS[],3,0),"")</f>
        <v>MDE2025-007E</v>
      </c>
      <c r="F194" s="86">
        <v>2379.9899999999998</v>
      </c>
      <c r="G194" s="129">
        <v>0</v>
      </c>
      <c r="H194" s="126">
        <v>2379.9899999999998</v>
      </c>
      <c r="I194" s="200" t="str">
        <f t="shared" si="2"/>
        <v>CORRECTO</v>
      </c>
      <c r="J194" s="232" t="s">
        <v>133</v>
      </c>
      <c r="K194" s="101"/>
      <c r="L194" s="95" t="s">
        <v>227</v>
      </c>
      <c r="M194" s="184"/>
      <c r="N194" s="8"/>
      <c r="O194" s="237" t="s">
        <v>3263</v>
      </c>
      <c r="P194" s="240"/>
    </row>
    <row r="195" spans="1:16" x14ac:dyDescent="0.3">
      <c r="A195" s="6" t="s">
        <v>228</v>
      </c>
      <c r="B195" s="109" t="s">
        <v>1000</v>
      </c>
      <c r="C195" s="28" t="s">
        <v>139</v>
      </c>
      <c r="D195" s="28" t="str">
        <f>IFERROR(VLOOKUP($C195,CUENTAS[],2,0),"")</f>
        <v>ACTIVOS FIJOS</v>
      </c>
      <c r="E195" s="28" t="str">
        <f>IFERROR(VLOOKUP($C195,CUENTAS[],3,0),"")</f>
        <v>MDE2025-007E</v>
      </c>
      <c r="F195" s="86">
        <v>2379.9899999999998</v>
      </c>
      <c r="G195" s="129">
        <v>0</v>
      </c>
      <c r="H195" s="126">
        <v>2379.9899999999998</v>
      </c>
      <c r="I195" s="200" t="str">
        <f t="shared" ref="I195:I218" si="3">IFERROR(IF(F195+G195&lt;&gt;H195,"REVISAR","CORRECTO"),"")</f>
        <v>CORRECTO</v>
      </c>
      <c r="J195" s="232" t="s">
        <v>133</v>
      </c>
      <c r="K195" s="101"/>
      <c r="L195" s="95" t="s">
        <v>227</v>
      </c>
      <c r="M195" s="184"/>
      <c r="N195" s="8"/>
      <c r="O195" s="237" t="s">
        <v>3263</v>
      </c>
      <c r="P195" s="240"/>
    </row>
    <row r="196" spans="1:16" x14ac:dyDescent="0.3">
      <c r="A196" s="6" t="s">
        <v>228</v>
      </c>
      <c r="B196" s="109" t="s">
        <v>1000</v>
      </c>
      <c r="C196" s="28" t="s">
        <v>139</v>
      </c>
      <c r="D196" s="28" t="str">
        <f>IFERROR(VLOOKUP($C196,CUENTAS[],2,0),"")</f>
        <v>ACTIVOS FIJOS</v>
      </c>
      <c r="E196" s="28" t="str">
        <f>IFERROR(VLOOKUP($C196,CUENTAS[],3,0),"")</f>
        <v>MDE2025-007E</v>
      </c>
      <c r="F196" s="86">
        <v>2379.9899999999998</v>
      </c>
      <c r="G196" s="129">
        <v>0</v>
      </c>
      <c r="H196" s="126">
        <v>2379.9899999999998</v>
      </c>
      <c r="I196" s="200" t="str">
        <f t="shared" si="3"/>
        <v>CORRECTO</v>
      </c>
      <c r="J196" s="232" t="s">
        <v>133</v>
      </c>
      <c r="K196" s="101"/>
      <c r="L196" s="95" t="s">
        <v>227</v>
      </c>
      <c r="M196" s="184"/>
      <c r="N196" s="8"/>
      <c r="O196" s="237" t="s">
        <v>3262</v>
      </c>
      <c r="P196" s="240"/>
    </row>
    <row r="197" spans="1:16" x14ac:dyDescent="0.3">
      <c r="A197" s="6" t="s">
        <v>228</v>
      </c>
      <c r="B197" s="109" t="s">
        <v>1000</v>
      </c>
      <c r="C197" s="28" t="s">
        <v>139</v>
      </c>
      <c r="D197" s="28" t="str">
        <f>IFERROR(VLOOKUP($C197,CUENTAS[],2,0),"")</f>
        <v>ACTIVOS FIJOS</v>
      </c>
      <c r="E197" s="28" t="str">
        <f>IFERROR(VLOOKUP($C197,CUENTAS[],3,0),"")</f>
        <v>MDE2025-007E</v>
      </c>
      <c r="F197" s="86">
        <v>2379.9899999999998</v>
      </c>
      <c r="G197" s="129">
        <v>0</v>
      </c>
      <c r="H197" s="126">
        <v>2379.9899999999998</v>
      </c>
      <c r="I197" s="200" t="str">
        <f t="shared" si="3"/>
        <v>CORRECTO</v>
      </c>
      <c r="J197" s="232" t="s">
        <v>133</v>
      </c>
      <c r="K197" s="101"/>
      <c r="L197" s="95" t="s">
        <v>227</v>
      </c>
      <c r="M197" s="184"/>
      <c r="N197" s="8"/>
      <c r="O197" s="237" t="s">
        <v>3262</v>
      </c>
      <c r="P197" s="240"/>
    </row>
    <row r="198" spans="1:16" x14ac:dyDescent="0.3">
      <c r="A198" s="6" t="s">
        <v>228</v>
      </c>
      <c r="B198" s="109" t="s">
        <v>2812</v>
      </c>
      <c r="C198" s="28" t="s">
        <v>134</v>
      </c>
      <c r="D198" s="28" t="str">
        <f>IFERROR(VLOOKUP($C198,CUENTAS[],2,0),"")</f>
        <v>GASTOS FIJOS</v>
      </c>
      <c r="E198" s="28" t="str">
        <f>IFERROR(VLOOKUP($C198,CUENTAS[],3,0),"")</f>
        <v>MDE2025-002J</v>
      </c>
      <c r="F198" s="86">
        <v>434.06</v>
      </c>
      <c r="G198" s="129">
        <v>0</v>
      </c>
      <c r="H198" s="126">
        <v>434.06</v>
      </c>
      <c r="I198" s="200" t="str">
        <f t="shared" si="3"/>
        <v>CORRECTO</v>
      </c>
      <c r="J198" s="232" t="s">
        <v>133</v>
      </c>
      <c r="K198" s="101"/>
      <c r="L198" s="95" t="s">
        <v>227</v>
      </c>
      <c r="M198" s="184"/>
      <c r="N198" s="8"/>
      <c r="O198" s="237" t="s">
        <v>3263</v>
      </c>
      <c r="P198" s="240"/>
    </row>
    <row r="199" spans="1:16" x14ac:dyDescent="0.3">
      <c r="A199" s="6" t="s">
        <v>228</v>
      </c>
      <c r="B199" s="109" t="s">
        <v>2811</v>
      </c>
      <c r="C199" s="28" t="s">
        <v>134</v>
      </c>
      <c r="D199" s="28" t="str">
        <f>IFERROR(VLOOKUP($C199,CUENTAS[],2,0),"")</f>
        <v>GASTOS FIJOS</v>
      </c>
      <c r="E199" s="28" t="str">
        <f>IFERROR(VLOOKUP($C199,CUENTAS[],3,0),"")</f>
        <v>MDE2025-002J</v>
      </c>
      <c r="F199" s="86">
        <v>547.71</v>
      </c>
      <c r="G199" s="129">
        <v>0</v>
      </c>
      <c r="H199" s="126">
        <v>547.71</v>
      </c>
      <c r="I199" s="200" t="str">
        <f t="shared" si="3"/>
        <v>CORRECTO</v>
      </c>
      <c r="J199" s="232" t="s">
        <v>133</v>
      </c>
      <c r="K199" s="101"/>
      <c r="L199" s="95" t="s">
        <v>227</v>
      </c>
      <c r="M199" s="184"/>
      <c r="N199" s="8"/>
      <c r="O199" s="237" t="s">
        <v>3262</v>
      </c>
      <c r="P199" s="240"/>
    </row>
    <row r="200" spans="1:16" x14ac:dyDescent="0.3">
      <c r="A200" s="120" t="s">
        <v>228</v>
      </c>
      <c r="B200" s="120" t="s">
        <v>1861</v>
      </c>
      <c r="C200" s="28" t="s">
        <v>141</v>
      </c>
      <c r="D200" s="28" t="str">
        <f>IFERROR(VLOOKUP($C200,CUENTAS[],2,0),"")</f>
        <v>GASTOS VARIOS</v>
      </c>
      <c r="E200" s="28" t="str">
        <f>IFERROR(VLOOKUP($C200,CUENTAS[],3,0),"")</f>
        <v>MDE2025-003L</v>
      </c>
      <c r="F200" s="132">
        <v>149</v>
      </c>
      <c r="G200" s="129">
        <v>0</v>
      </c>
      <c r="H200" s="132">
        <v>149</v>
      </c>
      <c r="I200" s="200" t="str">
        <f t="shared" si="3"/>
        <v>CORRECTO</v>
      </c>
      <c r="J200" s="232" t="s">
        <v>133</v>
      </c>
      <c r="K200" s="121"/>
      <c r="L200" s="95" t="s">
        <v>227</v>
      </c>
      <c r="M200" s="186"/>
      <c r="N200" s="123"/>
      <c r="O200" s="238" t="s">
        <v>3263</v>
      </c>
    </row>
    <row r="201" spans="1:16" x14ac:dyDescent="0.3">
      <c r="A201" s="120" t="s">
        <v>1004</v>
      </c>
      <c r="B201" s="120" t="s">
        <v>2487</v>
      </c>
      <c r="C201" s="28" t="s">
        <v>141</v>
      </c>
      <c r="D201" s="28" t="str">
        <f>IFERROR(VLOOKUP($C201,CUENTAS[],2,0),"")</f>
        <v>GASTOS VARIOS</v>
      </c>
      <c r="E201" s="28" t="str">
        <f>IFERROR(VLOOKUP($C201,CUENTAS[],3,0),"")</f>
        <v>MDE2025-003L</v>
      </c>
      <c r="F201" s="132">
        <v>3001.98</v>
      </c>
      <c r="G201" s="129">
        <v>0</v>
      </c>
      <c r="H201" s="132">
        <v>3001.98</v>
      </c>
      <c r="I201" s="200" t="str">
        <f t="shared" si="3"/>
        <v>CORRECTO</v>
      </c>
      <c r="J201" s="232" t="s">
        <v>133</v>
      </c>
      <c r="K201" s="121"/>
      <c r="L201" s="95" t="s">
        <v>227</v>
      </c>
      <c r="M201" s="186"/>
      <c r="N201" s="123"/>
    </row>
    <row r="202" spans="1:16" x14ac:dyDescent="0.3">
      <c r="A202" s="120" t="s">
        <v>228</v>
      </c>
      <c r="B202" s="120" t="s">
        <v>3127</v>
      </c>
      <c r="C202" s="28" t="s">
        <v>168</v>
      </c>
      <c r="D202" s="28" t="str">
        <f>IFERROR(VLOOKUP($C202,CUENTAS[],2,0),"")</f>
        <v>ACTIVOS FIJOS</v>
      </c>
      <c r="E202" s="28" t="str">
        <f>IFERROR(VLOOKUP($C202,CUENTAS[],3,0),"")</f>
        <v>MDE2025-007B</v>
      </c>
      <c r="F202" s="132">
        <v>9930.26</v>
      </c>
      <c r="G202" s="129">
        <v>1588.84</v>
      </c>
      <c r="H202" s="132">
        <v>11519.1</v>
      </c>
      <c r="I202" s="200" t="str">
        <f t="shared" si="3"/>
        <v>CORRECTO</v>
      </c>
      <c r="J202" s="232" t="s">
        <v>133</v>
      </c>
      <c r="K202" s="121"/>
      <c r="L202" s="95" t="s">
        <v>227</v>
      </c>
      <c r="M202" s="186"/>
      <c r="N202" s="123"/>
      <c r="O202" s="238" t="s">
        <v>3263</v>
      </c>
    </row>
    <row r="203" spans="1:16" x14ac:dyDescent="0.3">
      <c r="A203" s="120" t="s">
        <v>228</v>
      </c>
      <c r="B203" s="120" t="s">
        <v>1577</v>
      </c>
      <c r="C203" s="28" t="s">
        <v>134</v>
      </c>
      <c r="D203" s="28" t="str">
        <f>IFERROR(VLOOKUP($C203,CUENTAS[],2,0),"")</f>
        <v>GASTOS FIJOS</v>
      </c>
      <c r="E203" s="28" t="str">
        <f>IFERROR(VLOOKUP($C203,CUENTAS[],3,0),"")</f>
        <v>MDE2025-002J</v>
      </c>
      <c r="F203" s="132">
        <v>2299</v>
      </c>
      <c r="G203" s="129">
        <v>0</v>
      </c>
      <c r="H203" s="132">
        <v>2299</v>
      </c>
      <c r="I203" s="200" t="str">
        <f t="shared" si="3"/>
        <v>CORRECTO</v>
      </c>
      <c r="J203" s="232" t="s">
        <v>133</v>
      </c>
      <c r="K203" s="121"/>
      <c r="L203" s="95" t="s">
        <v>227</v>
      </c>
      <c r="M203" s="186"/>
      <c r="N203" s="123"/>
    </row>
    <row r="204" spans="1:16" x14ac:dyDescent="0.3">
      <c r="A204" s="120" t="s">
        <v>228</v>
      </c>
      <c r="B204" s="120" t="s">
        <v>3127</v>
      </c>
      <c r="C204" s="28" t="s">
        <v>168</v>
      </c>
      <c r="D204" s="28" t="str">
        <f>IFERROR(VLOOKUP($C204,CUENTAS[],2,0),"")</f>
        <v>ACTIVOS FIJOS</v>
      </c>
      <c r="E204" s="28" t="str">
        <f>IFERROR(VLOOKUP($C204,CUENTAS[],3,0),"")</f>
        <v>MDE2025-007B</v>
      </c>
      <c r="F204" s="132">
        <v>11519.1</v>
      </c>
      <c r="G204" s="129">
        <v>0</v>
      </c>
      <c r="H204" s="132">
        <v>11519.1</v>
      </c>
      <c r="I204" s="200" t="str">
        <f t="shared" si="3"/>
        <v>CORRECTO</v>
      </c>
      <c r="J204" s="232" t="s">
        <v>133</v>
      </c>
      <c r="K204" s="121"/>
      <c r="L204" s="95" t="s">
        <v>227</v>
      </c>
      <c r="M204" s="186"/>
      <c r="N204" s="123"/>
    </row>
    <row r="205" spans="1:16" x14ac:dyDescent="0.3">
      <c r="A205" s="120" t="s">
        <v>228</v>
      </c>
      <c r="B205" s="120" t="s">
        <v>3127</v>
      </c>
      <c r="C205" s="28" t="s">
        <v>168</v>
      </c>
      <c r="D205" s="28" t="str">
        <f>IFERROR(VLOOKUP($C205,CUENTAS[],2,0),"")</f>
        <v>ACTIVOS FIJOS</v>
      </c>
      <c r="E205" s="28" t="str">
        <f>IFERROR(VLOOKUP($C205,CUENTAS[],3,0),"")</f>
        <v>MDE2025-007B</v>
      </c>
      <c r="F205" s="132">
        <v>11519.1</v>
      </c>
      <c r="G205" s="129">
        <v>0</v>
      </c>
      <c r="H205" s="132">
        <v>11519.1</v>
      </c>
      <c r="I205" s="200" t="str">
        <f t="shared" si="3"/>
        <v>CORRECTO</v>
      </c>
      <c r="J205" s="232" t="s">
        <v>133</v>
      </c>
      <c r="K205" s="121"/>
      <c r="L205" s="95" t="s">
        <v>227</v>
      </c>
      <c r="M205" s="186"/>
      <c r="N205" s="123"/>
    </row>
    <row r="206" spans="1:16" x14ac:dyDescent="0.3">
      <c r="A206" s="120" t="s">
        <v>228</v>
      </c>
      <c r="B206" s="120" t="s">
        <v>1000</v>
      </c>
      <c r="C206" s="28" t="s">
        <v>141</v>
      </c>
      <c r="D206" s="28" t="str">
        <f>IFERROR(VLOOKUP($C206,CUENTAS[],2,0),"")</f>
        <v>GASTOS VARIOS</v>
      </c>
      <c r="E206" s="28" t="str">
        <f>IFERROR(VLOOKUP($C206,CUENTAS[],3,0),"")</f>
        <v>MDE2025-003L</v>
      </c>
      <c r="F206" s="132">
        <v>1499</v>
      </c>
      <c r="G206" s="129">
        <v>0</v>
      </c>
      <c r="H206" s="132">
        <v>1499</v>
      </c>
      <c r="I206" s="200" t="str">
        <f t="shared" si="3"/>
        <v>CORRECTO</v>
      </c>
      <c r="J206" s="232" t="s">
        <v>133</v>
      </c>
      <c r="K206" s="121"/>
      <c r="L206" s="95" t="s">
        <v>227</v>
      </c>
      <c r="M206" s="186"/>
      <c r="N206" s="123"/>
      <c r="O206" s="238" t="s">
        <v>3262</v>
      </c>
    </row>
    <row r="207" spans="1:16" x14ac:dyDescent="0.3">
      <c r="A207" s="120" t="s">
        <v>228</v>
      </c>
      <c r="B207" s="120" t="s">
        <v>3128</v>
      </c>
      <c r="C207" s="28" t="s">
        <v>141</v>
      </c>
      <c r="D207" s="28" t="str">
        <f>IFERROR(VLOOKUP($C207,CUENTAS[],2,0),"")</f>
        <v>GASTOS VARIOS</v>
      </c>
      <c r="E207" s="28" t="str">
        <f>IFERROR(VLOOKUP($C207,CUENTAS[],3,0),"")</f>
        <v>MDE2025-003L</v>
      </c>
      <c r="F207" s="132">
        <v>1560</v>
      </c>
      <c r="G207" s="129">
        <v>0</v>
      </c>
      <c r="H207" s="132">
        <v>1560</v>
      </c>
      <c r="I207" s="200" t="str">
        <f t="shared" si="3"/>
        <v>CORRECTO</v>
      </c>
      <c r="J207" s="232" t="s">
        <v>133</v>
      </c>
      <c r="K207" s="121"/>
      <c r="L207" s="95" t="s">
        <v>227</v>
      </c>
      <c r="M207" s="186"/>
      <c r="N207" s="123"/>
      <c r="O207" s="238" t="s">
        <v>3262</v>
      </c>
    </row>
    <row r="208" spans="1:16" x14ac:dyDescent="0.3">
      <c r="A208" s="120" t="s">
        <v>228</v>
      </c>
      <c r="B208" s="120" t="s">
        <v>3129</v>
      </c>
      <c r="C208" s="28" t="s">
        <v>141</v>
      </c>
      <c r="D208" s="28" t="str">
        <f>IFERROR(VLOOKUP($C208,CUENTAS[],2,0),"")</f>
        <v>GASTOS VARIOS</v>
      </c>
      <c r="E208" s="28" t="str">
        <f>IFERROR(VLOOKUP($C208,CUENTAS[],3,0),"")</f>
        <v>MDE2025-003L</v>
      </c>
      <c r="F208" s="132">
        <v>225</v>
      </c>
      <c r="G208" s="129">
        <v>0</v>
      </c>
      <c r="H208" s="132">
        <v>225</v>
      </c>
      <c r="I208" s="200" t="str">
        <f t="shared" si="3"/>
        <v>CORRECTO</v>
      </c>
      <c r="J208" s="232" t="s">
        <v>133</v>
      </c>
      <c r="K208" s="121"/>
      <c r="L208" s="95" t="s">
        <v>227</v>
      </c>
      <c r="M208" s="186"/>
      <c r="N208" s="123"/>
      <c r="O208" s="238" t="s">
        <v>3262</v>
      </c>
    </row>
    <row r="209" spans="1:15" x14ac:dyDescent="0.3">
      <c r="A209" s="120" t="s">
        <v>1004</v>
      </c>
      <c r="B209" s="120" t="s">
        <v>1009</v>
      </c>
      <c r="C209" s="28" t="s">
        <v>141</v>
      </c>
      <c r="D209" s="28" t="str">
        <f>IFERROR(VLOOKUP($C209,CUENTAS[],2,0),"")</f>
        <v>GASTOS VARIOS</v>
      </c>
      <c r="E209" s="28" t="str">
        <f>IFERROR(VLOOKUP($C209,CUENTAS[],3,0),"")</f>
        <v>MDE2025-003L</v>
      </c>
      <c r="F209" s="132">
        <v>1996.5</v>
      </c>
      <c r="G209" s="129">
        <v>0</v>
      </c>
      <c r="H209" s="132">
        <v>1996.5</v>
      </c>
      <c r="I209" s="200" t="str">
        <f t="shared" si="3"/>
        <v>CORRECTO</v>
      </c>
      <c r="J209" s="232" t="s">
        <v>133</v>
      </c>
      <c r="K209" s="121"/>
      <c r="L209" s="95" t="s">
        <v>227</v>
      </c>
      <c r="M209" s="186"/>
      <c r="N209" s="123"/>
      <c r="O209" s="238" t="s">
        <v>3262</v>
      </c>
    </row>
    <row r="210" spans="1:15" x14ac:dyDescent="0.3">
      <c r="A210" s="120" t="s">
        <v>1004</v>
      </c>
      <c r="B210" s="120" t="s">
        <v>1010</v>
      </c>
      <c r="C210" s="28" t="s">
        <v>141</v>
      </c>
      <c r="D210" s="28" t="str">
        <f>IFERROR(VLOOKUP($C210,CUENTAS[],2,0),"")</f>
        <v>GASTOS VARIOS</v>
      </c>
      <c r="E210" s="28" t="str">
        <f>IFERROR(VLOOKUP($C210,CUENTAS[],3,0),"")</f>
        <v>MDE2025-003L</v>
      </c>
      <c r="F210" s="132">
        <v>319.44</v>
      </c>
      <c r="G210" s="129">
        <v>0</v>
      </c>
      <c r="H210" s="132">
        <v>319.44</v>
      </c>
      <c r="I210" s="200" t="str">
        <f t="shared" si="3"/>
        <v>CORRECTO</v>
      </c>
      <c r="J210" s="232" t="s">
        <v>133</v>
      </c>
      <c r="K210" s="121"/>
      <c r="L210" s="95" t="s">
        <v>227</v>
      </c>
      <c r="M210" s="186"/>
      <c r="N210" s="123"/>
      <c r="O210" s="238" t="s">
        <v>3262</v>
      </c>
    </row>
    <row r="211" spans="1:15" x14ac:dyDescent="0.3">
      <c r="A211" s="120" t="s">
        <v>1004</v>
      </c>
      <c r="B211" s="120" t="s">
        <v>1011</v>
      </c>
      <c r="C211" s="28" t="s">
        <v>141</v>
      </c>
      <c r="D211" s="28" t="str">
        <f>IFERROR(VLOOKUP($C211,CUENTAS[],2,0),"")</f>
        <v>GASTOS VARIOS</v>
      </c>
      <c r="E211" s="28" t="str">
        <f>IFERROR(VLOOKUP($C211,CUENTAS[],3,0),"")</f>
        <v>MDE2025-003L</v>
      </c>
      <c r="F211" s="132">
        <v>11091.69</v>
      </c>
      <c r="G211" s="129">
        <v>0</v>
      </c>
      <c r="H211" s="132">
        <v>11091.69</v>
      </c>
      <c r="I211" s="200" t="str">
        <f t="shared" si="3"/>
        <v>CORRECTO</v>
      </c>
      <c r="J211" s="232" t="s">
        <v>133</v>
      </c>
      <c r="K211" s="121"/>
      <c r="L211" s="95" t="s">
        <v>227</v>
      </c>
      <c r="M211" s="186"/>
      <c r="N211" s="123"/>
      <c r="O211" s="238" t="s">
        <v>3262</v>
      </c>
    </row>
    <row r="212" spans="1:15" x14ac:dyDescent="0.3">
      <c r="A212" s="120" t="s">
        <v>2213</v>
      </c>
      <c r="B212" s="120" t="s">
        <v>3130</v>
      </c>
      <c r="C212" s="28" t="s">
        <v>117</v>
      </c>
      <c r="D212" s="28" t="str">
        <f>IFERROR(VLOOKUP($C212,CUENTAS[],2,0),"")</f>
        <v>GASTOS VARIOS</v>
      </c>
      <c r="E212" s="28" t="str">
        <f>IFERROR(VLOOKUP($C212,CUENTAS[],3,0),"")</f>
        <v>MDE2025-003D</v>
      </c>
      <c r="F212" s="132">
        <v>217.55</v>
      </c>
      <c r="G212" s="129">
        <v>32.450000000000003</v>
      </c>
      <c r="H212" s="132">
        <v>250</v>
      </c>
      <c r="I212" s="200" t="str">
        <f t="shared" si="3"/>
        <v>CORRECTO</v>
      </c>
      <c r="J212" s="232" t="s">
        <v>3251</v>
      </c>
      <c r="K212" s="121" t="s">
        <v>467</v>
      </c>
      <c r="L212" s="95" t="s">
        <v>227</v>
      </c>
      <c r="M212" s="186">
        <v>45931</v>
      </c>
      <c r="N212" s="123" t="s">
        <v>3140</v>
      </c>
      <c r="O212" s="238" t="s">
        <v>3149</v>
      </c>
    </row>
    <row r="213" spans="1:15" x14ac:dyDescent="0.3">
      <c r="A213" s="120" t="s">
        <v>3131</v>
      </c>
      <c r="B213" s="120" t="s">
        <v>3132</v>
      </c>
      <c r="C213" s="28" t="s">
        <v>117</v>
      </c>
      <c r="D213" s="28" t="str">
        <f>IFERROR(VLOOKUP($C213,CUENTAS[],2,0),"")</f>
        <v>GASTOS VARIOS</v>
      </c>
      <c r="E213" s="28" t="str">
        <f>IFERROR(VLOOKUP($C213,CUENTAS[],3,0),"")</f>
        <v>MDE2025-003D</v>
      </c>
      <c r="F213" s="132">
        <v>692.4</v>
      </c>
      <c r="G213" s="129">
        <v>107.6</v>
      </c>
      <c r="H213" s="132">
        <v>800</v>
      </c>
      <c r="I213" s="200" t="str">
        <f t="shared" si="3"/>
        <v>CORRECTO</v>
      </c>
      <c r="J213" s="232" t="s">
        <v>3251</v>
      </c>
      <c r="K213" s="121" t="s">
        <v>922</v>
      </c>
      <c r="L213" s="95" t="s">
        <v>227</v>
      </c>
      <c r="M213" s="186">
        <v>45936</v>
      </c>
      <c r="N213" s="123" t="s">
        <v>3141</v>
      </c>
    </row>
    <row r="214" spans="1:15" x14ac:dyDescent="0.3">
      <c r="A214" s="120" t="s">
        <v>421</v>
      </c>
      <c r="B214" s="120" t="s">
        <v>3133</v>
      </c>
      <c r="C214" s="28" t="s">
        <v>117</v>
      </c>
      <c r="D214" s="28" t="str">
        <f>IFERROR(VLOOKUP($C214,CUENTAS[],2,0),"")</f>
        <v>GASTOS VARIOS</v>
      </c>
      <c r="E214" s="28" t="str">
        <f>IFERROR(VLOOKUP($C214,CUENTAS[],3,0),"")</f>
        <v>MDE2025-003D</v>
      </c>
      <c r="F214" s="132">
        <v>692.28</v>
      </c>
      <c r="G214" s="129">
        <v>107.72</v>
      </c>
      <c r="H214" s="132">
        <v>800</v>
      </c>
      <c r="I214" s="200" t="str">
        <f t="shared" si="3"/>
        <v>CORRECTO</v>
      </c>
      <c r="J214" s="232" t="s">
        <v>3251</v>
      </c>
      <c r="K214" s="121" t="s">
        <v>922</v>
      </c>
      <c r="L214" s="95" t="s">
        <v>227</v>
      </c>
      <c r="M214" s="186">
        <v>45933</v>
      </c>
      <c r="N214" s="123" t="s">
        <v>3142</v>
      </c>
    </row>
    <row r="215" spans="1:15" x14ac:dyDescent="0.3">
      <c r="A215" s="120" t="s">
        <v>3134</v>
      </c>
      <c r="B215" s="120" t="s">
        <v>3135</v>
      </c>
      <c r="C215" s="28" t="s">
        <v>117</v>
      </c>
      <c r="D215" s="28" t="str">
        <f>IFERROR(VLOOKUP($C215,CUENTAS[],2,0),"")</f>
        <v>GASTOS VARIOS</v>
      </c>
      <c r="E215" s="28" t="str">
        <f>IFERROR(VLOOKUP($C215,CUENTAS[],3,0),"")</f>
        <v>MDE2025-003D</v>
      </c>
      <c r="F215" s="86">
        <v>259.62</v>
      </c>
      <c r="G215" s="129">
        <v>40.380000000000003</v>
      </c>
      <c r="H215" s="132">
        <v>300</v>
      </c>
      <c r="I215" s="200" t="str">
        <f t="shared" si="3"/>
        <v>CORRECTO</v>
      </c>
      <c r="J215" s="232" t="s">
        <v>3251</v>
      </c>
      <c r="K215" s="121" t="s">
        <v>3143</v>
      </c>
      <c r="L215" s="95" t="s">
        <v>227</v>
      </c>
      <c r="M215" s="186">
        <v>45943</v>
      </c>
      <c r="N215" s="123" t="s">
        <v>3144</v>
      </c>
    </row>
    <row r="216" spans="1:15" x14ac:dyDescent="0.3">
      <c r="A216" s="120" t="s">
        <v>421</v>
      </c>
      <c r="B216" s="120" t="s">
        <v>3136</v>
      </c>
      <c r="C216" s="28" t="s">
        <v>117</v>
      </c>
      <c r="D216" s="28" t="str">
        <f>IFERROR(VLOOKUP($C216,CUENTAS[],2,0),"")</f>
        <v>GASTOS VARIOS</v>
      </c>
      <c r="E216" s="28" t="str">
        <f>IFERROR(VLOOKUP($C216,CUENTAS[],3,0),"")</f>
        <v>MDE2025-003D</v>
      </c>
      <c r="F216" s="86">
        <v>692.28</v>
      </c>
      <c r="G216" s="129">
        <v>107.72</v>
      </c>
      <c r="H216" s="132">
        <v>800</v>
      </c>
      <c r="I216" s="200" t="str">
        <f t="shared" si="3"/>
        <v>CORRECTO</v>
      </c>
      <c r="J216" s="232" t="s">
        <v>3251</v>
      </c>
      <c r="K216" s="121" t="s">
        <v>922</v>
      </c>
      <c r="L216" s="95" t="s">
        <v>227</v>
      </c>
      <c r="M216" s="186">
        <v>45950</v>
      </c>
      <c r="N216" s="123" t="s">
        <v>3145</v>
      </c>
    </row>
    <row r="217" spans="1:15" x14ac:dyDescent="0.3">
      <c r="A217" s="120" t="s">
        <v>3137</v>
      </c>
      <c r="B217" s="120" t="s">
        <v>3138</v>
      </c>
      <c r="C217" s="28" t="s">
        <v>117</v>
      </c>
      <c r="D217" s="28" t="str">
        <f>IFERROR(VLOOKUP($C217,CUENTAS[],2,0),"")</f>
        <v>GASTOS VARIOS</v>
      </c>
      <c r="E217" s="28" t="str">
        <f>IFERROR(VLOOKUP($C217,CUENTAS[],3,0),"")</f>
        <v>MDE2025-003D</v>
      </c>
      <c r="F217" s="86">
        <v>400</v>
      </c>
      <c r="G217" s="129">
        <v>0</v>
      </c>
      <c r="H217" s="132">
        <v>400</v>
      </c>
      <c r="I217" s="200" t="str">
        <f t="shared" si="3"/>
        <v>CORRECTO</v>
      </c>
      <c r="J217" s="232" t="s">
        <v>3251</v>
      </c>
      <c r="K217" s="121" t="s">
        <v>2230</v>
      </c>
      <c r="L217" s="95" t="s">
        <v>227</v>
      </c>
      <c r="M217" s="186">
        <v>45961</v>
      </c>
      <c r="N217" s="123" t="s">
        <v>3146</v>
      </c>
    </row>
    <row r="218" spans="1:15" x14ac:dyDescent="0.3">
      <c r="A218" s="24" t="s">
        <v>421</v>
      </c>
      <c r="B218" s="24" t="s">
        <v>3139</v>
      </c>
      <c r="C218" s="28" t="s">
        <v>117</v>
      </c>
      <c r="D218" s="28" t="str">
        <f>IFERROR(VLOOKUP($C218,CUENTAS[],2,0),"")</f>
        <v>GASTOS VARIOS</v>
      </c>
      <c r="E218" s="28" t="str">
        <f>IFERROR(VLOOKUP($C218,CUENTAS[],3,0),"")</f>
        <v>MDE2025-003D</v>
      </c>
      <c r="F218" s="86">
        <v>330</v>
      </c>
      <c r="G218" s="129">
        <v>0</v>
      </c>
      <c r="H218" s="133">
        <v>330</v>
      </c>
      <c r="I218" s="200" t="str">
        <f t="shared" si="3"/>
        <v>CORRECTO</v>
      </c>
      <c r="J218" s="232" t="s">
        <v>3251</v>
      </c>
      <c r="K218" s="121" t="s">
        <v>3147</v>
      </c>
      <c r="L218" s="95" t="s">
        <v>227</v>
      </c>
      <c r="M218" s="25">
        <v>45961</v>
      </c>
      <c r="N218" s="26" t="s">
        <v>3148</v>
      </c>
    </row>
    <row r="219" spans="1:15" x14ac:dyDescent="0.3">
      <c r="A219" s="24"/>
      <c r="B219" s="24"/>
      <c r="C219" s="28"/>
      <c r="D219" s="28"/>
      <c r="E219" s="28"/>
      <c r="F219" s="86"/>
      <c r="G219" s="129"/>
      <c r="H219" s="133"/>
      <c r="I219" s="200"/>
      <c r="J219" s="232"/>
      <c r="K219" s="121"/>
      <c r="L219" s="95"/>
      <c r="M219" s="25"/>
      <c r="N219" s="26"/>
    </row>
    <row r="220" spans="1:15" x14ac:dyDescent="0.3">
      <c r="A220" s="24"/>
      <c r="B220" s="24"/>
      <c r="C220" s="28"/>
      <c r="D220" s="28"/>
      <c r="E220" s="28"/>
      <c r="F220" s="86"/>
      <c r="G220" s="129"/>
      <c r="H220" s="133"/>
      <c r="I220" s="200"/>
      <c r="J220" s="232"/>
      <c r="K220" s="121"/>
      <c r="L220" s="95"/>
      <c r="M220" s="25"/>
      <c r="N220" s="26"/>
    </row>
    <row r="221" spans="1:15" x14ac:dyDescent="0.3">
      <c r="A221" s="24"/>
      <c r="B221" s="24"/>
      <c r="C221" s="28"/>
      <c r="D221" s="28"/>
      <c r="E221" s="28"/>
      <c r="F221" s="86"/>
      <c r="G221" s="129"/>
      <c r="H221" s="133"/>
      <c r="I221" s="200"/>
      <c r="J221" s="232"/>
      <c r="K221" s="121"/>
      <c r="L221" s="95"/>
      <c r="M221" s="25"/>
      <c r="N221" s="26"/>
    </row>
    <row r="222" spans="1:15" x14ac:dyDescent="0.3">
      <c r="A222" s="24"/>
      <c r="B222" s="24"/>
      <c r="C222" s="28"/>
      <c r="D222" s="28"/>
      <c r="E222" s="28"/>
      <c r="F222" s="86"/>
      <c r="G222" s="129"/>
      <c r="H222" s="133"/>
      <c r="I222" s="200"/>
      <c r="J222" s="232"/>
      <c r="K222" s="121"/>
      <c r="L222" s="95"/>
      <c r="M222" s="25"/>
      <c r="N222" s="26"/>
    </row>
    <row r="223" spans="1:15" x14ac:dyDescent="0.3">
      <c r="A223" s="24"/>
      <c r="B223" s="24"/>
      <c r="C223" s="28"/>
      <c r="D223" s="28"/>
      <c r="E223" s="28"/>
      <c r="F223" s="86"/>
      <c r="G223" s="129"/>
      <c r="H223" s="133"/>
      <c r="I223" s="200"/>
      <c r="J223" s="232"/>
      <c r="K223" s="121"/>
      <c r="L223" s="95"/>
      <c r="M223" s="25"/>
      <c r="N223" s="26"/>
    </row>
    <row r="224" spans="1:15" x14ac:dyDescent="0.3">
      <c r="A224" s="24"/>
      <c r="B224" s="24"/>
      <c r="C224" s="28"/>
      <c r="D224" s="28"/>
      <c r="E224" s="28"/>
      <c r="F224" s="86"/>
      <c r="G224" s="129"/>
      <c r="H224" s="133"/>
      <c r="I224" s="200"/>
      <c r="J224" s="232"/>
      <c r="K224" s="121"/>
      <c r="L224" s="95"/>
      <c r="M224" s="25"/>
      <c r="N224" s="26"/>
    </row>
    <row r="225" spans="1:16" x14ac:dyDescent="0.3">
      <c r="A225" s="24"/>
      <c r="B225" s="24"/>
      <c r="C225" s="28"/>
      <c r="D225" s="28"/>
      <c r="E225" s="28"/>
      <c r="F225" s="86"/>
      <c r="G225" s="129"/>
      <c r="H225" s="133"/>
      <c r="I225" s="200"/>
      <c r="J225" s="232"/>
      <c r="K225" s="121"/>
      <c r="L225" s="95"/>
      <c r="M225" s="25"/>
      <c r="N225" s="26"/>
    </row>
    <row r="226" spans="1:16" x14ac:dyDescent="0.3">
      <c r="A226" s="24"/>
      <c r="B226" s="24"/>
      <c r="C226" s="28"/>
      <c r="D226" s="28"/>
      <c r="E226" s="28"/>
      <c r="F226" s="86"/>
      <c r="G226" s="129"/>
      <c r="H226" s="133"/>
      <c r="I226" s="200"/>
      <c r="J226" s="232"/>
      <c r="K226" s="121"/>
      <c r="L226" s="95"/>
      <c r="M226" s="25"/>
      <c r="N226" s="26"/>
    </row>
    <row r="227" spans="1:16" x14ac:dyDescent="0.3">
      <c r="A227" s="24"/>
      <c r="B227" s="24"/>
      <c r="C227" s="28"/>
      <c r="D227" s="28"/>
      <c r="E227" s="28"/>
      <c r="F227" s="86"/>
      <c r="G227" s="129"/>
      <c r="H227" s="133"/>
      <c r="I227" s="200"/>
      <c r="J227" s="232"/>
      <c r="K227" s="121"/>
      <c r="L227" s="95"/>
      <c r="M227" s="25"/>
      <c r="N227" s="26"/>
    </row>
    <row r="228" spans="1:16" x14ac:dyDescent="0.3">
      <c r="A228" s="24"/>
      <c r="B228" s="24"/>
      <c r="C228" s="28"/>
      <c r="D228" s="28"/>
      <c r="E228" s="28"/>
      <c r="F228" s="86"/>
      <c r="G228" s="129"/>
      <c r="H228" s="133"/>
      <c r="I228" s="200"/>
      <c r="J228" s="232"/>
      <c r="K228" s="121"/>
      <c r="L228" s="95"/>
      <c r="M228" s="25"/>
      <c r="N228" s="26"/>
    </row>
    <row r="229" spans="1:16" x14ac:dyDescent="0.3">
      <c r="A229" s="24"/>
      <c r="B229" s="24"/>
      <c r="C229" s="28"/>
      <c r="D229" s="28"/>
      <c r="E229" s="28"/>
      <c r="F229" s="86"/>
      <c r="G229" s="129"/>
      <c r="H229" s="133"/>
      <c r="I229" s="200"/>
      <c r="J229" s="232"/>
      <c r="K229" s="121"/>
      <c r="L229" s="95"/>
      <c r="M229" s="25"/>
      <c r="N229" s="26"/>
    </row>
    <row r="230" spans="1:16" x14ac:dyDescent="0.3">
      <c r="A230" s="24"/>
      <c r="B230" s="24"/>
      <c r="C230" s="28"/>
      <c r="D230" s="28"/>
      <c r="E230" s="28"/>
      <c r="F230" s="86"/>
      <c r="G230" s="129"/>
      <c r="H230" s="133"/>
      <c r="I230" s="200"/>
      <c r="J230" s="232"/>
      <c r="K230" s="121"/>
      <c r="L230" s="95"/>
      <c r="M230" s="25"/>
      <c r="N230" s="26"/>
    </row>
    <row r="231" spans="1:16" x14ac:dyDescent="0.3">
      <c r="A231" s="24"/>
      <c r="B231" s="24"/>
      <c r="C231" s="28"/>
      <c r="D231" s="28"/>
      <c r="E231" s="28"/>
      <c r="F231" s="86"/>
      <c r="G231" s="129"/>
      <c r="H231" s="133"/>
      <c r="I231" s="200"/>
      <c r="J231" s="232"/>
      <c r="K231" s="121"/>
      <c r="L231" s="95"/>
      <c r="M231" s="25"/>
      <c r="N231" s="26"/>
    </row>
    <row r="232" spans="1:16" x14ac:dyDescent="0.3">
      <c r="A232" s="24"/>
      <c r="B232" s="24"/>
      <c r="C232" s="28"/>
      <c r="D232" s="28"/>
      <c r="E232" s="28"/>
      <c r="F232" s="86"/>
      <c r="G232" s="129"/>
      <c r="H232" s="133"/>
      <c r="I232" s="200"/>
      <c r="J232" s="232"/>
      <c r="K232" s="121"/>
      <c r="L232" s="95"/>
      <c r="M232" s="25"/>
      <c r="N232" s="26"/>
    </row>
    <row r="233" spans="1:16" x14ac:dyDescent="0.3">
      <c r="A233" s="24"/>
      <c r="B233" s="24"/>
      <c r="C233" s="28"/>
      <c r="D233" s="28"/>
      <c r="E233" s="28"/>
      <c r="F233" s="86"/>
      <c r="G233" s="129"/>
      <c r="H233" s="133"/>
      <c r="I233" s="200"/>
      <c r="J233" s="232"/>
      <c r="K233" s="121"/>
      <c r="L233" s="95"/>
      <c r="M233" s="25"/>
      <c r="N233" s="26"/>
    </row>
    <row r="234" spans="1:16" x14ac:dyDescent="0.3">
      <c r="A234" s="24"/>
      <c r="B234" s="24"/>
      <c r="C234" s="28"/>
      <c r="D234" s="28"/>
      <c r="E234" s="28"/>
      <c r="F234" s="86"/>
      <c r="G234" s="129"/>
      <c r="H234" s="133"/>
      <c r="I234" s="200"/>
      <c r="J234" s="232"/>
      <c r="K234" s="121"/>
      <c r="L234" s="95"/>
      <c r="M234" s="25"/>
      <c r="N234" s="26"/>
    </row>
    <row r="235" spans="1:16" x14ac:dyDescent="0.3">
      <c r="A235" s="24"/>
      <c r="B235" s="24"/>
      <c r="C235" s="28"/>
      <c r="D235" s="28"/>
      <c r="E235" s="28"/>
      <c r="F235" s="86"/>
      <c r="G235" s="129"/>
      <c r="H235" s="133"/>
      <c r="I235" s="200"/>
      <c r="J235" s="232"/>
      <c r="K235" s="121"/>
      <c r="L235" s="95"/>
      <c r="M235" s="25"/>
      <c r="N235" s="26"/>
    </row>
    <row r="236" spans="1:16" x14ac:dyDescent="0.3">
      <c r="A236" s="24"/>
      <c r="B236" s="24"/>
      <c r="C236" s="28"/>
      <c r="D236" s="28"/>
      <c r="E236" s="28"/>
      <c r="F236" s="86"/>
      <c r="G236" s="129"/>
      <c r="H236" s="133"/>
      <c r="I236" s="200"/>
      <c r="J236" s="232"/>
      <c r="K236" s="121"/>
      <c r="L236" s="95"/>
      <c r="M236" s="25"/>
      <c r="N236" s="26"/>
    </row>
    <row r="237" spans="1:16" x14ac:dyDescent="0.3">
      <c r="A237" s="24"/>
      <c r="B237" s="24"/>
      <c r="C237" s="28"/>
      <c r="D237" s="28" t="str">
        <f>IFERROR(VLOOKUP($C237,CUENTAS[],2,0),"")</f>
        <v/>
      </c>
      <c r="E237" s="28" t="str">
        <f>IFERROR(VLOOKUP($C237,CUENTAS[],3,0),"")</f>
        <v/>
      </c>
      <c r="F237" s="86"/>
      <c r="G237" s="129"/>
      <c r="H237" s="133"/>
      <c r="I237" s="200"/>
      <c r="J237" s="232"/>
      <c r="K237" s="121"/>
      <c r="L237" s="95"/>
      <c r="M237" s="25"/>
      <c r="N237" s="27"/>
    </row>
    <row r="238" spans="1:16" x14ac:dyDescent="0.3">
      <c r="B238" s="106"/>
      <c r="F238" s="124"/>
      <c r="G238" s="125"/>
      <c r="L238" s="107"/>
      <c r="M238" s="183"/>
      <c r="N238" s="108"/>
      <c r="O238" s="239"/>
    </row>
    <row r="239" spans="1:16" x14ac:dyDescent="0.3">
      <c r="B239" s="106"/>
      <c r="F239" s="124"/>
      <c r="G239" s="125"/>
      <c r="L239" s="107"/>
      <c r="M239" s="183"/>
    </row>
    <row r="240" spans="1:16" x14ac:dyDescent="0.3">
      <c r="B240" s="106"/>
      <c r="F240" s="124"/>
      <c r="L240" s="107"/>
      <c r="N240" s="4" t="s">
        <v>106</v>
      </c>
      <c r="O240" s="7">
        <f>SUM(F:F)</f>
        <v>1604989.8099999996</v>
      </c>
      <c r="P240" s="242"/>
    </row>
    <row r="241" spans="2:16" x14ac:dyDescent="0.3">
      <c r="B241" s="106"/>
      <c r="F241" s="124"/>
      <c r="L241" s="107"/>
      <c r="N241" s="4" t="s">
        <v>107</v>
      </c>
      <c r="O241" s="7">
        <f>SUM(G:G)</f>
        <v>177154.62999999995</v>
      </c>
      <c r="P241" s="242"/>
    </row>
    <row r="242" spans="2:16" x14ac:dyDescent="0.3">
      <c r="B242" s="106"/>
      <c r="F242" s="124"/>
      <c r="L242" s="107"/>
      <c r="N242" s="29" t="s">
        <v>149</v>
      </c>
      <c r="O242" s="30">
        <f>SUM(H:H)</f>
        <v>1924654.9200000002</v>
      </c>
      <c r="P242" s="31">
        <f>O242-O241-O240</f>
        <v>142510.48000000068</v>
      </c>
    </row>
    <row r="243" spans="2:16" x14ac:dyDescent="0.3">
      <c r="B243" s="106"/>
      <c r="F243" s="124"/>
      <c r="G243" s="77"/>
      <c r="L243" s="107"/>
      <c r="N243" s="108"/>
      <c r="O243" s="67" t="str">
        <f>IF(P242&lt;&gt;0,"REVISAR CAPTURA","")</f>
        <v>REVISAR CAPTURA</v>
      </c>
      <c r="P243" s="242"/>
    </row>
    <row r="244" spans="2:16" x14ac:dyDescent="0.3">
      <c r="B244" s="106"/>
      <c r="F244" s="124"/>
      <c r="G244" s="125"/>
      <c r="L244" s="107"/>
      <c r="M244" s="183"/>
      <c r="N244" s="108"/>
      <c r="O244" s="239"/>
    </row>
    <row r="245" spans="2:16" x14ac:dyDescent="0.3">
      <c r="B245" s="106"/>
      <c r="F245" s="124"/>
      <c r="G245" s="125"/>
      <c r="L245" s="107"/>
      <c r="M245" s="183"/>
      <c r="N245" s="108"/>
      <c r="O245" s="239"/>
    </row>
    <row r="246" spans="2:16" x14ac:dyDescent="0.3">
      <c r="B246" s="106"/>
      <c r="F246" s="124"/>
      <c r="G246" s="125"/>
      <c r="L246" s="107"/>
      <c r="M246" s="183"/>
      <c r="N246" s="108"/>
      <c r="O246" s="239"/>
    </row>
    <row r="247" spans="2:16" x14ac:dyDescent="0.3">
      <c r="B247" s="106"/>
      <c r="F247" s="124"/>
      <c r="G247" s="125"/>
      <c r="L247" s="107"/>
      <c r="M247" s="183"/>
      <c r="N247" s="108"/>
      <c r="O247" s="239"/>
    </row>
    <row r="248" spans="2:16" x14ac:dyDescent="0.3">
      <c r="B248" s="106"/>
      <c r="F248" s="124"/>
      <c r="G248" s="125"/>
      <c r="L248" s="107"/>
      <c r="M248" s="183"/>
      <c r="N248" s="108"/>
      <c r="O248" s="239"/>
    </row>
    <row r="249" spans="2:16" x14ac:dyDescent="0.3">
      <c r="B249" s="106"/>
      <c r="F249" s="124"/>
      <c r="G249" s="125"/>
      <c r="L249" s="107"/>
      <c r="M249" s="183"/>
      <c r="N249" s="108"/>
      <c r="O249" s="239"/>
    </row>
    <row r="250" spans="2:16" x14ac:dyDescent="0.3">
      <c r="B250" s="106"/>
      <c r="F250" s="124"/>
      <c r="G250" s="125"/>
      <c r="L250" s="107"/>
      <c r="M250" s="183"/>
      <c r="N250" s="108"/>
      <c r="O250" s="239"/>
    </row>
    <row r="251" spans="2:16" x14ac:dyDescent="0.3">
      <c r="B251" s="106"/>
      <c r="F251" s="124"/>
      <c r="G251" s="125"/>
      <c r="L251" s="107"/>
      <c r="M251" s="183"/>
      <c r="N251" s="108"/>
      <c r="O251" s="239"/>
    </row>
    <row r="252" spans="2:16" x14ac:dyDescent="0.3">
      <c r="B252" s="106"/>
      <c r="F252" s="124"/>
      <c r="G252" s="125"/>
      <c r="L252" s="107"/>
      <c r="M252" s="183"/>
      <c r="N252" s="108"/>
      <c r="O252" s="239"/>
    </row>
    <row r="253" spans="2:16" x14ac:dyDescent="0.3">
      <c r="B253" s="106"/>
      <c r="F253" s="124"/>
      <c r="G253" s="125"/>
      <c r="L253" s="107"/>
      <c r="M253" s="183"/>
      <c r="N253" s="108"/>
      <c r="O253" s="239"/>
    </row>
    <row r="254" spans="2:16" x14ac:dyDescent="0.3">
      <c r="B254" s="106"/>
      <c r="F254" s="124"/>
      <c r="G254" s="125"/>
      <c r="L254" s="107"/>
      <c r="M254" s="183"/>
      <c r="N254" s="108"/>
      <c r="O254" s="239"/>
    </row>
    <row r="255" spans="2:16" x14ac:dyDescent="0.3">
      <c r="B255" s="106"/>
      <c r="F255" s="124"/>
      <c r="G255" s="125"/>
      <c r="L255" s="107"/>
      <c r="M255" s="183"/>
      <c r="N255" s="108"/>
      <c r="O255" s="239"/>
    </row>
    <row r="256" spans="2:16" x14ac:dyDescent="0.3">
      <c r="B256" s="106"/>
      <c r="F256" s="124"/>
      <c r="G256" s="125"/>
      <c r="L256" s="107"/>
      <c r="M256" s="183"/>
      <c r="N256" s="108"/>
      <c r="O256" s="239"/>
    </row>
    <row r="257" spans="2:15" x14ac:dyDescent="0.3">
      <c r="B257" s="106"/>
      <c r="F257" s="124"/>
      <c r="G257" s="125"/>
      <c r="L257" s="107"/>
      <c r="M257" s="183"/>
      <c r="N257" s="108"/>
      <c r="O257" s="239"/>
    </row>
    <row r="258" spans="2:15" x14ac:dyDescent="0.3">
      <c r="B258" s="106"/>
      <c r="F258" s="124"/>
      <c r="G258" s="125"/>
      <c r="L258" s="107"/>
      <c r="M258" s="183"/>
      <c r="N258" s="108"/>
      <c r="O258" s="239"/>
    </row>
    <row r="259" spans="2:15" x14ac:dyDescent="0.3">
      <c r="B259" s="106"/>
      <c r="F259" s="124"/>
      <c r="G259" s="125"/>
      <c r="L259" s="107"/>
      <c r="M259" s="183"/>
      <c r="N259" s="108"/>
      <c r="O259" s="239"/>
    </row>
    <row r="260" spans="2:15" x14ac:dyDescent="0.3">
      <c r="B260" s="106"/>
      <c r="F260" s="124"/>
      <c r="G260" s="125"/>
      <c r="L260" s="107"/>
      <c r="M260" s="183"/>
      <c r="N260" s="108"/>
      <c r="O260" s="239"/>
    </row>
    <row r="261" spans="2:15" x14ac:dyDescent="0.3">
      <c r="B261" s="106"/>
      <c r="F261" s="124"/>
      <c r="G261" s="125"/>
      <c r="L261" s="107"/>
      <c r="M261" s="183"/>
      <c r="N261" s="108"/>
      <c r="O261" s="239"/>
    </row>
    <row r="262" spans="2:15" x14ac:dyDescent="0.3">
      <c r="B262" s="106"/>
      <c r="F262" s="124"/>
      <c r="G262" s="125"/>
      <c r="L262" s="107"/>
      <c r="M262" s="183"/>
      <c r="N262" s="108"/>
      <c r="O262" s="239"/>
    </row>
    <row r="263" spans="2:15" x14ac:dyDescent="0.3">
      <c r="B263" s="106"/>
      <c r="F263" s="124"/>
      <c r="G263" s="125"/>
      <c r="L263" s="107"/>
      <c r="M263" s="183"/>
      <c r="N263" s="108"/>
      <c r="O263" s="239"/>
    </row>
    <row r="264" spans="2:15" x14ac:dyDescent="0.3">
      <c r="B264" s="106"/>
      <c r="F264" s="124"/>
      <c r="G264" s="125"/>
      <c r="L264" s="107"/>
      <c r="M264" s="183"/>
      <c r="N264" s="108"/>
      <c r="O264" s="239"/>
    </row>
    <row r="265" spans="2:15" x14ac:dyDescent="0.3">
      <c r="B265" s="106"/>
      <c r="F265" s="124"/>
      <c r="G265" s="125"/>
      <c r="L265" s="107"/>
      <c r="M265" s="183"/>
      <c r="N265" s="108"/>
      <c r="O265" s="239"/>
    </row>
    <row r="266" spans="2:15" x14ac:dyDescent="0.3">
      <c r="B266" s="106"/>
      <c r="F266" s="124"/>
      <c r="G266" s="125"/>
      <c r="L266" s="107"/>
      <c r="M266" s="183"/>
      <c r="N266" s="108"/>
      <c r="O266" s="239"/>
    </row>
    <row r="267" spans="2:15" x14ac:dyDescent="0.3">
      <c r="B267" s="106"/>
      <c r="F267" s="124"/>
      <c r="G267" s="125"/>
      <c r="L267" s="107"/>
      <c r="M267" s="183"/>
      <c r="N267" s="108"/>
      <c r="O267" s="239"/>
    </row>
    <row r="268" spans="2:15" x14ac:dyDescent="0.3">
      <c r="B268" s="106"/>
      <c r="F268" s="124"/>
      <c r="G268" s="125"/>
      <c r="L268" s="107"/>
      <c r="M268" s="183"/>
      <c r="N268" s="108"/>
      <c r="O268" s="239"/>
    </row>
    <row r="269" spans="2:15" x14ac:dyDescent="0.3">
      <c r="B269" s="106"/>
      <c r="F269" s="124"/>
      <c r="G269" s="125"/>
      <c r="L269" s="107"/>
      <c r="M269" s="183"/>
      <c r="N269" s="108"/>
      <c r="O269" s="239"/>
    </row>
    <row r="270" spans="2:15" x14ac:dyDescent="0.3">
      <c r="B270" s="106"/>
      <c r="F270" s="124"/>
      <c r="G270" s="125"/>
      <c r="L270" s="107"/>
      <c r="M270" s="183"/>
      <c r="N270" s="108"/>
      <c r="O270" s="239"/>
    </row>
    <row r="271" spans="2:15" x14ac:dyDescent="0.3">
      <c r="B271" s="106"/>
      <c r="F271" s="124"/>
      <c r="G271" s="125"/>
      <c r="L271" s="107"/>
      <c r="M271" s="183"/>
      <c r="N271" s="108"/>
      <c r="O271" s="239"/>
    </row>
    <row r="272" spans="2:15" x14ac:dyDescent="0.3">
      <c r="B272" s="106"/>
      <c r="F272" s="124"/>
      <c r="G272" s="125"/>
      <c r="L272" s="107"/>
      <c r="M272" s="183"/>
      <c r="N272" s="108"/>
      <c r="O272" s="239"/>
    </row>
    <row r="273" spans="2:15" x14ac:dyDescent="0.3">
      <c r="B273" s="106"/>
      <c r="F273" s="124"/>
      <c r="G273" s="125"/>
      <c r="L273" s="107"/>
      <c r="M273" s="183"/>
      <c r="N273" s="108"/>
      <c r="O273" s="239"/>
    </row>
    <row r="274" spans="2:15" x14ac:dyDescent="0.3">
      <c r="B274" s="106"/>
      <c r="F274" s="124"/>
      <c r="G274" s="125"/>
      <c r="L274" s="107"/>
      <c r="M274" s="183"/>
      <c r="N274" s="108"/>
      <c r="O274" s="239"/>
    </row>
    <row r="275" spans="2:15" x14ac:dyDescent="0.3">
      <c r="B275" s="106"/>
      <c r="F275" s="124"/>
      <c r="G275" s="125"/>
      <c r="L275" s="107"/>
      <c r="M275" s="183"/>
      <c r="N275" s="108"/>
      <c r="O275" s="239"/>
    </row>
    <row r="276" spans="2:15" x14ac:dyDescent="0.3">
      <c r="B276" s="106"/>
      <c r="F276" s="124"/>
      <c r="G276" s="125"/>
      <c r="L276" s="107"/>
      <c r="M276" s="183"/>
      <c r="N276" s="108"/>
      <c r="O276" s="239"/>
    </row>
    <row r="277" spans="2:15" x14ac:dyDescent="0.3">
      <c r="B277" s="106"/>
      <c r="F277" s="124"/>
      <c r="G277" s="125"/>
      <c r="L277" s="107"/>
      <c r="M277" s="183"/>
      <c r="N277" s="108"/>
      <c r="O277" s="239"/>
    </row>
    <row r="278" spans="2:15" x14ac:dyDescent="0.3">
      <c r="B278" s="106"/>
      <c r="F278" s="124"/>
      <c r="G278" s="125"/>
      <c r="L278" s="107"/>
      <c r="M278" s="183"/>
      <c r="N278" s="108"/>
      <c r="O278" s="239"/>
    </row>
    <row r="279" spans="2:15" x14ac:dyDescent="0.3">
      <c r="B279" s="106"/>
      <c r="F279" s="124"/>
      <c r="G279" s="125"/>
      <c r="L279" s="107"/>
      <c r="M279" s="183"/>
      <c r="N279" s="108"/>
      <c r="O279" s="239"/>
    </row>
    <row r="280" spans="2:15" x14ac:dyDescent="0.3">
      <c r="B280" s="106"/>
      <c r="F280" s="124"/>
      <c r="G280" s="125"/>
      <c r="L280" s="107"/>
      <c r="M280" s="183"/>
      <c r="N280" s="108"/>
      <c r="O280" s="239"/>
    </row>
    <row r="281" spans="2:15" x14ac:dyDescent="0.3">
      <c r="B281" s="106"/>
      <c r="F281" s="124"/>
      <c r="G281" s="125"/>
      <c r="L281" s="107"/>
      <c r="M281" s="183"/>
      <c r="N281" s="108"/>
      <c r="O281" s="239"/>
    </row>
    <row r="282" spans="2:15" x14ac:dyDescent="0.3">
      <c r="B282" s="106"/>
      <c r="F282" s="124"/>
      <c r="G282" s="125"/>
      <c r="L282" s="107"/>
      <c r="M282" s="183"/>
      <c r="N282" s="108"/>
      <c r="O282" s="239"/>
    </row>
    <row r="283" spans="2:15" x14ac:dyDescent="0.3">
      <c r="B283" s="106"/>
      <c r="F283" s="124"/>
      <c r="G283" s="125"/>
      <c r="L283" s="107"/>
      <c r="M283" s="183"/>
      <c r="N283" s="108"/>
      <c r="O283" s="239"/>
    </row>
    <row r="284" spans="2:15" x14ac:dyDescent="0.3">
      <c r="B284" s="106"/>
      <c r="F284" s="124"/>
      <c r="G284" s="125"/>
      <c r="L284" s="107"/>
      <c r="M284" s="183"/>
      <c r="N284" s="108"/>
      <c r="O284" s="239"/>
    </row>
    <row r="285" spans="2:15" x14ac:dyDescent="0.3">
      <c r="B285" s="106"/>
      <c r="F285" s="124"/>
      <c r="G285" s="125"/>
      <c r="L285" s="107"/>
      <c r="M285" s="183"/>
      <c r="N285" s="108"/>
      <c r="O285" s="239"/>
    </row>
    <row r="286" spans="2:15" x14ac:dyDescent="0.3">
      <c r="B286" s="106"/>
      <c r="F286" s="124"/>
      <c r="G286" s="125"/>
      <c r="L286" s="107"/>
      <c r="M286" s="183"/>
      <c r="N286" s="108"/>
      <c r="O286" s="239"/>
    </row>
    <row r="287" spans="2:15" x14ac:dyDescent="0.3">
      <c r="B287" s="106"/>
      <c r="F287" s="124"/>
      <c r="G287" s="125"/>
      <c r="L287" s="107"/>
      <c r="M287" s="183"/>
      <c r="N287" s="108"/>
      <c r="O287" s="239"/>
    </row>
    <row r="288" spans="2:15" x14ac:dyDescent="0.3">
      <c r="B288" s="106"/>
      <c r="F288" s="124"/>
      <c r="G288" s="125"/>
      <c r="L288" s="107"/>
      <c r="M288" s="183"/>
      <c r="N288" s="108"/>
      <c r="O288" s="239"/>
    </row>
    <row r="289" spans="2:15" x14ac:dyDescent="0.3">
      <c r="B289" s="106"/>
      <c r="F289" s="124"/>
      <c r="G289" s="125"/>
      <c r="L289" s="107"/>
      <c r="M289" s="183"/>
      <c r="N289" s="108"/>
      <c r="O289" s="239"/>
    </row>
    <row r="290" spans="2:15" x14ac:dyDescent="0.3">
      <c r="B290" s="106"/>
      <c r="F290" s="124"/>
      <c r="G290" s="125"/>
      <c r="L290" s="107"/>
      <c r="M290" s="183"/>
      <c r="N290" s="108"/>
      <c r="O290" s="239"/>
    </row>
    <row r="291" spans="2:15" x14ac:dyDescent="0.3">
      <c r="B291" s="106"/>
      <c r="F291" s="124"/>
      <c r="G291" s="125"/>
      <c r="L291" s="107"/>
      <c r="M291" s="183"/>
      <c r="N291" s="108"/>
      <c r="O291" s="239"/>
    </row>
    <row r="292" spans="2:15" x14ac:dyDescent="0.3">
      <c r="B292" s="106"/>
      <c r="F292" s="124"/>
      <c r="G292" s="125"/>
      <c r="L292" s="107"/>
      <c r="M292" s="183"/>
      <c r="N292" s="108"/>
      <c r="O292" s="239"/>
    </row>
    <row r="293" spans="2:15" x14ac:dyDescent="0.3">
      <c r="B293" s="106"/>
      <c r="F293" s="124"/>
      <c r="G293" s="125"/>
      <c r="L293" s="107"/>
      <c r="M293" s="183"/>
      <c r="N293" s="108"/>
      <c r="O293" s="239"/>
    </row>
    <row r="294" spans="2:15" x14ac:dyDescent="0.3">
      <c r="B294" s="106"/>
      <c r="F294" s="124"/>
      <c r="G294" s="125"/>
      <c r="L294" s="107"/>
      <c r="M294" s="183"/>
      <c r="N294" s="108"/>
      <c r="O294" s="239"/>
    </row>
    <row r="295" spans="2:15" x14ac:dyDescent="0.3">
      <c r="B295" s="106"/>
      <c r="F295" s="124"/>
      <c r="G295" s="125"/>
      <c r="L295" s="107"/>
      <c r="M295" s="183"/>
      <c r="N295" s="108"/>
      <c r="O295" s="239"/>
    </row>
    <row r="296" spans="2:15" x14ac:dyDescent="0.3">
      <c r="B296" s="106"/>
      <c r="F296" s="124"/>
      <c r="G296" s="125"/>
      <c r="L296" s="107"/>
      <c r="M296" s="183"/>
      <c r="N296" s="108"/>
      <c r="O296" s="239"/>
    </row>
    <row r="297" spans="2:15" x14ac:dyDescent="0.3">
      <c r="B297" s="106"/>
      <c r="F297" s="124"/>
      <c r="G297" s="125"/>
      <c r="L297" s="107"/>
      <c r="M297" s="183"/>
      <c r="N297" s="108"/>
      <c r="O297" s="239"/>
    </row>
    <row r="298" spans="2:15" x14ac:dyDescent="0.3">
      <c r="B298" s="106"/>
      <c r="F298" s="124"/>
      <c r="G298" s="125"/>
      <c r="L298" s="107"/>
      <c r="M298" s="183"/>
      <c r="N298" s="108"/>
      <c r="O298" s="239"/>
    </row>
    <row r="299" spans="2:15" x14ac:dyDescent="0.3">
      <c r="B299" s="106"/>
      <c r="F299" s="124"/>
      <c r="G299" s="125"/>
      <c r="L299" s="107"/>
      <c r="M299" s="183"/>
      <c r="N299" s="108"/>
      <c r="O299" s="239"/>
    </row>
    <row r="300" spans="2:15" x14ac:dyDescent="0.3">
      <c r="B300" s="106"/>
      <c r="F300" s="124"/>
      <c r="G300" s="125"/>
      <c r="L300" s="107"/>
      <c r="M300" s="183"/>
      <c r="N300" s="108"/>
      <c r="O300" s="239"/>
    </row>
    <row r="301" spans="2:15" x14ac:dyDescent="0.3">
      <c r="B301" s="106"/>
      <c r="F301" s="124"/>
      <c r="G301" s="125"/>
      <c r="L301" s="107"/>
      <c r="M301" s="183"/>
      <c r="N301" s="108"/>
      <c r="O301" s="239"/>
    </row>
    <row r="302" spans="2:15" x14ac:dyDescent="0.3">
      <c r="B302" s="106"/>
      <c r="F302" s="124"/>
      <c r="G302" s="125"/>
      <c r="L302" s="107"/>
      <c r="M302" s="183"/>
      <c r="N302" s="108"/>
      <c r="O302" s="239"/>
    </row>
    <row r="303" spans="2:15" x14ac:dyDescent="0.3">
      <c r="B303" s="106"/>
      <c r="F303" s="124"/>
      <c r="G303" s="125"/>
      <c r="L303" s="107"/>
      <c r="M303" s="183"/>
      <c r="N303" s="108"/>
      <c r="O303" s="239"/>
    </row>
    <row r="304" spans="2:15" x14ac:dyDescent="0.3">
      <c r="B304" s="106"/>
      <c r="F304" s="124"/>
      <c r="G304" s="125"/>
      <c r="L304" s="107"/>
      <c r="M304" s="183"/>
      <c r="N304" s="108"/>
      <c r="O304" s="239"/>
    </row>
    <row r="305" spans="2:15" x14ac:dyDescent="0.3">
      <c r="B305" s="106"/>
      <c r="F305" s="124"/>
      <c r="G305" s="125"/>
      <c r="L305" s="107"/>
      <c r="M305" s="183"/>
      <c r="N305" s="108"/>
      <c r="O305" s="239"/>
    </row>
    <row r="306" spans="2:15" x14ac:dyDescent="0.3">
      <c r="B306" s="106"/>
      <c r="F306" s="124"/>
      <c r="G306" s="125"/>
      <c r="L306" s="107"/>
      <c r="M306" s="183"/>
      <c r="N306" s="108"/>
      <c r="O306" s="239"/>
    </row>
    <row r="307" spans="2:15" x14ac:dyDescent="0.3">
      <c r="B307" s="106"/>
      <c r="F307" s="124"/>
      <c r="G307" s="125"/>
      <c r="L307" s="107"/>
      <c r="M307" s="183"/>
      <c r="N307" s="108"/>
      <c r="O307" s="239"/>
    </row>
    <row r="308" spans="2:15" x14ac:dyDescent="0.3">
      <c r="B308" s="106"/>
      <c r="F308" s="124"/>
      <c r="G308" s="125"/>
      <c r="L308" s="107"/>
      <c r="M308" s="183"/>
      <c r="N308" s="108"/>
      <c r="O308" s="239"/>
    </row>
    <row r="309" spans="2:15" x14ac:dyDescent="0.3">
      <c r="B309" s="106"/>
      <c r="F309" s="124"/>
      <c r="G309" s="125"/>
      <c r="L309" s="107"/>
      <c r="M309" s="183"/>
      <c r="N309" s="108"/>
      <c r="O309" s="239"/>
    </row>
    <row r="310" spans="2:15" x14ac:dyDescent="0.3">
      <c r="B310" s="106"/>
      <c r="F310" s="124"/>
      <c r="G310" s="125"/>
      <c r="L310" s="107"/>
      <c r="M310" s="183"/>
      <c r="N310" s="108"/>
      <c r="O310" s="239"/>
    </row>
    <row r="311" spans="2:15" x14ac:dyDescent="0.3">
      <c r="B311" s="106"/>
      <c r="F311" s="124"/>
      <c r="G311" s="125"/>
      <c r="L311" s="107"/>
      <c r="M311" s="183"/>
      <c r="N311" s="108"/>
      <c r="O311" s="239"/>
    </row>
    <row r="312" spans="2:15" x14ac:dyDescent="0.3">
      <c r="B312" s="106"/>
      <c r="F312" s="124"/>
      <c r="G312" s="125"/>
      <c r="L312" s="107"/>
      <c r="M312" s="183"/>
      <c r="N312" s="108"/>
      <c r="O312" s="239"/>
    </row>
    <row r="313" spans="2:15" x14ac:dyDescent="0.3">
      <c r="B313" s="106"/>
      <c r="F313" s="124"/>
      <c r="G313" s="125"/>
      <c r="L313" s="107"/>
      <c r="M313" s="183"/>
      <c r="N313" s="108"/>
      <c r="O313" s="239"/>
    </row>
    <row r="314" spans="2:15" x14ac:dyDescent="0.3">
      <c r="B314" s="106"/>
      <c r="F314" s="124"/>
      <c r="G314" s="125"/>
      <c r="L314" s="107"/>
      <c r="M314" s="183"/>
      <c r="N314" s="108"/>
      <c r="O314" s="239"/>
    </row>
    <row r="315" spans="2:15" x14ac:dyDescent="0.3">
      <c r="B315" s="106"/>
      <c r="F315" s="124"/>
      <c r="G315" s="125"/>
      <c r="L315" s="107"/>
      <c r="M315" s="183"/>
      <c r="N315" s="108"/>
      <c r="O315" s="239"/>
    </row>
    <row r="316" spans="2:15" x14ac:dyDescent="0.3">
      <c r="B316" s="106"/>
      <c r="F316" s="124"/>
      <c r="G316" s="125"/>
      <c r="L316" s="107"/>
      <c r="M316" s="183"/>
      <c r="N316" s="108"/>
      <c r="O316" s="239"/>
    </row>
    <row r="317" spans="2:15" x14ac:dyDescent="0.3">
      <c r="B317" s="106"/>
      <c r="F317" s="124"/>
      <c r="G317" s="125"/>
      <c r="L317" s="107"/>
      <c r="M317" s="183"/>
      <c r="N317" s="108"/>
      <c r="O317" s="239"/>
    </row>
    <row r="318" spans="2:15" x14ac:dyDescent="0.3">
      <c r="B318" s="106"/>
      <c r="F318" s="124"/>
      <c r="G318" s="125"/>
      <c r="L318" s="107"/>
      <c r="M318" s="183"/>
      <c r="N318" s="108"/>
      <c r="O318" s="239"/>
    </row>
    <row r="319" spans="2:15" x14ac:dyDescent="0.3">
      <c r="B319" s="106"/>
      <c r="F319" s="124"/>
      <c r="G319" s="125"/>
      <c r="L319" s="107"/>
      <c r="M319" s="183"/>
      <c r="N319" s="108"/>
      <c r="O319" s="239"/>
    </row>
    <row r="320" spans="2:15" x14ac:dyDescent="0.3">
      <c r="B320" s="106"/>
      <c r="F320" s="124"/>
      <c r="G320" s="125"/>
      <c r="L320" s="107"/>
      <c r="M320" s="183"/>
      <c r="N320" s="108"/>
      <c r="O320" s="239"/>
    </row>
    <row r="321" spans="2:15" x14ac:dyDescent="0.3">
      <c r="B321" s="106"/>
      <c r="F321" s="124"/>
      <c r="G321" s="125"/>
      <c r="L321" s="107"/>
      <c r="M321" s="183"/>
      <c r="N321" s="108"/>
      <c r="O321" s="239"/>
    </row>
    <row r="322" spans="2:15" x14ac:dyDescent="0.3">
      <c r="B322" s="106"/>
      <c r="F322" s="124"/>
      <c r="G322" s="125"/>
      <c r="L322" s="107"/>
      <c r="M322" s="183"/>
      <c r="N322" s="108"/>
      <c r="O322" s="239"/>
    </row>
    <row r="323" spans="2:15" x14ac:dyDescent="0.3">
      <c r="B323" s="106"/>
      <c r="F323" s="124"/>
      <c r="G323" s="125"/>
      <c r="L323" s="107"/>
      <c r="M323" s="183"/>
      <c r="N323" s="108"/>
      <c r="O323" s="239"/>
    </row>
    <row r="324" spans="2:15" x14ac:dyDescent="0.3">
      <c r="B324" s="106"/>
      <c r="F324" s="124"/>
      <c r="G324" s="125"/>
      <c r="L324" s="107"/>
      <c r="M324" s="183"/>
      <c r="N324" s="108"/>
      <c r="O324" s="239"/>
    </row>
    <row r="325" spans="2:15" x14ac:dyDescent="0.3">
      <c r="B325" s="106"/>
      <c r="F325" s="124"/>
      <c r="G325" s="125"/>
      <c r="L325" s="107"/>
      <c r="M325" s="183"/>
      <c r="N325" s="108"/>
      <c r="O325" s="239"/>
    </row>
    <row r="326" spans="2:15" x14ac:dyDescent="0.3">
      <c r="B326" s="106"/>
      <c r="F326" s="124"/>
      <c r="G326" s="125"/>
      <c r="L326" s="107"/>
      <c r="M326" s="183"/>
      <c r="N326" s="108"/>
      <c r="O326" s="239"/>
    </row>
    <row r="327" spans="2:15" x14ac:dyDescent="0.3">
      <c r="B327" s="106"/>
      <c r="F327" s="124"/>
      <c r="G327" s="125"/>
      <c r="L327" s="107"/>
      <c r="M327" s="183"/>
      <c r="N327" s="108"/>
      <c r="O327" s="239"/>
    </row>
    <row r="328" spans="2:15" x14ac:dyDescent="0.3">
      <c r="B328" s="106"/>
      <c r="F328" s="124"/>
      <c r="G328" s="125"/>
      <c r="L328" s="107"/>
      <c r="M328" s="183"/>
      <c r="N328" s="108"/>
      <c r="O328" s="239"/>
    </row>
    <row r="329" spans="2:15" x14ac:dyDescent="0.3">
      <c r="B329" s="106"/>
      <c r="F329" s="124"/>
      <c r="G329" s="125"/>
      <c r="L329" s="107"/>
      <c r="M329" s="183"/>
      <c r="N329" s="108"/>
      <c r="O329" s="239"/>
    </row>
    <row r="330" spans="2:15" x14ac:dyDescent="0.3">
      <c r="B330" s="106"/>
      <c r="F330" s="124"/>
      <c r="G330" s="125"/>
      <c r="L330" s="107"/>
      <c r="M330" s="183"/>
      <c r="N330" s="108"/>
      <c r="O330" s="239"/>
    </row>
    <row r="331" spans="2:15" x14ac:dyDescent="0.3">
      <c r="B331" s="106"/>
      <c r="F331" s="124"/>
      <c r="G331" s="125"/>
      <c r="L331" s="107"/>
      <c r="M331" s="183"/>
      <c r="N331" s="108"/>
      <c r="O331" s="239"/>
    </row>
    <row r="332" spans="2:15" x14ac:dyDescent="0.3">
      <c r="B332" s="106"/>
      <c r="F332" s="124"/>
      <c r="G332" s="125"/>
      <c r="L332" s="107"/>
      <c r="M332" s="183"/>
      <c r="N332" s="108"/>
      <c r="O332" s="239"/>
    </row>
    <row r="333" spans="2:15" x14ac:dyDescent="0.3">
      <c r="B333" s="106"/>
      <c r="F333" s="124"/>
      <c r="G333" s="125"/>
      <c r="L333" s="107"/>
      <c r="M333" s="183"/>
      <c r="N333" s="108"/>
      <c r="O333" s="239"/>
    </row>
    <row r="334" spans="2:15" x14ac:dyDescent="0.3">
      <c r="B334" s="106"/>
      <c r="F334" s="124"/>
      <c r="G334" s="125"/>
      <c r="L334" s="107"/>
      <c r="M334" s="183"/>
      <c r="N334" s="108"/>
      <c r="O334" s="239"/>
    </row>
    <row r="335" spans="2:15" x14ac:dyDescent="0.3">
      <c r="B335" s="106"/>
      <c r="F335" s="124"/>
      <c r="G335" s="125"/>
      <c r="L335" s="107"/>
      <c r="M335" s="183"/>
      <c r="N335" s="108"/>
      <c r="O335" s="239"/>
    </row>
    <row r="336" spans="2:15" x14ac:dyDescent="0.3">
      <c r="B336" s="106"/>
      <c r="F336" s="124"/>
      <c r="G336" s="125"/>
      <c r="L336" s="107"/>
      <c r="M336" s="183"/>
      <c r="N336" s="108"/>
      <c r="O336" s="239"/>
    </row>
    <row r="337" spans="2:15" x14ac:dyDescent="0.3">
      <c r="B337" s="106"/>
      <c r="F337" s="124"/>
      <c r="G337" s="125"/>
      <c r="L337" s="107"/>
      <c r="M337" s="183"/>
      <c r="N337" s="108"/>
      <c r="O337" s="239"/>
    </row>
    <row r="338" spans="2:15" x14ac:dyDescent="0.3">
      <c r="B338" s="106"/>
      <c r="F338" s="124"/>
      <c r="G338" s="125"/>
      <c r="L338" s="107"/>
      <c r="M338" s="183"/>
      <c r="N338" s="108"/>
      <c r="O338" s="239"/>
    </row>
    <row r="339" spans="2:15" x14ac:dyDescent="0.3">
      <c r="B339" s="106"/>
      <c r="F339" s="124"/>
      <c r="G339" s="125"/>
      <c r="L339" s="107"/>
      <c r="M339" s="183"/>
      <c r="N339" s="108"/>
      <c r="O339" s="239"/>
    </row>
    <row r="340" spans="2:15" x14ac:dyDescent="0.3">
      <c r="B340" s="106"/>
      <c r="F340" s="124"/>
      <c r="G340" s="125"/>
      <c r="L340" s="107"/>
      <c r="M340" s="183"/>
      <c r="N340" s="108"/>
      <c r="O340" s="239"/>
    </row>
    <row r="341" spans="2:15" x14ac:dyDescent="0.3">
      <c r="B341" s="106"/>
      <c r="F341" s="124"/>
      <c r="G341" s="125"/>
      <c r="L341" s="107"/>
      <c r="M341" s="183"/>
      <c r="N341" s="108"/>
      <c r="O341" s="239"/>
    </row>
    <row r="342" spans="2:15" x14ac:dyDescent="0.3">
      <c r="B342" s="106"/>
      <c r="F342" s="124"/>
      <c r="G342" s="125"/>
      <c r="L342" s="107"/>
      <c r="M342" s="183"/>
      <c r="N342" s="108"/>
      <c r="O342" s="239"/>
    </row>
    <row r="343" spans="2:15" x14ac:dyDescent="0.3">
      <c r="B343" s="106"/>
      <c r="F343" s="124"/>
      <c r="G343" s="125"/>
      <c r="L343" s="107"/>
      <c r="M343" s="183"/>
      <c r="N343" s="108"/>
      <c r="O343" s="239"/>
    </row>
    <row r="344" spans="2:15" x14ac:dyDescent="0.3">
      <c r="B344" s="106"/>
      <c r="F344" s="124"/>
      <c r="G344" s="125"/>
      <c r="L344" s="107"/>
      <c r="M344" s="183"/>
      <c r="N344" s="108"/>
      <c r="O344" s="239"/>
    </row>
    <row r="345" spans="2:15" x14ac:dyDescent="0.3">
      <c r="B345" s="106"/>
      <c r="F345" s="124"/>
      <c r="G345" s="125"/>
      <c r="L345" s="107"/>
      <c r="M345" s="183"/>
      <c r="N345" s="108"/>
      <c r="O345" s="239"/>
    </row>
    <row r="346" spans="2:15" x14ac:dyDescent="0.3">
      <c r="B346" s="106"/>
      <c r="F346" s="124"/>
      <c r="G346" s="125"/>
      <c r="L346" s="107"/>
      <c r="M346" s="183"/>
      <c r="N346" s="108"/>
      <c r="O346" s="239"/>
    </row>
    <row r="347" spans="2:15" x14ac:dyDescent="0.3">
      <c r="B347" s="106"/>
      <c r="F347" s="124"/>
      <c r="G347" s="125"/>
      <c r="L347" s="107"/>
      <c r="M347" s="183"/>
      <c r="N347" s="108"/>
      <c r="O347" s="239"/>
    </row>
    <row r="348" spans="2:15" x14ac:dyDescent="0.3">
      <c r="B348" s="106"/>
      <c r="F348" s="124"/>
      <c r="G348" s="125"/>
      <c r="L348" s="107"/>
      <c r="M348" s="183"/>
      <c r="N348" s="108"/>
      <c r="O348" s="239"/>
    </row>
    <row r="349" spans="2:15" x14ac:dyDescent="0.3">
      <c r="B349" s="106"/>
      <c r="F349" s="124"/>
      <c r="G349" s="125"/>
      <c r="L349" s="107"/>
      <c r="M349" s="183"/>
      <c r="N349" s="108"/>
      <c r="O349" s="239"/>
    </row>
    <row r="350" spans="2:15" x14ac:dyDescent="0.3">
      <c r="B350" s="106"/>
      <c r="F350" s="124"/>
      <c r="G350" s="125"/>
      <c r="L350" s="107"/>
      <c r="M350" s="183"/>
      <c r="N350" s="108"/>
      <c r="O350" s="239"/>
    </row>
    <row r="351" spans="2:15" x14ac:dyDescent="0.3">
      <c r="B351" s="106"/>
      <c r="F351" s="124"/>
      <c r="G351" s="125"/>
      <c r="L351" s="107"/>
      <c r="M351" s="183"/>
      <c r="N351" s="108"/>
      <c r="O351" s="239"/>
    </row>
    <row r="352" spans="2:15" x14ac:dyDescent="0.3">
      <c r="B352" s="106"/>
      <c r="F352" s="124"/>
      <c r="G352" s="125"/>
      <c r="L352" s="107"/>
      <c r="M352" s="183"/>
      <c r="N352" s="108"/>
      <c r="O352" s="239"/>
    </row>
    <row r="353" spans="2:15" x14ac:dyDescent="0.3">
      <c r="B353" s="106"/>
      <c r="F353" s="124"/>
      <c r="G353" s="125"/>
      <c r="L353" s="107"/>
      <c r="M353" s="183"/>
      <c r="N353" s="108"/>
      <c r="O353" s="239"/>
    </row>
    <row r="354" spans="2:15" x14ac:dyDescent="0.3">
      <c r="B354" s="106"/>
      <c r="F354" s="124"/>
      <c r="G354" s="125"/>
      <c r="L354" s="107"/>
      <c r="M354" s="183"/>
      <c r="N354" s="108"/>
      <c r="O354" s="239"/>
    </row>
    <row r="355" spans="2:15" x14ac:dyDescent="0.3">
      <c r="B355" s="106"/>
      <c r="F355" s="124"/>
      <c r="G355" s="125"/>
      <c r="L355" s="107"/>
      <c r="M355" s="183"/>
      <c r="N355" s="108"/>
      <c r="O355" s="239"/>
    </row>
    <row r="356" spans="2:15" x14ac:dyDescent="0.3">
      <c r="B356" s="106"/>
      <c r="F356" s="124"/>
      <c r="G356" s="125"/>
      <c r="L356" s="107"/>
      <c r="M356" s="183"/>
      <c r="N356" s="108"/>
      <c r="O356" s="239"/>
    </row>
    <row r="357" spans="2:15" x14ac:dyDescent="0.3">
      <c r="B357" s="106"/>
      <c r="F357" s="124"/>
      <c r="G357" s="125"/>
      <c r="L357" s="107"/>
      <c r="M357" s="183"/>
      <c r="N357" s="108"/>
      <c r="O357" s="239"/>
    </row>
    <row r="358" spans="2:15" x14ac:dyDescent="0.3">
      <c r="B358" s="106"/>
      <c r="F358" s="124"/>
      <c r="G358" s="125"/>
      <c r="L358" s="107"/>
      <c r="M358" s="183"/>
      <c r="N358" s="108"/>
      <c r="O358" s="239"/>
    </row>
    <row r="359" spans="2:15" x14ac:dyDescent="0.3">
      <c r="B359" s="106"/>
      <c r="F359" s="124"/>
      <c r="G359" s="125"/>
      <c r="L359" s="107"/>
      <c r="M359" s="183"/>
      <c r="N359" s="108"/>
      <c r="O359" s="239"/>
    </row>
    <row r="360" spans="2:15" x14ac:dyDescent="0.3">
      <c r="B360" s="106"/>
      <c r="F360" s="124"/>
      <c r="G360" s="125"/>
      <c r="L360" s="107"/>
      <c r="M360" s="183"/>
      <c r="N360" s="108"/>
      <c r="O360" s="239"/>
    </row>
    <row r="361" spans="2:15" x14ac:dyDescent="0.3">
      <c r="B361" s="106"/>
      <c r="F361" s="124"/>
      <c r="G361" s="125"/>
      <c r="L361" s="107"/>
      <c r="M361" s="183"/>
      <c r="N361" s="108"/>
      <c r="O361" s="239"/>
    </row>
    <row r="362" spans="2:15" x14ac:dyDescent="0.3">
      <c r="B362" s="106"/>
      <c r="F362" s="124"/>
      <c r="G362" s="125"/>
      <c r="L362" s="107"/>
      <c r="M362" s="183"/>
      <c r="N362" s="108"/>
      <c r="O362" s="239"/>
    </row>
    <row r="363" spans="2:15" x14ac:dyDescent="0.3">
      <c r="B363" s="106"/>
      <c r="F363" s="124"/>
      <c r="G363" s="125"/>
      <c r="L363" s="107"/>
      <c r="M363" s="183"/>
      <c r="N363" s="108"/>
      <c r="O363" s="239"/>
    </row>
    <row r="364" spans="2:15" x14ac:dyDescent="0.3">
      <c r="B364" s="106"/>
      <c r="F364" s="124"/>
      <c r="G364" s="125"/>
      <c r="L364" s="107"/>
      <c r="M364" s="183"/>
      <c r="N364" s="108"/>
      <c r="O364" s="239"/>
    </row>
    <row r="365" spans="2:15" x14ac:dyDescent="0.3">
      <c r="B365" s="106"/>
      <c r="F365" s="124"/>
      <c r="G365" s="125"/>
      <c r="L365" s="107"/>
      <c r="M365" s="183"/>
      <c r="N365" s="108"/>
      <c r="O365" s="239"/>
    </row>
    <row r="366" spans="2:15" x14ac:dyDescent="0.3">
      <c r="B366" s="106"/>
      <c r="F366" s="124"/>
      <c r="G366" s="125"/>
      <c r="L366" s="107"/>
      <c r="M366" s="183"/>
      <c r="N366" s="108"/>
      <c r="O366" s="239"/>
    </row>
    <row r="367" spans="2:15" x14ac:dyDescent="0.3">
      <c r="B367" s="106"/>
      <c r="F367" s="124"/>
      <c r="G367" s="125"/>
      <c r="L367" s="107"/>
      <c r="M367" s="183"/>
      <c r="N367" s="108"/>
      <c r="O367" s="239"/>
    </row>
    <row r="368" spans="2:15" x14ac:dyDescent="0.3">
      <c r="B368" s="106"/>
      <c r="F368" s="124"/>
      <c r="G368" s="125"/>
      <c r="L368" s="107"/>
      <c r="M368" s="183"/>
      <c r="N368" s="108"/>
      <c r="O368" s="239"/>
    </row>
    <row r="369" spans="2:15" x14ac:dyDescent="0.3">
      <c r="B369" s="106"/>
      <c r="F369" s="124"/>
      <c r="G369" s="125"/>
      <c r="L369" s="107"/>
      <c r="M369" s="183"/>
      <c r="N369" s="108"/>
      <c r="O369" s="239"/>
    </row>
    <row r="370" spans="2:15" x14ac:dyDescent="0.3">
      <c r="B370" s="106"/>
      <c r="F370" s="124"/>
      <c r="G370" s="125"/>
      <c r="L370" s="107"/>
      <c r="M370" s="183"/>
      <c r="N370" s="108"/>
      <c r="O370" s="239"/>
    </row>
    <row r="371" spans="2:15" x14ac:dyDescent="0.3">
      <c r="B371" s="106"/>
      <c r="F371" s="124"/>
      <c r="G371" s="125"/>
      <c r="L371" s="107"/>
      <c r="M371" s="183"/>
      <c r="N371" s="108"/>
      <c r="O371" s="239"/>
    </row>
    <row r="372" spans="2:15" x14ac:dyDescent="0.3">
      <c r="B372" s="106"/>
      <c r="F372" s="124"/>
      <c r="G372" s="125"/>
      <c r="L372" s="107"/>
      <c r="M372" s="183"/>
      <c r="N372" s="108"/>
      <c r="O372" s="239"/>
    </row>
    <row r="373" spans="2:15" x14ac:dyDescent="0.3">
      <c r="B373" s="106"/>
      <c r="F373" s="124"/>
      <c r="G373" s="125"/>
      <c r="L373" s="107"/>
      <c r="M373" s="183"/>
      <c r="N373" s="108"/>
      <c r="O373" s="239"/>
    </row>
    <row r="374" spans="2:15" x14ac:dyDescent="0.3">
      <c r="B374" s="106"/>
      <c r="F374" s="124"/>
      <c r="G374" s="125"/>
      <c r="L374" s="107"/>
      <c r="M374" s="183"/>
      <c r="N374" s="108"/>
      <c r="O374" s="239"/>
    </row>
    <row r="375" spans="2:15" x14ac:dyDescent="0.3">
      <c r="B375" s="106"/>
      <c r="F375" s="124"/>
      <c r="G375" s="125"/>
      <c r="L375" s="107"/>
      <c r="M375" s="183"/>
      <c r="N375" s="108"/>
      <c r="O375" s="239"/>
    </row>
    <row r="376" spans="2:15" x14ac:dyDescent="0.3">
      <c r="B376" s="106"/>
      <c r="F376" s="124"/>
      <c r="G376" s="125"/>
      <c r="L376" s="107"/>
      <c r="M376" s="183"/>
      <c r="N376" s="108"/>
      <c r="O376" s="239"/>
    </row>
    <row r="377" spans="2:15" x14ac:dyDescent="0.3">
      <c r="B377" s="106"/>
      <c r="F377" s="124"/>
      <c r="G377" s="125"/>
      <c r="L377" s="107"/>
      <c r="M377" s="183"/>
      <c r="N377" s="108"/>
      <c r="O377" s="239"/>
    </row>
    <row r="378" spans="2:15" x14ac:dyDescent="0.3">
      <c r="B378" s="106"/>
      <c r="F378" s="124"/>
      <c r="G378" s="125"/>
      <c r="L378" s="107"/>
      <c r="M378" s="183"/>
      <c r="N378" s="108"/>
      <c r="O378" s="239"/>
    </row>
    <row r="379" spans="2:15" x14ac:dyDescent="0.3">
      <c r="B379" s="106"/>
      <c r="F379" s="124"/>
      <c r="G379" s="125"/>
      <c r="L379" s="107"/>
      <c r="M379" s="183"/>
      <c r="N379" s="108"/>
      <c r="O379" s="239"/>
    </row>
    <row r="380" spans="2:15" x14ac:dyDescent="0.3">
      <c r="B380" s="106"/>
      <c r="F380" s="124"/>
      <c r="G380" s="125"/>
      <c r="L380" s="107"/>
      <c r="M380" s="183"/>
      <c r="N380" s="108"/>
      <c r="O380" s="239"/>
    </row>
    <row r="381" spans="2:15" x14ac:dyDescent="0.3">
      <c r="B381" s="106"/>
      <c r="F381" s="124"/>
      <c r="G381" s="125"/>
      <c r="L381" s="107"/>
      <c r="M381" s="183"/>
      <c r="N381" s="108"/>
      <c r="O381" s="239"/>
    </row>
    <row r="382" spans="2:15" x14ac:dyDescent="0.3">
      <c r="B382" s="106"/>
      <c r="F382" s="124"/>
      <c r="G382" s="125"/>
      <c r="L382" s="107"/>
      <c r="M382" s="183"/>
      <c r="N382" s="108"/>
      <c r="O382" s="239"/>
    </row>
    <row r="383" spans="2:15" x14ac:dyDescent="0.3">
      <c r="B383" s="106"/>
      <c r="F383" s="124"/>
      <c r="G383" s="125"/>
      <c r="L383" s="107"/>
      <c r="M383" s="183"/>
      <c r="N383" s="108"/>
      <c r="O383" s="239"/>
    </row>
    <row r="384" spans="2:15" x14ac:dyDescent="0.3">
      <c r="B384" s="106"/>
      <c r="F384" s="124"/>
      <c r="G384" s="125"/>
      <c r="L384" s="107"/>
      <c r="M384" s="183"/>
      <c r="N384" s="108"/>
      <c r="O384" s="239"/>
    </row>
    <row r="385" spans="2:15" x14ac:dyDescent="0.3">
      <c r="B385" s="106"/>
      <c r="F385" s="124"/>
      <c r="G385" s="125"/>
      <c r="L385" s="107"/>
      <c r="M385" s="183"/>
      <c r="N385" s="108"/>
      <c r="O385" s="239"/>
    </row>
    <row r="386" spans="2:15" x14ac:dyDescent="0.3">
      <c r="B386" s="106"/>
      <c r="F386" s="124"/>
      <c r="G386" s="125"/>
      <c r="L386" s="107"/>
      <c r="M386" s="183"/>
      <c r="N386" s="108"/>
      <c r="O386" s="239"/>
    </row>
    <row r="387" spans="2:15" x14ac:dyDescent="0.3">
      <c r="B387" s="106"/>
      <c r="F387" s="124"/>
      <c r="G387" s="125"/>
      <c r="L387" s="107"/>
      <c r="M387" s="183"/>
      <c r="N387" s="108"/>
      <c r="O387" s="239"/>
    </row>
    <row r="388" spans="2:15" x14ac:dyDescent="0.3">
      <c r="B388" s="106"/>
      <c r="F388" s="124"/>
      <c r="G388" s="125"/>
      <c r="L388" s="107"/>
      <c r="M388" s="183"/>
      <c r="N388" s="108"/>
      <c r="O388" s="239"/>
    </row>
    <row r="389" spans="2:15" x14ac:dyDescent="0.3">
      <c r="B389" s="106"/>
      <c r="F389" s="124"/>
      <c r="G389" s="125"/>
      <c r="L389" s="107"/>
      <c r="M389" s="183"/>
      <c r="N389" s="108"/>
      <c r="O389" s="239"/>
    </row>
    <row r="390" spans="2:15" x14ac:dyDescent="0.3">
      <c r="B390" s="106"/>
      <c r="F390" s="124"/>
      <c r="G390" s="125"/>
      <c r="L390" s="107"/>
      <c r="M390" s="183"/>
      <c r="N390" s="108"/>
      <c r="O390" s="239"/>
    </row>
    <row r="391" spans="2:15" x14ac:dyDescent="0.3">
      <c r="B391" s="106"/>
      <c r="F391" s="124"/>
      <c r="G391" s="125"/>
      <c r="L391" s="107"/>
      <c r="M391" s="183"/>
      <c r="N391" s="108"/>
      <c r="O391" s="239"/>
    </row>
    <row r="392" spans="2:15" x14ac:dyDescent="0.3">
      <c r="B392" s="106"/>
      <c r="F392" s="124"/>
      <c r="G392" s="125"/>
      <c r="L392" s="107"/>
      <c r="M392" s="183"/>
      <c r="N392" s="108"/>
      <c r="O392" s="239"/>
    </row>
    <row r="393" spans="2:15" x14ac:dyDescent="0.3">
      <c r="B393" s="106"/>
      <c r="F393" s="124"/>
      <c r="G393" s="125"/>
      <c r="L393" s="107"/>
      <c r="M393" s="183"/>
      <c r="N393" s="108"/>
      <c r="O393" s="239"/>
    </row>
    <row r="394" spans="2:15" x14ac:dyDescent="0.3">
      <c r="B394" s="106"/>
      <c r="F394" s="124"/>
      <c r="G394" s="125"/>
      <c r="L394" s="107"/>
      <c r="M394" s="183"/>
      <c r="N394" s="108"/>
      <c r="O394" s="239"/>
    </row>
    <row r="395" spans="2:15" x14ac:dyDescent="0.3">
      <c r="B395" s="106"/>
      <c r="F395" s="124"/>
      <c r="G395" s="125"/>
      <c r="L395" s="107"/>
      <c r="M395" s="183"/>
      <c r="N395" s="108"/>
      <c r="O395" s="239"/>
    </row>
    <row r="396" spans="2:15" x14ac:dyDescent="0.3">
      <c r="B396" s="106"/>
      <c r="F396" s="124"/>
      <c r="G396" s="125"/>
      <c r="L396" s="107"/>
      <c r="M396" s="183"/>
      <c r="N396" s="108"/>
      <c r="O396" s="239"/>
    </row>
    <row r="397" spans="2:15" x14ac:dyDescent="0.3">
      <c r="B397" s="106"/>
      <c r="F397" s="124"/>
      <c r="G397" s="125"/>
      <c r="L397" s="107"/>
      <c r="M397" s="183"/>
      <c r="N397" s="108"/>
      <c r="O397" s="239"/>
    </row>
    <row r="398" spans="2:15" x14ac:dyDescent="0.3">
      <c r="B398" s="106"/>
      <c r="F398" s="124"/>
      <c r="G398" s="125"/>
      <c r="L398" s="107"/>
      <c r="M398" s="183"/>
      <c r="N398" s="108"/>
      <c r="O398" s="239"/>
    </row>
    <row r="399" spans="2:15" x14ac:dyDescent="0.3">
      <c r="B399" s="106"/>
      <c r="F399" s="124"/>
      <c r="G399" s="125"/>
      <c r="L399" s="107"/>
      <c r="M399" s="183"/>
      <c r="N399" s="108"/>
      <c r="O399" s="239"/>
    </row>
    <row r="400" spans="2:15" x14ac:dyDescent="0.3">
      <c r="B400" s="106"/>
      <c r="F400" s="124"/>
      <c r="G400" s="125"/>
      <c r="L400" s="107"/>
      <c r="M400" s="183"/>
      <c r="N400" s="108"/>
      <c r="O400" s="239"/>
    </row>
    <row r="401" spans="2:15" x14ac:dyDescent="0.3">
      <c r="B401" s="106"/>
      <c r="F401" s="124"/>
      <c r="G401" s="125"/>
      <c r="L401" s="107"/>
      <c r="M401" s="183"/>
      <c r="N401" s="108"/>
      <c r="O401" s="239"/>
    </row>
    <row r="402" spans="2:15" x14ac:dyDescent="0.3">
      <c r="B402" s="106"/>
      <c r="F402" s="124"/>
      <c r="G402" s="125"/>
      <c r="L402" s="107"/>
      <c r="M402" s="183"/>
      <c r="N402" s="108"/>
      <c r="O402" s="239"/>
    </row>
    <row r="403" spans="2:15" x14ac:dyDescent="0.3">
      <c r="B403" s="106"/>
      <c r="F403" s="124"/>
      <c r="G403" s="125"/>
      <c r="L403" s="107"/>
      <c r="M403" s="183"/>
      <c r="N403" s="108"/>
      <c r="O403" s="239"/>
    </row>
    <row r="404" spans="2:15" x14ac:dyDescent="0.3">
      <c r="B404" s="106"/>
      <c r="F404" s="124"/>
      <c r="G404" s="125"/>
      <c r="L404" s="107"/>
      <c r="M404" s="183"/>
      <c r="N404" s="108"/>
      <c r="O404" s="239"/>
    </row>
    <row r="405" spans="2:15" x14ac:dyDescent="0.3">
      <c r="B405" s="106"/>
      <c r="F405" s="124"/>
      <c r="G405" s="125"/>
      <c r="L405" s="107"/>
      <c r="M405" s="183"/>
      <c r="N405" s="108"/>
      <c r="O405" s="239"/>
    </row>
    <row r="406" spans="2:15" x14ac:dyDescent="0.3">
      <c r="B406" s="106"/>
      <c r="F406" s="124"/>
      <c r="G406" s="125"/>
      <c r="L406" s="107"/>
      <c r="M406" s="183"/>
      <c r="N406" s="108"/>
      <c r="O406" s="239"/>
    </row>
    <row r="407" spans="2:15" x14ac:dyDescent="0.3">
      <c r="B407" s="106"/>
      <c r="F407" s="124"/>
      <c r="G407" s="125"/>
      <c r="L407" s="107"/>
      <c r="M407" s="183"/>
      <c r="N407" s="108"/>
      <c r="O407" s="239"/>
    </row>
    <row r="408" spans="2:15" x14ac:dyDescent="0.3">
      <c r="B408" s="106"/>
      <c r="F408" s="124"/>
      <c r="G408" s="125"/>
      <c r="L408" s="107"/>
      <c r="M408" s="183"/>
      <c r="N408" s="108"/>
      <c r="O408" s="239"/>
    </row>
    <row r="409" spans="2:15" x14ac:dyDescent="0.3">
      <c r="B409" s="106"/>
      <c r="F409" s="124"/>
      <c r="G409" s="125"/>
      <c r="L409" s="107"/>
      <c r="M409" s="183"/>
      <c r="N409" s="108"/>
      <c r="O409" s="239"/>
    </row>
    <row r="410" spans="2:15" x14ac:dyDescent="0.3">
      <c r="B410" s="106"/>
      <c r="F410" s="124"/>
      <c r="G410" s="125"/>
      <c r="L410" s="107"/>
      <c r="M410" s="183"/>
      <c r="N410" s="108"/>
      <c r="O410" s="239"/>
    </row>
    <row r="411" spans="2:15" x14ac:dyDescent="0.3">
      <c r="B411" s="106"/>
      <c r="F411" s="124"/>
      <c r="G411" s="125"/>
      <c r="L411" s="107"/>
      <c r="M411" s="183"/>
      <c r="N411" s="108"/>
      <c r="O411" s="239"/>
    </row>
    <row r="412" spans="2:15" x14ac:dyDescent="0.3">
      <c r="B412" s="106"/>
      <c r="F412" s="124"/>
      <c r="G412" s="125"/>
      <c r="L412" s="107"/>
      <c r="M412" s="183"/>
      <c r="N412" s="108"/>
      <c r="O412" s="239"/>
    </row>
    <row r="413" spans="2:15" x14ac:dyDescent="0.3">
      <c r="B413" s="106"/>
      <c r="F413" s="124"/>
      <c r="G413" s="125"/>
      <c r="L413" s="107"/>
      <c r="M413" s="183"/>
      <c r="N413" s="108"/>
      <c r="O413" s="239"/>
    </row>
    <row r="414" spans="2:15" x14ac:dyDescent="0.3">
      <c r="B414" s="106"/>
      <c r="F414" s="124"/>
      <c r="G414" s="125"/>
      <c r="L414" s="107"/>
      <c r="M414" s="183"/>
      <c r="N414" s="108"/>
      <c r="O414" s="239"/>
    </row>
    <row r="415" spans="2:15" x14ac:dyDescent="0.3">
      <c r="B415" s="106"/>
      <c r="F415" s="124"/>
      <c r="G415" s="125"/>
      <c r="L415" s="107"/>
      <c r="M415" s="183"/>
      <c r="N415" s="108"/>
      <c r="O415" s="239"/>
    </row>
    <row r="416" spans="2:15" x14ac:dyDescent="0.3">
      <c r="B416" s="106"/>
      <c r="F416" s="124"/>
      <c r="G416" s="125"/>
      <c r="L416" s="107"/>
      <c r="M416" s="183"/>
      <c r="N416" s="108"/>
      <c r="O416" s="239"/>
    </row>
    <row r="417" spans="2:15" x14ac:dyDescent="0.3">
      <c r="B417" s="106"/>
      <c r="F417" s="124"/>
      <c r="G417" s="125"/>
      <c r="L417" s="107"/>
      <c r="M417" s="183"/>
      <c r="N417" s="108"/>
      <c r="O417" s="239"/>
    </row>
    <row r="418" spans="2:15" x14ac:dyDescent="0.3">
      <c r="B418" s="106"/>
      <c r="F418" s="124"/>
      <c r="G418" s="125"/>
      <c r="L418" s="107"/>
      <c r="M418" s="183"/>
      <c r="N418" s="108"/>
      <c r="O418" s="239"/>
    </row>
    <row r="419" spans="2:15" x14ac:dyDescent="0.3">
      <c r="B419" s="106"/>
      <c r="F419" s="124"/>
      <c r="G419" s="125"/>
      <c r="L419" s="107"/>
      <c r="M419" s="183"/>
      <c r="N419" s="108"/>
      <c r="O419" s="239"/>
    </row>
    <row r="420" spans="2:15" x14ac:dyDescent="0.3">
      <c r="B420" s="106"/>
      <c r="F420" s="124"/>
      <c r="G420" s="125"/>
      <c r="L420" s="107"/>
      <c r="M420" s="183"/>
      <c r="N420" s="108"/>
      <c r="O420" s="239"/>
    </row>
    <row r="421" spans="2:15" x14ac:dyDescent="0.3">
      <c r="B421" s="106"/>
      <c r="F421" s="124"/>
      <c r="G421" s="125"/>
      <c r="L421" s="107"/>
      <c r="M421" s="183"/>
      <c r="N421" s="108"/>
      <c r="O421" s="239"/>
    </row>
    <row r="422" spans="2:15" x14ac:dyDescent="0.3">
      <c r="B422" s="106"/>
      <c r="F422" s="124"/>
      <c r="G422" s="125"/>
      <c r="L422" s="107"/>
      <c r="M422" s="183"/>
      <c r="N422" s="108"/>
      <c r="O422" s="239"/>
    </row>
    <row r="423" spans="2:15" x14ac:dyDescent="0.3">
      <c r="B423" s="106"/>
      <c r="F423" s="124"/>
      <c r="G423" s="125"/>
      <c r="L423" s="107"/>
      <c r="M423" s="183"/>
      <c r="N423" s="108"/>
      <c r="O423" s="239"/>
    </row>
    <row r="424" spans="2:15" x14ac:dyDescent="0.3">
      <c r="B424" s="106"/>
      <c r="F424" s="124"/>
      <c r="G424" s="125"/>
      <c r="L424" s="107"/>
      <c r="M424" s="183"/>
      <c r="N424" s="108"/>
      <c r="O424" s="239"/>
    </row>
    <row r="425" spans="2:15" x14ac:dyDescent="0.3">
      <c r="B425" s="106"/>
      <c r="F425" s="124"/>
      <c r="G425" s="125"/>
      <c r="L425" s="107"/>
      <c r="M425" s="183"/>
      <c r="N425" s="108"/>
      <c r="O425" s="239"/>
    </row>
    <row r="426" spans="2:15" x14ac:dyDescent="0.3">
      <c r="B426" s="106"/>
      <c r="F426" s="124"/>
      <c r="G426" s="125"/>
      <c r="L426" s="107"/>
      <c r="M426" s="183"/>
      <c r="N426" s="108"/>
      <c r="O426" s="239"/>
    </row>
    <row r="427" spans="2:15" x14ac:dyDescent="0.3">
      <c r="B427" s="106"/>
      <c r="F427" s="124"/>
      <c r="G427" s="125"/>
      <c r="L427" s="107"/>
      <c r="M427" s="183"/>
      <c r="N427" s="108"/>
      <c r="O427" s="239"/>
    </row>
    <row r="428" spans="2:15" x14ac:dyDescent="0.3">
      <c r="B428" s="106"/>
      <c r="F428" s="124"/>
      <c r="G428" s="125"/>
      <c r="L428" s="107"/>
      <c r="M428" s="183"/>
      <c r="N428" s="108"/>
      <c r="O428" s="239"/>
    </row>
    <row r="429" spans="2:15" x14ac:dyDescent="0.3">
      <c r="B429" s="106"/>
      <c r="F429" s="124"/>
      <c r="G429" s="125"/>
      <c r="L429" s="107"/>
      <c r="M429" s="183"/>
      <c r="N429" s="108"/>
      <c r="O429" s="239"/>
    </row>
    <row r="430" spans="2:15" x14ac:dyDescent="0.3">
      <c r="B430" s="106"/>
      <c r="F430" s="124"/>
      <c r="G430" s="125"/>
      <c r="L430" s="107"/>
      <c r="M430" s="183"/>
      <c r="N430" s="108"/>
      <c r="O430" s="239"/>
    </row>
    <row r="431" spans="2:15" x14ac:dyDescent="0.3">
      <c r="B431" s="106"/>
      <c r="F431" s="124"/>
      <c r="G431" s="125"/>
      <c r="L431" s="107"/>
      <c r="M431" s="183"/>
      <c r="N431" s="108"/>
      <c r="O431" s="239"/>
    </row>
    <row r="432" spans="2:15" x14ac:dyDescent="0.3">
      <c r="B432" s="106"/>
      <c r="F432" s="124"/>
      <c r="G432" s="125"/>
      <c r="L432" s="107"/>
      <c r="M432" s="183"/>
      <c r="N432" s="108"/>
      <c r="O432" s="239"/>
    </row>
    <row r="433" spans="2:15" x14ac:dyDescent="0.3">
      <c r="B433" s="106"/>
      <c r="F433" s="124"/>
      <c r="G433" s="125"/>
      <c r="L433" s="107"/>
      <c r="M433" s="183"/>
      <c r="N433" s="108"/>
      <c r="O433" s="239"/>
    </row>
    <row r="434" spans="2:15" x14ac:dyDescent="0.3">
      <c r="B434" s="106"/>
      <c r="F434" s="124"/>
      <c r="G434" s="125"/>
      <c r="L434" s="107"/>
      <c r="M434" s="183"/>
      <c r="N434" s="108"/>
      <c r="O434" s="239"/>
    </row>
    <row r="435" spans="2:15" x14ac:dyDescent="0.3">
      <c r="B435" s="106"/>
      <c r="F435" s="124"/>
      <c r="G435" s="125"/>
      <c r="L435" s="107"/>
      <c r="M435" s="183"/>
      <c r="N435" s="108"/>
      <c r="O435" s="239"/>
    </row>
    <row r="436" spans="2:15" x14ac:dyDescent="0.3">
      <c r="B436" s="106"/>
      <c r="F436" s="124"/>
      <c r="G436" s="125"/>
      <c r="L436" s="107"/>
      <c r="M436" s="183"/>
      <c r="N436" s="108"/>
      <c r="O436" s="239"/>
    </row>
    <row r="437" spans="2:15" x14ac:dyDescent="0.3">
      <c r="B437" s="106"/>
      <c r="F437" s="124"/>
      <c r="G437" s="125"/>
      <c r="L437" s="107"/>
      <c r="M437" s="183"/>
      <c r="N437" s="108"/>
      <c r="O437" s="239"/>
    </row>
    <row r="438" spans="2:15" x14ac:dyDescent="0.3">
      <c r="B438" s="106"/>
      <c r="F438" s="124"/>
      <c r="G438" s="125"/>
      <c r="L438" s="107"/>
      <c r="M438" s="183"/>
      <c r="N438" s="108"/>
      <c r="O438" s="239"/>
    </row>
    <row r="439" spans="2:15" x14ac:dyDescent="0.3">
      <c r="B439" s="106"/>
      <c r="F439" s="124"/>
      <c r="G439" s="125"/>
      <c r="L439" s="107"/>
      <c r="M439" s="183"/>
      <c r="N439" s="108"/>
      <c r="O439" s="239"/>
    </row>
    <row r="440" spans="2:15" x14ac:dyDescent="0.3">
      <c r="B440" s="106"/>
      <c r="F440" s="124"/>
      <c r="G440" s="125"/>
      <c r="L440" s="107"/>
      <c r="M440" s="183"/>
      <c r="N440" s="108"/>
      <c r="O440" s="239"/>
    </row>
    <row r="441" spans="2:15" x14ac:dyDescent="0.3">
      <c r="B441" s="106"/>
      <c r="F441" s="124"/>
      <c r="G441" s="125"/>
      <c r="L441" s="107"/>
      <c r="M441" s="183"/>
      <c r="N441" s="108"/>
      <c r="O441" s="239"/>
    </row>
    <row r="442" spans="2:15" x14ac:dyDescent="0.3">
      <c r="B442" s="106"/>
      <c r="F442" s="124"/>
      <c r="G442" s="125"/>
      <c r="L442" s="107"/>
      <c r="M442" s="183"/>
      <c r="N442" s="108"/>
      <c r="O442" s="239"/>
    </row>
    <row r="443" spans="2:15" x14ac:dyDescent="0.3">
      <c r="B443" s="106"/>
      <c r="F443" s="124"/>
      <c r="G443" s="125"/>
      <c r="L443" s="107"/>
      <c r="M443" s="183"/>
      <c r="N443" s="108"/>
      <c r="O443" s="239"/>
    </row>
    <row r="444" spans="2:15" x14ac:dyDescent="0.3">
      <c r="B444" s="106"/>
      <c r="F444" s="124"/>
      <c r="G444" s="125"/>
      <c r="L444" s="107"/>
      <c r="M444" s="183"/>
      <c r="N444" s="108"/>
      <c r="O444" s="239"/>
    </row>
    <row r="445" spans="2:15" x14ac:dyDescent="0.3">
      <c r="B445" s="106"/>
      <c r="F445" s="124"/>
      <c r="G445" s="125"/>
      <c r="L445" s="107"/>
      <c r="M445" s="183"/>
      <c r="N445" s="108"/>
      <c r="O445" s="239"/>
    </row>
    <row r="446" spans="2:15" x14ac:dyDescent="0.3">
      <c r="B446" s="106"/>
      <c r="F446" s="124"/>
      <c r="G446" s="125"/>
      <c r="L446" s="107"/>
      <c r="M446" s="183"/>
      <c r="N446" s="108"/>
      <c r="O446" s="239"/>
    </row>
    <row r="447" spans="2:15" x14ac:dyDescent="0.3">
      <c r="B447" s="106"/>
      <c r="F447" s="124"/>
      <c r="G447" s="125"/>
      <c r="L447" s="107"/>
      <c r="M447" s="183"/>
      <c r="N447" s="108"/>
      <c r="O447" s="239"/>
    </row>
    <row r="448" spans="2:15" x14ac:dyDescent="0.3">
      <c r="B448" s="106"/>
      <c r="F448" s="124"/>
      <c r="G448" s="125"/>
      <c r="L448" s="107"/>
      <c r="M448" s="183"/>
      <c r="N448" s="108"/>
      <c r="O448" s="239"/>
    </row>
    <row r="449" spans="2:15" x14ac:dyDescent="0.3">
      <c r="B449" s="106"/>
      <c r="F449" s="124"/>
      <c r="G449" s="125"/>
      <c r="L449" s="107"/>
      <c r="M449" s="183"/>
      <c r="N449" s="108"/>
      <c r="O449" s="239"/>
    </row>
    <row r="450" spans="2:15" x14ac:dyDescent="0.3">
      <c r="B450" s="106"/>
      <c r="F450" s="124"/>
      <c r="G450" s="125"/>
      <c r="L450" s="107"/>
      <c r="M450" s="183"/>
      <c r="N450" s="108"/>
      <c r="O450" s="239"/>
    </row>
    <row r="451" spans="2:15" x14ac:dyDescent="0.3">
      <c r="B451" s="106"/>
      <c r="F451" s="124"/>
      <c r="G451" s="125"/>
      <c r="L451" s="107"/>
      <c r="M451" s="183"/>
      <c r="N451" s="108"/>
      <c r="O451" s="239"/>
    </row>
    <row r="452" spans="2:15" x14ac:dyDescent="0.3">
      <c r="B452" s="106"/>
      <c r="F452" s="124"/>
      <c r="G452" s="125"/>
      <c r="L452" s="107"/>
      <c r="M452" s="183"/>
      <c r="N452" s="108"/>
      <c r="O452" s="239"/>
    </row>
    <row r="453" spans="2:15" x14ac:dyDescent="0.3">
      <c r="B453" s="106"/>
      <c r="F453" s="124"/>
      <c r="G453" s="125"/>
      <c r="L453" s="107"/>
      <c r="M453" s="183"/>
      <c r="N453" s="108"/>
      <c r="O453" s="239"/>
    </row>
    <row r="454" spans="2:15" x14ac:dyDescent="0.3">
      <c r="B454" s="106"/>
      <c r="F454" s="124"/>
      <c r="G454" s="125"/>
      <c r="L454" s="107"/>
      <c r="M454" s="183"/>
      <c r="N454" s="108"/>
      <c r="O454" s="239"/>
    </row>
    <row r="455" spans="2:15" x14ac:dyDescent="0.3">
      <c r="B455" s="106"/>
      <c r="F455" s="124"/>
      <c r="G455" s="125"/>
      <c r="L455" s="107"/>
      <c r="M455" s="183"/>
      <c r="N455" s="108"/>
      <c r="O455" s="239"/>
    </row>
    <row r="456" spans="2:15" x14ac:dyDescent="0.3">
      <c r="B456" s="106"/>
      <c r="F456" s="124"/>
      <c r="G456" s="125"/>
      <c r="L456" s="107"/>
      <c r="M456" s="183"/>
      <c r="N456" s="108"/>
      <c r="O456" s="239"/>
    </row>
    <row r="457" spans="2:15" x14ac:dyDescent="0.3">
      <c r="B457" s="106"/>
      <c r="F457" s="124"/>
      <c r="G457" s="125"/>
      <c r="L457" s="107"/>
      <c r="M457" s="183"/>
      <c r="N457" s="108"/>
      <c r="O457" s="239"/>
    </row>
    <row r="458" spans="2:15" x14ac:dyDescent="0.3">
      <c r="B458" s="106"/>
      <c r="F458" s="124"/>
      <c r="G458" s="125"/>
      <c r="L458" s="107"/>
      <c r="M458" s="183"/>
      <c r="N458" s="108"/>
      <c r="O458" s="239"/>
    </row>
    <row r="459" spans="2:15" x14ac:dyDescent="0.3">
      <c r="B459" s="106"/>
      <c r="F459" s="124"/>
      <c r="G459" s="125"/>
      <c r="L459" s="107"/>
      <c r="M459" s="183"/>
      <c r="N459" s="108"/>
      <c r="O459" s="239"/>
    </row>
    <row r="460" spans="2:15" x14ac:dyDescent="0.3">
      <c r="B460" s="106"/>
      <c r="F460" s="124"/>
      <c r="G460" s="125"/>
      <c r="L460" s="107"/>
      <c r="M460" s="183"/>
      <c r="N460" s="108"/>
      <c r="O460" s="239"/>
    </row>
    <row r="461" spans="2:15" x14ac:dyDescent="0.3">
      <c r="B461" s="106"/>
      <c r="F461" s="124"/>
      <c r="G461" s="125"/>
      <c r="L461" s="107"/>
      <c r="M461" s="183"/>
      <c r="N461" s="108"/>
      <c r="O461" s="239"/>
    </row>
    <row r="462" spans="2:15" x14ac:dyDescent="0.3">
      <c r="B462" s="106"/>
      <c r="F462" s="124"/>
      <c r="G462" s="125"/>
      <c r="L462" s="107"/>
      <c r="M462" s="183"/>
      <c r="N462" s="108"/>
      <c r="O462" s="239"/>
    </row>
    <row r="463" spans="2:15" x14ac:dyDescent="0.3">
      <c r="B463" s="106"/>
      <c r="F463" s="124"/>
      <c r="G463" s="125"/>
      <c r="L463" s="107"/>
      <c r="M463" s="183"/>
      <c r="N463" s="108"/>
      <c r="O463" s="239"/>
    </row>
    <row r="464" spans="2:15" x14ac:dyDescent="0.3">
      <c r="B464" s="106"/>
      <c r="F464" s="124"/>
      <c r="G464" s="125"/>
      <c r="L464" s="107"/>
      <c r="M464" s="183"/>
      <c r="N464" s="108"/>
      <c r="O464" s="239"/>
    </row>
    <row r="465" spans="2:15" x14ac:dyDescent="0.3">
      <c r="B465" s="106"/>
      <c r="F465" s="124"/>
      <c r="G465" s="125"/>
      <c r="L465" s="107"/>
      <c r="M465" s="183"/>
      <c r="N465" s="108"/>
      <c r="O465" s="239"/>
    </row>
    <row r="466" spans="2:15" x14ac:dyDescent="0.3">
      <c r="B466" s="106"/>
      <c r="F466" s="124"/>
      <c r="G466" s="125"/>
      <c r="L466" s="107"/>
      <c r="M466" s="183"/>
      <c r="N466" s="108"/>
      <c r="O466" s="239"/>
    </row>
    <row r="467" spans="2:15" x14ac:dyDescent="0.3">
      <c r="B467" s="106"/>
      <c r="F467" s="124"/>
      <c r="G467" s="125"/>
      <c r="L467" s="107"/>
      <c r="M467" s="183"/>
      <c r="N467" s="108"/>
      <c r="O467" s="239"/>
    </row>
    <row r="468" spans="2:15" x14ac:dyDescent="0.3">
      <c r="B468" s="106"/>
      <c r="F468" s="124"/>
      <c r="G468" s="125"/>
      <c r="L468" s="107"/>
      <c r="M468" s="183"/>
      <c r="N468" s="108"/>
      <c r="O468" s="239"/>
    </row>
    <row r="469" spans="2:15" x14ac:dyDescent="0.3">
      <c r="B469" s="106"/>
      <c r="F469" s="124"/>
      <c r="G469" s="125"/>
      <c r="L469" s="107"/>
      <c r="M469" s="183"/>
      <c r="N469" s="108"/>
      <c r="O469" s="239"/>
    </row>
    <row r="470" spans="2:15" x14ac:dyDescent="0.3">
      <c r="B470" s="106"/>
      <c r="F470" s="124"/>
      <c r="G470" s="125"/>
      <c r="L470" s="107"/>
      <c r="M470" s="183"/>
      <c r="N470" s="108"/>
      <c r="O470" s="239"/>
    </row>
    <row r="471" spans="2:15" x14ac:dyDescent="0.3">
      <c r="B471" s="106"/>
      <c r="F471" s="124"/>
      <c r="G471" s="125"/>
      <c r="L471" s="107"/>
      <c r="M471" s="183"/>
      <c r="N471" s="108"/>
      <c r="O471" s="239"/>
    </row>
    <row r="472" spans="2:15" x14ac:dyDescent="0.3">
      <c r="B472" s="106"/>
      <c r="F472" s="124"/>
      <c r="G472" s="125"/>
      <c r="L472" s="107"/>
      <c r="M472" s="183"/>
      <c r="N472" s="108"/>
      <c r="O472" s="239"/>
    </row>
    <row r="473" spans="2:15" x14ac:dyDescent="0.3">
      <c r="B473" s="106"/>
      <c r="F473" s="124"/>
      <c r="G473" s="125"/>
      <c r="L473" s="107"/>
      <c r="M473" s="183"/>
      <c r="N473" s="108"/>
      <c r="O473" s="239"/>
    </row>
    <row r="474" spans="2:15" x14ac:dyDescent="0.3">
      <c r="B474" s="106"/>
      <c r="F474" s="124"/>
      <c r="G474" s="125"/>
      <c r="L474" s="107"/>
      <c r="M474" s="183"/>
      <c r="N474" s="108"/>
      <c r="O474" s="239"/>
    </row>
    <row r="475" spans="2:15" x14ac:dyDescent="0.3">
      <c r="B475" s="106"/>
      <c r="F475" s="124"/>
      <c r="G475" s="125"/>
      <c r="L475" s="107"/>
      <c r="M475" s="183"/>
      <c r="N475" s="108"/>
      <c r="O475" s="239"/>
    </row>
    <row r="476" spans="2:15" x14ac:dyDescent="0.3">
      <c r="B476" s="106"/>
      <c r="F476" s="124"/>
      <c r="G476" s="125"/>
      <c r="L476" s="107"/>
      <c r="M476" s="183"/>
      <c r="N476" s="108"/>
      <c r="O476" s="239"/>
    </row>
    <row r="477" spans="2:15" x14ac:dyDescent="0.3">
      <c r="B477" s="106"/>
      <c r="F477" s="124"/>
      <c r="G477" s="125"/>
      <c r="L477" s="107"/>
      <c r="M477" s="183"/>
      <c r="N477" s="108"/>
      <c r="O477" s="239"/>
    </row>
    <row r="478" spans="2:15" x14ac:dyDescent="0.3">
      <c r="B478" s="106"/>
      <c r="F478" s="124"/>
      <c r="G478" s="125"/>
      <c r="L478" s="107"/>
      <c r="M478" s="183"/>
      <c r="N478" s="108"/>
      <c r="O478" s="239"/>
    </row>
    <row r="479" spans="2:15" x14ac:dyDescent="0.3">
      <c r="B479" s="106"/>
      <c r="F479" s="124"/>
      <c r="G479" s="125"/>
      <c r="L479" s="107"/>
      <c r="M479" s="183"/>
      <c r="N479" s="108"/>
      <c r="O479" s="239"/>
    </row>
    <row r="480" spans="2:15" x14ac:dyDescent="0.3">
      <c r="B480" s="106"/>
      <c r="F480" s="124"/>
      <c r="G480" s="125"/>
      <c r="L480" s="107"/>
      <c r="M480" s="183"/>
      <c r="N480" s="108"/>
      <c r="O480" s="239"/>
    </row>
    <row r="481" spans="2:15" x14ac:dyDescent="0.3">
      <c r="B481" s="106"/>
      <c r="F481" s="124"/>
      <c r="G481" s="125"/>
      <c r="L481" s="107"/>
      <c r="M481" s="183"/>
      <c r="N481" s="108"/>
      <c r="O481" s="239"/>
    </row>
    <row r="482" spans="2:15" x14ac:dyDescent="0.3">
      <c r="B482" s="106"/>
      <c r="F482" s="124"/>
      <c r="G482" s="125"/>
      <c r="L482" s="107"/>
      <c r="M482" s="183"/>
      <c r="N482" s="108"/>
      <c r="O482" s="239"/>
    </row>
    <row r="483" spans="2:15" x14ac:dyDescent="0.3">
      <c r="B483" s="106"/>
      <c r="F483" s="124"/>
      <c r="G483" s="125"/>
      <c r="L483" s="107"/>
      <c r="M483" s="183"/>
      <c r="N483" s="108"/>
      <c r="O483" s="239"/>
    </row>
    <row r="484" spans="2:15" x14ac:dyDescent="0.3">
      <c r="B484" s="106"/>
      <c r="F484" s="124"/>
      <c r="G484" s="125"/>
      <c r="L484" s="107"/>
      <c r="M484" s="183"/>
      <c r="N484" s="108"/>
      <c r="O484" s="239"/>
    </row>
    <row r="485" spans="2:15" x14ac:dyDescent="0.3">
      <c r="B485" s="106"/>
      <c r="F485" s="124"/>
      <c r="G485" s="125"/>
      <c r="L485" s="107"/>
      <c r="M485" s="183"/>
      <c r="N485" s="108"/>
      <c r="O485" s="239"/>
    </row>
    <row r="486" spans="2:15" x14ac:dyDescent="0.3">
      <c r="B486" s="106"/>
      <c r="F486" s="124"/>
      <c r="G486" s="125"/>
      <c r="L486" s="107"/>
      <c r="M486" s="183"/>
      <c r="N486" s="108"/>
      <c r="O486" s="239"/>
    </row>
    <row r="487" spans="2:15" x14ac:dyDescent="0.3">
      <c r="B487" s="106"/>
      <c r="F487" s="124"/>
      <c r="G487" s="125"/>
      <c r="L487" s="107"/>
      <c r="M487" s="183"/>
      <c r="N487" s="108"/>
      <c r="O487" s="239"/>
    </row>
    <row r="488" spans="2:15" x14ac:dyDescent="0.3">
      <c r="B488" s="106"/>
      <c r="F488" s="124"/>
      <c r="G488" s="125"/>
      <c r="L488" s="107"/>
      <c r="M488" s="183"/>
      <c r="N488" s="108"/>
      <c r="O488" s="239"/>
    </row>
    <row r="489" spans="2:15" x14ac:dyDescent="0.3">
      <c r="B489" s="106"/>
      <c r="F489" s="124"/>
      <c r="G489" s="125"/>
      <c r="L489" s="107"/>
      <c r="M489" s="183"/>
      <c r="N489" s="108"/>
      <c r="O489" s="239"/>
    </row>
    <row r="490" spans="2:15" x14ac:dyDescent="0.3">
      <c r="B490" s="106"/>
      <c r="F490" s="124"/>
      <c r="G490" s="125"/>
      <c r="L490" s="107"/>
      <c r="M490" s="183"/>
      <c r="N490" s="108"/>
      <c r="O490" s="239"/>
    </row>
    <row r="491" spans="2:15" x14ac:dyDescent="0.3">
      <c r="B491" s="106"/>
      <c r="F491" s="124"/>
      <c r="G491" s="125"/>
      <c r="L491" s="107"/>
      <c r="M491" s="183"/>
      <c r="N491" s="108"/>
      <c r="O491" s="239"/>
    </row>
    <row r="492" spans="2:15" x14ac:dyDescent="0.3">
      <c r="B492" s="106"/>
      <c r="F492" s="124"/>
      <c r="G492" s="125"/>
      <c r="L492" s="107"/>
      <c r="M492" s="183"/>
      <c r="N492" s="108"/>
      <c r="O492" s="239"/>
    </row>
    <row r="493" spans="2:15" x14ac:dyDescent="0.3">
      <c r="B493" s="106"/>
      <c r="F493" s="124"/>
      <c r="G493" s="125"/>
      <c r="L493" s="107"/>
      <c r="M493" s="183"/>
      <c r="N493" s="108"/>
      <c r="O493" s="239"/>
    </row>
    <row r="494" spans="2:15" x14ac:dyDescent="0.3">
      <c r="B494" s="106"/>
      <c r="F494" s="124"/>
      <c r="G494" s="125"/>
      <c r="L494" s="107"/>
      <c r="M494" s="183"/>
      <c r="N494" s="108"/>
      <c r="O494" s="239"/>
    </row>
    <row r="495" spans="2:15" x14ac:dyDescent="0.3">
      <c r="B495" s="106"/>
      <c r="F495" s="124"/>
      <c r="G495" s="125"/>
      <c r="L495" s="107"/>
      <c r="M495" s="183"/>
      <c r="N495" s="108"/>
      <c r="O495" s="239"/>
    </row>
    <row r="496" spans="2:15" x14ac:dyDescent="0.3">
      <c r="B496" s="106"/>
      <c r="F496" s="124"/>
      <c r="G496" s="125"/>
      <c r="L496" s="107"/>
      <c r="M496" s="183"/>
      <c r="N496" s="108"/>
      <c r="O496" s="239"/>
    </row>
    <row r="497" spans="2:15" x14ac:dyDescent="0.3">
      <c r="B497" s="106"/>
      <c r="F497" s="124"/>
      <c r="G497" s="125"/>
      <c r="L497" s="107"/>
      <c r="M497" s="183"/>
      <c r="N497" s="108"/>
      <c r="O497" s="239"/>
    </row>
    <row r="498" spans="2:15" x14ac:dyDescent="0.3">
      <c r="B498" s="106"/>
      <c r="F498" s="124"/>
      <c r="G498" s="125"/>
      <c r="L498" s="107"/>
      <c r="M498" s="183"/>
      <c r="N498" s="108"/>
      <c r="O498" s="239"/>
    </row>
    <row r="499" spans="2:15" x14ac:dyDescent="0.3">
      <c r="B499" s="106"/>
      <c r="F499" s="124"/>
      <c r="G499" s="125"/>
      <c r="L499" s="107"/>
      <c r="M499" s="183"/>
      <c r="N499" s="108"/>
      <c r="O499" s="239"/>
    </row>
    <row r="500" spans="2:15" x14ac:dyDescent="0.3">
      <c r="B500" s="106"/>
      <c r="F500" s="124"/>
      <c r="G500" s="125"/>
      <c r="L500" s="107"/>
      <c r="M500" s="183"/>
      <c r="N500" s="108"/>
      <c r="O500" s="239"/>
    </row>
    <row r="501" spans="2:15" x14ac:dyDescent="0.3">
      <c r="B501" s="106"/>
      <c r="F501" s="124"/>
      <c r="G501" s="125"/>
      <c r="L501" s="107"/>
      <c r="M501" s="183"/>
      <c r="N501" s="108"/>
      <c r="O501" s="239"/>
    </row>
    <row r="502" spans="2:15" x14ac:dyDescent="0.3">
      <c r="B502" s="106"/>
      <c r="F502" s="124"/>
      <c r="G502" s="125"/>
      <c r="L502" s="107"/>
      <c r="M502" s="183"/>
      <c r="N502" s="108"/>
      <c r="O502" s="239"/>
    </row>
    <row r="503" spans="2:15" x14ac:dyDescent="0.3">
      <c r="B503" s="106"/>
      <c r="F503" s="124"/>
      <c r="G503" s="125"/>
      <c r="L503" s="107"/>
      <c r="M503" s="183"/>
      <c r="N503" s="108"/>
      <c r="O503" s="239"/>
    </row>
    <row r="504" spans="2:15" x14ac:dyDescent="0.3">
      <c r="B504" s="106"/>
      <c r="F504" s="124"/>
      <c r="G504" s="125"/>
      <c r="L504" s="107"/>
      <c r="M504" s="183"/>
      <c r="N504" s="108"/>
      <c r="O504" s="239"/>
    </row>
    <row r="505" spans="2:15" x14ac:dyDescent="0.3">
      <c r="B505" s="106"/>
      <c r="F505" s="124"/>
      <c r="G505" s="125"/>
      <c r="L505" s="107"/>
      <c r="M505" s="183"/>
      <c r="N505" s="108"/>
      <c r="O505" s="239"/>
    </row>
    <row r="506" spans="2:15" x14ac:dyDescent="0.3">
      <c r="B506" s="106"/>
      <c r="F506" s="124"/>
      <c r="G506" s="125"/>
      <c r="L506" s="107"/>
      <c r="M506" s="183"/>
      <c r="N506" s="108"/>
      <c r="O506" s="239"/>
    </row>
    <row r="507" spans="2:15" x14ac:dyDescent="0.3">
      <c r="B507" s="106"/>
      <c r="F507" s="124"/>
      <c r="G507" s="125"/>
      <c r="L507" s="107"/>
      <c r="M507" s="183"/>
      <c r="N507" s="108"/>
      <c r="O507" s="239"/>
    </row>
    <row r="508" spans="2:15" x14ac:dyDescent="0.3">
      <c r="B508" s="106"/>
      <c r="F508" s="124"/>
      <c r="G508" s="125"/>
      <c r="L508" s="107"/>
      <c r="M508" s="183"/>
      <c r="N508" s="108"/>
      <c r="O508" s="239"/>
    </row>
    <row r="509" spans="2:15" x14ac:dyDescent="0.3">
      <c r="B509" s="106"/>
      <c r="F509" s="124"/>
      <c r="G509" s="125"/>
      <c r="L509" s="107"/>
      <c r="M509" s="183"/>
      <c r="N509" s="108"/>
      <c r="O509" s="239"/>
    </row>
    <row r="510" spans="2:15" x14ac:dyDescent="0.3">
      <c r="B510" s="106"/>
      <c r="F510" s="124"/>
      <c r="G510" s="125"/>
      <c r="L510" s="107"/>
      <c r="M510" s="183"/>
      <c r="N510" s="108"/>
      <c r="O510" s="239"/>
    </row>
    <row r="511" spans="2:15" x14ac:dyDescent="0.3">
      <c r="B511" s="106"/>
      <c r="F511" s="124"/>
      <c r="G511" s="125"/>
      <c r="L511" s="107"/>
      <c r="M511" s="183"/>
      <c r="N511" s="108"/>
      <c r="O511" s="239"/>
    </row>
    <row r="512" spans="2:15" x14ac:dyDescent="0.3">
      <c r="B512" s="106"/>
      <c r="F512" s="124"/>
      <c r="G512" s="125"/>
      <c r="L512" s="107"/>
      <c r="M512" s="183"/>
      <c r="N512" s="108"/>
      <c r="O512" s="239"/>
    </row>
    <row r="513" spans="2:15" x14ac:dyDescent="0.3">
      <c r="B513" s="106"/>
      <c r="F513" s="124"/>
      <c r="G513" s="125"/>
      <c r="L513" s="107"/>
      <c r="M513" s="183"/>
      <c r="N513" s="108"/>
      <c r="O513" s="239"/>
    </row>
    <row r="514" spans="2:15" x14ac:dyDescent="0.3">
      <c r="B514" s="106"/>
      <c r="F514" s="124"/>
      <c r="G514" s="125"/>
      <c r="L514" s="107"/>
      <c r="M514" s="183"/>
      <c r="N514" s="108"/>
      <c r="O514" s="239"/>
    </row>
    <row r="515" spans="2:15" x14ac:dyDescent="0.3">
      <c r="B515" s="106"/>
      <c r="F515" s="124"/>
      <c r="G515" s="125"/>
      <c r="L515" s="107"/>
      <c r="M515" s="183"/>
      <c r="N515" s="108"/>
      <c r="O515" s="239"/>
    </row>
    <row r="516" spans="2:15" x14ac:dyDescent="0.3">
      <c r="B516" s="106"/>
      <c r="F516" s="124"/>
      <c r="G516" s="125"/>
      <c r="L516" s="107"/>
      <c r="M516" s="183"/>
      <c r="N516" s="108"/>
      <c r="O516" s="239"/>
    </row>
    <row r="517" spans="2:15" x14ac:dyDescent="0.3">
      <c r="B517" s="106"/>
      <c r="F517" s="124"/>
      <c r="G517" s="125"/>
      <c r="L517" s="107"/>
      <c r="M517" s="183"/>
      <c r="N517" s="108"/>
      <c r="O517" s="239"/>
    </row>
    <row r="518" spans="2:15" x14ac:dyDescent="0.3">
      <c r="B518" s="106"/>
      <c r="F518" s="124"/>
      <c r="G518" s="125"/>
      <c r="L518" s="107"/>
      <c r="M518" s="183"/>
      <c r="N518" s="108"/>
      <c r="O518" s="239"/>
    </row>
    <row r="519" spans="2:15" x14ac:dyDescent="0.3">
      <c r="B519" s="106"/>
      <c r="F519" s="124"/>
      <c r="G519" s="125"/>
      <c r="L519" s="107"/>
      <c r="M519" s="183"/>
      <c r="N519" s="108"/>
      <c r="O519" s="239"/>
    </row>
    <row r="520" spans="2:15" x14ac:dyDescent="0.3">
      <c r="B520" s="106"/>
      <c r="F520" s="124"/>
      <c r="G520" s="125"/>
      <c r="L520" s="107"/>
      <c r="M520" s="183"/>
      <c r="N520" s="108"/>
      <c r="O520" s="239"/>
    </row>
    <row r="521" spans="2:15" x14ac:dyDescent="0.3">
      <c r="B521" s="106"/>
      <c r="F521" s="124"/>
      <c r="G521" s="125"/>
      <c r="L521" s="107"/>
      <c r="M521" s="183"/>
      <c r="N521" s="108"/>
      <c r="O521" s="239"/>
    </row>
    <row r="522" spans="2:15" x14ac:dyDescent="0.3">
      <c r="B522" s="106"/>
      <c r="F522" s="124"/>
      <c r="G522" s="125"/>
      <c r="L522" s="107"/>
      <c r="M522" s="183"/>
      <c r="N522" s="108"/>
      <c r="O522" s="239"/>
    </row>
    <row r="523" spans="2:15" x14ac:dyDescent="0.3">
      <c r="B523" s="106"/>
      <c r="F523" s="124"/>
      <c r="G523" s="125"/>
      <c r="L523" s="107"/>
      <c r="M523" s="183"/>
      <c r="N523" s="108"/>
      <c r="O523" s="239"/>
    </row>
    <row r="524" spans="2:15" x14ac:dyDescent="0.3">
      <c r="B524" s="106"/>
      <c r="F524" s="124"/>
      <c r="G524" s="125"/>
      <c r="L524" s="107"/>
      <c r="M524" s="183"/>
      <c r="N524" s="108"/>
      <c r="O524" s="239"/>
    </row>
    <row r="525" spans="2:15" x14ac:dyDescent="0.3">
      <c r="B525" s="106"/>
      <c r="F525" s="124"/>
      <c r="G525" s="125"/>
      <c r="L525" s="107"/>
      <c r="M525" s="183"/>
      <c r="N525" s="108"/>
      <c r="O525" s="239"/>
    </row>
    <row r="526" spans="2:15" x14ac:dyDescent="0.3">
      <c r="B526" s="106"/>
      <c r="F526" s="124"/>
      <c r="G526" s="125"/>
      <c r="L526" s="107"/>
      <c r="M526" s="183"/>
      <c r="N526" s="108"/>
      <c r="O526" s="239"/>
    </row>
    <row r="527" spans="2:15" x14ac:dyDescent="0.3">
      <c r="B527" s="106"/>
      <c r="F527" s="124"/>
      <c r="G527" s="125"/>
      <c r="L527" s="107"/>
      <c r="M527" s="183"/>
      <c r="N527" s="108"/>
      <c r="O527" s="239"/>
    </row>
    <row r="528" spans="2:15" x14ac:dyDescent="0.3">
      <c r="B528" s="106"/>
      <c r="F528" s="124"/>
      <c r="G528" s="125"/>
      <c r="L528" s="107"/>
      <c r="M528" s="183"/>
      <c r="N528" s="108"/>
      <c r="O528" s="239"/>
    </row>
    <row r="529" spans="2:15" x14ac:dyDescent="0.3">
      <c r="B529" s="106"/>
      <c r="F529" s="124"/>
      <c r="G529" s="125"/>
      <c r="L529" s="107"/>
      <c r="M529" s="183"/>
      <c r="N529" s="108"/>
      <c r="O529" s="239"/>
    </row>
    <row r="530" spans="2:15" x14ac:dyDescent="0.3">
      <c r="B530" s="106"/>
      <c r="F530" s="124"/>
      <c r="G530" s="125"/>
      <c r="L530" s="107"/>
      <c r="M530" s="183"/>
      <c r="N530" s="108"/>
      <c r="O530" s="239"/>
    </row>
    <row r="531" spans="2:15" x14ac:dyDescent="0.3">
      <c r="B531" s="106"/>
      <c r="F531" s="124"/>
      <c r="G531" s="125"/>
      <c r="L531" s="107"/>
      <c r="M531" s="183"/>
      <c r="N531" s="108"/>
      <c r="O531" s="239"/>
    </row>
    <row r="532" spans="2:15" x14ac:dyDescent="0.3">
      <c r="B532" s="106"/>
      <c r="F532" s="124"/>
      <c r="G532" s="125"/>
      <c r="L532" s="107"/>
      <c r="M532" s="183"/>
      <c r="N532" s="108"/>
      <c r="O532" s="239"/>
    </row>
    <row r="533" spans="2:15" x14ac:dyDescent="0.3">
      <c r="B533" s="106"/>
      <c r="F533" s="124"/>
      <c r="G533" s="125"/>
      <c r="L533" s="107"/>
      <c r="M533" s="183"/>
      <c r="N533" s="108"/>
      <c r="O533" s="239"/>
    </row>
    <row r="534" spans="2:15" x14ac:dyDescent="0.3">
      <c r="B534" s="106"/>
      <c r="F534" s="124"/>
      <c r="G534" s="125"/>
      <c r="L534" s="107"/>
      <c r="M534" s="183"/>
      <c r="N534" s="108"/>
      <c r="O534" s="239"/>
    </row>
    <row r="535" spans="2:15" x14ac:dyDescent="0.3">
      <c r="B535" s="106"/>
      <c r="F535" s="124"/>
      <c r="G535" s="125"/>
      <c r="L535" s="107"/>
      <c r="M535" s="183"/>
      <c r="N535" s="108"/>
      <c r="O535" s="239"/>
    </row>
    <row r="536" spans="2:15" x14ac:dyDescent="0.3">
      <c r="B536" s="106"/>
      <c r="F536" s="124"/>
      <c r="G536" s="125"/>
      <c r="L536" s="107"/>
      <c r="M536" s="183"/>
      <c r="N536" s="108"/>
      <c r="O536" s="239"/>
    </row>
    <row r="537" spans="2:15" x14ac:dyDescent="0.3">
      <c r="B537" s="106"/>
      <c r="F537" s="124"/>
      <c r="G537" s="125"/>
      <c r="L537" s="107"/>
      <c r="M537" s="183"/>
      <c r="N537" s="108"/>
      <c r="O537" s="239"/>
    </row>
    <row r="538" spans="2:15" x14ac:dyDescent="0.3">
      <c r="B538" s="106"/>
      <c r="F538" s="124"/>
      <c r="G538" s="125"/>
      <c r="L538" s="107"/>
      <c r="M538" s="183"/>
      <c r="N538" s="108"/>
      <c r="O538" s="239"/>
    </row>
    <row r="539" spans="2:15" x14ac:dyDescent="0.3">
      <c r="B539" s="106"/>
      <c r="F539" s="124"/>
      <c r="G539" s="125"/>
      <c r="L539" s="107"/>
      <c r="M539" s="183"/>
      <c r="N539" s="108"/>
      <c r="O539" s="239"/>
    </row>
    <row r="540" spans="2:15" x14ac:dyDescent="0.3">
      <c r="B540" s="106"/>
      <c r="F540" s="124"/>
      <c r="G540" s="125"/>
      <c r="L540" s="107"/>
      <c r="M540" s="183"/>
      <c r="N540" s="108"/>
      <c r="O540" s="239"/>
    </row>
    <row r="541" spans="2:15" x14ac:dyDescent="0.3">
      <c r="B541" s="106"/>
      <c r="F541" s="124"/>
      <c r="G541" s="125"/>
      <c r="L541" s="107"/>
      <c r="M541" s="183"/>
      <c r="N541" s="108"/>
      <c r="O541" s="239"/>
    </row>
    <row r="542" spans="2:15" x14ac:dyDescent="0.3">
      <c r="B542" s="106"/>
      <c r="F542" s="124"/>
      <c r="G542" s="125"/>
      <c r="L542" s="107"/>
      <c r="M542" s="183"/>
      <c r="N542" s="108"/>
      <c r="O542" s="239"/>
    </row>
    <row r="543" spans="2:15" x14ac:dyDescent="0.3">
      <c r="B543" s="106"/>
      <c r="F543" s="124"/>
      <c r="G543" s="125"/>
      <c r="L543" s="107"/>
      <c r="M543" s="183"/>
      <c r="N543" s="108"/>
      <c r="O543" s="239"/>
    </row>
    <row r="544" spans="2:15" x14ac:dyDescent="0.3">
      <c r="B544" s="106"/>
      <c r="F544" s="124"/>
      <c r="G544" s="125"/>
      <c r="L544" s="107"/>
      <c r="M544" s="183"/>
      <c r="N544" s="108"/>
      <c r="O544" s="239"/>
    </row>
    <row r="545" spans="2:15" x14ac:dyDescent="0.3">
      <c r="B545" s="106"/>
      <c r="F545" s="124"/>
      <c r="G545" s="125"/>
      <c r="L545" s="107"/>
      <c r="M545" s="183"/>
      <c r="N545" s="108"/>
      <c r="O545" s="239"/>
    </row>
    <row r="546" spans="2:15" x14ac:dyDescent="0.3">
      <c r="B546" s="106"/>
      <c r="F546" s="124"/>
      <c r="G546" s="125"/>
      <c r="L546" s="107"/>
      <c r="M546" s="183"/>
      <c r="N546" s="108"/>
      <c r="O546" s="239"/>
    </row>
    <row r="547" spans="2:15" x14ac:dyDescent="0.3">
      <c r="B547" s="106"/>
      <c r="F547" s="124"/>
      <c r="G547" s="125"/>
      <c r="L547" s="107"/>
      <c r="M547" s="183"/>
      <c r="N547" s="108"/>
      <c r="O547" s="239"/>
    </row>
    <row r="548" spans="2:15" x14ac:dyDescent="0.3">
      <c r="B548" s="106"/>
      <c r="F548" s="124"/>
      <c r="G548" s="125"/>
      <c r="L548" s="107"/>
      <c r="M548" s="183"/>
      <c r="N548" s="108"/>
      <c r="O548" s="239"/>
    </row>
    <row r="549" spans="2:15" x14ac:dyDescent="0.3">
      <c r="B549" s="106"/>
      <c r="F549" s="124"/>
      <c r="G549" s="125"/>
      <c r="L549" s="107"/>
      <c r="M549" s="183"/>
      <c r="N549" s="108"/>
      <c r="O549" s="239"/>
    </row>
    <row r="550" spans="2:15" x14ac:dyDescent="0.3">
      <c r="B550" s="106"/>
      <c r="F550" s="124"/>
      <c r="G550" s="125"/>
      <c r="L550" s="107"/>
      <c r="M550" s="183"/>
      <c r="N550" s="108"/>
      <c r="O550" s="239"/>
    </row>
    <row r="551" spans="2:15" x14ac:dyDescent="0.3">
      <c r="B551" s="106"/>
      <c r="F551" s="124"/>
      <c r="G551" s="125"/>
      <c r="L551" s="107"/>
      <c r="M551" s="183"/>
      <c r="N551" s="108"/>
      <c r="O551" s="239"/>
    </row>
    <row r="552" spans="2:15" x14ac:dyDescent="0.3">
      <c r="B552" s="106"/>
      <c r="F552" s="124"/>
      <c r="G552" s="125"/>
      <c r="L552" s="107"/>
      <c r="M552" s="183"/>
      <c r="N552" s="108"/>
      <c r="O552" s="239"/>
    </row>
    <row r="553" spans="2:15" x14ac:dyDescent="0.3">
      <c r="B553" s="106"/>
      <c r="F553" s="124"/>
      <c r="G553" s="125"/>
      <c r="L553" s="107"/>
      <c r="M553" s="183"/>
      <c r="N553" s="108"/>
      <c r="O553" s="239"/>
    </row>
    <row r="554" spans="2:15" x14ac:dyDescent="0.3">
      <c r="B554" s="106"/>
      <c r="F554" s="124"/>
      <c r="G554" s="125"/>
      <c r="L554" s="107"/>
      <c r="M554" s="183"/>
      <c r="N554" s="108"/>
      <c r="O554" s="239"/>
    </row>
    <row r="555" spans="2:15" x14ac:dyDescent="0.3">
      <c r="B555" s="106"/>
      <c r="F555" s="124"/>
      <c r="G555" s="125"/>
      <c r="L555" s="107"/>
      <c r="M555" s="183"/>
      <c r="N555" s="108"/>
      <c r="O555" s="239"/>
    </row>
    <row r="556" spans="2:15" x14ac:dyDescent="0.3">
      <c r="B556" s="106"/>
      <c r="F556" s="124"/>
      <c r="G556" s="125"/>
      <c r="L556" s="107"/>
      <c r="M556" s="183"/>
      <c r="N556" s="108"/>
      <c r="O556" s="239"/>
    </row>
    <row r="557" spans="2:15" x14ac:dyDescent="0.3">
      <c r="B557" s="106"/>
      <c r="F557" s="124"/>
      <c r="G557" s="125"/>
      <c r="L557" s="107"/>
      <c r="M557" s="183"/>
      <c r="N557" s="108"/>
      <c r="O557" s="239"/>
    </row>
    <row r="558" spans="2:15" x14ac:dyDescent="0.3">
      <c r="B558" s="106"/>
      <c r="F558" s="124"/>
      <c r="G558" s="125"/>
      <c r="L558" s="107"/>
      <c r="M558" s="183"/>
      <c r="N558" s="108"/>
      <c r="O558" s="239"/>
    </row>
    <row r="559" spans="2:15" x14ac:dyDescent="0.3">
      <c r="B559" s="106"/>
      <c r="F559" s="124"/>
      <c r="G559" s="125"/>
      <c r="L559" s="107"/>
      <c r="M559" s="183"/>
      <c r="N559" s="108"/>
      <c r="O559" s="239"/>
    </row>
    <row r="560" spans="2:15" x14ac:dyDescent="0.3">
      <c r="B560" s="106"/>
      <c r="F560" s="124"/>
      <c r="G560" s="125"/>
      <c r="L560" s="107"/>
      <c r="M560" s="183"/>
      <c r="N560" s="108"/>
      <c r="O560" s="239"/>
    </row>
    <row r="561" spans="2:15" x14ac:dyDescent="0.3">
      <c r="B561" s="106"/>
      <c r="F561" s="124"/>
      <c r="G561" s="125"/>
      <c r="L561" s="107"/>
      <c r="M561" s="183"/>
      <c r="N561" s="108"/>
      <c r="O561" s="239"/>
    </row>
    <row r="562" spans="2:15" x14ac:dyDescent="0.3">
      <c r="B562" s="106"/>
      <c r="F562" s="124"/>
      <c r="G562" s="125"/>
      <c r="L562" s="107"/>
      <c r="M562" s="183"/>
      <c r="N562" s="108"/>
      <c r="O562" s="239"/>
    </row>
    <row r="563" spans="2:15" x14ac:dyDescent="0.3">
      <c r="B563" s="106"/>
      <c r="F563" s="124"/>
      <c r="G563" s="125"/>
      <c r="L563" s="107"/>
      <c r="M563" s="183"/>
      <c r="N563" s="108"/>
      <c r="O563" s="239"/>
    </row>
    <row r="564" spans="2:15" x14ac:dyDescent="0.3">
      <c r="B564" s="106"/>
      <c r="F564" s="124"/>
      <c r="G564" s="125"/>
      <c r="L564" s="107"/>
      <c r="M564" s="183"/>
      <c r="N564" s="108"/>
      <c r="O564" s="239"/>
    </row>
    <row r="565" spans="2:15" x14ac:dyDescent="0.3">
      <c r="B565" s="106"/>
      <c r="F565" s="124"/>
      <c r="G565" s="125"/>
      <c r="L565" s="107"/>
      <c r="M565" s="183"/>
      <c r="N565" s="108"/>
      <c r="O565" s="239"/>
    </row>
    <row r="566" spans="2:15" x14ac:dyDescent="0.3">
      <c r="B566" s="106"/>
      <c r="F566" s="124"/>
      <c r="G566" s="125"/>
      <c r="L566" s="107"/>
      <c r="M566" s="183"/>
      <c r="N566" s="108"/>
      <c r="O566" s="239"/>
    </row>
    <row r="567" spans="2:15" x14ac:dyDescent="0.3">
      <c r="B567" s="106"/>
      <c r="F567" s="124"/>
      <c r="G567" s="125"/>
      <c r="L567" s="107"/>
      <c r="M567" s="183"/>
      <c r="N567" s="108"/>
      <c r="O567" s="239"/>
    </row>
    <row r="568" spans="2:15" x14ac:dyDescent="0.3">
      <c r="B568" s="106"/>
      <c r="F568" s="124"/>
      <c r="G568" s="125"/>
      <c r="L568" s="107"/>
      <c r="M568" s="183"/>
      <c r="N568" s="108"/>
      <c r="O568" s="239"/>
    </row>
    <row r="569" spans="2:15" x14ac:dyDescent="0.3">
      <c r="B569" s="106"/>
      <c r="F569" s="124"/>
      <c r="G569" s="125"/>
      <c r="L569" s="107"/>
      <c r="M569" s="183"/>
      <c r="N569" s="108"/>
      <c r="O569" s="239"/>
    </row>
    <row r="570" spans="2:15" x14ac:dyDescent="0.3">
      <c r="B570" s="106"/>
      <c r="F570" s="124"/>
      <c r="G570" s="125"/>
      <c r="L570" s="107"/>
      <c r="M570" s="183"/>
      <c r="N570" s="108"/>
      <c r="O570" s="239"/>
    </row>
    <row r="571" spans="2:15" x14ac:dyDescent="0.3">
      <c r="B571" s="106"/>
      <c r="F571" s="124"/>
      <c r="G571" s="125"/>
      <c r="L571" s="107"/>
      <c r="M571" s="183"/>
      <c r="N571" s="108"/>
      <c r="O571" s="239"/>
    </row>
    <row r="572" spans="2:15" x14ac:dyDescent="0.3">
      <c r="B572" s="106"/>
      <c r="F572" s="124"/>
      <c r="G572" s="125"/>
      <c r="L572" s="107"/>
      <c r="M572" s="183"/>
      <c r="N572" s="108"/>
      <c r="O572" s="239"/>
    </row>
    <row r="573" spans="2:15" x14ac:dyDescent="0.3">
      <c r="B573" s="106"/>
      <c r="F573" s="124"/>
      <c r="G573" s="125"/>
      <c r="L573" s="107"/>
      <c r="M573" s="183"/>
      <c r="N573" s="108"/>
      <c r="O573" s="239"/>
    </row>
    <row r="574" spans="2:15" x14ac:dyDescent="0.3">
      <c r="B574" s="106"/>
      <c r="F574" s="124"/>
      <c r="G574" s="125"/>
      <c r="L574" s="107"/>
      <c r="M574" s="183"/>
      <c r="N574" s="108"/>
      <c r="O574" s="239"/>
    </row>
    <row r="575" spans="2:15" x14ac:dyDescent="0.3">
      <c r="B575" s="106"/>
      <c r="F575" s="124"/>
      <c r="G575" s="125"/>
      <c r="L575" s="107"/>
      <c r="M575" s="183"/>
      <c r="N575" s="108"/>
      <c r="O575" s="239"/>
    </row>
    <row r="576" spans="2:15" x14ac:dyDescent="0.3">
      <c r="B576" s="106"/>
      <c r="F576" s="124"/>
      <c r="G576" s="125"/>
      <c r="L576" s="107"/>
      <c r="M576" s="183"/>
      <c r="N576" s="108"/>
      <c r="O576" s="239"/>
    </row>
    <row r="577" spans="2:15" x14ac:dyDescent="0.3">
      <c r="B577" s="106"/>
      <c r="F577" s="124"/>
      <c r="G577" s="125"/>
      <c r="L577" s="107"/>
      <c r="M577" s="183"/>
      <c r="N577" s="108"/>
      <c r="O577" s="239"/>
    </row>
    <row r="578" spans="2:15" x14ac:dyDescent="0.3">
      <c r="B578" s="106"/>
      <c r="F578" s="124"/>
      <c r="G578" s="125"/>
      <c r="L578" s="107"/>
      <c r="M578" s="183"/>
      <c r="N578" s="108"/>
      <c r="O578" s="239"/>
    </row>
    <row r="579" spans="2:15" x14ac:dyDescent="0.3">
      <c r="B579" s="106"/>
      <c r="F579" s="124"/>
      <c r="G579" s="125"/>
      <c r="L579" s="107"/>
      <c r="M579" s="183"/>
      <c r="N579" s="108"/>
      <c r="O579" s="239"/>
    </row>
    <row r="580" spans="2:15" x14ac:dyDescent="0.3">
      <c r="B580" s="106"/>
      <c r="F580" s="124"/>
      <c r="G580" s="125"/>
      <c r="L580" s="107"/>
      <c r="M580" s="183"/>
      <c r="N580" s="108"/>
      <c r="O580" s="239"/>
    </row>
    <row r="581" spans="2:15" x14ac:dyDescent="0.3">
      <c r="B581" s="106"/>
      <c r="F581" s="124"/>
      <c r="G581" s="125"/>
      <c r="L581" s="107"/>
      <c r="M581" s="183"/>
      <c r="N581" s="108"/>
      <c r="O581" s="239"/>
    </row>
    <row r="582" spans="2:15" x14ac:dyDescent="0.3">
      <c r="B582" s="106"/>
      <c r="F582" s="124"/>
      <c r="G582" s="125"/>
      <c r="L582" s="107"/>
      <c r="M582" s="183"/>
      <c r="N582" s="108"/>
      <c r="O582" s="239"/>
    </row>
    <row r="583" spans="2:15" x14ac:dyDescent="0.3">
      <c r="B583" s="106"/>
      <c r="F583" s="124"/>
      <c r="G583" s="125"/>
      <c r="L583" s="107"/>
      <c r="M583" s="183"/>
      <c r="N583" s="108"/>
      <c r="O583" s="239"/>
    </row>
    <row r="584" spans="2:15" x14ac:dyDescent="0.3">
      <c r="B584" s="106"/>
      <c r="F584" s="124"/>
      <c r="G584" s="125"/>
      <c r="L584" s="107"/>
      <c r="M584" s="183"/>
      <c r="N584" s="108"/>
      <c r="O584" s="239"/>
    </row>
    <row r="585" spans="2:15" x14ac:dyDescent="0.3">
      <c r="B585" s="106"/>
      <c r="F585" s="124"/>
      <c r="G585" s="125"/>
      <c r="L585" s="107"/>
      <c r="M585" s="183"/>
      <c r="N585" s="108"/>
      <c r="O585" s="239"/>
    </row>
    <row r="586" spans="2:15" x14ac:dyDescent="0.3">
      <c r="B586" s="106"/>
      <c r="F586" s="124"/>
      <c r="G586" s="125"/>
      <c r="L586" s="107"/>
      <c r="M586" s="183"/>
      <c r="N586" s="108"/>
      <c r="O586" s="239"/>
    </row>
    <row r="587" spans="2:15" x14ac:dyDescent="0.3">
      <c r="B587" s="106"/>
      <c r="F587" s="124"/>
      <c r="G587" s="125"/>
      <c r="L587" s="107"/>
      <c r="M587" s="183"/>
      <c r="N587" s="108"/>
      <c r="O587" s="239"/>
    </row>
    <row r="588" spans="2:15" x14ac:dyDescent="0.3">
      <c r="B588" s="106"/>
      <c r="F588" s="124"/>
      <c r="G588" s="125"/>
      <c r="L588" s="107"/>
      <c r="M588" s="183"/>
      <c r="N588" s="108"/>
      <c r="O588" s="239"/>
    </row>
    <row r="589" spans="2:15" x14ac:dyDescent="0.3">
      <c r="B589" s="106"/>
      <c r="F589" s="124"/>
      <c r="G589" s="125"/>
      <c r="L589" s="107"/>
      <c r="M589" s="183"/>
      <c r="N589" s="108"/>
      <c r="O589" s="239"/>
    </row>
    <row r="590" spans="2:15" x14ac:dyDescent="0.3">
      <c r="B590" s="106"/>
      <c r="F590" s="124"/>
      <c r="G590" s="125"/>
      <c r="L590" s="107"/>
      <c r="M590" s="183"/>
      <c r="N590" s="108"/>
      <c r="O590" s="239"/>
    </row>
    <row r="591" spans="2:15" x14ac:dyDescent="0.3">
      <c r="B591" s="106"/>
      <c r="F591" s="124"/>
      <c r="G591" s="125"/>
      <c r="L591" s="107"/>
      <c r="M591" s="183"/>
      <c r="N591" s="108"/>
      <c r="O591" s="239"/>
    </row>
    <row r="592" spans="2:15" x14ac:dyDescent="0.3">
      <c r="B592" s="106"/>
      <c r="F592" s="124"/>
      <c r="G592" s="125"/>
      <c r="L592" s="107"/>
      <c r="M592" s="183"/>
      <c r="N592" s="108"/>
      <c r="O592" s="239"/>
    </row>
    <row r="593" spans="2:15" x14ac:dyDescent="0.3">
      <c r="B593" s="106"/>
      <c r="F593" s="124"/>
      <c r="G593" s="125"/>
      <c r="L593" s="107"/>
      <c r="M593" s="183"/>
      <c r="N593" s="108"/>
      <c r="O593" s="239"/>
    </row>
    <row r="594" spans="2:15" x14ac:dyDescent="0.3">
      <c r="B594" s="106"/>
      <c r="F594" s="124"/>
      <c r="G594" s="125"/>
      <c r="L594" s="107"/>
      <c r="M594" s="183"/>
      <c r="N594" s="108"/>
      <c r="O594" s="239"/>
    </row>
    <row r="595" spans="2:15" x14ac:dyDescent="0.3">
      <c r="B595" s="106"/>
      <c r="F595" s="124"/>
      <c r="G595" s="125"/>
      <c r="L595" s="107"/>
      <c r="M595" s="183"/>
      <c r="N595" s="108"/>
      <c r="O595" s="239"/>
    </row>
    <row r="596" spans="2:15" x14ac:dyDescent="0.3">
      <c r="B596" s="106"/>
      <c r="F596" s="124"/>
      <c r="G596" s="125"/>
      <c r="L596" s="107"/>
      <c r="M596" s="183"/>
      <c r="N596" s="108"/>
      <c r="O596" s="239"/>
    </row>
    <row r="597" spans="2:15" x14ac:dyDescent="0.3">
      <c r="B597" s="106"/>
      <c r="F597" s="124"/>
      <c r="G597" s="125"/>
      <c r="L597" s="107"/>
      <c r="M597" s="183"/>
      <c r="N597" s="108"/>
      <c r="O597" s="239"/>
    </row>
    <row r="598" spans="2:15" x14ac:dyDescent="0.3">
      <c r="B598" s="106"/>
      <c r="F598" s="124"/>
      <c r="G598" s="125"/>
      <c r="L598" s="107"/>
      <c r="M598" s="183"/>
      <c r="N598" s="108"/>
      <c r="O598" s="239"/>
    </row>
    <row r="599" spans="2:15" x14ac:dyDescent="0.3">
      <c r="B599" s="106"/>
      <c r="F599" s="124"/>
      <c r="G599" s="125"/>
      <c r="L599" s="107"/>
      <c r="M599" s="183"/>
      <c r="N599" s="108"/>
      <c r="O599" s="239"/>
    </row>
    <row r="600" spans="2:15" x14ac:dyDescent="0.3">
      <c r="B600" s="106"/>
      <c r="F600" s="124"/>
      <c r="G600" s="125"/>
      <c r="L600" s="107"/>
      <c r="M600" s="183"/>
      <c r="N600" s="108"/>
      <c r="O600" s="239"/>
    </row>
    <row r="601" spans="2:15" x14ac:dyDescent="0.3">
      <c r="B601" s="106"/>
      <c r="F601" s="124"/>
      <c r="G601" s="125"/>
      <c r="L601" s="107"/>
      <c r="M601" s="183"/>
      <c r="N601" s="108"/>
      <c r="O601" s="239"/>
    </row>
    <row r="602" spans="2:15" x14ac:dyDescent="0.3">
      <c r="B602" s="106"/>
      <c r="F602" s="124"/>
      <c r="G602" s="125"/>
      <c r="L602" s="107"/>
      <c r="M602" s="183"/>
      <c r="N602" s="108"/>
      <c r="O602" s="239"/>
    </row>
    <row r="603" spans="2:15" x14ac:dyDescent="0.3">
      <c r="B603" s="106"/>
      <c r="F603" s="124"/>
      <c r="G603" s="125"/>
      <c r="L603" s="107"/>
      <c r="M603" s="183"/>
      <c r="N603" s="108"/>
      <c r="O603" s="239"/>
    </row>
    <row r="604" spans="2:15" x14ac:dyDescent="0.3">
      <c r="B604" s="106"/>
      <c r="F604" s="124"/>
      <c r="G604" s="125"/>
      <c r="L604" s="107"/>
      <c r="M604" s="183"/>
      <c r="N604" s="108"/>
      <c r="O604" s="239"/>
    </row>
    <row r="605" spans="2:15" x14ac:dyDescent="0.3">
      <c r="B605" s="106"/>
      <c r="F605" s="124"/>
      <c r="G605" s="125"/>
      <c r="L605" s="107"/>
      <c r="M605" s="183"/>
      <c r="N605" s="108"/>
      <c r="O605" s="239"/>
    </row>
    <row r="606" spans="2:15" x14ac:dyDescent="0.3">
      <c r="B606" s="106"/>
      <c r="F606" s="124"/>
      <c r="G606" s="125"/>
      <c r="L606" s="107"/>
      <c r="M606" s="183"/>
      <c r="N606" s="108"/>
      <c r="O606" s="239"/>
    </row>
    <row r="607" spans="2:15" x14ac:dyDescent="0.3">
      <c r="B607" s="106"/>
      <c r="F607" s="124"/>
      <c r="G607" s="125"/>
      <c r="L607" s="107"/>
      <c r="M607" s="183"/>
      <c r="N607" s="108"/>
      <c r="O607" s="239"/>
    </row>
    <row r="608" spans="2:15" x14ac:dyDescent="0.3">
      <c r="B608" s="106"/>
      <c r="F608" s="124"/>
      <c r="G608" s="125"/>
      <c r="L608" s="107"/>
      <c r="M608" s="183"/>
      <c r="N608" s="108"/>
      <c r="O608" s="239"/>
    </row>
    <row r="609" spans="2:15" x14ac:dyDescent="0.3">
      <c r="B609" s="106"/>
      <c r="F609" s="124"/>
      <c r="G609" s="125"/>
      <c r="L609" s="107"/>
      <c r="M609" s="183"/>
      <c r="N609" s="108"/>
      <c r="O609" s="239"/>
    </row>
    <row r="610" spans="2:15" x14ac:dyDescent="0.3">
      <c r="B610" s="106"/>
      <c r="F610" s="124"/>
      <c r="G610" s="125"/>
      <c r="L610" s="107"/>
      <c r="M610" s="183"/>
      <c r="N610" s="108"/>
      <c r="O610" s="239"/>
    </row>
    <row r="611" spans="2:15" x14ac:dyDescent="0.3">
      <c r="B611" s="106"/>
      <c r="F611" s="124"/>
      <c r="G611" s="125"/>
      <c r="L611" s="107"/>
      <c r="M611" s="183"/>
      <c r="N611" s="108"/>
      <c r="O611" s="239"/>
    </row>
    <row r="612" spans="2:15" x14ac:dyDescent="0.3">
      <c r="B612" s="106"/>
      <c r="F612" s="124"/>
      <c r="G612" s="125"/>
      <c r="L612" s="107"/>
      <c r="M612" s="183"/>
      <c r="N612" s="108"/>
      <c r="O612" s="239"/>
    </row>
    <row r="613" spans="2:15" x14ac:dyDescent="0.3">
      <c r="B613" s="106"/>
      <c r="F613" s="124"/>
      <c r="G613" s="125"/>
      <c r="L613" s="107"/>
      <c r="M613" s="183"/>
      <c r="N613" s="108"/>
      <c r="O613" s="239"/>
    </row>
    <row r="614" spans="2:15" x14ac:dyDescent="0.3">
      <c r="B614" s="106"/>
      <c r="F614" s="124"/>
      <c r="G614" s="125"/>
      <c r="L614" s="107"/>
      <c r="M614" s="183"/>
      <c r="N614" s="108"/>
      <c r="O614" s="239"/>
    </row>
    <row r="615" spans="2:15" x14ac:dyDescent="0.3">
      <c r="B615" s="106"/>
      <c r="F615" s="124"/>
      <c r="G615" s="125"/>
      <c r="L615" s="107"/>
      <c r="M615" s="183"/>
      <c r="N615" s="108"/>
      <c r="O615" s="239"/>
    </row>
    <row r="616" spans="2:15" x14ac:dyDescent="0.3">
      <c r="B616" s="106"/>
      <c r="F616" s="124"/>
      <c r="G616" s="125"/>
      <c r="L616" s="107"/>
      <c r="M616" s="183"/>
      <c r="N616" s="108"/>
      <c r="O616" s="239"/>
    </row>
    <row r="617" spans="2:15" x14ac:dyDescent="0.3">
      <c r="B617" s="106"/>
      <c r="F617" s="124"/>
      <c r="G617" s="125"/>
      <c r="L617" s="107"/>
      <c r="M617" s="183"/>
      <c r="N617" s="108"/>
      <c r="O617" s="239"/>
    </row>
    <row r="618" spans="2:15" x14ac:dyDescent="0.3">
      <c r="B618" s="106"/>
      <c r="F618" s="124"/>
      <c r="G618" s="125"/>
      <c r="L618" s="107"/>
      <c r="M618" s="183"/>
      <c r="N618" s="108"/>
      <c r="O618" s="239"/>
    </row>
    <row r="619" spans="2:15" x14ac:dyDescent="0.3">
      <c r="B619" s="106"/>
      <c r="F619" s="124"/>
      <c r="G619" s="125"/>
      <c r="L619" s="107"/>
      <c r="M619" s="183"/>
      <c r="N619" s="108"/>
      <c r="O619" s="239"/>
    </row>
    <row r="620" spans="2:15" x14ac:dyDescent="0.3">
      <c r="B620" s="106"/>
      <c r="F620" s="124"/>
      <c r="G620" s="125"/>
      <c r="L620" s="107"/>
      <c r="M620" s="183"/>
      <c r="N620" s="108"/>
      <c r="O620" s="239"/>
    </row>
    <row r="621" spans="2:15" x14ac:dyDescent="0.3">
      <c r="B621" s="106"/>
      <c r="F621" s="124"/>
      <c r="G621" s="125"/>
      <c r="L621" s="107"/>
      <c r="M621" s="183"/>
      <c r="N621" s="108"/>
      <c r="O621" s="239"/>
    </row>
    <row r="622" spans="2:15" x14ac:dyDescent="0.3">
      <c r="B622" s="106"/>
      <c r="F622" s="124"/>
      <c r="G622" s="125"/>
      <c r="L622" s="107"/>
      <c r="M622" s="183"/>
      <c r="N622" s="108"/>
      <c r="O622" s="239"/>
    </row>
    <row r="623" spans="2:15" x14ac:dyDescent="0.3">
      <c r="B623" s="106"/>
      <c r="F623" s="124"/>
      <c r="G623" s="125"/>
      <c r="L623" s="107"/>
      <c r="M623" s="183"/>
      <c r="N623" s="108"/>
      <c r="O623" s="239"/>
    </row>
    <row r="624" spans="2:15" x14ac:dyDescent="0.3">
      <c r="B624" s="106"/>
      <c r="F624" s="124"/>
      <c r="G624" s="125"/>
      <c r="L624" s="107"/>
      <c r="M624" s="183"/>
      <c r="N624" s="108"/>
      <c r="O624" s="239"/>
    </row>
    <row r="625" spans="2:15" x14ac:dyDescent="0.3">
      <c r="B625" s="106"/>
      <c r="F625" s="124"/>
      <c r="G625" s="125"/>
      <c r="L625" s="107"/>
      <c r="M625" s="183"/>
      <c r="N625" s="108"/>
      <c r="O625" s="239"/>
    </row>
    <row r="626" spans="2:15" x14ac:dyDescent="0.3">
      <c r="B626" s="106"/>
      <c r="F626" s="124"/>
      <c r="G626" s="125"/>
      <c r="L626" s="107"/>
      <c r="M626" s="183"/>
      <c r="N626" s="108"/>
      <c r="O626" s="239"/>
    </row>
    <row r="627" spans="2:15" x14ac:dyDescent="0.3">
      <c r="B627" s="106"/>
      <c r="F627" s="124"/>
      <c r="G627" s="125"/>
      <c r="L627" s="107"/>
      <c r="M627" s="183"/>
      <c r="N627" s="108"/>
      <c r="O627" s="239"/>
    </row>
    <row r="628" spans="2:15" x14ac:dyDescent="0.3">
      <c r="B628" s="106"/>
      <c r="F628" s="124"/>
      <c r="G628" s="125"/>
      <c r="L628" s="107"/>
      <c r="M628" s="183"/>
      <c r="N628" s="108"/>
      <c r="O628" s="239"/>
    </row>
    <row r="629" spans="2:15" x14ac:dyDescent="0.3">
      <c r="B629" s="106"/>
      <c r="F629" s="124"/>
      <c r="G629" s="125"/>
      <c r="L629" s="107"/>
      <c r="M629" s="183"/>
      <c r="N629" s="108"/>
      <c r="O629" s="239"/>
    </row>
    <row r="630" spans="2:15" x14ac:dyDescent="0.3">
      <c r="B630" s="106"/>
      <c r="F630" s="124"/>
      <c r="G630" s="125"/>
      <c r="L630" s="107"/>
      <c r="M630" s="183"/>
      <c r="N630" s="108"/>
      <c r="O630" s="239"/>
    </row>
    <row r="631" spans="2:15" x14ac:dyDescent="0.3">
      <c r="B631" s="106"/>
      <c r="F631" s="124"/>
      <c r="G631" s="125"/>
      <c r="L631" s="107"/>
      <c r="M631" s="183"/>
      <c r="N631" s="108"/>
      <c r="O631" s="239"/>
    </row>
    <row r="632" spans="2:15" x14ac:dyDescent="0.3">
      <c r="B632" s="106"/>
      <c r="F632" s="124"/>
      <c r="G632" s="125"/>
      <c r="L632" s="107"/>
      <c r="M632" s="183"/>
      <c r="N632" s="108"/>
      <c r="O632" s="239"/>
    </row>
    <row r="633" spans="2:15" x14ac:dyDescent="0.3">
      <c r="B633" s="106"/>
      <c r="F633" s="124"/>
      <c r="G633" s="125"/>
      <c r="L633" s="107"/>
      <c r="M633" s="183"/>
      <c r="N633" s="108"/>
      <c r="O633" s="239"/>
    </row>
    <row r="634" spans="2:15" x14ac:dyDescent="0.3">
      <c r="B634" s="106"/>
      <c r="F634" s="124"/>
      <c r="G634" s="125"/>
      <c r="L634" s="107"/>
      <c r="M634" s="183"/>
      <c r="N634" s="108"/>
      <c r="O634" s="239"/>
    </row>
    <row r="635" spans="2:15" x14ac:dyDescent="0.3">
      <c r="B635" s="106"/>
      <c r="F635" s="124"/>
      <c r="G635" s="125"/>
      <c r="L635" s="107"/>
      <c r="M635" s="183"/>
      <c r="N635" s="108"/>
      <c r="O635" s="239"/>
    </row>
    <row r="636" spans="2:15" x14ac:dyDescent="0.3">
      <c r="B636" s="106"/>
      <c r="F636" s="124"/>
      <c r="G636" s="125"/>
      <c r="L636" s="107"/>
      <c r="M636" s="183"/>
      <c r="N636" s="108"/>
      <c r="O636" s="239"/>
    </row>
    <row r="637" spans="2:15" x14ac:dyDescent="0.3">
      <c r="B637" s="106"/>
      <c r="F637" s="124"/>
      <c r="G637" s="125"/>
      <c r="L637" s="107"/>
      <c r="M637" s="183"/>
      <c r="N637" s="108"/>
      <c r="O637" s="239"/>
    </row>
    <row r="638" spans="2:15" x14ac:dyDescent="0.3">
      <c r="B638" s="106"/>
      <c r="F638" s="124"/>
      <c r="G638" s="125"/>
      <c r="L638" s="107"/>
      <c r="M638" s="183"/>
      <c r="N638" s="108"/>
      <c r="O638" s="239"/>
    </row>
    <row r="639" spans="2:15" x14ac:dyDescent="0.3">
      <c r="B639" s="106"/>
      <c r="F639" s="124"/>
      <c r="G639" s="125"/>
      <c r="L639" s="107"/>
      <c r="M639" s="183"/>
      <c r="N639" s="108"/>
      <c r="O639" s="239"/>
    </row>
    <row r="640" spans="2:15" x14ac:dyDescent="0.3">
      <c r="B640" s="106"/>
      <c r="F640" s="124"/>
      <c r="G640" s="125"/>
      <c r="L640" s="107"/>
      <c r="M640" s="183"/>
      <c r="N640" s="108"/>
      <c r="O640" s="239"/>
    </row>
    <row r="641" spans="2:15" x14ac:dyDescent="0.3">
      <c r="B641" s="106"/>
      <c r="F641" s="124"/>
      <c r="G641" s="125"/>
      <c r="L641" s="107"/>
      <c r="M641" s="183"/>
      <c r="N641" s="108"/>
      <c r="O641" s="239"/>
    </row>
    <row r="642" spans="2:15" x14ac:dyDescent="0.3">
      <c r="B642" s="106"/>
      <c r="F642" s="124"/>
      <c r="G642" s="125"/>
      <c r="L642" s="107"/>
      <c r="M642" s="183"/>
      <c r="N642" s="108"/>
      <c r="O642" s="239"/>
    </row>
    <row r="643" spans="2:15" x14ac:dyDescent="0.3">
      <c r="B643" s="106"/>
      <c r="F643" s="124"/>
      <c r="G643" s="125"/>
      <c r="L643" s="107"/>
      <c r="M643" s="183"/>
      <c r="N643" s="108"/>
      <c r="O643" s="239"/>
    </row>
    <row r="644" spans="2:15" x14ac:dyDescent="0.3">
      <c r="B644" s="106"/>
      <c r="F644" s="124"/>
      <c r="G644" s="125"/>
      <c r="L644" s="107"/>
      <c r="M644" s="183"/>
      <c r="N644" s="108"/>
      <c r="O644" s="239"/>
    </row>
    <row r="645" spans="2:15" x14ac:dyDescent="0.3">
      <c r="B645" s="106"/>
      <c r="F645" s="124"/>
      <c r="G645" s="125"/>
      <c r="L645" s="107"/>
      <c r="M645" s="183"/>
      <c r="N645" s="108"/>
      <c r="O645" s="239"/>
    </row>
    <row r="646" spans="2:15" x14ac:dyDescent="0.3">
      <c r="B646" s="106"/>
      <c r="F646" s="124"/>
      <c r="G646" s="125"/>
      <c r="L646" s="107"/>
      <c r="M646" s="183"/>
      <c r="N646" s="108"/>
      <c r="O646" s="239"/>
    </row>
    <row r="647" spans="2:15" x14ac:dyDescent="0.3">
      <c r="B647" s="106"/>
      <c r="F647" s="124"/>
      <c r="G647" s="125"/>
      <c r="L647" s="107"/>
      <c r="M647" s="183"/>
      <c r="N647" s="108"/>
      <c r="O647" s="239"/>
    </row>
    <row r="648" spans="2:15" x14ac:dyDescent="0.3">
      <c r="B648" s="106"/>
      <c r="F648" s="124"/>
      <c r="G648" s="125"/>
      <c r="L648" s="107"/>
      <c r="M648" s="183"/>
      <c r="N648" s="108"/>
      <c r="O648" s="239"/>
    </row>
    <row r="649" spans="2:15" x14ac:dyDescent="0.3">
      <c r="B649" s="106"/>
      <c r="F649" s="124"/>
      <c r="G649" s="125"/>
      <c r="L649" s="107"/>
      <c r="M649" s="183"/>
      <c r="N649" s="108"/>
      <c r="O649" s="239"/>
    </row>
    <row r="650" spans="2:15" x14ac:dyDescent="0.3">
      <c r="B650" s="106"/>
      <c r="F650" s="124"/>
      <c r="G650" s="125"/>
      <c r="L650" s="107"/>
      <c r="M650" s="183"/>
      <c r="N650" s="108"/>
      <c r="O650" s="239"/>
    </row>
    <row r="651" spans="2:15" x14ac:dyDescent="0.3">
      <c r="B651" s="106"/>
      <c r="F651" s="124"/>
      <c r="G651" s="125"/>
      <c r="L651" s="107"/>
      <c r="M651" s="183"/>
      <c r="N651" s="108"/>
      <c r="O651" s="239"/>
    </row>
    <row r="652" spans="2:15" x14ac:dyDescent="0.3">
      <c r="B652" s="106"/>
      <c r="F652" s="124"/>
      <c r="G652" s="125"/>
      <c r="L652" s="107"/>
      <c r="M652" s="183"/>
      <c r="N652" s="108"/>
      <c r="O652" s="239"/>
    </row>
    <row r="653" spans="2:15" x14ac:dyDescent="0.3">
      <c r="B653" s="106"/>
      <c r="F653" s="124"/>
      <c r="G653" s="125"/>
      <c r="L653" s="107"/>
      <c r="M653" s="183"/>
      <c r="N653" s="108"/>
      <c r="O653" s="239"/>
    </row>
    <row r="654" spans="2:15" x14ac:dyDescent="0.3">
      <c r="B654" s="106"/>
      <c r="F654" s="124"/>
      <c r="G654" s="125"/>
      <c r="L654" s="107"/>
      <c r="M654" s="183"/>
      <c r="N654" s="108"/>
      <c r="O654" s="239"/>
    </row>
    <row r="655" spans="2:15" x14ac:dyDescent="0.3">
      <c r="B655" s="106"/>
      <c r="F655" s="124"/>
      <c r="G655" s="125"/>
      <c r="L655" s="107"/>
      <c r="M655" s="183"/>
      <c r="N655" s="108"/>
      <c r="O655" s="239"/>
    </row>
    <row r="656" spans="2:15" x14ac:dyDescent="0.3">
      <c r="B656" s="106"/>
      <c r="F656" s="124"/>
      <c r="G656" s="125"/>
      <c r="L656" s="107"/>
      <c r="M656" s="183"/>
      <c r="N656" s="108"/>
      <c r="O656" s="239"/>
    </row>
    <row r="657" spans="2:15" x14ac:dyDescent="0.3">
      <c r="B657" s="106"/>
      <c r="F657" s="124"/>
      <c r="G657" s="125"/>
      <c r="L657" s="107"/>
      <c r="M657" s="183"/>
      <c r="N657" s="108"/>
      <c r="O657" s="239"/>
    </row>
    <row r="658" spans="2:15" x14ac:dyDescent="0.3">
      <c r="B658" s="106"/>
      <c r="F658" s="124"/>
      <c r="G658" s="125"/>
      <c r="L658" s="107"/>
      <c r="M658" s="183"/>
      <c r="N658" s="108"/>
      <c r="O658" s="239"/>
    </row>
    <row r="659" spans="2:15" x14ac:dyDescent="0.3">
      <c r="B659" s="106"/>
      <c r="F659" s="124"/>
      <c r="G659" s="125"/>
      <c r="L659" s="107"/>
      <c r="M659" s="183"/>
      <c r="N659" s="108"/>
      <c r="O659" s="239"/>
    </row>
    <row r="660" spans="2:15" x14ac:dyDescent="0.3">
      <c r="B660" s="106"/>
      <c r="F660" s="124"/>
      <c r="G660" s="125"/>
      <c r="L660" s="107"/>
      <c r="M660" s="183"/>
      <c r="N660" s="108"/>
      <c r="O660" s="239"/>
    </row>
    <row r="661" spans="2:15" x14ac:dyDescent="0.3">
      <c r="B661" s="106"/>
      <c r="F661" s="124"/>
      <c r="G661" s="125"/>
      <c r="L661" s="107"/>
      <c r="M661" s="183"/>
      <c r="N661" s="108"/>
      <c r="O661" s="239"/>
    </row>
    <row r="662" spans="2:15" x14ac:dyDescent="0.3">
      <c r="B662" s="106"/>
      <c r="F662" s="124"/>
      <c r="G662" s="125"/>
      <c r="L662" s="107"/>
      <c r="M662" s="183"/>
      <c r="N662" s="108"/>
      <c r="O662" s="239"/>
    </row>
    <row r="663" spans="2:15" x14ac:dyDescent="0.3">
      <c r="B663" s="106"/>
      <c r="F663" s="124"/>
      <c r="G663" s="125"/>
      <c r="L663" s="107"/>
      <c r="M663" s="183"/>
      <c r="N663" s="108"/>
      <c r="O663" s="239"/>
    </row>
    <row r="664" spans="2:15" x14ac:dyDescent="0.3">
      <c r="B664" s="106"/>
      <c r="F664" s="124"/>
      <c r="G664" s="125"/>
      <c r="L664" s="107"/>
      <c r="M664" s="183"/>
      <c r="N664" s="108"/>
      <c r="O664" s="239"/>
    </row>
    <row r="665" spans="2:15" x14ac:dyDescent="0.3">
      <c r="B665" s="106"/>
      <c r="F665" s="124"/>
      <c r="G665" s="125"/>
      <c r="L665" s="107"/>
      <c r="M665" s="183"/>
      <c r="N665" s="108"/>
      <c r="O665" s="239"/>
    </row>
    <row r="666" spans="2:15" x14ac:dyDescent="0.3">
      <c r="B666" s="106"/>
      <c r="F666" s="124"/>
      <c r="G666" s="125"/>
      <c r="L666" s="107"/>
      <c r="M666" s="183"/>
      <c r="N666" s="108"/>
      <c r="O666" s="239"/>
    </row>
    <row r="667" spans="2:15" x14ac:dyDescent="0.3">
      <c r="B667" s="106"/>
      <c r="F667" s="124"/>
      <c r="G667" s="125"/>
      <c r="L667" s="107"/>
      <c r="M667" s="183"/>
      <c r="N667" s="108"/>
      <c r="O667" s="239"/>
    </row>
    <row r="668" spans="2:15" x14ac:dyDescent="0.3">
      <c r="B668" s="106"/>
      <c r="F668" s="124"/>
      <c r="G668" s="125"/>
      <c r="L668" s="107"/>
      <c r="M668" s="183"/>
      <c r="N668" s="108"/>
      <c r="O668" s="239"/>
    </row>
    <row r="669" spans="2:15" x14ac:dyDescent="0.3">
      <c r="B669" s="106"/>
      <c r="F669" s="124"/>
      <c r="G669" s="125"/>
      <c r="L669" s="107"/>
      <c r="M669" s="183"/>
      <c r="N669" s="108"/>
      <c r="O669" s="239"/>
    </row>
    <row r="670" spans="2:15" x14ac:dyDescent="0.3">
      <c r="B670" s="106"/>
      <c r="F670" s="124"/>
      <c r="G670" s="125"/>
      <c r="L670" s="107"/>
      <c r="M670" s="183"/>
      <c r="N670" s="108"/>
      <c r="O670" s="239"/>
    </row>
    <row r="671" spans="2:15" x14ac:dyDescent="0.3">
      <c r="B671" s="106"/>
      <c r="F671" s="124"/>
      <c r="G671" s="125"/>
      <c r="L671" s="107"/>
      <c r="M671" s="183"/>
      <c r="N671" s="108"/>
      <c r="O671" s="239"/>
    </row>
    <row r="672" spans="2:15" x14ac:dyDescent="0.3">
      <c r="B672" s="106"/>
      <c r="F672" s="124"/>
      <c r="G672" s="125"/>
      <c r="L672" s="107"/>
      <c r="M672" s="183"/>
      <c r="N672" s="108"/>
      <c r="O672" s="239"/>
    </row>
    <row r="673" spans="2:15" x14ac:dyDescent="0.3">
      <c r="B673" s="106"/>
      <c r="F673" s="124"/>
      <c r="G673" s="125"/>
      <c r="L673" s="107"/>
      <c r="M673" s="183"/>
      <c r="N673" s="108"/>
      <c r="O673" s="239"/>
    </row>
    <row r="674" spans="2:15" x14ac:dyDescent="0.3">
      <c r="B674" s="106"/>
      <c r="F674" s="124"/>
      <c r="G674" s="125"/>
      <c r="L674" s="107"/>
      <c r="M674" s="183"/>
      <c r="N674" s="108"/>
      <c r="O674" s="239"/>
    </row>
    <row r="675" spans="2:15" x14ac:dyDescent="0.3">
      <c r="B675" s="106"/>
      <c r="F675" s="124"/>
      <c r="G675" s="125"/>
      <c r="L675" s="107"/>
      <c r="M675" s="183"/>
      <c r="N675" s="108"/>
      <c r="O675" s="239"/>
    </row>
    <row r="676" spans="2:15" x14ac:dyDescent="0.3">
      <c r="B676" s="106"/>
      <c r="F676" s="124"/>
      <c r="G676" s="125"/>
      <c r="L676" s="107"/>
      <c r="M676" s="183"/>
      <c r="N676" s="108"/>
      <c r="O676" s="239"/>
    </row>
    <row r="677" spans="2:15" x14ac:dyDescent="0.3">
      <c r="B677" s="106"/>
      <c r="F677" s="124"/>
      <c r="G677" s="125"/>
      <c r="L677" s="107"/>
      <c r="M677" s="183"/>
      <c r="N677" s="108"/>
      <c r="O677" s="239"/>
    </row>
    <row r="678" spans="2:15" x14ac:dyDescent="0.3">
      <c r="B678" s="106"/>
      <c r="F678" s="124"/>
      <c r="G678" s="125"/>
      <c r="L678" s="107"/>
      <c r="M678" s="183"/>
      <c r="N678" s="108"/>
      <c r="O678" s="239"/>
    </row>
    <row r="679" spans="2:15" x14ac:dyDescent="0.3">
      <c r="B679" s="106"/>
      <c r="F679" s="124"/>
      <c r="G679" s="125"/>
      <c r="L679" s="107"/>
      <c r="M679" s="183"/>
      <c r="N679" s="108"/>
      <c r="O679" s="239"/>
    </row>
    <row r="680" spans="2:15" x14ac:dyDescent="0.3">
      <c r="B680" s="106"/>
      <c r="F680" s="124"/>
      <c r="G680" s="125"/>
      <c r="L680" s="107"/>
      <c r="M680" s="183"/>
      <c r="N680" s="108"/>
      <c r="O680" s="239"/>
    </row>
    <row r="681" spans="2:15" x14ac:dyDescent="0.3">
      <c r="B681" s="106"/>
      <c r="F681" s="124"/>
      <c r="G681" s="125"/>
      <c r="L681" s="107"/>
      <c r="M681" s="183"/>
      <c r="N681" s="108"/>
      <c r="O681" s="239"/>
    </row>
    <row r="682" spans="2:15" x14ac:dyDescent="0.3">
      <c r="B682" s="106"/>
      <c r="F682" s="124"/>
      <c r="G682" s="125"/>
      <c r="L682" s="107"/>
      <c r="M682" s="183"/>
      <c r="N682" s="108"/>
      <c r="O682" s="239"/>
    </row>
    <row r="683" spans="2:15" x14ac:dyDescent="0.3">
      <c r="B683" s="106"/>
      <c r="F683" s="124"/>
      <c r="G683" s="125"/>
      <c r="L683" s="107"/>
      <c r="M683" s="183"/>
      <c r="N683" s="108"/>
      <c r="O683" s="239"/>
    </row>
    <row r="684" spans="2:15" x14ac:dyDescent="0.3">
      <c r="B684" s="106"/>
      <c r="F684" s="124"/>
      <c r="G684" s="125"/>
      <c r="L684" s="107"/>
      <c r="M684" s="183"/>
      <c r="N684" s="108"/>
      <c r="O684" s="239"/>
    </row>
    <row r="685" spans="2:15" x14ac:dyDescent="0.3">
      <c r="B685" s="106"/>
      <c r="F685" s="124"/>
      <c r="G685" s="125"/>
      <c r="L685" s="107"/>
      <c r="M685" s="183"/>
      <c r="N685" s="108"/>
      <c r="O685" s="239"/>
    </row>
    <row r="686" spans="2:15" x14ac:dyDescent="0.3">
      <c r="B686" s="106"/>
      <c r="F686" s="124"/>
      <c r="G686" s="125"/>
      <c r="L686" s="107"/>
      <c r="M686" s="183"/>
      <c r="N686" s="108"/>
      <c r="O686" s="239"/>
    </row>
    <row r="687" spans="2:15" x14ac:dyDescent="0.3">
      <c r="B687" s="106"/>
      <c r="F687" s="124"/>
      <c r="G687" s="125"/>
      <c r="L687" s="107"/>
      <c r="M687" s="183"/>
      <c r="N687" s="108"/>
      <c r="O687" s="239"/>
    </row>
    <row r="688" spans="2:15" x14ac:dyDescent="0.3">
      <c r="B688" s="106"/>
      <c r="F688" s="124"/>
      <c r="G688" s="125"/>
      <c r="L688" s="107"/>
      <c r="M688" s="183"/>
      <c r="N688" s="108"/>
      <c r="O688" s="239"/>
    </row>
    <row r="689" spans="2:15" x14ac:dyDescent="0.3">
      <c r="B689" s="106"/>
      <c r="F689" s="124"/>
      <c r="G689" s="125"/>
      <c r="L689" s="107"/>
      <c r="M689" s="183"/>
      <c r="N689" s="108"/>
      <c r="O689" s="239"/>
    </row>
    <row r="690" spans="2:15" x14ac:dyDescent="0.3">
      <c r="B690" s="106"/>
      <c r="F690" s="124"/>
      <c r="G690" s="125"/>
      <c r="L690" s="107"/>
      <c r="M690" s="183"/>
      <c r="N690" s="108"/>
      <c r="O690" s="239"/>
    </row>
    <row r="691" spans="2:15" x14ac:dyDescent="0.3">
      <c r="B691" s="106"/>
      <c r="F691" s="124"/>
      <c r="G691" s="125"/>
      <c r="L691" s="107"/>
      <c r="M691" s="183"/>
      <c r="N691" s="108"/>
      <c r="O691" s="239"/>
    </row>
    <row r="692" spans="2:15" x14ac:dyDescent="0.3">
      <c r="B692" s="106"/>
      <c r="F692" s="124"/>
      <c r="G692" s="125"/>
      <c r="L692" s="107"/>
      <c r="M692" s="183"/>
      <c r="N692" s="108"/>
      <c r="O692" s="239"/>
    </row>
    <row r="693" spans="2:15" x14ac:dyDescent="0.3">
      <c r="B693" s="106"/>
      <c r="F693" s="124"/>
      <c r="G693" s="125"/>
      <c r="L693" s="107"/>
      <c r="M693" s="183"/>
      <c r="N693" s="108"/>
      <c r="O693" s="239"/>
    </row>
    <row r="694" spans="2:15" x14ac:dyDescent="0.3">
      <c r="B694" s="106"/>
      <c r="F694" s="124"/>
      <c r="G694" s="125"/>
      <c r="L694" s="107"/>
      <c r="M694" s="183"/>
      <c r="N694" s="108"/>
      <c r="O694" s="239"/>
    </row>
    <row r="695" spans="2:15" x14ac:dyDescent="0.3">
      <c r="B695" s="106"/>
      <c r="F695" s="124"/>
      <c r="G695" s="125"/>
      <c r="L695" s="107"/>
      <c r="M695" s="183"/>
      <c r="N695" s="108"/>
      <c r="O695" s="239"/>
    </row>
    <row r="696" spans="2:15" x14ac:dyDescent="0.3">
      <c r="B696" s="106"/>
      <c r="F696" s="124"/>
      <c r="G696" s="125"/>
      <c r="L696" s="107"/>
      <c r="M696" s="183"/>
      <c r="N696" s="108"/>
      <c r="O696" s="239"/>
    </row>
    <row r="697" spans="2:15" x14ac:dyDescent="0.3">
      <c r="B697" s="106"/>
      <c r="F697" s="124"/>
      <c r="G697" s="125"/>
      <c r="L697" s="107"/>
      <c r="M697" s="183"/>
      <c r="N697" s="108"/>
      <c r="O697" s="239"/>
    </row>
    <row r="698" spans="2:15" x14ac:dyDescent="0.3">
      <c r="B698" s="106"/>
      <c r="F698" s="124"/>
      <c r="G698" s="125"/>
      <c r="L698" s="107"/>
      <c r="M698" s="183"/>
      <c r="N698" s="108"/>
      <c r="O698" s="239"/>
    </row>
    <row r="699" spans="2:15" x14ac:dyDescent="0.3">
      <c r="B699" s="106"/>
      <c r="F699" s="124"/>
      <c r="G699" s="125"/>
      <c r="L699" s="107"/>
      <c r="M699" s="183"/>
      <c r="N699" s="108"/>
      <c r="O699" s="239"/>
    </row>
    <row r="700" spans="2:15" x14ac:dyDescent="0.3">
      <c r="B700" s="106"/>
      <c r="F700" s="124"/>
      <c r="G700" s="125"/>
      <c r="L700" s="107"/>
      <c r="M700" s="183"/>
      <c r="N700" s="108"/>
      <c r="O700" s="239"/>
    </row>
    <row r="701" spans="2:15" x14ac:dyDescent="0.3">
      <c r="B701" s="106"/>
      <c r="F701" s="124"/>
      <c r="G701" s="125"/>
      <c r="L701" s="107"/>
      <c r="M701" s="183"/>
      <c r="N701" s="108"/>
      <c r="O701" s="239"/>
    </row>
    <row r="702" spans="2:15" x14ac:dyDescent="0.3">
      <c r="B702" s="106"/>
      <c r="F702" s="124"/>
      <c r="G702" s="125"/>
      <c r="L702" s="107"/>
      <c r="M702" s="183"/>
      <c r="N702" s="108"/>
      <c r="O702" s="239"/>
    </row>
    <row r="703" spans="2:15" x14ac:dyDescent="0.3">
      <c r="B703" s="106"/>
      <c r="F703" s="124"/>
      <c r="G703" s="125"/>
      <c r="L703" s="107"/>
      <c r="M703" s="183"/>
      <c r="N703" s="108"/>
      <c r="O703" s="239"/>
    </row>
    <row r="704" spans="2:15" x14ac:dyDescent="0.3">
      <c r="B704" s="106"/>
      <c r="F704" s="124"/>
      <c r="G704" s="125"/>
      <c r="L704" s="107"/>
      <c r="M704" s="183"/>
      <c r="N704" s="108"/>
      <c r="O704" s="239"/>
    </row>
    <row r="705" spans="2:15" x14ac:dyDescent="0.3">
      <c r="B705" s="106"/>
      <c r="F705" s="124"/>
      <c r="G705" s="125"/>
      <c r="L705" s="107"/>
      <c r="M705" s="183"/>
      <c r="N705" s="108"/>
      <c r="O705" s="239"/>
    </row>
    <row r="706" spans="2:15" x14ac:dyDescent="0.3">
      <c r="B706" s="106"/>
      <c r="F706" s="124"/>
      <c r="G706" s="125"/>
      <c r="L706" s="107"/>
      <c r="M706" s="183"/>
      <c r="N706" s="108"/>
      <c r="O706" s="239"/>
    </row>
    <row r="707" spans="2:15" x14ac:dyDescent="0.3">
      <c r="B707" s="106"/>
      <c r="F707" s="124"/>
      <c r="G707" s="125"/>
      <c r="L707" s="107"/>
      <c r="M707" s="183"/>
      <c r="N707" s="108"/>
      <c r="O707" s="239"/>
    </row>
    <row r="708" spans="2:15" x14ac:dyDescent="0.3">
      <c r="B708" s="106"/>
      <c r="F708" s="124"/>
      <c r="G708" s="125"/>
      <c r="L708" s="107"/>
      <c r="M708" s="183"/>
      <c r="N708" s="108"/>
      <c r="O708" s="239"/>
    </row>
    <row r="709" spans="2:15" x14ac:dyDescent="0.3">
      <c r="B709" s="106"/>
      <c r="F709" s="124"/>
      <c r="G709" s="125"/>
      <c r="L709" s="107"/>
      <c r="M709" s="183"/>
      <c r="N709" s="108"/>
      <c r="O709" s="239"/>
    </row>
    <row r="710" spans="2:15" x14ac:dyDescent="0.3">
      <c r="B710" s="106"/>
      <c r="F710" s="124"/>
      <c r="G710" s="125"/>
      <c r="L710" s="107"/>
      <c r="M710" s="183"/>
      <c r="N710" s="108"/>
      <c r="O710" s="239"/>
    </row>
  </sheetData>
  <conditionalFormatting sqref="I2:I237">
    <cfRule type="cellIs" dxfId="14" priority="1" operator="equal">
      <formula>"REVISAR"</formula>
    </cfRule>
    <cfRule type="cellIs" dxfId="13" priority="2" operator="equal">
      <formula>"CORRECTO"</formula>
    </cfRule>
  </conditionalFormatting>
  <conditionalFormatting sqref="L2:L237">
    <cfRule type="cellIs" dxfId="12" priority="3" operator="equal">
      <formula>"APROBADO"</formula>
    </cfRule>
    <cfRule type="cellIs" dxfId="11" priority="4" operator="equal">
      <formula>"PENDIENTE"</formula>
    </cfRule>
    <cfRule type="cellIs" dxfId="10" priority="5" operator="equal">
      <formula>"PAGADO"</formula>
    </cfRule>
  </conditionalFormatting>
  <dataValidations count="1">
    <dataValidation type="list" allowBlank="1" showErrorMessage="1" sqref="L2:L237" xr:uid="{C89E07DF-A95D-4FAB-81AB-5A6DFD903C77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655284-C7B9-4E32-9B07-1B4AF097D1BB}">
          <x14:formula1>
            <xm:f>'CUENTAS'!$A$2:$A$59</xm:f>
          </x14:formula1>
          <xm:sqref>C2:C237</xm:sqref>
        </x14:dataValidation>
        <x14:dataValidation type="list" allowBlank="1" showInputMessage="1" showErrorMessage="1" xr:uid="{E65F3E6D-4E95-4B53-8B88-0CEBD4137EB1}">
          <x14:formula1>
            <xm:f>'CUENTAS'!$G$2:$G$16</xm:f>
          </x14:formula1>
          <xm:sqref>J2:J237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B55B-58B7-4CAD-9594-DFC0DCFCF51E}">
  <sheetPr>
    <tabColor theme="1" tint="4.9989318521683403E-2"/>
  </sheetPr>
  <dimension ref="A1:Q481"/>
  <sheetViews>
    <sheetView topLeftCell="E1" zoomScale="85" zoomScaleNormal="85" workbookViewId="0">
      <pane ySplit="1" topLeftCell="A2" activePane="bottomLeft" state="frozen"/>
      <selection pane="bottomLeft" activeCell="S2" sqref="S2"/>
    </sheetView>
  </sheetViews>
  <sheetFormatPr baseColWidth="10" defaultColWidth="12.6640625" defaultRowHeight="14.4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6.88671875" style="83" customWidth="1"/>
    <col min="8" max="9" width="16.88671875" style="97" customWidth="1"/>
    <col min="10" max="10" width="24.44140625" style="83" bestFit="1" customWidth="1"/>
    <col min="11" max="11" width="14.77734375" style="98" customWidth="1"/>
    <col min="12" max="12" width="11.21875" style="99" bestFit="1" customWidth="1"/>
    <col min="13" max="13" width="12.6640625" style="83"/>
    <col min="14" max="14" width="23.554687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77" customFormat="1" ht="23.4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5" t="s">
        <v>104</v>
      </c>
      <c r="N1" s="12" t="s">
        <v>105</v>
      </c>
    </row>
    <row r="2" spans="1:17" x14ac:dyDescent="0.3">
      <c r="A2" s="16" t="s">
        <v>3154</v>
      </c>
      <c r="B2" s="16" t="s">
        <v>3155</v>
      </c>
      <c r="C2" s="28" t="s">
        <v>113</v>
      </c>
      <c r="D2" s="28" t="str">
        <f>IFERROR(VLOOKUP($C2,CUENTAS[],2,0),"")</f>
        <v>GASTOS VARIOS</v>
      </c>
      <c r="E2" s="28" t="str">
        <f>IFERROR(VLOOKUP($C2,CUENTAS[],3,0),"")</f>
        <v>MDE2025-003B</v>
      </c>
      <c r="F2" s="86">
        <v>9348</v>
      </c>
      <c r="G2" s="86">
        <v>1495.68</v>
      </c>
      <c r="H2" s="74">
        <v>10843.68</v>
      </c>
      <c r="I2" s="200" t="str">
        <f>IFERROR(IF(F2+G2&lt;&gt;H2,"REVISAR","CORRECTO"),"")</f>
        <v>CORRECTO</v>
      </c>
      <c r="J2" s="88" t="s">
        <v>3244</v>
      </c>
      <c r="K2" s="69" t="s">
        <v>2919</v>
      </c>
      <c r="L2" s="84" t="s">
        <v>227</v>
      </c>
      <c r="M2" s="135">
        <v>45965</v>
      </c>
      <c r="N2" s="75" t="s">
        <v>3178</v>
      </c>
      <c r="P2" s="89"/>
      <c r="Q2" s="89"/>
    </row>
    <row r="3" spans="1:17" x14ac:dyDescent="0.3">
      <c r="A3" s="16" t="s">
        <v>2557</v>
      </c>
      <c r="B3" s="16" t="s">
        <v>3156</v>
      </c>
      <c r="C3" s="28" t="s">
        <v>224</v>
      </c>
      <c r="D3" s="28" t="str">
        <f>IFERROR(VLOOKUP($C3,CUENTAS[],2,0),"")</f>
        <v>MATERIALES</v>
      </c>
      <c r="E3" s="28" t="str">
        <f>IFERROR(VLOOKUP($C3,CUENTAS[],3,0),"")</f>
        <v>MDE2025-004</v>
      </c>
      <c r="F3" s="86">
        <v>1742.24</v>
      </c>
      <c r="G3" s="86">
        <v>278.75</v>
      </c>
      <c r="H3" s="74">
        <v>2021</v>
      </c>
      <c r="I3" s="200" t="str">
        <f t="shared" ref="I3:I66" si="0">IFERROR(IF(F3+G3&lt;&gt;H3,"REVISAR","CORRECTO"),"")</f>
        <v>REVISAR</v>
      </c>
      <c r="J3" s="88" t="s">
        <v>3244</v>
      </c>
      <c r="K3" s="69" t="s">
        <v>2919</v>
      </c>
      <c r="L3" s="84" t="s">
        <v>227</v>
      </c>
      <c r="M3" s="135">
        <v>45965</v>
      </c>
      <c r="N3" s="75" t="s">
        <v>3189</v>
      </c>
      <c r="P3" s="89"/>
      <c r="Q3" s="89"/>
    </row>
    <row r="4" spans="1:17" x14ac:dyDescent="0.3">
      <c r="A4" s="16" t="s">
        <v>1930</v>
      </c>
      <c r="B4" s="16" t="s">
        <v>3157</v>
      </c>
      <c r="C4" s="28" t="s">
        <v>224</v>
      </c>
      <c r="D4" s="28" t="str">
        <f>IFERROR(VLOOKUP($C4,CUENTAS[],2,0),"")</f>
        <v>MATERIALES</v>
      </c>
      <c r="E4" s="28" t="str">
        <f>IFERROR(VLOOKUP($C4,CUENTAS[],3,0),"")</f>
        <v>MDE2025-004</v>
      </c>
      <c r="F4" s="86">
        <v>4150</v>
      </c>
      <c r="G4" s="86">
        <v>664</v>
      </c>
      <c r="H4" s="74">
        <v>4814</v>
      </c>
      <c r="I4" s="200" t="str">
        <f t="shared" si="0"/>
        <v>CORRECTO</v>
      </c>
      <c r="J4" s="88" t="s">
        <v>3244</v>
      </c>
      <c r="K4" s="69" t="s">
        <v>2919</v>
      </c>
      <c r="L4" s="84" t="s">
        <v>227</v>
      </c>
      <c r="M4" s="135">
        <v>45965</v>
      </c>
      <c r="N4" s="75" t="s">
        <v>3179</v>
      </c>
      <c r="P4" s="89"/>
      <c r="Q4" s="89"/>
    </row>
    <row r="5" spans="1:17" x14ac:dyDescent="0.3">
      <c r="A5" s="16" t="s">
        <v>2868</v>
      </c>
      <c r="B5" s="16" t="s">
        <v>2869</v>
      </c>
      <c r="C5" s="28" t="s">
        <v>224</v>
      </c>
      <c r="D5" s="28" t="str">
        <f>IFERROR(VLOOKUP($C5,CUENTAS[],2,0),"")</f>
        <v>MATERIALES</v>
      </c>
      <c r="E5" s="28" t="str">
        <f>IFERROR(VLOOKUP($C5,CUENTAS[],3,0),"")</f>
        <v>MDE2025-004</v>
      </c>
      <c r="F5" s="86">
        <v>4137.93</v>
      </c>
      <c r="G5" s="86">
        <v>662.06</v>
      </c>
      <c r="H5" s="74">
        <v>4800</v>
      </c>
      <c r="I5" s="200" t="str">
        <f t="shared" si="0"/>
        <v>REVISAR</v>
      </c>
      <c r="J5" s="88" t="s">
        <v>3244</v>
      </c>
      <c r="K5" s="69" t="s">
        <v>2919</v>
      </c>
      <c r="L5" s="84" t="s">
        <v>227</v>
      </c>
      <c r="M5" s="136">
        <v>45965</v>
      </c>
      <c r="N5" s="75" t="s">
        <v>3180</v>
      </c>
      <c r="P5" s="89"/>
      <c r="Q5" s="89"/>
    </row>
    <row r="6" spans="1:17" x14ac:dyDescent="0.3">
      <c r="A6" s="16" t="s">
        <v>1068</v>
      </c>
      <c r="B6" s="16" t="s">
        <v>3158</v>
      </c>
      <c r="C6" s="28" t="s">
        <v>177</v>
      </c>
      <c r="D6" s="28" t="str">
        <f>IFERROR(VLOOKUP($C6,CUENTAS[],2,0),"")</f>
        <v>GASTOS FIJOS</v>
      </c>
      <c r="E6" s="28" t="str">
        <f>IFERROR(VLOOKUP($C6,CUENTAS[],3,0),"")</f>
        <v>MDE2025-002A</v>
      </c>
      <c r="F6" s="86">
        <v>3000</v>
      </c>
      <c r="G6" s="86">
        <v>0</v>
      </c>
      <c r="H6" s="74">
        <v>3000</v>
      </c>
      <c r="I6" s="200" t="str">
        <f t="shared" si="0"/>
        <v>CORRECTO</v>
      </c>
      <c r="J6" s="88" t="s">
        <v>3244</v>
      </c>
      <c r="K6" s="69" t="s">
        <v>1954</v>
      </c>
      <c r="L6" s="84" t="s">
        <v>227</v>
      </c>
      <c r="M6" s="135">
        <v>45965</v>
      </c>
      <c r="N6" s="75" t="s">
        <v>371</v>
      </c>
      <c r="P6" s="89"/>
      <c r="Q6" s="89"/>
    </row>
    <row r="7" spans="1:17" x14ac:dyDescent="0.3">
      <c r="A7" s="16" t="s">
        <v>606</v>
      </c>
      <c r="B7" s="16" t="s">
        <v>3159</v>
      </c>
      <c r="C7" s="28" t="s">
        <v>158</v>
      </c>
      <c r="D7" s="28" t="str">
        <f>IFERROR(VLOOKUP($C7,CUENTAS[],2,0),"")</f>
        <v>GASTOS FIJOS</v>
      </c>
      <c r="E7" s="28" t="str">
        <f>IFERROR(VLOOKUP($C7,CUENTAS[],3,0),"")</f>
        <v>MDE2025-002R</v>
      </c>
      <c r="F7" s="86">
        <v>250000</v>
      </c>
      <c r="G7" s="86">
        <v>0</v>
      </c>
      <c r="H7" s="74">
        <v>250000</v>
      </c>
      <c r="I7" s="200" t="str">
        <f t="shared" si="0"/>
        <v>CORRECTO</v>
      </c>
      <c r="J7" s="88" t="s">
        <v>3244</v>
      </c>
      <c r="K7" s="69" t="s">
        <v>360</v>
      </c>
      <c r="L7" s="84" t="s">
        <v>227</v>
      </c>
      <c r="M7" s="135">
        <v>45965</v>
      </c>
      <c r="N7" s="75" t="s">
        <v>1840</v>
      </c>
      <c r="P7" s="89"/>
      <c r="Q7" s="89"/>
    </row>
    <row r="8" spans="1:17" x14ac:dyDescent="0.3">
      <c r="A8" s="16" t="s">
        <v>317</v>
      </c>
      <c r="B8" s="16" t="s">
        <v>3160</v>
      </c>
      <c r="C8" s="28" t="s">
        <v>109</v>
      </c>
      <c r="D8" s="28" t="str">
        <f>IFERROR(VLOOKUP($C8,CUENTAS[],2,0),"")</f>
        <v>LOGÍSTICA</v>
      </c>
      <c r="E8" s="28" t="str">
        <f>IFERROR(VLOOKUP($C8,CUENTAS[],3,0),"")</f>
        <v>MDE2025-006A</v>
      </c>
      <c r="F8" s="86">
        <v>1740</v>
      </c>
      <c r="G8" s="86">
        <v>0</v>
      </c>
      <c r="H8" s="74">
        <v>1740</v>
      </c>
      <c r="I8" s="200" t="str">
        <f t="shared" si="0"/>
        <v>CORRECTO</v>
      </c>
      <c r="J8" s="88" t="s">
        <v>3244</v>
      </c>
      <c r="K8" s="69" t="s">
        <v>2230</v>
      </c>
      <c r="L8" s="84" t="s">
        <v>227</v>
      </c>
      <c r="M8" s="135">
        <v>45965</v>
      </c>
      <c r="N8" s="75" t="s">
        <v>368</v>
      </c>
      <c r="P8" s="89"/>
      <c r="Q8" s="89"/>
    </row>
    <row r="9" spans="1:17" x14ac:dyDescent="0.3">
      <c r="A9" s="16" t="s">
        <v>2237</v>
      </c>
      <c r="B9" s="16" t="s">
        <v>3161</v>
      </c>
      <c r="C9" s="28" t="s">
        <v>109</v>
      </c>
      <c r="D9" s="28" t="str">
        <f>IFERROR(VLOOKUP($C9,CUENTAS[],2,0),"")</f>
        <v>LOGÍSTICA</v>
      </c>
      <c r="E9" s="28" t="str">
        <f>IFERROR(VLOOKUP($C9,CUENTAS[],3,0),"")</f>
        <v>MDE2025-006A</v>
      </c>
      <c r="F9" s="86">
        <v>7500</v>
      </c>
      <c r="G9" s="86">
        <v>0</v>
      </c>
      <c r="H9" s="74">
        <v>7500</v>
      </c>
      <c r="I9" s="200" t="str">
        <f t="shared" si="0"/>
        <v>CORRECTO</v>
      </c>
      <c r="J9" s="88" t="s">
        <v>3244</v>
      </c>
      <c r="K9" s="69" t="s">
        <v>2230</v>
      </c>
      <c r="L9" s="84" t="s">
        <v>227</v>
      </c>
      <c r="M9" s="135">
        <v>45968</v>
      </c>
      <c r="N9" s="75" t="s">
        <v>368</v>
      </c>
      <c r="P9" s="89"/>
      <c r="Q9" s="89"/>
    </row>
    <row r="10" spans="1:17" x14ac:dyDescent="0.3">
      <c r="A10" s="16" t="s">
        <v>616</v>
      </c>
      <c r="B10" s="16" t="s">
        <v>3162</v>
      </c>
      <c r="C10" s="28" t="s">
        <v>110</v>
      </c>
      <c r="D10" s="28" t="str">
        <f>IFERROR(VLOOKUP($C10,CUENTAS[],2,0),"")</f>
        <v>GASTOS FIJOS</v>
      </c>
      <c r="E10" s="28" t="str">
        <f>IFERROR(VLOOKUP($C10,CUENTAS[],3,0),"")</f>
        <v>MDE2025-002D</v>
      </c>
      <c r="F10" s="86">
        <v>7327.59</v>
      </c>
      <c r="G10" s="86">
        <v>1172.4100000000001</v>
      </c>
      <c r="H10" s="74">
        <v>8500</v>
      </c>
      <c r="I10" s="200" t="str">
        <f t="shared" si="0"/>
        <v>CORRECTO</v>
      </c>
      <c r="J10" s="88" t="s">
        <v>3244</v>
      </c>
      <c r="K10" s="69" t="s">
        <v>363</v>
      </c>
      <c r="L10" s="84" t="s">
        <v>227</v>
      </c>
      <c r="M10" s="135">
        <v>45968</v>
      </c>
      <c r="N10" s="75" t="s">
        <v>3181</v>
      </c>
      <c r="P10" s="89"/>
      <c r="Q10" s="89"/>
    </row>
    <row r="11" spans="1:17" x14ac:dyDescent="0.3">
      <c r="A11" s="16" t="s">
        <v>283</v>
      </c>
      <c r="B11" s="16">
        <v>123</v>
      </c>
      <c r="C11" s="28" t="s">
        <v>146</v>
      </c>
      <c r="D11" s="28" t="str">
        <f>IFERROR(VLOOKUP($C11,CUENTAS[],2,0),"")</f>
        <v>TOKA</v>
      </c>
      <c r="E11" s="28" t="str">
        <f>IFERROR(VLOOKUP($C11,CUENTAS[],3,0),"")</f>
        <v>TOK2025-001A</v>
      </c>
      <c r="F11" s="86">
        <v>2100</v>
      </c>
      <c r="G11" s="86">
        <v>336</v>
      </c>
      <c r="H11" s="74">
        <v>2436</v>
      </c>
      <c r="I11" s="200" t="str">
        <f t="shared" si="0"/>
        <v>CORRECTO</v>
      </c>
      <c r="J11" s="88" t="s">
        <v>3244</v>
      </c>
      <c r="K11" s="69" t="s">
        <v>363</v>
      </c>
      <c r="L11" s="84" t="s">
        <v>227</v>
      </c>
      <c r="M11" s="135">
        <v>45971</v>
      </c>
      <c r="N11" s="75" t="s">
        <v>3182</v>
      </c>
      <c r="P11" s="89"/>
      <c r="Q11" s="89"/>
    </row>
    <row r="12" spans="1:17" x14ac:dyDescent="0.3">
      <c r="A12" s="16" t="s">
        <v>283</v>
      </c>
      <c r="B12" s="16">
        <v>2720079</v>
      </c>
      <c r="C12" s="28" t="s">
        <v>146</v>
      </c>
      <c r="D12" s="28" t="str">
        <f>IFERROR(VLOOKUP($C12,CUENTAS[],2,0),"")</f>
        <v>TOKA</v>
      </c>
      <c r="E12" s="28" t="str">
        <f>IFERROR(VLOOKUP($C12,CUENTAS[],3,0),"")</f>
        <v>TOK2025-001A</v>
      </c>
      <c r="F12" s="86">
        <v>1650</v>
      </c>
      <c r="G12" s="86">
        <v>264</v>
      </c>
      <c r="H12" s="74">
        <v>1914</v>
      </c>
      <c r="I12" s="200" t="str">
        <f t="shared" si="0"/>
        <v>CORRECTO</v>
      </c>
      <c r="J12" s="88" t="s">
        <v>3244</v>
      </c>
      <c r="K12" s="69" t="s">
        <v>363</v>
      </c>
      <c r="L12" s="84" t="s">
        <v>227</v>
      </c>
      <c r="M12" s="135">
        <v>45971</v>
      </c>
      <c r="N12" s="75" t="s">
        <v>570</v>
      </c>
      <c r="P12" s="89"/>
      <c r="Q12" s="89"/>
    </row>
    <row r="13" spans="1:17" x14ac:dyDescent="0.3">
      <c r="A13" s="16" t="s">
        <v>1144</v>
      </c>
      <c r="B13" s="16" t="s">
        <v>3028</v>
      </c>
      <c r="C13" s="28" t="s">
        <v>224</v>
      </c>
      <c r="D13" s="28" t="str">
        <f>IFERROR(VLOOKUP($C13,CUENTAS[],2,0),"")</f>
        <v>MATERIALES</v>
      </c>
      <c r="E13" s="28" t="str">
        <f>IFERROR(VLOOKUP($C13,CUENTAS[],3,0),"")</f>
        <v>MDE2025-004</v>
      </c>
      <c r="F13" s="86">
        <v>67783.8</v>
      </c>
      <c r="G13" s="86">
        <v>10845.41</v>
      </c>
      <c r="H13" s="74">
        <v>78629.210000000006</v>
      </c>
      <c r="I13" s="200" t="str">
        <f t="shared" si="0"/>
        <v>CORRECTO</v>
      </c>
      <c r="J13" s="88" t="s">
        <v>3244</v>
      </c>
      <c r="K13" s="69" t="s">
        <v>980</v>
      </c>
      <c r="L13" s="84" t="s">
        <v>227</v>
      </c>
      <c r="M13" s="135">
        <v>45968</v>
      </c>
      <c r="N13" s="75" t="s">
        <v>3183</v>
      </c>
      <c r="P13" s="89"/>
      <c r="Q13" s="89"/>
    </row>
    <row r="14" spans="1:17" x14ac:dyDescent="0.3">
      <c r="A14" s="16" t="s">
        <v>2881</v>
      </c>
      <c r="B14" s="16" t="s">
        <v>3163</v>
      </c>
      <c r="C14" s="28" t="s">
        <v>224</v>
      </c>
      <c r="D14" s="28" t="str">
        <f>IFERROR(VLOOKUP($C14,CUENTAS[],2,0),"")</f>
        <v>MATERIALES</v>
      </c>
      <c r="E14" s="28" t="str">
        <f>IFERROR(VLOOKUP($C14,CUENTAS[],3,0),"")</f>
        <v>MDE2025-004</v>
      </c>
      <c r="F14" s="86">
        <v>1998.6</v>
      </c>
      <c r="G14" s="86">
        <v>319.77999999999997</v>
      </c>
      <c r="H14" s="74">
        <v>2318.38</v>
      </c>
      <c r="I14" s="200" t="str">
        <f t="shared" si="0"/>
        <v>CORRECTO</v>
      </c>
      <c r="J14" s="88" t="s">
        <v>3244</v>
      </c>
      <c r="K14" s="69" t="s">
        <v>2919</v>
      </c>
      <c r="L14" s="84" t="s">
        <v>227</v>
      </c>
      <c r="M14" s="135">
        <v>45972</v>
      </c>
      <c r="N14" s="75" t="s">
        <v>3184</v>
      </c>
      <c r="P14" s="89"/>
      <c r="Q14" s="89"/>
    </row>
    <row r="15" spans="1:17" x14ac:dyDescent="0.3">
      <c r="A15" s="16" t="s">
        <v>1744</v>
      </c>
      <c r="B15" s="16" t="s">
        <v>2894</v>
      </c>
      <c r="C15" s="28" t="s">
        <v>224</v>
      </c>
      <c r="D15" s="28" t="str">
        <f>IFERROR(VLOOKUP($C15,CUENTAS[],2,0),"")</f>
        <v>MATERIALES</v>
      </c>
      <c r="E15" s="28" t="str">
        <f>IFERROR(VLOOKUP($C15,CUENTAS[],3,0),"")</f>
        <v>MDE2025-004</v>
      </c>
      <c r="F15" s="86">
        <v>13045</v>
      </c>
      <c r="G15" s="86">
        <v>1370</v>
      </c>
      <c r="H15" s="74">
        <v>11675</v>
      </c>
      <c r="I15" s="200" t="str">
        <f t="shared" si="0"/>
        <v>REVISAR</v>
      </c>
      <c r="J15" s="88" t="s">
        <v>3244</v>
      </c>
      <c r="K15" s="69" t="s">
        <v>2919</v>
      </c>
      <c r="L15" s="84" t="s">
        <v>227</v>
      </c>
      <c r="M15" s="135">
        <v>45972</v>
      </c>
      <c r="N15" s="75" t="s">
        <v>3185</v>
      </c>
      <c r="P15" s="89"/>
      <c r="Q15" s="89"/>
    </row>
    <row r="16" spans="1:17" x14ac:dyDescent="0.3">
      <c r="A16" s="16" t="s">
        <v>232</v>
      </c>
      <c r="B16" s="16" t="s">
        <v>3164</v>
      </c>
      <c r="C16" s="28" t="s">
        <v>224</v>
      </c>
      <c r="D16" s="28" t="str">
        <f>IFERROR(VLOOKUP($C16,CUENTAS[],2,0),"")</f>
        <v>MATERIALES</v>
      </c>
      <c r="E16" s="28" t="str">
        <f>IFERROR(VLOOKUP($C16,CUENTAS[],3,0),"")</f>
        <v>MDE2025-004</v>
      </c>
      <c r="F16" s="86">
        <v>46448.4</v>
      </c>
      <c r="G16" s="86">
        <v>7431.74</v>
      </c>
      <c r="H16" s="74">
        <v>53880.14</v>
      </c>
      <c r="I16" s="200" t="str">
        <f t="shared" si="0"/>
        <v>CORRECTO</v>
      </c>
      <c r="J16" s="88" t="s">
        <v>3244</v>
      </c>
      <c r="K16" s="69" t="s">
        <v>980</v>
      </c>
      <c r="L16" s="84" t="s">
        <v>227</v>
      </c>
      <c r="M16" s="135">
        <v>45972</v>
      </c>
      <c r="N16" s="75" t="s">
        <v>3186</v>
      </c>
      <c r="P16" s="89"/>
      <c r="Q16" s="89"/>
    </row>
    <row r="17" spans="1:17" x14ac:dyDescent="0.3">
      <c r="A17" s="16" t="s">
        <v>3165</v>
      </c>
      <c r="B17" s="16" t="s">
        <v>3166</v>
      </c>
      <c r="C17" s="28" t="s">
        <v>177</v>
      </c>
      <c r="D17" s="28" t="str">
        <f>IFERROR(VLOOKUP($C17,CUENTAS[],2,0),"")</f>
        <v>GASTOS FIJOS</v>
      </c>
      <c r="E17" s="28" t="str">
        <f>IFERROR(VLOOKUP($C17,CUENTAS[],3,0),"")</f>
        <v>MDE2025-002A</v>
      </c>
      <c r="F17" s="86">
        <v>1500</v>
      </c>
      <c r="G17" s="86">
        <v>0</v>
      </c>
      <c r="H17" s="74">
        <v>1500</v>
      </c>
      <c r="I17" s="200" t="str">
        <f t="shared" si="0"/>
        <v>CORRECTO</v>
      </c>
      <c r="J17" s="88" t="s">
        <v>3244</v>
      </c>
      <c r="K17" s="69" t="s">
        <v>2230</v>
      </c>
      <c r="L17" s="84" t="s">
        <v>227</v>
      </c>
      <c r="M17" s="135">
        <v>45972</v>
      </c>
      <c r="N17" s="75" t="s">
        <v>368</v>
      </c>
      <c r="P17" s="89"/>
      <c r="Q17" s="89"/>
    </row>
    <row r="18" spans="1:17" x14ac:dyDescent="0.3">
      <c r="A18" s="16" t="s">
        <v>3167</v>
      </c>
      <c r="B18" s="16" t="s">
        <v>3168</v>
      </c>
      <c r="C18" s="28" t="s">
        <v>177</v>
      </c>
      <c r="D18" s="28" t="str">
        <f>IFERROR(VLOOKUP($C18,CUENTAS[],2,0),"")</f>
        <v>GASTOS FIJOS</v>
      </c>
      <c r="E18" s="28" t="str">
        <f>IFERROR(VLOOKUP($C18,CUENTAS[],3,0),"")</f>
        <v>MDE2025-002A</v>
      </c>
      <c r="F18" s="86">
        <v>800</v>
      </c>
      <c r="G18" s="86">
        <v>0</v>
      </c>
      <c r="H18" s="74">
        <v>800</v>
      </c>
      <c r="I18" s="200" t="str">
        <f t="shared" si="0"/>
        <v>CORRECTO</v>
      </c>
      <c r="J18" s="88" t="s">
        <v>3244</v>
      </c>
      <c r="K18" s="69" t="s">
        <v>2230</v>
      </c>
      <c r="L18" s="84" t="s">
        <v>227</v>
      </c>
      <c r="M18" s="135">
        <v>45972</v>
      </c>
      <c r="N18" s="75" t="s">
        <v>368</v>
      </c>
      <c r="P18" s="89"/>
      <c r="Q18" s="89"/>
    </row>
    <row r="19" spans="1:17" x14ac:dyDescent="0.3">
      <c r="A19" s="16" t="s">
        <v>2565</v>
      </c>
      <c r="B19" s="16" t="s">
        <v>3169</v>
      </c>
      <c r="C19" s="28" t="s">
        <v>224</v>
      </c>
      <c r="D19" s="28" t="str">
        <f>IFERROR(VLOOKUP($C19,CUENTAS[],2,0),"")</f>
        <v>MATERIALES</v>
      </c>
      <c r="E19" s="28" t="str">
        <f>IFERROR(VLOOKUP($C19,CUENTAS[],3,0),"")</f>
        <v>MDE2025-004</v>
      </c>
      <c r="F19" s="86">
        <v>2600</v>
      </c>
      <c r="G19" s="86">
        <v>416</v>
      </c>
      <c r="H19" s="74">
        <v>3016</v>
      </c>
      <c r="I19" s="200" t="str">
        <f t="shared" si="0"/>
        <v>CORRECTO</v>
      </c>
      <c r="J19" s="88" t="s">
        <v>3244</v>
      </c>
      <c r="K19" s="69" t="s">
        <v>980</v>
      </c>
      <c r="L19" s="84" t="s">
        <v>227</v>
      </c>
      <c r="M19" s="136">
        <v>45972</v>
      </c>
      <c r="N19" s="75" t="s">
        <v>798</v>
      </c>
      <c r="P19" s="89"/>
      <c r="Q19" s="89"/>
    </row>
    <row r="20" spans="1:17" x14ac:dyDescent="0.3">
      <c r="A20" s="16" t="s">
        <v>666</v>
      </c>
      <c r="B20" s="243" t="s">
        <v>3170</v>
      </c>
      <c r="C20" s="28" t="s">
        <v>224</v>
      </c>
      <c r="D20" s="28" t="str">
        <f>IFERROR(VLOOKUP($C20,CUENTAS[],2,0),"")</f>
        <v>MATERIALES</v>
      </c>
      <c r="E20" s="28" t="str">
        <f>IFERROR(VLOOKUP($C20,CUENTAS[],3,0),"")</f>
        <v>MDE2025-004</v>
      </c>
      <c r="F20" s="86">
        <v>54171.89</v>
      </c>
      <c r="G20" s="86">
        <v>8667.5</v>
      </c>
      <c r="H20" s="74">
        <v>62839.39</v>
      </c>
      <c r="I20" s="200" t="str">
        <f t="shared" si="0"/>
        <v>CORRECTO</v>
      </c>
      <c r="J20" s="88" t="s">
        <v>3244</v>
      </c>
      <c r="K20" s="69" t="s">
        <v>980</v>
      </c>
      <c r="L20" s="84" t="s">
        <v>227</v>
      </c>
      <c r="M20" s="136">
        <v>45972</v>
      </c>
      <c r="N20" s="75" t="s">
        <v>3187</v>
      </c>
      <c r="P20" s="89"/>
      <c r="Q20" s="89"/>
    </row>
    <row r="21" spans="1:17" x14ac:dyDescent="0.3">
      <c r="A21" s="16" t="s">
        <v>3171</v>
      </c>
      <c r="B21" s="16" t="s">
        <v>3172</v>
      </c>
      <c r="C21" s="28" t="s">
        <v>109</v>
      </c>
      <c r="D21" s="28" t="str">
        <f>IFERROR(VLOOKUP($C21,CUENTAS[],2,0),"")</f>
        <v>LOGÍSTICA</v>
      </c>
      <c r="E21" s="28" t="str">
        <f>IFERROR(VLOOKUP($C21,CUENTAS[],3,0),"")</f>
        <v>MDE2025-006A</v>
      </c>
      <c r="F21" s="86">
        <v>1305</v>
      </c>
      <c r="G21" s="86">
        <v>0</v>
      </c>
      <c r="H21" s="74">
        <v>1305</v>
      </c>
      <c r="I21" s="200" t="str">
        <f t="shared" si="0"/>
        <v>CORRECTO</v>
      </c>
      <c r="J21" s="88" t="s">
        <v>3244</v>
      </c>
      <c r="K21" s="69" t="s">
        <v>2230</v>
      </c>
      <c r="L21" s="84" t="s">
        <v>227</v>
      </c>
      <c r="M21" s="135">
        <v>45972</v>
      </c>
      <c r="N21" s="75" t="s">
        <v>368</v>
      </c>
      <c r="P21" s="89"/>
      <c r="Q21" s="89"/>
    </row>
    <row r="22" spans="1:17" x14ac:dyDescent="0.3">
      <c r="A22" s="16" t="s">
        <v>616</v>
      </c>
      <c r="B22" s="16" t="s">
        <v>3173</v>
      </c>
      <c r="C22" s="28" t="s">
        <v>110</v>
      </c>
      <c r="D22" s="28" t="str">
        <f>IFERROR(VLOOKUP($C22,CUENTAS[],2,0),"")</f>
        <v>GASTOS FIJOS</v>
      </c>
      <c r="E22" s="28" t="str">
        <f>IFERROR(VLOOKUP($C22,CUENTAS[],3,0),"")</f>
        <v>MDE2025-002D</v>
      </c>
      <c r="F22" s="86">
        <v>431.03</v>
      </c>
      <c r="G22" s="86">
        <v>68.97</v>
      </c>
      <c r="H22" s="74">
        <v>500</v>
      </c>
      <c r="I22" s="200" t="str">
        <f t="shared" si="0"/>
        <v>CORRECTO</v>
      </c>
      <c r="J22" s="88" t="s">
        <v>3244</v>
      </c>
      <c r="K22" s="69" t="s">
        <v>363</v>
      </c>
      <c r="L22" s="84" t="s">
        <v>227</v>
      </c>
      <c r="M22" s="135">
        <v>45975</v>
      </c>
      <c r="N22" s="75" t="s">
        <v>3188</v>
      </c>
      <c r="P22" s="89"/>
      <c r="Q22" s="89"/>
    </row>
    <row r="23" spans="1:17" x14ac:dyDescent="0.3">
      <c r="A23" s="16" t="s">
        <v>281</v>
      </c>
      <c r="B23" s="16" t="s">
        <v>3174</v>
      </c>
      <c r="C23" s="28" t="s">
        <v>128</v>
      </c>
      <c r="D23" s="28" t="str">
        <f>IFERROR(VLOOKUP($C23,CUENTAS[],2,0),"")</f>
        <v>GASTOS FIJOS</v>
      </c>
      <c r="E23" s="28" t="str">
        <f>IFERROR(VLOOKUP($C23,CUENTAS[],3,0),"")</f>
        <v>MDE2025-002I</v>
      </c>
      <c r="F23" s="86">
        <v>8000</v>
      </c>
      <c r="G23" s="86">
        <v>0</v>
      </c>
      <c r="H23" s="74">
        <v>8000</v>
      </c>
      <c r="I23" s="200" t="str">
        <f t="shared" si="0"/>
        <v>CORRECTO</v>
      </c>
      <c r="J23" s="88" t="s">
        <v>3244</v>
      </c>
      <c r="K23" s="69" t="s">
        <v>363</v>
      </c>
      <c r="L23" s="84" t="s">
        <v>227</v>
      </c>
      <c r="M23" s="135">
        <v>45974</v>
      </c>
      <c r="N23" s="75" t="s">
        <v>371</v>
      </c>
      <c r="P23" s="89"/>
      <c r="Q23" s="89"/>
    </row>
    <row r="24" spans="1:17" x14ac:dyDescent="0.3">
      <c r="A24" s="16" t="s">
        <v>2625</v>
      </c>
      <c r="B24" s="16" t="s">
        <v>3175</v>
      </c>
      <c r="C24" s="28" t="s">
        <v>151</v>
      </c>
      <c r="D24" s="28" t="str">
        <f>IFERROR(VLOOKUP($C24,CUENTAS[],2,0),"")</f>
        <v>GASTOS FIJOS</v>
      </c>
      <c r="E24" s="28" t="str">
        <f>IFERROR(VLOOKUP($C24,CUENTAS[],3,0),"")</f>
        <v>MDE2025-002F</v>
      </c>
      <c r="F24" s="86">
        <v>3000</v>
      </c>
      <c r="G24" s="86">
        <v>0</v>
      </c>
      <c r="H24" s="74">
        <v>3000</v>
      </c>
      <c r="I24" s="200" t="str">
        <f t="shared" si="0"/>
        <v>CORRECTO</v>
      </c>
      <c r="J24" s="88" t="s">
        <v>3244</v>
      </c>
      <c r="K24" s="69" t="s">
        <v>363</v>
      </c>
      <c r="L24" s="84" t="s">
        <v>227</v>
      </c>
      <c r="M24" s="135">
        <v>45974</v>
      </c>
      <c r="N24" s="75" t="s">
        <v>371</v>
      </c>
      <c r="P24" s="89"/>
      <c r="Q24" s="89"/>
    </row>
    <row r="25" spans="1:17" x14ac:dyDescent="0.3">
      <c r="A25" s="16" t="s">
        <v>2625</v>
      </c>
      <c r="B25" s="16" t="s">
        <v>3176</v>
      </c>
      <c r="C25" s="28" t="s">
        <v>151</v>
      </c>
      <c r="D25" s="28" t="str">
        <f>IFERROR(VLOOKUP($C25,CUENTAS[],2,0),"")</f>
        <v>GASTOS FIJOS</v>
      </c>
      <c r="E25" s="28" t="str">
        <f>IFERROR(VLOOKUP($C25,CUENTAS[],3,0),"")</f>
        <v>MDE2025-002F</v>
      </c>
      <c r="F25" s="86">
        <v>3000</v>
      </c>
      <c r="G25" s="86">
        <v>0</v>
      </c>
      <c r="H25" s="74">
        <v>3000</v>
      </c>
      <c r="I25" s="200" t="str">
        <f t="shared" si="0"/>
        <v>CORRECTO</v>
      </c>
      <c r="J25" s="88" t="s">
        <v>3244</v>
      </c>
      <c r="K25" s="69" t="s">
        <v>363</v>
      </c>
      <c r="L25" s="84" t="s">
        <v>227</v>
      </c>
      <c r="M25" s="135">
        <v>45974</v>
      </c>
      <c r="N25" s="75" t="s">
        <v>371</v>
      </c>
      <c r="P25" s="89"/>
      <c r="Q25" s="89"/>
    </row>
    <row r="26" spans="1:17" x14ac:dyDescent="0.3">
      <c r="A26" s="16" t="s">
        <v>763</v>
      </c>
      <c r="B26" s="16" t="s">
        <v>3177</v>
      </c>
      <c r="C26" s="28" t="s">
        <v>159</v>
      </c>
      <c r="D26" s="28" t="str">
        <f>IFERROR(VLOOKUP($C26,CUENTAS[],2,0),"")</f>
        <v>GASTOS VARIOS</v>
      </c>
      <c r="E26" s="28" t="str">
        <f>IFERROR(VLOOKUP($C26,CUENTAS[],3,0),"")</f>
        <v>MDE2025-003A</v>
      </c>
      <c r="F26" s="86">
        <v>10995.36</v>
      </c>
      <c r="G26" s="86">
        <v>1759.26</v>
      </c>
      <c r="H26" s="74">
        <v>12754.62</v>
      </c>
      <c r="I26" s="200" t="str">
        <f t="shared" si="0"/>
        <v>CORRECTO</v>
      </c>
      <c r="J26" s="88" t="s">
        <v>3244</v>
      </c>
      <c r="K26" s="69" t="s">
        <v>363</v>
      </c>
      <c r="L26" s="84" t="s">
        <v>227</v>
      </c>
      <c r="M26" s="135">
        <v>45974</v>
      </c>
      <c r="N26" s="75" t="s">
        <v>792</v>
      </c>
      <c r="P26" s="89"/>
      <c r="Q26" s="89"/>
    </row>
    <row r="27" spans="1:17" x14ac:dyDescent="0.3">
      <c r="A27" s="16" t="s">
        <v>283</v>
      </c>
      <c r="B27" s="16">
        <v>2717153</v>
      </c>
      <c r="C27" s="28" t="s">
        <v>173</v>
      </c>
      <c r="D27" s="28" t="str">
        <f>IFERROR(VLOOKUP($C27,CUENTAS[],2,0),"")</f>
        <v>TOKA</v>
      </c>
      <c r="E27" s="28" t="str">
        <f>IFERROR(VLOOKUP($C27,CUENTAS[],3,0),"")</f>
        <v>TOK2025-001B</v>
      </c>
      <c r="F27" s="86">
        <v>1000</v>
      </c>
      <c r="G27" s="86">
        <v>160</v>
      </c>
      <c r="H27" s="74">
        <v>1160</v>
      </c>
      <c r="I27" s="200" t="str">
        <f t="shared" si="0"/>
        <v>CORRECTO</v>
      </c>
      <c r="J27" s="88" t="s">
        <v>3249</v>
      </c>
      <c r="K27" s="69" t="s">
        <v>360</v>
      </c>
      <c r="L27" s="84" t="s">
        <v>227</v>
      </c>
      <c r="M27" s="135">
        <v>45966</v>
      </c>
      <c r="N27" s="75" t="s">
        <v>570</v>
      </c>
      <c r="P27" s="89"/>
      <c r="Q27" s="89"/>
    </row>
    <row r="28" spans="1:17" x14ac:dyDescent="0.3">
      <c r="A28" s="16" t="s">
        <v>3190</v>
      </c>
      <c r="B28" s="16" t="s">
        <v>3191</v>
      </c>
      <c r="C28" s="28" t="s">
        <v>113</v>
      </c>
      <c r="D28" s="28" t="str">
        <f>IFERROR(VLOOKUP($C28,CUENTAS[],2,0),"")</f>
        <v>GASTOS VARIOS</v>
      </c>
      <c r="E28" s="28" t="str">
        <f>IFERROR(VLOOKUP($C28,CUENTAS[],3,0),"")</f>
        <v>MDE2025-003B</v>
      </c>
      <c r="F28" s="86">
        <v>80</v>
      </c>
      <c r="G28" s="86">
        <v>0</v>
      </c>
      <c r="H28" s="74">
        <v>80</v>
      </c>
      <c r="I28" s="200" t="str">
        <f t="shared" si="0"/>
        <v>CORRECTO</v>
      </c>
      <c r="J28" s="88" t="s">
        <v>3249</v>
      </c>
      <c r="K28" s="69" t="s">
        <v>360</v>
      </c>
      <c r="L28" s="84" t="s">
        <v>227</v>
      </c>
      <c r="M28" s="135">
        <v>45966</v>
      </c>
      <c r="N28" s="75" t="s">
        <v>368</v>
      </c>
      <c r="P28" s="89"/>
      <c r="Q28" s="89"/>
    </row>
    <row r="29" spans="1:17" x14ac:dyDescent="0.3">
      <c r="A29" s="16" t="s">
        <v>3192</v>
      </c>
      <c r="B29" s="16" t="s">
        <v>3193</v>
      </c>
      <c r="C29" s="28" t="s">
        <v>19</v>
      </c>
      <c r="D29" s="28" t="str">
        <f>IFERROR(VLOOKUP($C29,CUENTAS[],2,0),"")</f>
        <v>DISEÑOS</v>
      </c>
      <c r="E29" s="28" t="str">
        <f>IFERROR(VLOOKUP($C29,CUENTAS[],3,0),"")</f>
        <v>MDE2025-001</v>
      </c>
      <c r="F29" s="86">
        <v>5500</v>
      </c>
      <c r="G29" s="86">
        <v>0</v>
      </c>
      <c r="H29" s="74">
        <v>5500</v>
      </c>
      <c r="I29" s="200" t="str">
        <f t="shared" si="0"/>
        <v>CORRECTO</v>
      </c>
      <c r="J29" s="88" t="s">
        <v>3249</v>
      </c>
      <c r="K29" s="69" t="s">
        <v>360</v>
      </c>
      <c r="L29" s="84" t="s">
        <v>227</v>
      </c>
      <c r="M29" s="135">
        <v>45966</v>
      </c>
      <c r="N29" s="75" t="s">
        <v>371</v>
      </c>
      <c r="P29" s="89"/>
      <c r="Q29" s="89"/>
    </row>
    <row r="30" spans="1:17" x14ac:dyDescent="0.3">
      <c r="A30" s="16" t="s">
        <v>244</v>
      </c>
      <c r="B30" s="16" t="s">
        <v>3194</v>
      </c>
      <c r="C30" s="28" t="s">
        <v>19</v>
      </c>
      <c r="D30" s="28" t="str">
        <f>IFERROR(VLOOKUP($C30,CUENTAS[],2,0),"")</f>
        <v>DISEÑOS</v>
      </c>
      <c r="E30" s="28" t="str">
        <f>IFERROR(VLOOKUP($C30,CUENTAS[],3,0),"")</f>
        <v>MDE2025-001</v>
      </c>
      <c r="F30" s="86">
        <v>500</v>
      </c>
      <c r="G30" s="86">
        <v>0</v>
      </c>
      <c r="H30" s="74">
        <v>500</v>
      </c>
      <c r="I30" s="200" t="str">
        <f t="shared" si="0"/>
        <v>CORRECTO</v>
      </c>
      <c r="J30" s="88" t="s">
        <v>3249</v>
      </c>
      <c r="K30" s="69" t="s">
        <v>360</v>
      </c>
      <c r="L30" s="84" t="s">
        <v>227</v>
      </c>
      <c r="M30" s="135">
        <v>45966</v>
      </c>
      <c r="N30" s="75" t="s">
        <v>371</v>
      </c>
      <c r="P30" s="89"/>
      <c r="Q30" s="89"/>
    </row>
    <row r="31" spans="1:17" x14ac:dyDescent="0.3">
      <c r="A31" s="16" t="s">
        <v>2614</v>
      </c>
      <c r="B31" s="16" t="s">
        <v>3195</v>
      </c>
      <c r="C31" s="28" t="s">
        <v>114</v>
      </c>
      <c r="D31" s="28" t="str">
        <f>IFERROR(VLOOKUP($C31,CUENTAS[],2,0),"")</f>
        <v>GASTOS FIJOS</v>
      </c>
      <c r="E31" s="28" t="str">
        <f>IFERROR(VLOOKUP($C31,CUENTAS[],3,0),"")</f>
        <v>MDE2025-002G</v>
      </c>
      <c r="F31" s="86">
        <v>520</v>
      </c>
      <c r="G31" s="86">
        <v>83.2</v>
      </c>
      <c r="H31" s="74">
        <v>603.20000000000005</v>
      </c>
      <c r="I31" s="200" t="str">
        <f t="shared" si="0"/>
        <v>CORRECTO</v>
      </c>
      <c r="J31" s="88" t="s">
        <v>3249</v>
      </c>
      <c r="K31" s="69" t="s">
        <v>363</v>
      </c>
      <c r="L31" s="84" t="s">
        <v>227</v>
      </c>
      <c r="M31" s="135">
        <v>45964</v>
      </c>
      <c r="N31" s="75" t="s">
        <v>371</v>
      </c>
      <c r="P31" s="89"/>
      <c r="Q31" s="89"/>
    </row>
    <row r="32" spans="1:17" x14ac:dyDescent="0.3">
      <c r="A32" s="16" t="s">
        <v>1229</v>
      </c>
      <c r="B32" s="16" t="s">
        <v>3196</v>
      </c>
      <c r="C32" s="28" t="s">
        <v>151</v>
      </c>
      <c r="D32" s="28" t="str">
        <f>IFERROR(VLOOKUP($C32,CUENTAS[],2,0),"")</f>
        <v>GASTOS FIJOS</v>
      </c>
      <c r="E32" s="28" t="str">
        <f>IFERROR(VLOOKUP($C32,CUENTAS[],3,0),"")</f>
        <v>MDE2025-002F</v>
      </c>
      <c r="F32" s="86">
        <v>799</v>
      </c>
      <c r="G32" s="86">
        <v>0</v>
      </c>
      <c r="H32" s="74">
        <v>799</v>
      </c>
      <c r="I32" s="200" t="str">
        <f t="shared" si="0"/>
        <v>CORRECTO</v>
      </c>
      <c r="J32" s="244" t="s">
        <v>1522</v>
      </c>
      <c r="K32" s="69" t="s">
        <v>363</v>
      </c>
      <c r="L32" s="84" t="s">
        <v>227</v>
      </c>
      <c r="M32" s="135">
        <v>45962</v>
      </c>
      <c r="N32" s="75" t="s">
        <v>371</v>
      </c>
      <c r="P32" s="89"/>
      <c r="Q32" s="89"/>
    </row>
    <row r="33" spans="1:17" x14ac:dyDescent="0.3">
      <c r="A33" s="16" t="s">
        <v>1229</v>
      </c>
      <c r="B33" s="16" t="s">
        <v>3197</v>
      </c>
      <c r="C33" s="28" t="s">
        <v>151</v>
      </c>
      <c r="D33" s="28" t="str">
        <f>IFERROR(VLOOKUP($C33,CUENTAS[],2,0),"")</f>
        <v>GASTOS FIJOS</v>
      </c>
      <c r="E33" s="28" t="str">
        <f>IFERROR(VLOOKUP($C33,CUENTAS[],3,0),"")</f>
        <v>MDE2025-002F</v>
      </c>
      <c r="F33" s="86">
        <v>799</v>
      </c>
      <c r="G33" s="86">
        <v>0</v>
      </c>
      <c r="H33" s="74">
        <v>799</v>
      </c>
      <c r="I33" s="200" t="str">
        <f t="shared" si="0"/>
        <v>CORRECTO</v>
      </c>
      <c r="J33" s="244" t="s">
        <v>1522</v>
      </c>
      <c r="K33" s="69" t="s">
        <v>363</v>
      </c>
      <c r="L33" s="84" t="s">
        <v>227</v>
      </c>
      <c r="M33" s="135">
        <v>45962</v>
      </c>
      <c r="N33" s="75" t="s">
        <v>371</v>
      </c>
      <c r="P33" s="89"/>
      <c r="Q33" s="89"/>
    </row>
    <row r="34" spans="1:17" x14ac:dyDescent="0.3">
      <c r="A34" s="16" t="s">
        <v>262</v>
      </c>
      <c r="B34" s="16" t="s">
        <v>3198</v>
      </c>
      <c r="C34" s="28" t="s">
        <v>111</v>
      </c>
      <c r="D34" s="28" t="str">
        <f>IFERROR(VLOOKUP($C34,CUENTAS[],2,0),"")</f>
        <v>GASTOS VARIOS</v>
      </c>
      <c r="E34" s="28" t="str">
        <f>IFERROR(VLOOKUP($C34,CUENTAS[],3,0),"")</f>
        <v>MDE2025-003K</v>
      </c>
      <c r="F34" s="86">
        <v>15000</v>
      </c>
      <c r="G34" s="86">
        <v>0</v>
      </c>
      <c r="H34" s="74">
        <v>15000</v>
      </c>
      <c r="I34" s="200" t="str">
        <f t="shared" si="0"/>
        <v>CORRECTO</v>
      </c>
      <c r="J34" s="88" t="s">
        <v>3249</v>
      </c>
      <c r="K34" s="69" t="s">
        <v>360</v>
      </c>
      <c r="L34" s="84" t="s">
        <v>227</v>
      </c>
      <c r="M34" s="135">
        <v>45969</v>
      </c>
      <c r="N34" s="75" t="s">
        <v>371</v>
      </c>
      <c r="P34" s="89"/>
      <c r="Q34" s="89"/>
    </row>
    <row r="35" spans="1:17" x14ac:dyDescent="0.3">
      <c r="A35" s="16" t="s">
        <v>264</v>
      </c>
      <c r="B35" s="16" t="s">
        <v>3198</v>
      </c>
      <c r="C35" s="28" t="s">
        <v>111</v>
      </c>
      <c r="D35" s="28" t="str">
        <f>IFERROR(VLOOKUP($C35,CUENTAS[],2,0),"")</f>
        <v>GASTOS VARIOS</v>
      </c>
      <c r="E35" s="28" t="str">
        <f>IFERROR(VLOOKUP($C35,CUENTAS[],3,0),"")</f>
        <v>MDE2025-003K</v>
      </c>
      <c r="F35" s="86">
        <v>15000</v>
      </c>
      <c r="G35" s="86">
        <v>0</v>
      </c>
      <c r="H35" s="74">
        <v>15000</v>
      </c>
      <c r="I35" s="200" t="str">
        <f t="shared" si="0"/>
        <v>CORRECTO</v>
      </c>
      <c r="J35" s="88" t="s">
        <v>3249</v>
      </c>
      <c r="K35" s="69" t="s">
        <v>360</v>
      </c>
      <c r="L35" s="84" t="s">
        <v>227</v>
      </c>
      <c r="M35" s="136">
        <v>45969</v>
      </c>
      <c r="N35" s="75" t="s">
        <v>371</v>
      </c>
      <c r="P35" s="89"/>
      <c r="Q35" s="89"/>
    </row>
    <row r="36" spans="1:17" x14ac:dyDescent="0.3">
      <c r="A36" s="16" t="s">
        <v>266</v>
      </c>
      <c r="B36" s="16" t="s">
        <v>3198</v>
      </c>
      <c r="C36" s="28" t="s">
        <v>111</v>
      </c>
      <c r="D36" s="28" t="str">
        <f>IFERROR(VLOOKUP($C36,CUENTAS[],2,0),"")</f>
        <v>GASTOS VARIOS</v>
      </c>
      <c r="E36" s="28" t="str">
        <f>IFERROR(VLOOKUP($C36,CUENTAS[],3,0),"")</f>
        <v>MDE2025-003K</v>
      </c>
      <c r="F36" s="86">
        <v>15000</v>
      </c>
      <c r="G36" s="86">
        <v>0</v>
      </c>
      <c r="H36" s="74">
        <v>15000</v>
      </c>
      <c r="I36" s="200" t="str">
        <f t="shared" si="0"/>
        <v>CORRECTO</v>
      </c>
      <c r="J36" s="88" t="s">
        <v>3249</v>
      </c>
      <c r="K36" s="69" t="s">
        <v>360</v>
      </c>
      <c r="L36" s="84" t="s">
        <v>227</v>
      </c>
      <c r="M36" s="135">
        <v>45969</v>
      </c>
      <c r="N36" s="75" t="s">
        <v>371</v>
      </c>
      <c r="P36" s="89"/>
      <c r="Q36" s="89"/>
    </row>
    <row r="37" spans="1:17" x14ac:dyDescent="0.3">
      <c r="A37" s="16" t="s">
        <v>265</v>
      </c>
      <c r="B37" s="16" t="s">
        <v>3198</v>
      </c>
      <c r="C37" s="28" t="s">
        <v>111</v>
      </c>
      <c r="D37" s="28" t="str">
        <f>IFERROR(VLOOKUP($C37,CUENTAS[],2,0),"")</f>
        <v>GASTOS VARIOS</v>
      </c>
      <c r="E37" s="28" t="str">
        <f>IFERROR(VLOOKUP($C37,CUENTAS[],3,0),"")</f>
        <v>MDE2025-003K</v>
      </c>
      <c r="F37" s="86">
        <v>15000</v>
      </c>
      <c r="G37" s="86">
        <v>0</v>
      </c>
      <c r="H37" s="74">
        <v>15000</v>
      </c>
      <c r="I37" s="200" t="str">
        <f t="shared" si="0"/>
        <v>CORRECTO</v>
      </c>
      <c r="J37" s="88" t="s">
        <v>3249</v>
      </c>
      <c r="K37" s="69" t="s">
        <v>360</v>
      </c>
      <c r="L37" s="84" t="s">
        <v>227</v>
      </c>
      <c r="M37" s="135">
        <v>45969</v>
      </c>
      <c r="N37" s="75" t="s">
        <v>371</v>
      </c>
      <c r="P37" s="89"/>
      <c r="Q37" s="89"/>
    </row>
    <row r="38" spans="1:17" x14ac:dyDescent="0.3">
      <c r="A38" s="16" t="s">
        <v>3199</v>
      </c>
      <c r="B38" s="16" t="s">
        <v>3198</v>
      </c>
      <c r="C38" s="28" t="s">
        <v>111</v>
      </c>
      <c r="D38" s="28" t="str">
        <f>IFERROR(VLOOKUP($C38,CUENTAS[],2,0),"")</f>
        <v>GASTOS VARIOS</v>
      </c>
      <c r="E38" s="28" t="str">
        <f>IFERROR(VLOOKUP($C38,CUENTAS[],3,0),"")</f>
        <v>MDE2025-003K</v>
      </c>
      <c r="F38" s="86">
        <v>30000</v>
      </c>
      <c r="G38" s="86">
        <v>0</v>
      </c>
      <c r="H38" s="74">
        <v>30000</v>
      </c>
      <c r="I38" s="200" t="str">
        <f t="shared" si="0"/>
        <v>CORRECTO</v>
      </c>
      <c r="J38" s="88" t="s">
        <v>3249</v>
      </c>
      <c r="K38" s="69" t="s">
        <v>360</v>
      </c>
      <c r="L38" s="84" t="s">
        <v>227</v>
      </c>
      <c r="M38" s="135">
        <v>45969</v>
      </c>
      <c r="N38" s="75" t="s">
        <v>371</v>
      </c>
      <c r="P38" s="89"/>
      <c r="Q38" s="89"/>
    </row>
    <row r="39" spans="1:17" x14ac:dyDescent="0.3">
      <c r="A39" s="16" t="s">
        <v>2628</v>
      </c>
      <c r="B39" s="16" t="s">
        <v>3200</v>
      </c>
      <c r="C39" s="28" t="s">
        <v>115</v>
      </c>
      <c r="D39" s="28" t="str">
        <f>IFERROR(VLOOKUP($C39,CUENTAS[],2,0),"")</f>
        <v>GASTOS FIJOS</v>
      </c>
      <c r="E39" s="28" t="str">
        <f>IFERROR(VLOOKUP($C39,CUENTAS[],3,0),"")</f>
        <v>MDE2025-002E</v>
      </c>
      <c r="F39" s="86">
        <v>692</v>
      </c>
      <c r="G39" s="86">
        <v>0</v>
      </c>
      <c r="H39" s="74">
        <v>692</v>
      </c>
      <c r="I39" s="200" t="str">
        <f t="shared" si="0"/>
        <v>CORRECTO</v>
      </c>
      <c r="J39" s="88" t="s">
        <v>3249</v>
      </c>
      <c r="K39" s="69" t="s">
        <v>363</v>
      </c>
      <c r="L39" s="84" t="s">
        <v>227</v>
      </c>
      <c r="M39" s="135">
        <v>45972</v>
      </c>
      <c r="N39" s="75" t="s">
        <v>368</v>
      </c>
      <c r="P39" s="89"/>
      <c r="Q39" s="89"/>
    </row>
    <row r="40" spans="1:17" x14ac:dyDescent="0.3">
      <c r="A40" s="16" t="s">
        <v>1930</v>
      </c>
      <c r="B40" s="16" t="s">
        <v>2471</v>
      </c>
      <c r="C40" s="28" t="s">
        <v>224</v>
      </c>
      <c r="D40" s="28" t="str">
        <f>IFERROR(VLOOKUP($C40,CUENTAS[],2,0),"")</f>
        <v>MATERIALES</v>
      </c>
      <c r="E40" s="28" t="str">
        <f>IFERROR(VLOOKUP($C40,CUENTAS[],3,0),"")</f>
        <v>MDE2025-004</v>
      </c>
      <c r="F40" s="86">
        <v>810</v>
      </c>
      <c r="G40" s="86">
        <v>129.6</v>
      </c>
      <c r="H40" s="74">
        <v>939.6</v>
      </c>
      <c r="I40" s="200" t="str">
        <f t="shared" si="0"/>
        <v>CORRECTO</v>
      </c>
      <c r="J40" s="88" t="s">
        <v>3249</v>
      </c>
      <c r="K40" s="69" t="s">
        <v>2919</v>
      </c>
      <c r="L40" s="84" t="s">
        <v>227</v>
      </c>
      <c r="M40" s="135">
        <v>45973</v>
      </c>
      <c r="N40" s="75" t="s">
        <v>3206</v>
      </c>
      <c r="P40" s="89"/>
      <c r="Q40" s="89"/>
    </row>
    <row r="41" spans="1:17" x14ac:dyDescent="0.3">
      <c r="A41" s="16" t="s">
        <v>3201</v>
      </c>
      <c r="B41" s="16" t="s">
        <v>3202</v>
      </c>
      <c r="C41" s="28" t="s">
        <v>161</v>
      </c>
      <c r="D41" s="28" t="str">
        <f>IFERROR(VLOOKUP($C41,CUENTAS[],2,0),"")</f>
        <v>LOGÍSTICA</v>
      </c>
      <c r="E41" s="28" t="str">
        <f>IFERROR(VLOOKUP($C41,CUENTAS[],3,0),"")</f>
        <v>MDE2025-003E</v>
      </c>
      <c r="F41" s="86">
        <v>36</v>
      </c>
      <c r="G41" s="86">
        <v>0</v>
      </c>
      <c r="H41" s="74">
        <v>36</v>
      </c>
      <c r="I41" s="200" t="str">
        <f t="shared" si="0"/>
        <v>CORRECTO</v>
      </c>
      <c r="J41" s="88" t="s">
        <v>3249</v>
      </c>
      <c r="K41" s="69" t="s">
        <v>2230</v>
      </c>
      <c r="L41" s="84" t="s">
        <v>227</v>
      </c>
      <c r="M41" s="135">
        <v>45973</v>
      </c>
      <c r="N41" s="75" t="s">
        <v>368</v>
      </c>
      <c r="P41" s="89"/>
      <c r="Q41" s="89"/>
    </row>
    <row r="42" spans="1:17" x14ac:dyDescent="0.3">
      <c r="A42" s="16" t="s">
        <v>283</v>
      </c>
      <c r="B42" s="16">
        <v>2723780</v>
      </c>
      <c r="C42" s="28" t="s">
        <v>173</v>
      </c>
      <c r="D42" s="28" t="str">
        <f>IFERROR(VLOOKUP($C42,CUENTAS[],2,0),"")</f>
        <v>TOKA</v>
      </c>
      <c r="E42" s="28" t="str">
        <f>IFERROR(VLOOKUP($C42,CUENTAS[],3,0),"")</f>
        <v>TOK2025-001B</v>
      </c>
      <c r="F42" s="86">
        <v>1000</v>
      </c>
      <c r="G42" s="86">
        <v>160</v>
      </c>
      <c r="H42" s="74">
        <v>1160</v>
      </c>
      <c r="I42" s="200" t="str">
        <f t="shared" si="0"/>
        <v>CORRECTO</v>
      </c>
      <c r="J42" s="88" t="s">
        <v>3249</v>
      </c>
      <c r="K42" s="69" t="s">
        <v>360</v>
      </c>
      <c r="L42" s="84" t="s">
        <v>227</v>
      </c>
      <c r="M42" s="135">
        <v>45971</v>
      </c>
      <c r="N42" s="75" t="s">
        <v>570</v>
      </c>
      <c r="P42" s="89"/>
      <c r="Q42" s="89"/>
    </row>
    <row r="43" spans="1:17" x14ac:dyDescent="0.3">
      <c r="A43" s="16" t="s">
        <v>283</v>
      </c>
      <c r="B43" s="16">
        <v>2731404</v>
      </c>
      <c r="C43" s="28" t="s">
        <v>173</v>
      </c>
      <c r="D43" s="28" t="str">
        <f>IFERROR(VLOOKUP($C43,CUENTAS[],2,0),"")</f>
        <v>TOKA</v>
      </c>
      <c r="E43" s="28" t="str">
        <f>IFERROR(VLOOKUP($C43,CUENTAS[],3,0),"")</f>
        <v>TOK2025-001B</v>
      </c>
      <c r="F43" s="86">
        <v>250</v>
      </c>
      <c r="G43" s="86">
        <v>40</v>
      </c>
      <c r="H43" s="74">
        <v>290</v>
      </c>
      <c r="I43" s="200" t="str">
        <f t="shared" si="0"/>
        <v>CORRECTO</v>
      </c>
      <c r="J43" s="88" t="s">
        <v>3249</v>
      </c>
      <c r="K43" s="69" t="s">
        <v>2230</v>
      </c>
      <c r="L43" s="84" t="s">
        <v>227</v>
      </c>
      <c r="M43" s="135">
        <v>45975</v>
      </c>
      <c r="N43" s="75" t="s">
        <v>570</v>
      </c>
      <c r="P43" s="89"/>
      <c r="Q43" s="89"/>
    </row>
    <row r="44" spans="1:17" x14ac:dyDescent="0.3">
      <c r="A44" s="16" t="s">
        <v>2272</v>
      </c>
      <c r="B44" s="16" t="s">
        <v>3203</v>
      </c>
      <c r="C44" s="28" t="s">
        <v>224</v>
      </c>
      <c r="D44" s="28" t="str">
        <f>IFERROR(VLOOKUP($C44,CUENTAS[],2,0),"")</f>
        <v>MATERIALES</v>
      </c>
      <c r="E44" s="28" t="str">
        <f>IFERROR(VLOOKUP($C44,CUENTAS[],3,0),"")</f>
        <v>MDE2025-004</v>
      </c>
      <c r="F44" s="86">
        <v>11289.8</v>
      </c>
      <c r="G44" s="86">
        <v>1779.36</v>
      </c>
      <c r="H44" s="74">
        <v>13096.17</v>
      </c>
      <c r="I44" s="200" t="str">
        <f t="shared" si="0"/>
        <v>REVISAR</v>
      </c>
      <c r="J44" s="88" t="s">
        <v>3249</v>
      </c>
      <c r="K44" s="69" t="s">
        <v>980</v>
      </c>
      <c r="L44" s="84" t="s">
        <v>227</v>
      </c>
      <c r="M44" s="135">
        <v>45975</v>
      </c>
      <c r="N44" s="75" t="s">
        <v>798</v>
      </c>
      <c r="P44" s="89"/>
      <c r="Q44" s="89"/>
    </row>
    <row r="45" spans="1:17" x14ac:dyDescent="0.3">
      <c r="A45" s="16" t="s">
        <v>262</v>
      </c>
      <c r="B45" s="16" t="s">
        <v>3198</v>
      </c>
      <c r="C45" s="28" t="s">
        <v>111</v>
      </c>
      <c r="D45" s="28" t="str">
        <f>IFERROR(VLOOKUP($C45,CUENTAS[],2,0),"")</f>
        <v>GASTOS VARIOS</v>
      </c>
      <c r="E45" s="28" t="str">
        <f>IFERROR(VLOOKUP($C45,CUENTAS[],3,0),"")</f>
        <v>MDE2025-003K</v>
      </c>
      <c r="F45" s="86">
        <v>15000</v>
      </c>
      <c r="G45" s="86">
        <v>0</v>
      </c>
      <c r="H45" s="74">
        <v>15000</v>
      </c>
      <c r="I45" s="200" t="str">
        <f t="shared" si="0"/>
        <v>CORRECTO</v>
      </c>
      <c r="J45" s="88" t="s">
        <v>3249</v>
      </c>
      <c r="K45" s="69" t="s">
        <v>360</v>
      </c>
      <c r="L45" s="84" t="s">
        <v>227</v>
      </c>
      <c r="M45" s="136">
        <v>45975</v>
      </c>
      <c r="N45" s="75" t="s">
        <v>371</v>
      </c>
      <c r="P45" s="89"/>
      <c r="Q45" s="89"/>
    </row>
    <row r="46" spans="1:17" x14ac:dyDescent="0.3">
      <c r="A46" s="16" t="s">
        <v>264</v>
      </c>
      <c r="B46" s="16" t="s">
        <v>3198</v>
      </c>
      <c r="C46" s="28" t="s">
        <v>111</v>
      </c>
      <c r="D46" s="28" t="str">
        <f>IFERROR(VLOOKUP($C46,CUENTAS[],2,0),"")</f>
        <v>GASTOS VARIOS</v>
      </c>
      <c r="E46" s="28" t="str">
        <f>IFERROR(VLOOKUP($C46,CUENTAS[],3,0),"")</f>
        <v>MDE2025-003K</v>
      </c>
      <c r="F46" s="86">
        <v>15000</v>
      </c>
      <c r="G46" s="86">
        <v>0</v>
      </c>
      <c r="H46" s="74">
        <v>15000</v>
      </c>
      <c r="I46" s="200" t="str">
        <f t="shared" si="0"/>
        <v>CORRECTO</v>
      </c>
      <c r="J46" s="88" t="s">
        <v>3249</v>
      </c>
      <c r="K46" s="69" t="s">
        <v>360</v>
      </c>
      <c r="L46" s="84" t="s">
        <v>227</v>
      </c>
      <c r="M46" s="135">
        <v>45975</v>
      </c>
      <c r="N46" s="75" t="s">
        <v>371</v>
      </c>
      <c r="P46" s="89"/>
      <c r="Q46" s="89"/>
    </row>
    <row r="47" spans="1:17" x14ac:dyDescent="0.3">
      <c r="A47" s="16" t="s">
        <v>266</v>
      </c>
      <c r="B47" s="16" t="s">
        <v>3198</v>
      </c>
      <c r="C47" s="28" t="s">
        <v>111</v>
      </c>
      <c r="D47" s="28" t="str">
        <f>IFERROR(VLOOKUP($C47,CUENTAS[],2,0),"")</f>
        <v>GASTOS VARIOS</v>
      </c>
      <c r="E47" s="28" t="str">
        <f>IFERROR(VLOOKUP($C47,CUENTAS[],3,0),"")</f>
        <v>MDE2025-003K</v>
      </c>
      <c r="F47" s="86">
        <v>15000</v>
      </c>
      <c r="G47" s="86">
        <v>0</v>
      </c>
      <c r="H47" s="74">
        <v>15000</v>
      </c>
      <c r="I47" s="200" t="str">
        <f t="shared" si="0"/>
        <v>CORRECTO</v>
      </c>
      <c r="J47" s="88" t="s">
        <v>3249</v>
      </c>
      <c r="K47" s="69" t="s">
        <v>360</v>
      </c>
      <c r="L47" s="84" t="s">
        <v>227</v>
      </c>
      <c r="M47" s="135">
        <v>45975</v>
      </c>
      <c r="N47" s="75" t="s">
        <v>371</v>
      </c>
      <c r="P47" s="89"/>
      <c r="Q47" s="89"/>
    </row>
    <row r="48" spans="1:17" x14ac:dyDescent="0.3">
      <c r="A48" s="16" t="s">
        <v>265</v>
      </c>
      <c r="B48" s="16" t="s">
        <v>3198</v>
      </c>
      <c r="C48" s="28" t="s">
        <v>111</v>
      </c>
      <c r="D48" s="28" t="str">
        <f>IFERROR(VLOOKUP($C48,CUENTAS[],2,0),"")</f>
        <v>GASTOS VARIOS</v>
      </c>
      <c r="E48" s="28" t="str">
        <f>IFERROR(VLOOKUP($C48,CUENTAS[],3,0),"")</f>
        <v>MDE2025-003K</v>
      </c>
      <c r="F48" s="86">
        <v>15000</v>
      </c>
      <c r="G48" s="86">
        <v>0</v>
      </c>
      <c r="H48" s="74">
        <v>15000</v>
      </c>
      <c r="I48" s="200" t="str">
        <f t="shared" si="0"/>
        <v>CORRECTO</v>
      </c>
      <c r="J48" s="88" t="s">
        <v>3249</v>
      </c>
      <c r="K48" s="69" t="s">
        <v>360</v>
      </c>
      <c r="L48" s="84" t="s">
        <v>227</v>
      </c>
      <c r="M48" s="135">
        <v>45975</v>
      </c>
      <c r="N48" s="75" t="s">
        <v>371</v>
      </c>
      <c r="P48" s="89"/>
      <c r="Q48" s="89"/>
    </row>
    <row r="49" spans="1:17" x14ac:dyDescent="0.3">
      <c r="A49" s="16" t="s">
        <v>3199</v>
      </c>
      <c r="B49" s="16" t="s">
        <v>3198</v>
      </c>
      <c r="C49" s="28" t="s">
        <v>111</v>
      </c>
      <c r="D49" s="28" t="str">
        <f>IFERROR(VLOOKUP($C49,CUENTAS[],2,0),"")</f>
        <v>GASTOS VARIOS</v>
      </c>
      <c r="E49" s="28" t="str">
        <f>IFERROR(VLOOKUP($C49,CUENTAS[],3,0),"")</f>
        <v>MDE2025-003K</v>
      </c>
      <c r="F49" s="86">
        <v>30000</v>
      </c>
      <c r="G49" s="86">
        <v>0</v>
      </c>
      <c r="H49" s="74">
        <v>30000</v>
      </c>
      <c r="I49" s="200" t="str">
        <f t="shared" si="0"/>
        <v>CORRECTO</v>
      </c>
      <c r="J49" s="88" t="s">
        <v>3249</v>
      </c>
      <c r="K49" s="69" t="s">
        <v>360</v>
      </c>
      <c r="L49" s="84" t="s">
        <v>227</v>
      </c>
      <c r="M49" s="135">
        <v>45975</v>
      </c>
      <c r="N49" s="75" t="s">
        <v>371</v>
      </c>
      <c r="P49" s="89"/>
      <c r="Q49" s="89"/>
    </row>
    <row r="50" spans="1:17" x14ac:dyDescent="0.3">
      <c r="A50" s="16" t="s">
        <v>1371</v>
      </c>
      <c r="B50" s="16" t="s">
        <v>3204</v>
      </c>
      <c r="C50" s="28" t="s">
        <v>156</v>
      </c>
      <c r="D50" s="28" t="str">
        <f>IFERROR(VLOOKUP($C50,CUENTAS[],2,0),"")</f>
        <v>GASTOS FIJOS</v>
      </c>
      <c r="E50" s="28" t="str">
        <f>IFERROR(VLOOKUP($C50,CUENTAS[],3,0),"")</f>
        <v>MDE2025-002P</v>
      </c>
      <c r="F50" s="86">
        <v>7000</v>
      </c>
      <c r="G50" s="86">
        <v>0</v>
      </c>
      <c r="H50" s="74">
        <v>7000</v>
      </c>
      <c r="I50" s="200" t="str">
        <f t="shared" si="0"/>
        <v>CORRECTO</v>
      </c>
      <c r="J50" s="88" t="s">
        <v>3249</v>
      </c>
      <c r="K50" s="69" t="s">
        <v>364</v>
      </c>
      <c r="L50" s="84" t="s">
        <v>227</v>
      </c>
      <c r="M50" s="135">
        <v>45979</v>
      </c>
      <c r="N50" s="75" t="s">
        <v>371</v>
      </c>
      <c r="P50" s="89"/>
      <c r="Q50" s="89"/>
    </row>
    <row r="51" spans="1:17" x14ac:dyDescent="0.3">
      <c r="A51" s="16" t="s">
        <v>2275</v>
      </c>
      <c r="B51" s="16" t="s">
        <v>3205</v>
      </c>
      <c r="C51" s="28" t="s">
        <v>109</v>
      </c>
      <c r="D51" s="28" t="str">
        <f>IFERROR(VLOOKUP($C51,CUENTAS[],2,0),"")</f>
        <v>LOGÍSTICA</v>
      </c>
      <c r="E51" s="28" t="str">
        <f>IFERROR(VLOOKUP($C51,CUENTAS[],3,0),"")</f>
        <v>MDE2025-006A</v>
      </c>
      <c r="F51" s="86">
        <v>2342</v>
      </c>
      <c r="G51" s="86">
        <v>0</v>
      </c>
      <c r="H51" s="74">
        <v>2342</v>
      </c>
      <c r="I51" s="200" t="str">
        <f t="shared" si="0"/>
        <v>CORRECTO</v>
      </c>
      <c r="J51" s="88" t="s">
        <v>3249</v>
      </c>
      <c r="K51" s="69" t="s">
        <v>2230</v>
      </c>
      <c r="L51" s="84" t="s">
        <v>227</v>
      </c>
      <c r="M51" s="136">
        <v>45979</v>
      </c>
      <c r="N51" s="75" t="s">
        <v>368</v>
      </c>
      <c r="P51" s="89"/>
      <c r="Q51" s="89"/>
    </row>
    <row r="52" spans="1:17" x14ac:dyDescent="0.3">
      <c r="A52" s="16" t="s">
        <v>2881</v>
      </c>
      <c r="B52" s="16" t="s">
        <v>3207</v>
      </c>
      <c r="C52" s="28" t="s">
        <v>224</v>
      </c>
      <c r="D52" s="28" t="str">
        <f>IFERROR(VLOOKUP($C52,CUENTAS[],2,0),"")</f>
        <v>MATERIALES</v>
      </c>
      <c r="E52" s="28" t="str">
        <f>IFERROR(VLOOKUP($C52,CUENTAS[],3,0),"")</f>
        <v>MDE2025-004</v>
      </c>
      <c r="F52" s="86">
        <v>3375</v>
      </c>
      <c r="G52" s="86">
        <v>540</v>
      </c>
      <c r="H52" s="74">
        <v>3915</v>
      </c>
      <c r="I52" s="200" t="str">
        <f t="shared" si="0"/>
        <v>CORRECTO</v>
      </c>
      <c r="J52" s="88"/>
      <c r="K52" s="69" t="s">
        <v>2919</v>
      </c>
      <c r="L52" s="84" t="s">
        <v>227</v>
      </c>
      <c r="M52" s="135">
        <v>45962</v>
      </c>
      <c r="N52" s="75" t="s">
        <v>3219</v>
      </c>
      <c r="P52" s="89"/>
      <c r="Q52" s="89"/>
    </row>
    <row r="53" spans="1:17" x14ac:dyDescent="0.3">
      <c r="A53" s="16" t="s">
        <v>1604</v>
      </c>
      <c r="B53" s="16" t="s">
        <v>3208</v>
      </c>
      <c r="C53" s="28" t="s">
        <v>224</v>
      </c>
      <c r="D53" s="28" t="str">
        <f>IFERROR(VLOOKUP($C53,CUENTAS[],2,0),"")</f>
        <v>MATERIALES</v>
      </c>
      <c r="E53" s="28" t="str">
        <f>IFERROR(VLOOKUP($C53,CUENTAS[],3,0),"")</f>
        <v>MDE2025-004</v>
      </c>
      <c r="F53" s="86">
        <v>1458.93</v>
      </c>
      <c r="G53" s="86">
        <v>233.43</v>
      </c>
      <c r="H53" s="74">
        <v>1692.36</v>
      </c>
      <c r="I53" s="200" t="str">
        <f t="shared" si="0"/>
        <v>CORRECTO</v>
      </c>
      <c r="J53" s="88"/>
      <c r="K53" s="69" t="s">
        <v>2919</v>
      </c>
      <c r="L53" s="84" t="s">
        <v>227</v>
      </c>
      <c r="M53" s="135">
        <v>45966</v>
      </c>
      <c r="N53" s="75" t="s">
        <v>3220</v>
      </c>
      <c r="P53" s="89"/>
      <c r="Q53" s="89"/>
    </row>
    <row r="54" spans="1:17" x14ac:dyDescent="0.3">
      <c r="A54" s="16" t="s">
        <v>3209</v>
      </c>
      <c r="B54" s="16" t="s">
        <v>3210</v>
      </c>
      <c r="C54" s="28" t="s">
        <v>224</v>
      </c>
      <c r="D54" s="28" t="str">
        <f>IFERROR(VLOOKUP($C54,CUENTAS[],2,0),"")</f>
        <v>MATERIALES</v>
      </c>
      <c r="E54" s="28" t="str">
        <f>IFERROR(VLOOKUP($C54,CUENTAS[],3,0),"")</f>
        <v>MDE2025-004</v>
      </c>
      <c r="F54" s="86">
        <v>1152.4000000000001</v>
      </c>
      <c r="G54" s="86">
        <v>184.38</v>
      </c>
      <c r="H54" s="74">
        <v>1336.78</v>
      </c>
      <c r="I54" s="200" t="str">
        <f t="shared" si="0"/>
        <v>CORRECTO</v>
      </c>
      <c r="J54" s="88"/>
      <c r="K54" s="69" t="s">
        <v>2919</v>
      </c>
      <c r="L54" s="84" t="s">
        <v>227</v>
      </c>
      <c r="M54" s="135">
        <v>45966</v>
      </c>
      <c r="N54" s="75" t="s">
        <v>3221</v>
      </c>
      <c r="P54" s="89"/>
      <c r="Q54" s="89"/>
    </row>
    <row r="55" spans="1:17" x14ac:dyDescent="0.3">
      <c r="A55" s="16" t="s">
        <v>3199</v>
      </c>
      <c r="B55" s="16" t="s">
        <v>3198</v>
      </c>
      <c r="C55" s="28" t="s">
        <v>111</v>
      </c>
      <c r="D55" s="28" t="str">
        <f>IFERROR(VLOOKUP($C55,CUENTAS[],2,0),"")</f>
        <v>GASTOS VARIOS</v>
      </c>
      <c r="E55" s="28" t="str">
        <f>IFERROR(VLOOKUP($C55,CUENTAS[],3,0),"")</f>
        <v>MDE2025-003K</v>
      </c>
      <c r="F55" s="86">
        <v>30000</v>
      </c>
      <c r="G55" s="86">
        <v>0</v>
      </c>
      <c r="H55" s="74">
        <v>30000</v>
      </c>
      <c r="I55" s="200" t="str">
        <f t="shared" si="0"/>
        <v>CORRECTO</v>
      </c>
      <c r="J55" s="88"/>
      <c r="K55" s="69" t="s">
        <v>360</v>
      </c>
      <c r="L55" s="84" t="s">
        <v>227</v>
      </c>
      <c r="M55" s="135">
        <v>45968</v>
      </c>
      <c r="N55" s="75" t="s">
        <v>371</v>
      </c>
      <c r="P55" s="89"/>
      <c r="Q55" s="89"/>
    </row>
    <row r="56" spans="1:17" x14ac:dyDescent="0.3">
      <c r="A56" s="16" t="s">
        <v>543</v>
      </c>
      <c r="B56" s="16" t="s">
        <v>3211</v>
      </c>
      <c r="C56" s="28" t="s">
        <v>113</v>
      </c>
      <c r="D56" s="28" t="str">
        <f>IFERROR(VLOOKUP($C56,CUENTAS[],2,0),"")</f>
        <v>GASTOS VARIOS</v>
      </c>
      <c r="E56" s="28" t="str">
        <f>IFERROR(VLOOKUP($C56,CUENTAS[],3,0),"")</f>
        <v>MDE2025-003B</v>
      </c>
      <c r="F56" s="86">
        <v>645</v>
      </c>
      <c r="G56" s="86">
        <v>103.2</v>
      </c>
      <c r="H56" s="74">
        <v>748.2</v>
      </c>
      <c r="I56" s="200" t="str">
        <f t="shared" si="0"/>
        <v>CORRECTO</v>
      </c>
      <c r="J56" s="88"/>
      <c r="K56" s="69" t="s">
        <v>2919</v>
      </c>
      <c r="L56" s="84" t="s">
        <v>227</v>
      </c>
      <c r="M56" s="135">
        <v>45968</v>
      </c>
      <c r="N56" s="75" t="s">
        <v>3222</v>
      </c>
      <c r="P56" s="89"/>
      <c r="Q56" s="89"/>
    </row>
    <row r="57" spans="1:17" x14ac:dyDescent="0.3">
      <c r="A57" s="16" t="s">
        <v>3044</v>
      </c>
      <c r="B57" s="16" t="s">
        <v>3212</v>
      </c>
      <c r="C57" s="28" t="s">
        <v>224</v>
      </c>
      <c r="D57" s="28" t="str">
        <f>IFERROR(VLOOKUP($C57,CUENTAS[],2,0),"")</f>
        <v>MATERIALES</v>
      </c>
      <c r="E57" s="28" t="str">
        <f>IFERROR(VLOOKUP($C57,CUENTAS[],3,0),"")</f>
        <v>MDE2025-004</v>
      </c>
      <c r="F57" s="86">
        <v>486</v>
      </c>
      <c r="G57" s="86">
        <v>0</v>
      </c>
      <c r="H57" s="74">
        <v>486</v>
      </c>
      <c r="I57" s="200" t="str">
        <f t="shared" si="0"/>
        <v>CORRECTO</v>
      </c>
      <c r="J57" s="88"/>
      <c r="K57" s="69" t="s">
        <v>2919</v>
      </c>
      <c r="L57" s="84" t="s">
        <v>227</v>
      </c>
      <c r="M57" s="139">
        <v>45973</v>
      </c>
      <c r="N57" s="75" t="s">
        <v>3223</v>
      </c>
      <c r="P57" s="89"/>
      <c r="Q57" s="89"/>
    </row>
    <row r="58" spans="1:17" x14ac:dyDescent="0.3">
      <c r="A58" s="16" t="s">
        <v>1760</v>
      </c>
      <c r="B58" s="16" t="s">
        <v>3213</v>
      </c>
      <c r="C58" s="28" t="s">
        <v>224</v>
      </c>
      <c r="D58" s="28" t="str">
        <f>IFERROR(VLOOKUP($C58,CUENTAS[],2,0),"")</f>
        <v>MATERIALES</v>
      </c>
      <c r="E58" s="28" t="str">
        <f>IFERROR(VLOOKUP($C58,CUENTAS[],3,0),"")</f>
        <v>MDE2025-004</v>
      </c>
      <c r="F58" s="86">
        <v>1367.17</v>
      </c>
      <c r="G58" s="86">
        <v>0</v>
      </c>
      <c r="H58" s="74">
        <v>1367.11</v>
      </c>
      <c r="I58" s="200" t="str">
        <f t="shared" si="0"/>
        <v>REVISAR</v>
      </c>
      <c r="J58" s="88"/>
      <c r="K58" s="69" t="s">
        <v>2919</v>
      </c>
      <c r="L58" s="84" t="s">
        <v>227</v>
      </c>
      <c r="M58" s="139">
        <v>45973</v>
      </c>
      <c r="N58" s="75" t="s">
        <v>3264</v>
      </c>
      <c r="P58" s="89"/>
      <c r="Q58" s="89"/>
    </row>
    <row r="59" spans="1:17" x14ac:dyDescent="0.3">
      <c r="A59" s="16" t="s">
        <v>2957</v>
      </c>
      <c r="B59" s="16" t="s">
        <v>3214</v>
      </c>
      <c r="C59" s="28" t="s">
        <v>224</v>
      </c>
      <c r="D59" s="28" t="str">
        <f>IFERROR(VLOOKUP($C59,CUENTAS[],2,0),"")</f>
        <v>MATERIALES</v>
      </c>
      <c r="E59" s="28" t="str">
        <f>IFERROR(VLOOKUP($C59,CUENTAS[],3,0),"")</f>
        <v>MDE2025-004</v>
      </c>
      <c r="F59" s="86">
        <v>68</v>
      </c>
      <c r="G59" s="86">
        <v>0</v>
      </c>
      <c r="H59" s="74">
        <v>68.010000000000005</v>
      </c>
      <c r="I59" s="200" t="str">
        <f t="shared" si="0"/>
        <v>REVISAR</v>
      </c>
      <c r="J59" s="88"/>
      <c r="K59" s="69" t="s">
        <v>2919</v>
      </c>
      <c r="L59" s="84" t="s">
        <v>227</v>
      </c>
      <c r="M59" s="137">
        <v>45973</v>
      </c>
      <c r="N59" s="75" t="s">
        <v>3224</v>
      </c>
      <c r="P59" s="89"/>
      <c r="Q59" s="89"/>
    </row>
    <row r="60" spans="1:17" x14ac:dyDescent="0.3">
      <c r="A60" s="16" t="s">
        <v>3215</v>
      </c>
      <c r="B60" s="16" t="s">
        <v>3216</v>
      </c>
      <c r="C60" s="28" t="s">
        <v>224</v>
      </c>
      <c r="D60" s="28" t="str">
        <f>IFERROR(VLOOKUP($C60,CUENTAS[],2,0),"")</f>
        <v>MATERIALES</v>
      </c>
      <c r="E60" s="28" t="str">
        <f>IFERROR(VLOOKUP($C60,CUENTAS[],3,0),"")</f>
        <v>MDE2025-004</v>
      </c>
      <c r="F60" s="86">
        <v>441.38</v>
      </c>
      <c r="G60" s="86">
        <v>70.62</v>
      </c>
      <c r="H60" s="74">
        <v>512</v>
      </c>
      <c r="I60" s="200" t="str">
        <f t="shared" si="0"/>
        <v>CORRECTO</v>
      </c>
      <c r="J60" s="88"/>
      <c r="K60" s="69" t="s">
        <v>2919</v>
      </c>
      <c r="L60" s="84" t="s">
        <v>227</v>
      </c>
      <c r="M60" s="140">
        <v>45973</v>
      </c>
      <c r="N60" s="75" t="s">
        <v>3225</v>
      </c>
      <c r="P60" s="134"/>
      <c r="Q60" s="89"/>
    </row>
    <row r="61" spans="1:17" x14ac:dyDescent="0.3">
      <c r="A61" s="16" t="s">
        <v>3217</v>
      </c>
      <c r="B61" s="16" t="s">
        <v>3218</v>
      </c>
      <c r="C61" s="28" t="s">
        <v>162</v>
      </c>
      <c r="D61" s="28" t="str">
        <f>IFERROR(VLOOKUP($C61,CUENTAS[],2,0),"")</f>
        <v>GASTOS VARIOS</v>
      </c>
      <c r="E61" s="28" t="str">
        <f>IFERROR(VLOOKUP($C61,CUENTAS[],3,0),"")</f>
        <v>MDE2025-003F</v>
      </c>
      <c r="F61" s="86">
        <v>230.5</v>
      </c>
      <c r="G61" s="86">
        <v>0</v>
      </c>
      <c r="H61" s="74">
        <v>230.5</v>
      </c>
      <c r="I61" s="200" t="str">
        <f t="shared" si="0"/>
        <v>CORRECTO</v>
      </c>
      <c r="J61" s="88"/>
      <c r="K61" s="69" t="s">
        <v>364</v>
      </c>
      <c r="L61" s="84" t="s">
        <v>227</v>
      </c>
      <c r="M61" s="137">
        <v>45979</v>
      </c>
      <c r="N61" s="75" t="s">
        <v>3226</v>
      </c>
      <c r="P61" s="89"/>
      <c r="Q61" s="89"/>
    </row>
    <row r="62" spans="1:17" x14ac:dyDescent="0.3">
      <c r="A62" s="16" t="s">
        <v>3265</v>
      </c>
      <c r="B62" s="16" t="s">
        <v>3266</v>
      </c>
      <c r="C62" s="28" t="s">
        <v>153</v>
      </c>
      <c r="D62" s="28" t="str">
        <f>IFERROR(VLOOKUP($C62,CUENTAS[],2,0),"")</f>
        <v>GASTOS FIJOS</v>
      </c>
      <c r="E62" s="28" t="str">
        <f>IFERROR(VLOOKUP($C62,CUENTAS[],3,0),"")</f>
        <v>MDE2025-002L</v>
      </c>
      <c r="F62" s="86"/>
      <c r="G62" s="87"/>
      <c r="H62" s="74">
        <v>748.16</v>
      </c>
      <c r="I62" s="200" t="str">
        <f t="shared" si="0"/>
        <v>REVISAR</v>
      </c>
      <c r="J62" s="88" t="s">
        <v>3249</v>
      </c>
      <c r="K62" s="69" t="s">
        <v>364</v>
      </c>
      <c r="L62" s="84" t="s">
        <v>227</v>
      </c>
      <c r="M62" s="139">
        <v>45973</v>
      </c>
      <c r="N62" s="75" t="s">
        <v>371</v>
      </c>
      <c r="P62" s="89"/>
      <c r="Q62" s="89"/>
    </row>
    <row r="63" spans="1:17" x14ac:dyDescent="0.3">
      <c r="A63" s="16" t="s">
        <v>3201</v>
      </c>
      <c r="B63" s="16" t="s">
        <v>3267</v>
      </c>
      <c r="C63" s="28" t="s">
        <v>153</v>
      </c>
      <c r="D63" s="28" t="str">
        <f>IFERROR(VLOOKUP($C63,CUENTAS[],2,0),"")</f>
        <v>GASTOS FIJOS</v>
      </c>
      <c r="E63" s="28" t="str">
        <f>IFERROR(VLOOKUP($C63,CUENTAS[],3,0),"")</f>
        <v>MDE2025-002L</v>
      </c>
      <c r="F63" s="86"/>
      <c r="G63" s="87"/>
      <c r="H63" s="74">
        <v>450</v>
      </c>
      <c r="I63" s="200" t="str">
        <f t="shared" si="0"/>
        <v>REVISAR</v>
      </c>
      <c r="J63" s="88"/>
      <c r="K63" s="69" t="s">
        <v>364</v>
      </c>
      <c r="L63" s="84" t="s">
        <v>227</v>
      </c>
      <c r="M63" s="139">
        <v>45972</v>
      </c>
      <c r="N63" s="75"/>
      <c r="P63" s="89"/>
      <c r="Q63" s="89"/>
    </row>
    <row r="64" spans="1:17" x14ac:dyDescent="0.3">
      <c r="A64" s="16" t="s">
        <v>3227</v>
      </c>
      <c r="B64" s="16" t="s">
        <v>3228</v>
      </c>
      <c r="C64" s="28" t="s">
        <v>19</v>
      </c>
      <c r="D64" s="28" t="str">
        <f>IFERROR(VLOOKUP($C64,CUENTAS[],2,0),"")</f>
        <v>DISEÑOS</v>
      </c>
      <c r="E64" s="28" t="str">
        <f>IFERROR(VLOOKUP($C64,CUENTAS[],3,0),"")</f>
        <v>MDE2025-001</v>
      </c>
      <c r="F64" s="86">
        <v>1050</v>
      </c>
      <c r="G64" s="86">
        <v>168</v>
      </c>
      <c r="H64" s="74">
        <v>1218</v>
      </c>
      <c r="I64" s="200" t="str">
        <f t="shared" si="0"/>
        <v>CORRECTO</v>
      </c>
      <c r="J64" s="88" t="s">
        <v>1265</v>
      </c>
      <c r="K64" s="69" t="s">
        <v>2799</v>
      </c>
      <c r="L64" s="84" t="s">
        <v>227</v>
      </c>
      <c r="M64" s="139">
        <v>45973</v>
      </c>
      <c r="N64" s="75" t="s">
        <v>3231</v>
      </c>
      <c r="P64" s="89"/>
      <c r="Q64" s="89"/>
    </row>
    <row r="65" spans="1:17" x14ac:dyDescent="0.3">
      <c r="A65" s="16" t="s">
        <v>3229</v>
      </c>
      <c r="B65" s="16" t="s">
        <v>3230</v>
      </c>
      <c r="C65" s="28" t="s">
        <v>19</v>
      </c>
      <c r="D65" s="28" t="str">
        <f>IFERROR(VLOOKUP($C65,CUENTAS[],2,0),"")</f>
        <v>DISEÑOS</v>
      </c>
      <c r="E65" s="28" t="str">
        <f>IFERROR(VLOOKUP($C65,CUENTAS[],3,0),"")</f>
        <v>MDE2025-001</v>
      </c>
      <c r="F65" s="86">
        <v>206.03</v>
      </c>
      <c r="G65" s="86">
        <v>32.96</v>
      </c>
      <c r="H65" s="74">
        <v>238.99</v>
      </c>
      <c r="I65" s="200" t="str">
        <f t="shared" si="0"/>
        <v>CORRECTO</v>
      </c>
      <c r="J65" s="88" t="s">
        <v>1265</v>
      </c>
      <c r="K65" s="69" t="s">
        <v>2799</v>
      </c>
      <c r="L65" s="84" t="s">
        <v>227</v>
      </c>
      <c r="M65" s="139">
        <v>45973</v>
      </c>
      <c r="N65" s="75" t="s">
        <v>3231</v>
      </c>
      <c r="P65" s="89"/>
      <c r="Q65" s="89"/>
    </row>
    <row r="66" spans="1:17" x14ac:dyDescent="0.3">
      <c r="A66" s="16" t="s">
        <v>1272</v>
      </c>
      <c r="B66" s="16" t="s">
        <v>3232</v>
      </c>
      <c r="C66" s="28" t="s">
        <v>167</v>
      </c>
      <c r="D66" s="28" t="str">
        <f>IFERROR(VLOOKUP($C66,CUENTAS[],2,0),"")</f>
        <v>LOGÍSTICA</v>
      </c>
      <c r="E66" s="28" t="str">
        <f>IFERROR(VLOOKUP($C66,CUENTAS[],3,0),"")</f>
        <v>MDE2025-006D</v>
      </c>
      <c r="F66" s="86">
        <v>95.69</v>
      </c>
      <c r="G66" s="86">
        <v>15.31</v>
      </c>
      <c r="H66" s="74">
        <v>111</v>
      </c>
      <c r="I66" s="200" t="str">
        <f t="shared" si="0"/>
        <v>CORRECTO</v>
      </c>
      <c r="J66" s="88" t="s">
        <v>3252</v>
      </c>
      <c r="K66" s="69" t="s">
        <v>922</v>
      </c>
      <c r="L66" s="84" t="s">
        <v>227</v>
      </c>
      <c r="M66" s="139">
        <v>45972</v>
      </c>
      <c r="N66" s="75" t="s">
        <v>3233</v>
      </c>
      <c r="P66" s="89"/>
      <c r="Q66" s="89"/>
    </row>
    <row r="67" spans="1:17" x14ac:dyDescent="0.3">
      <c r="A67" s="16" t="s">
        <v>1272</v>
      </c>
      <c r="B67" s="16" t="s">
        <v>3232</v>
      </c>
      <c r="C67" s="28" t="s">
        <v>135</v>
      </c>
      <c r="D67" s="28" t="str">
        <f>IFERROR(VLOOKUP($C67,CUENTAS[],2,0),"")</f>
        <v>EVENTOS INTERNOS</v>
      </c>
      <c r="E67" s="28" t="str">
        <f>IFERROR(VLOOKUP($C67,CUENTAS[],3,0),"")</f>
        <v>MDE2025-008B</v>
      </c>
      <c r="F67" s="86">
        <v>95.69</v>
      </c>
      <c r="G67" s="86">
        <v>15.31</v>
      </c>
      <c r="H67" s="74">
        <v>111</v>
      </c>
      <c r="I67" s="200" t="str">
        <f t="shared" ref="I67:I89" si="1">IFERROR(IF(F67+G67&lt;&gt;H67,"REVISAR","CORRECTO"),"")</f>
        <v>CORRECTO</v>
      </c>
      <c r="J67" s="88" t="s">
        <v>3252</v>
      </c>
      <c r="K67" s="69" t="s">
        <v>922</v>
      </c>
      <c r="L67" s="84" t="s">
        <v>227</v>
      </c>
      <c r="M67" s="139">
        <v>45972</v>
      </c>
      <c r="N67" s="75" t="s">
        <v>3233</v>
      </c>
      <c r="P67" s="89"/>
      <c r="Q67" s="89"/>
    </row>
    <row r="68" spans="1:17" x14ac:dyDescent="0.3">
      <c r="A68" s="16" t="s">
        <v>228</v>
      </c>
      <c r="B68" s="16" t="s">
        <v>2811</v>
      </c>
      <c r="C68" s="28" t="s">
        <v>134</v>
      </c>
      <c r="D68" s="28" t="str">
        <f>IFERROR(VLOOKUP($C68,CUENTAS[],2,0),"")</f>
        <v>GASTOS FIJOS</v>
      </c>
      <c r="E68" s="28" t="str">
        <f>IFERROR(VLOOKUP($C68,CUENTAS[],3,0),"")</f>
        <v>MDE2025-002J</v>
      </c>
      <c r="F68" s="86">
        <v>550.49</v>
      </c>
      <c r="G68" s="86">
        <v>0</v>
      </c>
      <c r="H68" s="74">
        <v>550.49</v>
      </c>
      <c r="I68" s="200" t="str">
        <f t="shared" si="1"/>
        <v>CORRECTO</v>
      </c>
      <c r="J68" s="88"/>
      <c r="K68" s="69" t="s">
        <v>360</v>
      </c>
      <c r="L68" s="84" t="s">
        <v>227</v>
      </c>
      <c r="M68" s="139">
        <v>45964</v>
      </c>
      <c r="N68" s="75" t="s">
        <v>371</v>
      </c>
      <c r="P68" s="89"/>
      <c r="Q68" s="89"/>
    </row>
    <row r="69" spans="1:17" x14ac:dyDescent="0.3">
      <c r="A69" s="16" t="s">
        <v>228</v>
      </c>
      <c r="B69" s="16" t="s">
        <v>3234</v>
      </c>
      <c r="C69" s="28" t="s">
        <v>134</v>
      </c>
      <c r="D69" s="28" t="str">
        <f>IFERROR(VLOOKUP($C69,CUENTAS[],2,0),"")</f>
        <v>GASTOS FIJOS</v>
      </c>
      <c r="E69" s="28" t="str">
        <f>IFERROR(VLOOKUP($C69,CUENTAS[],3,0),"")</f>
        <v>MDE2025-002J</v>
      </c>
      <c r="F69" s="86">
        <v>436.98</v>
      </c>
      <c r="G69" s="86">
        <v>0</v>
      </c>
      <c r="H69" s="74">
        <v>436.98</v>
      </c>
      <c r="I69" s="200" t="str">
        <f t="shared" si="1"/>
        <v>CORRECTO</v>
      </c>
      <c r="J69" s="88"/>
      <c r="K69" s="69" t="s">
        <v>360</v>
      </c>
      <c r="L69" s="84" t="s">
        <v>227</v>
      </c>
      <c r="M69" s="139">
        <v>45969</v>
      </c>
      <c r="N69" s="75" t="s">
        <v>371</v>
      </c>
      <c r="P69" s="89"/>
      <c r="Q69" s="89"/>
    </row>
    <row r="70" spans="1:17" x14ac:dyDescent="0.3">
      <c r="A70" s="16" t="s">
        <v>228</v>
      </c>
      <c r="B70" s="16" t="s">
        <v>3235</v>
      </c>
      <c r="C70" s="28" t="s">
        <v>123</v>
      </c>
      <c r="D70" s="28" t="str">
        <f>IFERROR(VLOOKUP($C70,CUENTAS[],2,0),"")</f>
        <v>ACTIVOS FIJOS</v>
      </c>
      <c r="E70" s="28" t="str">
        <f>IFERROR(VLOOKUP($C70,CUENTAS[],3,0),"")</f>
        <v>MDE2025-007C</v>
      </c>
      <c r="F70" s="86">
        <v>5520.38</v>
      </c>
      <c r="G70" s="86">
        <v>870.63</v>
      </c>
      <c r="H70" s="74">
        <v>6391</v>
      </c>
      <c r="I70" s="200" t="str">
        <f t="shared" si="1"/>
        <v>REVISAR</v>
      </c>
      <c r="J70" s="88"/>
      <c r="K70" s="69" t="s">
        <v>360</v>
      </c>
      <c r="L70" s="84" t="s">
        <v>227</v>
      </c>
      <c r="M70" s="139">
        <v>45969</v>
      </c>
      <c r="N70" s="75" t="s">
        <v>3236</v>
      </c>
      <c r="P70" s="89"/>
      <c r="Q70" s="89"/>
    </row>
    <row r="71" spans="1:17" x14ac:dyDescent="0.3">
      <c r="A71" s="16" t="s">
        <v>3237</v>
      </c>
      <c r="B71" s="16" t="s">
        <v>3238</v>
      </c>
      <c r="C71" s="28" t="s">
        <v>135</v>
      </c>
      <c r="D71" s="28" t="str">
        <f>IFERROR(VLOOKUP($C71,CUENTAS[],2,0),"")</f>
        <v>EVENTOS INTERNOS</v>
      </c>
      <c r="E71" s="28" t="str">
        <f>IFERROR(VLOOKUP($C71,CUENTAS[],3,0),"")</f>
        <v>MDE2025-008B</v>
      </c>
      <c r="F71" s="86">
        <v>865.49</v>
      </c>
      <c r="G71" s="86">
        <v>134.51</v>
      </c>
      <c r="H71" s="74">
        <v>1000</v>
      </c>
      <c r="I71" s="200" t="str">
        <f t="shared" si="1"/>
        <v>CORRECTO</v>
      </c>
      <c r="J71" s="88" t="s">
        <v>3251</v>
      </c>
      <c r="K71" s="69" t="s">
        <v>2230</v>
      </c>
      <c r="L71" s="84" t="s">
        <v>227</v>
      </c>
      <c r="M71" s="139">
        <v>45964</v>
      </c>
      <c r="N71" s="75" t="s">
        <v>3241</v>
      </c>
      <c r="P71" s="89"/>
      <c r="Q71" s="89"/>
    </row>
    <row r="72" spans="1:17" x14ac:dyDescent="0.3">
      <c r="A72" s="16" t="s">
        <v>3239</v>
      </c>
      <c r="B72" s="16" t="s">
        <v>3240</v>
      </c>
      <c r="C72" s="28" t="s">
        <v>117</v>
      </c>
      <c r="D72" s="28" t="str">
        <f>IFERROR(VLOOKUP($C72,CUENTAS[],2,0),"")</f>
        <v>GASTOS VARIOS</v>
      </c>
      <c r="E72" s="28" t="str">
        <f>IFERROR(VLOOKUP($C72,CUENTAS[],3,0),"")</f>
        <v>MDE2025-003D</v>
      </c>
      <c r="F72" s="86">
        <v>288.44</v>
      </c>
      <c r="G72" s="86">
        <v>44.89</v>
      </c>
      <c r="H72" s="74">
        <v>333.33</v>
      </c>
      <c r="I72" s="200" t="str">
        <f t="shared" si="1"/>
        <v>CORRECTO</v>
      </c>
      <c r="J72" s="88"/>
      <c r="K72" s="69" t="s">
        <v>2230</v>
      </c>
      <c r="L72" s="84" t="s">
        <v>227</v>
      </c>
      <c r="M72" s="137">
        <v>45727</v>
      </c>
      <c r="N72" s="75" t="s">
        <v>3242</v>
      </c>
      <c r="P72" s="89"/>
      <c r="Q72" s="89"/>
    </row>
    <row r="73" spans="1:17" x14ac:dyDescent="0.3">
      <c r="A73" s="16"/>
      <c r="B73" s="16"/>
      <c r="C73" s="28"/>
      <c r="D73" s="28" t="str">
        <f>IFERROR(VLOOKUP($C73,CUENTAS[],2,0),"")</f>
        <v/>
      </c>
      <c r="E73" s="28" t="str">
        <f>IFERROR(VLOOKUP($C73,CUENTAS[],3,0),"")</f>
        <v/>
      </c>
      <c r="F73" s="86"/>
      <c r="G73" s="87"/>
      <c r="H73" s="74"/>
      <c r="I73" s="200" t="str">
        <f t="shared" si="1"/>
        <v>CORRECTO</v>
      </c>
      <c r="J73" s="88"/>
      <c r="K73" s="69"/>
      <c r="L73" s="84"/>
      <c r="M73" s="137"/>
      <c r="N73" s="75"/>
      <c r="P73" s="89"/>
      <c r="Q73" s="89"/>
    </row>
    <row r="74" spans="1:17" x14ac:dyDescent="0.3">
      <c r="A74" s="16"/>
      <c r="B74" s="16"/>
      <c r="C74" s="28"/>
      <c r="D74" s="28" t="str">
        <f>IFERROR(VLOOKUP($C74,CUENTAS[],2,0),"")</f>
        <v/>
      </c>
      <c r="E74" s="28" t="str">
        <f>IFERROR(VLOOKUP($C74,CUENTAS[],3,0),"")</f>
        <v/>
      </c>
      <c r="F74" s="86"/>
      <c r="G74" s="87"/>
      <c r="H74" s="74"/>
      <c r="I74" s="200" t="str">
        <f t="shared" si="1"/>
        <v>CORRECTO</v>
      </c>
      <c r="J74" s="88"/>
      <c r="K74" s="69"/>
      <c r="L74" s="84"/>
      <c r="M74" s="139"/>
      <c r="N74" s="75"/>
      <c r="P74" s="89"/>
      <c r="Q74" s="89"/>
    </row>
    <row r="75" spans="1:17" x14ac:dyDescent="0.3">
      <c r="A75" s="16"/>
      <c r="B75" s="16"/>
      <c r="C75" s="28"/>
      <c r="D75" s="28" t="str">
        <f>IFERROR(VLOOKUP($C75,CUENTAS[],2,0),"")</f>
        <v/>
      </c>
      <c r="E75" s="28" t="str">
        <f>IFERROR(VLOOKUP($C75,CUENTAS[],3,0),"")</f>
        <v/>
      </c>
      <c r="F75" s="86"/>
      <c r="G75" s="87"/>
      <c r="H75" s="74"/>
      <c r="I75" s="200" t="str">
        <f t="shared" si="1"/>
        <v>CORRECTO</v>
      </c>
      <c r="J75" s="88"/>
      <c r="K75" s="69"/>
      <c r="L75" s="84"/>
      <c r="M75" s="137"/>
      <c r="N75" s="75"/>
      <c r="P75" s="89"/>
      <c r="Q75" s="89"/>
    </row>
    <row r="76" spans="1:17" x14ac:dyDescent="0.3">
      <c r="A76" s="16"/>
      <c r="B76" s="16"/>
      <c r="C76" s="28"/>
      <c r="D76" s="28" t="str">
        <f>IFERROR(VLOOKUP($C76,CUENTAS[],2,0),"")</f>
        <v/>
      </c>
      <c r="E76" s="28" t="str">
        <f>IFERROR(VLOOKUP($C76,CUENTAS[],3,0),"")</f>
        <v/>
      </c>
      <c r="F76" s="86"/>
      <c r="G76" s="87"/>
      <c r="H76" s="74"/>
      <c r="I76" s="200" t="str">
        <f t="shared" si="1"/>
        <v>CORRECTO</v>
      </c>
      <c r="J76" s="88"/>
      <c r="K76" s="69"/>
      <c r="L76" s="84"/>
      <c r="M76" s="137"/>
      <c r="N76" s="75"/>
      <c r="P76" s="89"/>
      <c r="Q76" s="89"/>
    </row>
    <row r="77" spans="1:17" x14ac:dyDescent="0.3">
      <c r="A77" s="16"/>
      <c r="B77" s="16"/>
      <c r="C77" s="28"/>
      <c r="D77" s="28" t="str">
        <f>IFERROR(VLOOKUP($C77,CUENTAS[],2,0),"")</f>
        <v/>
      </c>
      <c r="E77" s="28" t="str">
        <f>IFERROR(VLOOKUP($C77,CUENTAS[],3,0),"")</f>
        <v/>
      </c>
      <c r="F77" s="86"/>
      <c r="G77" s="87"/>
      <c r="H77" s="74"/>
      <c r="I77" s="200" t="str">
        <f t="shared" si="1"/>
        <v>CORRECTO</v>
      </c>
      <c r="J77" s="88"/>
      <c r="K77" s="69"/>
      <c r="L77" s="84"/>
      <c r="M77" s="137"/>
      <c r="N77" s="75"/>
      <c r="P77" s="89"/>
      <c r="Q77" s="89"/>
    </row>
    <row r="78" spans="1:17" x14ac:dyDescent="0.3">
      <c r="A78" s="16"/>
      <c r="B78" s="16"/>
      <c r="C78" s="28"/>
      <c r="D78" s="28" t="str">
        <f>IFERROR(VLOOKUP($C78,CUENTAS[],2,0),"")</f>
        <v/>
      </c>
      <c r="E78" s="28" t="str">
        <f>IFERROR(VLOOKUP($C78,CUENTAS[],3,0),"")</f>
        <v/>
      </c>
      <c r="F78" s="86"/>
      <c r="G78" s="87"/>
      <c r="H78" s="74"/>
      <c r="I78" s="200" t="str">
        <f t="shared" si="1"/>
        <v>CORRECTO</v>
      </c>
      <c r="J78" s="88"/>
      <c r="K78" s="69"/>
      <c r="L78" s="84"/>
      <c r="M78" s="137"/>
      <c r="N78" s="75"/>
      <c r="P78" s="89"/>
      <c r="Q78" s="89"/>
    </row>
    <row r="79" spans="1:17" x14ac:dyDescent="0.3">
      <c r="A79" s="16"/>
      <c r="B79" s="16"/>
      <c r="C79" s="28"/>
      <c r="D79" s="28" t="str">
        <f>IFERROR(VLOOKUP($C79,CUENTAS[],2,0),"")</f>
        <v/>
      </c>
      <c r="E79" s="28" t="str">
        <f>IFERROR(VLOOKUP($C79,CUENTAS[],3,0),"")</f>
        <v/>
      </c>
      <c r="F79" s="86"/>
      <c r="G79" s="87"/>
      <c r="H79" s="74"/>
      <c r="I79" s="200" t="str">
        <f t="shared" si="1"/>
        <v>CORRECTO</v>
      </c>
      <c r="J79" s="88"/>
      <c r="K79" s="69"/>
      <c r="L79" s="84"/>
      <c r="M79" s="137"/>
      <c r="N79" s="75"/>
      <c r="P79" s="89"/>
      <c r="Q79" s="89"/>
    </row>
    <row r="80" spans="1:17" x14ac:dyDescent="0.3">
      <c r="A80" s="16"/>
      <c r="B80" s="16"/>
      <c r="C80" s="28"/>
      <c r="D80" s="28" t="str">
        <f>IFERROR(VLOOKUP($C80,CUENTAS[],2,0),"")</f>
        <v/>
      </c>
      <c r="E80" s="28" t="str">
        <f>IFERROR(VLOOKUP($C80,CUENTAS[],3,0),"")</f>
        <v/>
      </c>
      <c r="F80" s="86"/>
      <c r="G80" s="87"/>
      <c r="H80" s="74"/>
      <c r="I80" s="200" t="str">
        <f t="shared" si="1"/>
        <v>CORRECTO</v>
      </c>
      <c r="J80" s="88"/>
      <c r="K80" s="69"/>
      <c r="L80" s="84"/>
      <c r="M80" s="139"/>
      <c r="N80" s="75"/>
      <c r="P80" s="89"/>
      <c r="Q80" s="89"/>
    </row>
    <row r="81" spans="1:17" x14ac:dyDescent="0.3">
      <c r="A81" s="16"/>
      <c r="B81" s="16"/>
      <c r="C81" s="28"/>
      <c r="D81" s="28" t="str">
        <f>IFERROR(VLOOKUP($C81,CUENTAS[],2,0),"")</f>
        <v/>
      </c>
      <c r="E81" s="28" t="str">
        <f>IFERROR(VLOOKUP($C81,CUENTAS[],3,0),"")</f>
        <v/>
      </c>
      <c r="F81" s="86"/>
      <c r="G81" s="87"/>
      <c r="H81" s="74"/>
      <c r="I81" s="200" t="str">
        <f t="shared" si="1"/>
        <v>CORRECTO</v>
      </c>
      <c r="J81" s="88"/>
      <c r="K81" s="69"/>
      <c r="L81" s="84"/>
      <c r="M81" s="139"/>
      <c r="N81" s="75"/>
      <c r="P81" s="89"/>
      <c r="Q81" s="89"/>
    </row>
    <row r="82" spans="1:17" x14ac:dyDescent="0.3">
      <c r="A82" s="16"/>
      <c r="B82" s="16"/>
      <c r="C82" s="28"/>
      <c r="D82" s="28" t="str">
        <f>IFERROR(VLOOKUP($C82,CUENTAS[],2,0),"")</f>
        <v/>
      </c>
      <c r="E82" s="28" t="str">
        <f>IFERROR(VLOOKUP($C82,CUENTAS[],3,0),"")</f>
        <v/>
      </c>
      <c r="F82" s="87"/>
      <c r="G82" s="87"/>
      <c r="H82" s="74"/>
      <c r="I82" s="200" t="str">
        <f t="shared" si="1"/>
        <v>CORRECTO</v>
      </c>
      <c r="J82" s="88"/>
      <c r="K82" s="69"/>
      <c r="L82" s="84"/>
      <c r="M82" s="139"/>
      <c r="N82" s="75"/>
      <c r="P82" s="89"/>
      <c r="Q82" s="89"/>
    </row>
    <row r="83" spans="1:17" x14ac:dyDescent="0.3">
      <c r="A83" s="16"/>
      <c r="B83" s="16"/>
      <c r="C83" s="28"/>
      <c r="D83" s="28" t="str">
        <f>IFERROR(VLOOKUP($C83,CUENTAS[],2,0),"")</f>
        <v/>
      </c>
      <c r="E83" s="28" t="str">
        <f>IFERROR(VLOOKUP($C83,CUENTAS[],3,0),"")</f>
        <v/>
      </c>
      <c r="F83" s="87"/>
      <c r="G83" s="87"/>
      <c r="H83" s="66"/>
      <c r="I83" s="200" t="str">
        <f t="shared" si="1"/>
        <v>CORRECTO</v>
      </c>
      <c r="J83" s="88"/>
      <c r="K83" s="69"/>
      <c r="L83" s="84"/>
      <c r="M83" s="138"/>
      <c r="N83" s="75"/>
      <c r="P83" s="89"/>
      <c r="Q83" s="89"/>
    </row>
    <row r="84" spans="1:17" x14ac:dyDescent="0.3">
      <c r="A84" s="16"/>
      <c r="B84" s="16"/>
      <c r="C84" s="28"/>
      <c r="D84" s="28" t="str">
        <f>IFERROR(VLOOKUP($C84,CUENTAS[],2,0),"")</f>
        <v/>
      </c>
      <c r="E84" s="28" t="str">
        <f>IFERROR(VLOOKUP($C84,CUENTAS[],3,0),"")</f>
        <v/>
      </c>
      <c r="F84" s="86"/>
      <c r="G84" s="87"/>
      <c r="H84" s="74"/>
      <c r="I84" s="200" t="str">
        <f t="shared" si="1"/>
        <v>CORRECTO</v>
      </c>
      <c r="J84" s="88"/>
      <c r="K84" s="69"/>
      <c r="L84" s="84"/>
      <c r="M84" s="135"/>
      <c r="N84" s="75"/>
      <c r="P84" s="89"/>
      <c r="Q84" s="89"/>
    </row>
    <row r="85" spans="1:17" x14ac:dyDescent="0.3">
      <c r="A85" s="16"/>
      <c r="B85" s="16"/>
      <c r="C85" s="28"/>
      <c r="D85" s="28" t="str">
        <f>IFERROR(VLOOKUP($C85,CUENTAS[],2,0),"")</f>
        <v/>
      </c>
      <c r="E85" s="28" t="str">
        <f>IFERROR(VLOOKUP($C85,CUENTAS[],3,0),"")</f>
        <v/>
      </c>
      <c r="F85" s="86"/>
      <c r="G85" s="87"/>
      <c r="H85" s="74"/>
      <c r="I85" s="200" t="str">
        <f t="shared" si="1"/>
        <v>CORRECTO</v>
      </c>
      <c r="J85" s="88"/>
      <c r="K85" s="69"/>
      <c r="L85" s="84"/>
      <c r="M85" s="135"/>
      <c r="N85" s="75"/>
      <c r="P85" s="89"/>
      <c r="Q85" s="89"/>
    </row>
    <row r="86" spans="1:17" x14ac:dyDescent="0.3">
      <c r="A86" s="16"/>
      <c r="B86" s="16"/>
      <c r="C86" s="28"/>
      <c r="D86" s="28" t="str">
        <f>IFERROR(VLOOKUP($C86,CUENTAS[],2,0),"")</f>
        <v/>
      </c>
      <c r="E86" s="28" t="str">
        <f>IFERROR(VLOOKUP($C86,CUENTAS[],3,0),"")</f>
        <v/>
      </c>
      <c r="F86" s="86"/>
      <c r="G86" s="87"/>
      <c r="H86" s="74"/>
      <c r="I86" s="200" t="str">
        <f t="shared" si="1"/>
        <v>CORRECTO</v>
      </c>
      <c r="J86" s="88"/>
      <c r="K86" s="69"/>
      <c r="L86" s="84"/>
      <c r="M86" s="135"/>
      <c r="N86" s="75"/>
      <c r="P86" s="89"/>
      <c r="Q86" s="89"/>
    </row>
    <row r="87" spans="1:17" x14ac:dyDescent="0.3">
      <c r="A87" s="16"/>
      <c r="B87" s="16"/>
      <c r="C87" s="28"/>
      <c r="D87" s="28" t="str">
        <f>IFERROR(VLOOKUP($C87,CUENTAS[],2,0),"")</f>
        <v/>
      </c>
      <c r="E87" s="28" t="str">
        <f>IFERROR(VLOOKUP($C87,CUENTAS[],3,0),"")</f>
        <v/>
      </c>
      <c r="F87" s="86"/>
      <c r="G87" s="87"/>
      <c r="H87" s="74"/>
      <c r="I87" s="200" t="str">
        <f t="shared" si="1"/>
        <v>CORRECTO</v>
      </c>
      <c r="J87" s="88"/>
      <c r="K87" s="69"/>
      <c r="L87" s="84"/>
      <c r="M87" s="135"/>
      <c r="N87" s="75"/>
      <c r="P87" s="89"/>
      <c r="Q87" s="89"/>
    </row>
    <row r="88" spans="1:17" x14ac:dyDescent="0.3">
      <c r="A88" s="16"/>
      <c r="B88" s="16"/>
      <c r="C88" s="28"/>
      <c r="D88" s="28" t="str">
        <f>IFERROR(VLOOKUP($C88,CUENTAS[],2,0),"")</f>
        <v/>
      </c>
      <c r="E88" s="28" t="str">
        <f>IFERROR(VLOOKUP($C88,CUENTAS[],3,0),"")</f>
        <v/>
      </c>
      <c r="F88" s="87"/>
      <c r="G88" s="96"/>
      <c r="H88" s="66"/>
      <c r="I88" s="200" t="str">
        <f t="shared" si="1"/>
        <v>CORRECTO</v>
      </c>
      <c r="J88" s="88"/>
      <c r="K88" s="69"/>
      <c r="L88" s="95"/>
      <c r="M88" s="76"/>
      <c r="N88" s="18"/>
      <c r="Q88" s="89"/>
    </row>
    <row r="89" spans="1:17" x14ac:dyDescent="0.3">
      <c r="A89" s="19"/>
      <c r="B89" s="19"/>
      <c r="C89" s="28"/>
      <c r="D89" s="28" t="str">
        <f>IFERROR(VLOOKUP($C89,CUENTAS[],2,0),"")</f>
        <v/>
      </c>
      <c r="E89" s="28" t="str">
        <f>IFERROR(VLOOKUP($C89,CUENTAS[],3,0),"")</f>
        <v/>
      </c>
      <c r="F89" s="87"/>
      <c r="G89" s="96"/>
      <c r="H89" s="66"/>
      <c r="I89" s="200" t="str">
        <f t="shared" si="1"/>
        <v>CORRECTO</v>
      </c>
      <c r="J89" s="88"/>
      <c r="K89" s="69"/>
      <c r="L89" s="95"/>
      <c r="M89" s="17"/>
      <c r="N89" s="18"/>
      <c r="Q89" s="89"/>
    </row>
    <row r="90" spans="1:17" x14ac:dyDescent="0.3">
      <c r="A90" s="77"/>
      <c r="B90" s="106"/>
      <c r="F90" s="124"/>
      <c r="G90" s="125"/>
      <c r="J90" s="125"/>
      <c r="L90" s="107"/>
      <c r="M90" s="108"/>
      <c r="N90" s="108"/>
    </row>
    <row r="91" spans="1:17" x14ac:dyDescent="0.3">
      <c r="A91" s="77"/>
      <c r="B91" s="106"/>
      <c r="F91" s="124"/>
      <c r="G91" s="125"/>
      <c r="J91" s="125"/>
      <c r="L91" s="107"/>
      <c r="M91" s="108"/>
      <c r="N91" s="108"/>
    </row>
    <row r="92" spans="1:17" x14ac:dyDescent="0.3">
      <c r="A92" s="77"/>
      <c r="B92" s="106"/>
      <c r="F92" s="124"/>
      <c r="G92" s="125"/>
      <c r="J92" s="125"/>
      <c r="L92" s="107"/>
      <c r="M92" s="108"/>
      <c r="N92" s="108"/>
    </row>
    <row r="93" spans="1:17" x14ac:dyDescent="0.3">
      <c r="A93" s="77"/>
      <c r="B93" s="106"/>
      <c r="F93" s="124"/>
      <c r="G93" s="125"/>
      <c r="J93" s="125"/>
      <c r="L93" s="107"/>
      <c r="M93" s="108"/>
      <c r="N93" s="108"/>
    </row>
    <row r="94" spans="1:17" x14ac:dyDescent="0.3">
      <c r="A94" s="77"/>
      <c r="B94" s="106"/>
      <c r="F94" s="124"/>
      <c r="G94" s="125"/>
      <c r="J94" s="125"/>
      <c r="L94" s="107"/>
      <c r="M94" s="108"/>
      <c r="N94" s="108"/>
    </row>
    <row r="95" spans="1:17" x14ac:dyDescent="0.3">
      <c r="A95" s="77"/>
      <c r="B95" s="106"/>
      <c r="F95" s="124"/>
      <c r="G95" s="125"/>
      <c r="J95" s="125"/>
      <c r="L95" s="107"/>
      <c r="M95" s="108"/>
      <c r="N95" s="108"/>
    </row>
    <row r="96" spans="1:17" x14ac:dyDescent="0.3">
      <c r="A96" s="77"/>
      <c r="B96" s="106"/>
      <c r="F96" s="124"/>
      <c r="G96" s="125"/>
      <c r="J96" s="125"/>
      <c r="L96" s="107"/>
      <c r="M96" s="108"/>
      <c r="N96" s="108"/>
    </row>
    <row r="97" spans="1:14" x14ac:dyDescent="0.3">
      <c r="A97" s="77"/>
      <c r="B97" s="106"/>
      <c r="F97" s="124"/>
      <c r="G97" s="125"/>
      <c r="J97" s="125"/>
      <c r="L97" s="107"/>
      <c r="M97" s="108"/>
      <c r="N97" s="108"/>
    </row>
    <row r="98" spans="1:14" x14ac:dyDescent="0.3">
      <c r="A98" s="77"/>
      <c r="B98" s="106"/>
      <c r="F98" s="124"/>
      <c r="G98" s="125"/>
      <c r="J98" s="125"/>
      <c r="L98" s="107"/>
      <c r="M98" s="108"/>
      <c r="N98" s="108"/>
    </row>
    <row r="99" spans="1:14" x14ac:dyDescent="0.3">
      <c r="A99" s="77"/>
      <c r="B99" s="106"/>
      <c r="F99" s="124"/>
      <c r="G99" s="125"/>
      <c r="J99" s="125"/>
      <c r="L99" s="107"/>
      <c r="M99" s="108"/>
      <c r="N99" s="108"/>
    </row>
    <row r="100" spans="1:14" x14ac:dyDescent="0.3">
      <c r="A100" s="77"/>
      <c r="B100" s="106"/>
      <c r="F100" s="124"/>
      <c r="G100" s="125"/>
      <c r="J100" s="125"/>
      <c r="L100" s="107"/>
      <c r="M100" s="108"/>
      <c r="N100" s="108"/>
    </row>
    <row r="101" spans="1:14" x14ac:dyDescent="0.3">
      <c r="A101" s="77"/>
      <c r="B101" s="106"/>
      <c r="F101" s="124"/>
      <c r="G101" s="125"/>
      <c r="J101" s="125"/>
      <c r="L101" s="107"/>
      <c r="M101" s="108"/>
      <c r="N101" s="108"/>
    </row>
    <row r="102" spans="1:14" x14ac:dyDescent="0.3">
      <c r="A102" s="77"/>
      <c r="B102" s="106"/>
      <c r="F102" s="124"/>
      <c r="G102" s="125"/>
      <c r="J102" s="125"/>
      <c r="L102" s="107"/>
      <c r="M102" s="108"/>
      <c r="N102" s="108"/>
    </row>
    <row r="103" spans="1:14" x14ac:dyDescent="0.3">
      <c r="A103" s="77"/>
      <c r="B103" s="106"/>
      <c r="F103" s="124"/>
      <c r="G103" s="125"/>
      <c r="J103" s="125"/>
      <c r="L103" s="107"/>
      <c r="M103" s="108"/>
      <c r="N103" s="108"/>
    </row>
    <row r="104" spans="1:14" x14ac:dyDescent="0.3">
      <c r="A104" s="77"/>
      <c r="B104" s="106"/>
      <c r="F104" s="124"/>
      <c r="G104" s="125"/>
      <c r="J104" s="125"/>
      <c r="L104" s="107"/>
      <c r="M104" s="108"/>
      <c r="N104" s="108"/>
    </row>
    <row r="105" spans="1:14" x14ac:dyDescent="0.3">
      <c r="A105" s="77"/>
      <c r="B105" s="106"/>
      <c r="F105" s="124"/>
      <c r="G105" s="125"/>
      <c r="J105" s="125"/>
      <c r="L105" s="107"/>
      <c r="M105" s="108"/>
      <c r="N105" s="108"/>
    </row>
    <row r="106" spans="1:14" x14ac:dyDescent="0.3">
      <c r="A106" s="77"/>
      <c r="B106" s="106"/>
      <c r="F106" s="124"/>
      <c r="G106" s="125"/>
      <c r="J106" s="125"/>
      <c r="L106" s="107"/>
      <c r="M106" s="108"/>
      <c r="N106" s="108"/>
    </row>
    <row r="107" spans="1:14" x14ac:dyDescent="0.3">
      <c r="A107" s="77"/>
      <c r="B107" s="106"/>
      <c r="F107" s="124"/>
      <c r="G107" s="125"/>
      <c r="J107" s="125"/>
      <c r="L107" s="107"/>
      <c r="M107" s="108"/>
      <c r="N107" s="108"/>
    </row>
    <row r="108" spans="1:14" x14ac:dyDescent="0.3">
      <c r="A108" s="77"/>
      <c r="B108" s="106"/>
      <c r="F108" s="124"/>
      <c r="G108" s="125"/>
      <c r="J108" s="125"/>
      <c r="L108" s="107"/>
      <c r="M108" s="108"/>
      <c r="N108" s="108"/>
    </row>
    <row r="109" spans="1:14" x14ac:dyDescent="0.3">
      <c r="A109" s="77"/>
      <c r="B109" s="106"/>
      <c r="F109" s="124"/>
      <c r="G109" s="125"/>
      <c r="J109" s="125"/>
      <c r="L109" s="107"/>
      <c r="M109" s="108"/>
      <c r="N109" s="108"/>
    </row>
    <row r="110" spans="1:14" x14ac:dyDescent="0.3">
      <c r="A110" s="77"/>
      <c r="B110" s="106"/>
      <c r="F110" s="124"/>
      <c r="G110" s="125"/>
      <c r="J110" s="125"/>
      <c r="L110" s="107"/>
      <c r="M110" s="108"/>
      <c r="N110" s="108"/>
    </row>
    <row r="111" spans="1:14" x14ac:dyDescent="0.3">
      <c r="A111" s="77"/>
      <c r="B111" s="106"/>
      <c r="F111" s="124"/>
      <c r="G111" s="125"/>
      <c r="J111" s="125"/>
      <c r="L111" s="107"/>
      <c r="M111" s="108"/>
      <c r="N111" s="108"/>
    </row>
    <row r="112" spans="1:14" x14ac:dyDescent="0.3">
      <c r="A112" s="77"/>
      <c r="B112" s="106"/>
      <c r="F112" s="124"/>
      <c r="G112" s="125"/>
      <c r="J112" s="125"/>
      <c r="L112" s="107"/>
      <c r="M112" s="108"/>
      <c r="N112" s="108"/>
    </row>
    <row r="113" spans="1:14" x14ac:dyDescent="0.3">
      <c r="A113" s="77"/>
      <c r="B113" s="106"/>
      <c r="F113" s="124"/>
      <c r="G113" s="125"/>
      <c r="J113" s="125"/>
      <c r="L113" s="107"/>
      <c r="M113" s="108"/>
      <c r="N113" s="108"/>
    </row>
    <row r="114" spans="1:14" x14ac:dyDescent="0.3">
      <c r="A114" s="77"/>
      <c r="B114" s="106"/>
      <c r="F114" s="124"/>
      <c r="G114" s="125"/>
      <c r="J114" s="125"/>
      <c r="L114" s="107"/>
      <c r="M114" s="108"/>
      <c r="N114" s="108"/>
    </row>
    <row r="115" spans="1:14" x14ac:dyDescent="0.3">
      <c r="A115" s="77"/>
      <c r="B115" s="106"/>
      <c r="F115" s="124"/>
      <c r="G115" s="125"/>
      <c r="J115" s="125"/>
      <c r="L115" s="107"/>
      <c r="M115" s="108"/>
      <c r="N115" s="108"/>
    </row>
    <row r="116" spans="1:14" x14ac:dyDescent="0.3">
      <c r="A116" s="77"/>
      <c r="B116" s="106"/>
      <c r="F116" s="124"/>
      <c r="G116" s="125"/>
      <c r="J116" s="125"/>
      <c r="L116" s="107"/>
      <c r="M116" s="108"/>
      <c r="N116" s="108"/>
    </row>
    <row r="117" spans="1:14" x14ac:dyDescent="0.3">
      <c r="A117" s="77"/>
      <c r="B117" s="106"/>
      <c r="F117" s="124"/>
      <c r="G117" s="125"/>
      <c r="J117" s="125"/>
      <c r="L117" s="107"/>
      <c r="M117" s="108"/>
      <c r="N117" s="108"/>
    </row>
    <row r="118" spans="1:14" x14ac:dyDescent="0.3">
      <c r="A118" s="77"/>
      <c r="B118" s="106"/>
      <c r="F118" s="124"/>
      <c r="G118" s="125"/>
      <c r="J118" s="125"/>
      <c r="L118" s="107"/>
      <c r="M118" s="108"/>
      <c r="N118" s="108"/>
    </row>
    <row r="119" spans="1:14" x14ac:dyDescent="0.3">
      <c r="A119" s="77"/>
      <c r="B119" s="106"/>
      <c r="F119" s="124"/>
      <c r="G119" s="125"/>
      <c r="J119" s="125"/>
      <c r="L119" s="107"/>
      <c r="M119" s="108"/>
      <c r="N119" s="108"/>
    </row>
    <row r="120" spans="1:14" x14ac:dyDescent="0.3">
      <c r="A120" s="77"/>
      <c r="B120" s="106"/>
      <c r="F120" s="124"/>
      <c r="G120" s="125"/>
      <c r="J120" s="125"/>
      <c r="L120" s="107"/>
      <c r="M120" s="108"/>
      <c r="N120" s="108"/>
    </row>
    <row r="121" spans="1:14" x14ac:dyDescent="0.3">
      <c r="A121" s="77"/>
      <c r="B121" s="106"/>
      <c r="F121" s="124"/>
      <c r="G121" s="125"/>
      <c r="J121" s="125"/>
      <c r="L121" s="107"/>
      <c r="M121" s="108"/>
      <c r="N121" s="108"/>
    </row>
    <row r="122" spans="1:14" x14ac:dyDescent="0.3">
      <c r="A122" s="77"/>
      <c r="B122" s="106"/>
      <c r="F122" s="124"/>
      <c r="G122" s="125"/>
      <c r="J122" s="125"/>
      <c r="L122" s="107"/>
      <c r="M122" s="108"/>
      <c r="N122" s="108"/>
    </row>
    <row r="123" spans="1:14" x14ac:dyDescent="0.3">
      <c r="A123" s="77"/>
      <c r="B123" s="106"/>
      <c r="F123" s="124"/>
      <c r="G123" s="125"/>
      <c r="J123" s="125"/>
      <c r="L123" s="107"/>
      <c r="M123" s="108"/>
      <c r="N123" s="108"/>
    </row>
    <row r="124" spans="1:14" x14ac:dyDescent="0.3">
      <c r="A124" s="77"/>
      <c r="B124" s="106"/>
      <c r="F124" s="124"/>
      <c r="G124" s="125"/>
      <c r="J124" s="125"/>
      <c r="L124" s="107"/>
      <c r="M124" s="108"/>
      <c r="N124" s="108"/>
    </row>
    <row r="125" spans="1:14" x14ac:dyDescent="0.3">
      <c r="A125" s="77"/>
      <c r="B125" s="106"/>
      <c r="F125" s="124"/>
      <c r="G125" s="125"/>
      <c r="J125" s="125"/>
      <c r="L125" s="107"/>
      <c r="M125" s="108"/>
      <c r="N125" s="108"/>
    </row>
    <row r="126" spans="1:14" x14ac:dyDescent="0.3">
      <c r="A126" s="77"/>
      <c r="B126" s="106"/>
      <c r="F126" s="124"/>
      <c r="G126" s="125"/>
      <c r="J126" s="125"/>
      <c r="L126" s="107"/>
      <c r="M126" s="108"/>
      <c r="N126" s="108"/>
    </row>
    <row r="127" spans="1:14" x14ac:dyDescent="0.3">
      <c r="A127" s="77"/>
      <c r="B127" s="106"/>
      <c r="F127" s="124"/>
      <c r="G127" s="125"/>
      <c r="J127" s="125"/>
      <c r="L127" s="107"/>
      <c r="M127" s="108"/>
      <c r="N127" s="108"/>
    </row>
    <row r="128" spans="1:14" x14ac:dyDescent="0.3">
      <c r="A128" s="77"/>
      <c r="B128" s="106"/>
      <c r="F128" s="124"/>
      <c r="G128" s="125"/>
      <c r="J128" s="125"/>
      <c r="L128" s="107"/>
      <c r="M128" s="108"/>
      <c r="N128" s="108"/>
    </row>
    <row r="129" spans="1:14" x14ac:dyDescent="0.3">
      <c r="A129" s="77"/>
      <c r="B129" s="106"/>
      <c r="F129" s="124"/>
      <c r="G129" s="125"/>
      <c r="J129" s="125"/>
      <c r="L129" s="107"/>
      <c r="M129" s="108"/>
      <c r="N129" s="108"/>
    </row>
    <row r="130" spans="1:14" x14ac:dyDescent="0.3">
      <c r="A130" s="77"/>
      <c r="B130" s="106"/>
      <c r="F130" s="124"/>
      <c r="G130" s="125"/>
      <c r="J130" s="125"/>
      <c r="L130" s="107"/>
      <c r="M130" s="108"/>
      <c r="N130" s="108"/>
    </row>
    <row r="131" spans="1:14" x14ac:dyDescent="0.3">
      <c r="A131" s="77"/>
      <c r="B131" s="106"/>
      <c r="F131" s="124"/>
      <c r="G131" s="125"/>
      <c r="J131" s="125"/>
      <c r="L131" s="107"/>
      <c r="M131" s="108"/>
      <c r="N131" s="108"/>
    </row>
    <row r="132" spans="1:14" x14ac:dyDescent="0.3">
      <c r="A132" s="77"/>
      <c r="B132" s="106"/>
      <c r="F132" s="124"/>
      <c r="G132" s="125"/>
      <c r="J132" s="125"/>
      <c r="L132" s="107"/>
      <c r="M132" s="108"/>
      <c r="N132" s="108"/>
    </row>
    <row r="133" spans="1:14" x14ac:dyDescent="0.3">
      <c r="A133" s="77"/>
      <c r="B133" s="106"/>
      <c r="F133" s="124"/>
      <c r="G133" s="125"/>
      <c r="J133" s="125"/>
      <c r="L133" s="107"/>
      <c r="M133" s="108"/>
      <c r="N133" s="108"/>
    </row>
    <row r="134" spans="1:14" x14ac:dyDescent="0.3">
      <c r="A134" s="77"/>
      <c r="B134" s="106"/>
      <c r="F134" s="124"/>
      <c r="G134" s="125"/>
      <c r="J134" s="125"/>
      <c r="L134" s="107"/>
      <c r="M134" s="108"/>
      <c r="N134" s="108"/>
    </row>
    <row r="135" spans="1:14" x14ac:dyDescent="0.3">
      <c r="A135" s="77"/>
      <c r="B135" s="106"/>
      <c r="F135" s="124"/>
      <c r="G135" s="125"/>
      <c r="J135" s="125"/>
      <c r="L135" s="107"/>
      <c r="M135" s="108"/>
      <c r="N135" s="108"/>
    </row>
    <row r="136" spans="1:14" x14ac:dyDescent="0.3">
      <c r="A136" s="77"/>
      <c r="B136" s="106"/>
      <c r="F136" s="124"/>
      <c r="G136" s="125"/>
      <c r="J136" s="125"/>
      <c r="L136" s="107"/>
      <c r="M136" s="108"/>
      <c r="N136" s="108"/>
    </row>
    <row r="137" spans="1:14" x14ac:dyDescent="0.3">
      <c r="A137" s="77"/>
      <c r="B137" s="106"/>
      <c r="F137" s="124"/>
      <c r="G137" s="125"/>
      <c r="J137" s="125"/>
      <c r="L137" s="107"/>
      <c r="M137" s="108"/>
      <c r="N137" s="108"/>
    </row>
    <row r="138" spans="1:14" x14ac:dyDescent="0.3">
      <c r="A138" s="77"/>
      <c r="B138" s="106"/>
      <c r="F138" s="124"/>
      <c r="G138" s="125"/>
      <c r="J138" s="125"/>
      <c r="L138" s="107"/>
      <c r="M138" s="108"/>
      <c r="N138" s="108"/>
    </row>
    <row r="139" spans="1:14" x14ac:dyDescent="0.3">
      <c r="A139" s="77"/>
      <c r="B139" s="106"/>
      <c r="F139" s="124"/>
      <c r="G139" s="125"/>
      <c r="J139" s="125"/>
      <c r="L139" s="107"/>
      <c r="M139" s="108"/>
      <c r="N139" s="108"/>
    </row>
    <row r="140" spans="1:14" x14ac:dyDescent="0.3">
      <c r="A140" s="77"/>
      <c r="B140" s="106"/>
      <c r="F140" s="124"/>
      <c r="G140" s="125"/>
      <c r="J140" s="125"/>
      <c r="L140" s="107"/>
      <c r="M140" s="108"/>
      <c r="N140" s="108"/>
    </row>
    <row r="141" spans="1:14" x14ac:dyDescent="0.3">
      <c r="A141" s="77"/>
      <c r="B141" s="106"/>
      <c r="F141" s="124"/>
      <c r="G141" s="125"/>
      <c r="J141" s="125"/>
      <c r="L141" s="107"/>
      <c r="M141" s="108"/>
      <c r="N141" s="108"/>
    </row>
    <row r="142" spans="1:14" x14ac:dyDescent="0.3">
      <c r="A142" s="77"/>
      <c r="B142" s="106"/>
      <c r="F142" s="124"/>
      <c r="G142" s="125"/>
      <c r="J142" s="125"/>
      <c r="L142" s="107"/>
      <c r="M142" s="108"/>
      <c r="N142" s="108"/>
    </row>
    <row r="143" spans="1:14" x14ac:dyDescent="0.3">
      <c r="A143" s="77"/>
      <c r="B143" s="106"/>
      <c r="F143" s="124"/>
      <c r="G143" s="125"/>
      <c r="J143" s="125"/>
      <c r="L143" s="107"/>
      <c r="M143" s="108"/>
      <c r="N143" s="108"/>
    </row>
    <row r="144" spans="1:14" x14ac:dyDescent="0.3">
      <c r="A144" s="77"/>
      <c r="B144" s="106"/>
      <c r="F144" s="124"/>
      <c r="G144" s="125"/>
      <c r="J144" s="125"/>
      <c r="L144" s="107"/>
      <c r="M144" s="108"/>
      <c r="N144" s="108"/>
    </row>
    <row r="145" spans="1:14" x14ac:dyDescent="0.3">
      <c r="A145" s="77"/>
      <c r="B145" s="106"/>
      <c r="F145" s="124"/>
      <c r="G145" s="125"/>
      <c r="J145" s="125"/>
      <c r="L145" s="107"/>
      <c r="M145" s="108"/>
      <c r="N145" s="108"/>
    </row>
    <row r="146" spans="1:14" x14ac:dyDescent="0.3">
      <c r="A146" s="77"/>
      <c r="B146" s="106"/>
      <c r="F146" s="124"/>
      <c r="G146" s="125"/>
      <c r="J146" s="125"/>
      <c r="L146" s="107"/>
      <c r="M146" s="108"/>
      <c r="N146" s="108"/>
    </row>
    <row r="147" spans="1:14" x14ac:dyDescent="0.3">
      <c r="A147" s="77"/>
      <c r="B147" s="106"/>
      <c r="F147" s="124"/>
      <c r="G147" s="125"/>
      <c r="J147" s="125"/>
      <c r="L147" s="107"/>
      <c r="M147" s="108"/>
      <c r="N147" s="108"/>
    </row>
    <row r="148" spans="1:14" x14ac:dyDescent="0.3">
      <c r="A148" s="77"/>
      <c r="B148" s="106"/>
      <c r="F148" s="124"/>
      <c r="G148" s="125"/>
      <c r="J148" s="125"/>
      <c r="L148" s="107"/>
      <c r="M148" s="108"/>
      <c r="N148" s="108"/>
    </row>
    <row r="149" spans="1:14" x14ac:dyDescent="0.3">
      <c r="A149" s="77"/>
      <c r="B149" s="106"/>
      <c r="F149" s="124"/>
      <c r="G149" s="125"/>
      <c r="J149" s="125"/>
      <c r="L149" s="107"/>
      <c r="M149" s="108"/>
      <c r="N149" s="108"/>
    </row>
    <row r="150" spans="1:14" x14ac:dyDescent="0.3">
      <c r="A150" s="77"/>
      <c r="B150" s="106"/>
      <c r="F150" s="124"/>
      <c r="G150" s="125"/>
      <c r="J150" s="125"/>
      <c r="L150" s="107"/>
      <c r="M150" s="108"/>
      <c r="N150" s="108"/>
    </row>
    <row r="151" spans="1:14" x14ac:dyDescent="0.3">
      <c r="A151" s="77"/>
      <c r="B151" s="106"/>
      <c r="F151" s="124"/>
      <c r="G151" s="125"/>
      <c r="J151" s="125"/>
      <c r="L151" s="107"/>
      <c r="M151" s="108"/>
      <c r="N151" s="108"/>
    </row>
    <row r="152" spans="1:14" x14ac:dyDescent="0.3">
      <c r="A152" s="77"/>
      <c r="B152" s="106"/>
      <c r="F152" s="124"/>
      <c r="G152" s="125"/>
      <c r="J152" s="125"/>
      <c r="L152" s="107"/>
      <c r="M152" s="108"/>
      <c r="N152" s="108"/>
    </row>
    <row r="153" spans="1:14" x14ac:dyDescent="0.3">
      <c r="A153" s="77"/>
      <c r="B153" s="106"/>
      <c r="F153" s="124"/>
      <c r="G153" s="125"/>
      <c r="J153" s="125"/>
      <c r="L153" s="107"/>
      <c r="M153" s="108"/>
      <c r="N153" s="108"/>
    </row>
    <row r="154" spans="1:14" x14ac:dyDescent="0.3">
      <c r="A154" s="77"/>
      <c r="B154" s="106"/>
      <c r="F154" s="124"/>
      <c r="G154" s="125"/>
      <c r="J154" s="125"/>
      <c r="L154" s="107"/>
      <c r="M154" s="108"/>
      <c r="N154" s="108"/>
    </row>
    <row r="155" spans="1:14" x14ac:dyDescent="0.3">
      <c r="A155" s="77"/>
      <c r="B155" s="106"/>
      <c r="F155" s="124"/>
      <c r="G155" s="125"/>
      <c r="J155" s="125"/>
      <c r="L155" s="107"/>
      <c r="M155" s="108"/>
      <c r="N155" s="108"/>
    </row>
    <row r="156" spans="1:14" x14ac:dyDescent="0.3">
      <c r="A156" s="77"/>
      <c r="B156" s="106"/>
      <c r="F156" s="124"/>
      <c r="G156" s="125"/>
      <c r="J156" s="125"/>
      <c r="L156" s="107"/>
      <c r="M156" s="108"/>
      <c r="N156" s="108"/>
    </row>
    <row r="157" spans="1:14" x14ac:dyDescent="0.3">
      <c r="A157" s="77"/>
      <c r="B157" s="106"/>
      <c r="F157" s="124"/>
      <c r="G157" s="125"/>
      <c r="J157" s="125"/>
      <c r="L157" s="107"/>
      <c r="M157" s="108"/>
      <c r="N157" s="108"/>
    </row>
    <row r="158" spans="1:14" x14ac:dyDescent="0.3">
      <c r="A158" s="77"/>
      <c r="B158" s="106"/>
      <c r="F158" s="124"/>
      <c r="G158" s="125"/>
      <c r="J158" s="125"/>
      <c r="L158" s="107"/>
      <c r="M158" s="108"/>
      <c r="N158" s="108"/>
    </row>
    <row r="159" spans="1:14" x14ac:dyDescent="0.3">
      <c r="A159" s="77"/>
      <c r="B159" s="106"/>
      <c r="F159" s="124"/>
      <c r="G159" s="125"/>
      <c r="J159" s="125"/>
      <c r="L159" s="107"/>
      <c r="M159" s="108"/>
      <c r="N159" s="108"/>
    </row>
    <row r="160" spans="1:14" x14ac:dyDescent="0.3">
      <c r="A160" s="77"/>
      <c r="B160" s="106"/>
      <c r="F160" s="124"/>
      <c r="G160" s="125"/>
      <c r="J160" s="125"/>
      <c r="L160" s="107"/>
      <c r="M160" s="108"/>
      <c r="N160" s="108"/>
    </row>
    <row r="161" spans="1:14" x14ac:dyDescent="0.3">
      <c r="A161" s="77"/>
      <c r="B161" s="106"/>
      <c r="F161" s="124"/>
      <c r="G161" s="125"/>
      <c r="J161" s="125"/>
      <c r="L161" s="107"/>
      <c r="M161" s="108"/>
      <c r="N161" s="108"/>
    </row>
    <row r="162" spans="1:14" x14ac:dyDescent="0.3">
      <c r="A162" s="77"/>
      <c r="B162" s="106"/>
      <c r="F162" s="124"/>
      <c r="G162" s="125"/>
      <c r="J162" s="125"/>
      <c r="L162" s="107"/>
      <c r="M162" s="108"/>
      <c r="N162" s="108"/>
    </row>
    <row r="163" spans="1:14" x14ac:dyDescent="0.3">
      <c r="A163" s="77"/>
      <c r="B163" s="106"/>
      <c r="F163" s="124"/>
      <c r="G163" s="125"/>
      <c r="J163" s="125"/>
      <c r="L163" s="107"/>
      <c r="M163" s="108"/>
      <c r="N163" s="108"/>
    </row>
    <row r="164" spans="1:14" x14ac:dyDescent="0.3">
      <c r="A164" s="77"/>
      <c r="B164" s="106"/>
      <c r="F164" s="124"/>
      <c r="G164" s="125"/>
      <c r="J164" s="125"/>
      <c r="L164" s="107"/>
      <c r="M164" s="108"/>
      <c r="N164" s="108"/>
    </row>
    <row r="165" spans="1:14" x14ac:dyDescent="0.3">
      <c r="A165" s="77"/>
      <c r="B165" s="106"/>
      <c r="F165" s="124"/>
      <c r="G165" s="125"/>
      <c r="J165" s="125"/>
      <c r="L165" s="107"/>
      <c r="M165" s="108"/>
      <c r="N165" s="108"/>
    </row>
    <row r="166" spans="1:14" x14ac:dyDescent="0.3">
      <c r="A166" s="77"/>
      <c r="B166" s="106"/>
      <c r="F166" s="124"/>
      <c r="G166" s="125"/>
      <c r="J166" s="125"/>
      <c r="L166" s="107"/>
      <c r="M166" s="108"/>
      <c r="N166" s="108"/>
    </row>
    <row r="167" spans="1:14" x14ac:dyDescent="0.3">
      <c r="A167" s="77"/>
      <c r="B167" s="106"/>
      <c r="F167" s="124"/>
      <c r="G167" s="125"/>
      <c r="J167" s="125"/>
      <c r="L167" s="107"/>
      <c r="M167" s="108"/>
      <c r="N167" s="108"/>
    </row>
    <row r="168" spans="1:14" x14ac:dyDescent="0.3">
      <c r="A168" s="77"/>
      <c r="B168" s="106"/>
      <c r="F168" s="124"/>
      <c r="G168" s="125"/>
      <c r="J168" s="125"/>
      <c r="L168" s="107"/>
      <c r="M168" s="108"/>
      <c r="N168" s="108"/>
    </row>
    <row r="169" spans="1:14" x14ac:dyDescent="0.3">
      <c r="A169" s="77"/>
      <c r="B169" s="106"/>
      <c r="F169" s="124"/>
      <c r="G169" s="125"/>
      <c r="J169" s="125"/>
      <c r="L169" s="107"/>
      <c r="M169" s="108"/>
      <c r="N169" s="108"/>
    </row>
    <row r="170" spans="1:14" x14ac:dyDescent="0.3">
      <c r="A170" s="77"/>
      <c r="B170" s="106"/>
      <c r="F170" s="124"/>
      <c r="G170" s="125"/>
      <c r="J170" s="125"/>
      <c r="L170" s="107"/>
      <c r="M170" s="108"/>
      <c r="N170" s="108"/>
    </row>
    <row r="171" spans="1:14" x14ac:dyDescent="0.3">
      <c r="A171" s="77"/>
      <c r="B171" s="106"/>
      <c r="F171" s="124"/>
      <c r="G171" s="125"/>
      <c r="J171" s="125"/>
      <c r="L171" s="107"/>
      <c r="M171" s="108"/>
      <c r="N171" s="108"/>
    </row>
    <row r="172" spans="1:14" x14ac:dyDescent="0.3">
      <c r="A172" s="77"/>
      <c r="B172" s="106"/>
      <c r="F172" s="124"/>
      <c r="G172" s="125"/>
      <c r="J172" s="125"/>
      <c r="L172" s="107"/>
      <c r="M172" s="108"/>
      <c r="N172" s="108"/>
    </row>
    <row r="173" spans="1:14" x14ac:dyDescent="0.3">
      <c r="A173" s="77"/>
      <c r="B173" s="106"/>
      <c r="F173" s="124"/>
      <c r="G173" s="125"/>
      <c r="J173" s="125"/>
      <c r="L173" s="107"/>
      <c r="M173" s="108"/>
      <c r="N173" s="108"/>
    </row>
    <row r="174" spans="1:14" x14ac:dyDescent="0.3">
      <c r="A174" s="77"/>
      <c r="B174" s="106"/>
      <c r="F174" s="124"/>
      <c r="G174" s="125"/>
      <c r="J174" s="125"/>
      <c r="L174" s="107"/>
      <c r="M174" s="108"/>
      <c r="N174" s="108"/>
    </row>
    <row r="175" spans="1:14" x14ac:dyDescent="0.3">
      <c r="A175" s="77"/>
      <c r="B175" s="106"/>
      <c r="F175" s="124"/>
      <c r="G175" s="125"/>
      <c r="J175" s="125"/>
      <c r="L175" s="107"/>
      <c r="M175" s="108"/>
      <c r="N175" s="108"/>
    </row>
    <row r="176" spans="1:14" x14ac:dyDescent="0.3">
      <c r="A176" s="77"/>
      <c r="B176" s="106"/>
      <c r="F176" s="124"/>
      <c r="G176" s="125"/>
      <c r="J176" s="125"/>
      <c r="L176" s="107"/>
      <c r="M176" s="108"/>
      <c r="N176" s="108"/>
    </row>
    <row r="177" spans="1:14" x14ac:dyDescent="0.3">
      <c r="A177" s="77"/>
      <c r="B177" s="106"/>
      <c r="F177" s="124"/>
      <c r="G177" s="125"/>
      <c r="J177" s="125"/>
      <c r="L177" s="107"/>
      <c r="M177" s="108"/>
      <c r="N177" s="108"/>
    </row>
    <row r="178" spans="1:14" x14ac:dyDescent="0.3">
      <c r="A178" s="77"/>
      <c r="B178" s="106"/>
      <c r="F178" s="124"/>
      <c r="G178" s="125"/>
      <c r="J178" s="125"/>
      <c r="L178" s="107"/>
      <c r="M178" s="108"/>
      <c r="N178" s="108"/>
    </row>
    <row r="179" spans="1:14" x14ac:dyDescent="0.3">
      <c r="A179" s="77"/>
      <c r="B179" s="106"/>
      <c r="F179" s="124"/>
      <c r="G179" s="125"/>
      <c r="J179" s="125"/>
      <c r="L179" s="107"/>
      <c r="M179" s="108"/>
      <c r="N179" s="108"/>
    </row>
    <row r="180" spans="1:14" x14ac:dyDescent="0.3">
      <c r="A180" s="77"/>
      <c r="B180" s="106"/>
      <c r="F180" s="124"/>
      <c r="G180" s="125"/>
      <c r="J180" s="125"/>
      <c r="L180" s="107"/>
      <c r="M180" s="108"/>
      <c r="N180" s="108"/>
    </row>
    <row r="181" spans="1:14" x14ac:dyDescent="0.3">
      <c r="A181" s="77"/>
      <c r="B181" s="106"/>
      <c r="F181" s="124"/>
      <c r="G181" s="125"/>
      <c r="J181" s="125"/>
      <c r="L181" s="107"/>
      <c r="M181" s="108"/>
      <c r="N181" s="108"/>
    </row>
    <row r="182" spans="1:14" x14ac:dyDescent="0.3">
      <c r="A182" s="77"/>
      <c r="B182" s="106"/>
      <c r="F182" s="124"/>
      <c r="G182" s="125"/>
      <c r="J182" s="125"/>
      <c r="L182" s="107"/>
      <c r="M182" s="108"/>
      <c r="N182" s="108"/>
    </row>
    <row r="183" spans="1:14" x14ac:dyDescent="0.3">
      <c r="A183" s="77"/>
      <c r="B183" s="106"/>
      <c r="F183" s="124"/>
      <c r="G183" s="125"/>
      <c r="J183" s="125"/>
      <c r="L183" s="107"/>
      <c r="M183" s="108"/>
      <c r="N183" s="108"/>
    </row>
    <row r="184" spans="1:14" x14ac:dyDescent="0.3">
      <c r="A184" s="77"/>
      <c r="B184" s="106"/>
      <c r="F184" s="124"/>
      <c r="G184" s="125"/>
      <c r="J184" s="125"/>
      <c r="L184" s="107"/>
      <c r="M184" s="108"/>
      <c r="N184" s="108"/>
    </row>
    <row r="185" spans="1:14" x14ac:dyDescent="0.3">
      <c r="A185" s="77"/>
      <c r="B185" s="106"/>
      <c r="F185" s="124"/>
      <c r="G185" s="125"/>
      <c r="J185" s="125"/>
      <c r="L185" s="107"/>
      <c r="M185" s="108"/>
      <c r="N185" s="108"/>
    </row>
    <row r="186" spans="1:14" x14ac:dyDescent="0.3">
      <c r="A186" s="77"/>
      <c r="B186" s="106"/>
      <c r="F186" s="124"/>
      <c r="G186" s="125"/>
      <c r="J186" s="125"/>
      <c r="L186" s="107"/>
      <c r="M186" s="108"/>
      <c r="N186" s="108"/>
    </row>
    <row r="187" spans="1:14" x14ac:dyDescent="0.3">
      <c r="A187" s="77"/>
      <c r="B187" s="106"/>
      <c r="F187" s="124"/>
      <c r="G187" s="125"/>
      <c r="J187" s="125"/>
      <c r="L187" s="107"/>
      <c r="M187" s="108"/>
      <c r="N187" s="108"/>
    </row>
    <row r="188" spans="1:14" x14ac:dyDescent="0.3">
      <c r="A188" s="77"/>
      <c r="B188" s="106"/>
      <c r="F188" s="124"/>
      <c r="G188" s="125"/>
      <c r="J188" s="125"/>
      <c r="L188" s="107"/>
      <c r="M188" s="108"/>
      <c r="N188" s="108"/>
    </row>
    <row r="189" spans="1:14" x14ac:dyDescent="0.3">
      <c r="A189" s="77"/>
      <c r="B189" s="106"/>
      <c r="F189" s="124"/>
      <c r="G189" s="125"/>
      <c r="J189" s="125"/>
      <c r="L189" s="107"/>
      <c r="M189" s="108"/>
      <c r="N189" s="108"/>
    </row>
    <row r="190" spans="1:14" x14ac:dyDescent="0.3">
      <c r="A190" s="77"/>
      <c r="B190" s="106"/>
      <c r="F190" s="124"/>
      <c r="G190" s="125"/>
      <c r="J190" s="125"/>
      <c r="L190" s="107"/>
      <c r="M190" s="108"/>
      <c r="N190" s="108"/>
    </row>
    <row r="191" spans="1:14" x14ac:dyDescent="0.3">
      <c r="A191" s="77"/>
      <c r="B191" s="106"/>
      <c r="F191" s="124"/>
      <c r="G191" s="125"/>
      <c r="J191" s="125"/>
      <c r="L191" s="107"/>
      <c r="M191" s="108"/>
      <c r="N191" s="108"/>
    </row>
    <row r="192" spans="1:14" x14ac:dyDescent="0.3">
      <c r="A192" s="77"/>
      <c r="B192" s="106"/>
      <c r="F192" s="124"/>
      <c r="G192" s="125"/>
      <c r="J192" s="125"/>
      <c r="L192" s="107"/>
      <c r="M192" s="108"/>
      <c r="N192" s="108"/>
    </row>
    <row r="193" spans="1:14" x14ac:dyDescent="0.3">
      <c r="A193" s="77"/>
      <c r="B193" s="106"/>
      <c r="F193" s="124"/>
      <c r="G193" s="125"/>
      <c r="J193" s="125"/>
      <c r="L193" s="107"/>
      <c r="M193" s="108"/>
      <c r="N193" s="108"/>
    </row>
    <row r="194" spans="1:14" x14ac:dyDescent="0.3">
      <c r="A194" s="77"/>
      <c r="B194" s="106"/>
      <c r="F194" s="124"/>
      <c r="G194" s="125"/>
      <c r="J194" s="125"/>
      <c r="L194" s="107"/>
      <c r="M194" s="108"/>
      <c r="N194" s="108"/>
    </row>
    <row r="195" spans="1:14" x14ac:dyDescent="0.3">
      <c r="A195" s="77"/>
      <c r="B195" s="106"/>
      <c r="F195" s="124"/>
      <c r="G195" s="125"/>
      <c r="J195" s="125"/>
      <c r="L195" s="107"/>
      <c r="M195" s="108"/>
      <c r="N195" s="108"/>
    </row>
    <row r="196" spans="1:14" x14ac:dyDescent="0.3">
      <c r="A196" s="77"/>
      <c r="B196" s="106"/>
      <c r="F196" s="124"/>
      <c r="G196" s="125"/>
      <c r="J196" s="125"/>
      <c r="L196" s="107"/>
      <c r="M196" s="108"/>
      <c r="N196" s="108"/>
    </row>
    <row r="197" spans="1:14" x14ac:dyDescent="0.3">
      <c r="A197" s="77"/>
      <c r="B197" s="106"/>
      <c r="F197" s="124"/>
      <c r="G197" s="125"/>
      <c r="J197" s="125"/>
      <c r="L197" s="107"/>
      <c r="M197" s="108"/>
      <c r="N197" s="108"/>
    </row>
    <row r="198" spans="1:14" x14ac:dyDescent="0.3">
      <c r="A198" s="77"/>
      <c r="B198" s="106"/>
      <c r="F198" s="124"/>
      <c r="G198" s="125"/>
      <c r="J198" s="125"/>
      <c r="L198" s="107"/>
      <c r="M198" s="108"/>
      <c r="N198" s="108"/>
    </row>
    <row r="199" spans="1:14" x14ac:dyDescent="0.3">
      <c r="A199" s="77"/>
      <c r="B199" s="106"/>
      <c r="F199" s="124"/>
      <c r="G199" s="125"/>
      <c r="J199" s="125"/>
      <c r="L199" s="107"/>
      <c r="M199" s="108"/>
      <c r="N199" s="108"/>
    </row>
    <row r="200" spans="1:14" x14ac:dyDescent="0.3">
      <c r="A200" s="77"/>
      <c r="B200" s="106"/>
      <c r="F200" s="124"/>
      <c r="G200" s="125"/>
      <c r="J200" s="125"/>
      <c r="L200" s="107"/>
      <c r="M200" s="108"/>
      <c r="N200" s="108"/>
    </row>
    <row r="201" spans="1:14" x14ac:dyDescent="0.3">
      <c r="A201" s="77"/>
      <c r="B201" s="106"/>
      <c r="F201" s="124"/>
      <c r="G201" s="125"/>
      <c r="J201" s="125"/>
      <c r="L201" s="107"/>
      <c r="M201" s="108"/>
      <c r="N201" s="108"/>
    </row>
    <row r="202" spans="1:14" x14ac:dyDescent="0.3">
      <c r="A202" s="77"/>
      <c r="B202" s="106"/>
      <c r="F202" s="124"/>
      <c r="G202" s="125"/>
      <c r="J202" s="125"/>
      <c r="L202" s="107"/>
      <c r="M202" s="108"/>
      <c r="N202" s="108"/>
    </row>
    <row r="203" spans="1:14" x14ac:dyDescent="0.3">
      <c r="A203" s="77"/>
      <c r="B203" s="106"/>
      <c r="F203" s="124"/>
      <c r="G203" s="125"/>
      <c r="J203" s="125"/>
      <c r="L203" s="107"/>
      <c r="M203" s="108"/>
      <c r="N203" s="108"/>
    </row>
    <row r="204" spans="1:14" x14ac:dyDescent="0.3">
      <c r="A204" s="77"/>
      <c r="B204" s="106"/>
      <c r="F204" s="124"/>
      <c r="G204" s="125"/>
      <c r="J204" s="125"/>
      <c r="L204" s="107"/>
      <c r="M204" s="108"/>
      <c r="N204" s="108"/>
    </row>
    <row r="205" spans="1:14" x14ac:dyDescent="0.3">
      <c r="A205" s="77"/>
      <c r="B205" s="106"/>
      <c r="F205" s="124"/>
      <c r="G205" s="125"/>
      <c r="J205" s="125"/>
      <c r="L205" s="107"/>
      <c r="M205" s="108"/>
      <c r="N205" s="108"/>
    </row>
    <row r="206" spans="1:14" x14ac:dyDescent="0.3">
      <c r="A206" s="77"/>
      <c r="B206" s="106"/>
      <c r="F206" s="124"/>
      <c r="G206" s="125"/>
      <c r="J206" s="125"/>
      <c r="L206" s="107"/>
      <c r="M206" s="108"/>
      <c r="N206" s="108"/>
    </row>
    <row r="207" spans="1:14" x14ac:dyDescent="0.3">
      <c r="A207" s="77"/>
      <c r="B207" s="106"/>
      <c r="F207" s="124"/>
      <c r="G207" s="125"/>
      <c r="J207" s="125"/>
      <c r="L207" s="107"/>
      <c r="M207" s="108"/>
      <c r="N207" s="108"/>
    </row>
    <row r="208" spans="1:14" x14ac:dyDescent="0.3">
      <c r="A208" s="77"/>
      <c r="B208" s="106"/>
      <c r="F208" s="124"/>
      <c r="G208" s="125"/>
      <c r="J208" s="125"/>
      <c r="L208" s="107"/>
      <c r="M208" s="108"/>
      <c r="N208" s="108"/>
    </row>
    <row r="209" spans="1:14" x14ac:dyDescent="0.3">
      <c r="A209" s="77"/>
      <c r="B209" s="106"/>
      <c r="F209" s="124"/>
      <c r="G209" s="125"/>
      <c r="J209" s="125"/>
      <c r="L209" s="107"/>
      <c r="M209" s="108"/>
      <c r="N209" s="108"/>
    </row>
    <row r="210" spans="1:14" x14ac:dyDescent="0.3">
      <c r="A210" s="77"/>
      <c r="B210" s="106"/>
      <c r="F210" s="124"/>
      <c r="G210" s="125"/>
      <c r="J210" s="125"/>
      <c r="L210" s="107"/>
      <c r="M210" s="108"/>
      <c r="N210" s="108"/>
    </row>
    <row r="211" spans="1:14" x14ac:dyDescent="0.3">
      <c r="A211" s="77"/>
      <c r="B211" s="106"/>
      <c r="F211" s="124"/>
      <c r="G211" s="125"/>
      <c r="J211" s="125"/>
      <c r="L211" s="107"/>
      <c r="M211" s="108"/>
      <c r="N211" s="108"/>
    </row>
    <row r="212" spans="1:14" x14ac:dyDescent="0.3">
      <c r="A212" s="77"/>
      <c r="B212" s="106"/>
      <c r="F212" s="124"/>
      <c r="G212" s="125"/>
      <c r="J212" s="125"/>
      <c r="L212" s="107"/>
      <c r="M212" s="108"/>
      <c r="N212" s="108"/>
    </row>
    <row r="213" spans="1:14" x14ac:dyDescent="0.3">
      <c r="A213" s="77"/>
      <c r="B213" s="106"/>
      <c r="F213" s="124"/>
      <c r="G213" s="125"/>
      <c r="J213" s="125"/>
      <c r="L213" s="107"/>
      <c r="M213" s="108"/>
      <c r="N213" s="108"/>
    </row>
    <row r="214" spans="1:14" x14ac:dyDescent="0.3">
      <c r="A214" s="77"/>
      <c r="B214" s="106"/>
      <c r="F214" s="124"/>
      <c r="G214" s="125"/>
      <c r="J214" s="125"/>
      <c r="L214" s="107"/>
      <c r="M214" s="108"/>
      <c r="N214" s="108"/>
    </row>
    <row r="215" spans="1:14" x14ac:dyDescent="0.3">
      <c r="A215" s="77"/>
      <c r="B215" s="106"/>
      <c r="F215" s="124"/>
      <c r="G215" s="125"/>
      <c r="J215" s="125"/>
      <c r="L215" s="107"/>
      <c r="M215" s="108"/>
      <c r="N215" s="108"/>
    </row>
    <row r="216" spans="1:14" x14ac:dyDescent="0.3">
      <c r="A216" s="77"/>
      <c r="B216" s="106"/>
      <c r="F216" s="124"/>
      <c r="G216" s="125"/>
      <c r="J216" s="125"/>
      <c r="L216" s="107"/>
      <c r="M216" s="108"/>
      <c r="N216" s="108"/>
    </row>
    <row r="217" spans="1:14" x14ac:dyDescent="0.3">
      <c r="A217" s="77"/>
      <c r="B217" s="106"/>
      <c r="F217" s="124"/>
      <c r="G217" s="125"/>
      <c r="J217" s="125"/>
      <c r="L217" s="107"/>
      <c r="M217" s="108"/>
      <c r="N217" s="108"/>
    </row>
    <row r="218" spans="1:14" x14ac:dyDescent="0.3">
      <c r="A218" s="77"/>
      <c r="B218" s="106"/>
      <c r="F218" s="124"/>
      <c r="G218" s="125"/>
      <c r="J218" s="125"/>
      <c r="L218" s="107"/>
      <c r="M218" s="108"/>
      <c r="N218" s="108"/>
    </row>
    <row r="219" spans="1:14" x14ac:dyDescent="0.3">
      <c r="A219" s="77"/>
      <c r="B219" s="106"/>
      <c r="F219" s="124"/>
      <c r="G219" s="125"/>
      <c r="J219" s="125"/>
      <c r="L219" s="107"/>
      <c r="M219" s="108"/>
      <c r="N219" s="108"/>
    </row>
    <row r="220" spans="1:14" x14ac:dyDescent="0.3">
      <c r="A220" s="77"/>
      <c r="B220" s="106"/>
      <c r="F220" s="124"/>
      <c r="G220" s="125"/>
      <c r="J220" s="125"/>
      <c r="L220" s="107"/>
      <c r="M220" s="108"/>
      <c r="N220" s="108"/>
    </row>
    <row r="221" spans="1:14" x14ac:dyDescent="0.3">
      <c r="A221" s="77"/>
      <c r="B221" s="106"/>
      <c r="F221" s="124"/>
      <c r="G221" s="125"/>
      <c r="J221" s="125"/>
      <c r="L221" s="107"/>
      <c r="M221" s="108"/>
      <c r="N221" s="108"/>
    </row>
    <row r="222" spans="1:14" x14ac:dyDescent="0.3">
      <c r="A222" s="77"/>
      <c r="B222" s="106"/>
      <c r="F222" s="124"/>
      <c r="G222" s="125"/>
      <c r="J222" s="125"/>
      <c r="L222" s="107"/>
      <c r="M222" s="108"/>
      <c r="N222" s="108"/>
    </row>
    <row r="223" spans="1:14" x14ac:dyDescent="0.3">
      <c r="A223" s="77"/>
      <c r="B223" s="106"/>
      <c r="F223" s="124"/>
      <c r="G223" s="125"/>
      <c r="J223" s="125"/>
      <c r="L223" s="107"/>
      <c r="M223" s="108"/>
      <c r="N223" s="108"/>
    </row>
    <row r="224" spans="1:14" x14ac:dyDescent="0.3">
      <c r="A224" s="77"/>
      <c r="B224" s="106"/>
      <c r="F224" s="124"/>
      <c r="G224" s="125"/>
      <c r="J224" s="125"/>
      <c r="L224" s="107"/>
      <c r="M224" s="108"/>
      <c r="N224" s="108"/>
    </row>
    <row r="225" spans="1:14" x14ac:dyDescent="0.3">
      <c r="A225" s="77"/>
      <c r="B225" s="106"/>
      <c r="F225" s="124"/>
      <c r="G225" s="125"/>
      <c r="J225" s="125"/>
      <c r="L225" s="107"/>
      <c r="M225" s="108"/>
      <c r="N225" s="108"/>
    </row>
    <row r="226" spans="1:14" x14ac:dyDescent="0.3">
      <c r="A226" s="77"/>
      <c r="B226" s="106"/>
      <c r="F226" s="124"/>
      <c r="G226" s="125"/>
      <c r="J226" s="125"/>
      <c r="L226" s="107"/>
      <c r="M226" s="108"/>
      <c r="N226" s="108"/>
    </row>
    <row r="227" spans="1:14" x14ac:dyDescent="0.3">
      <c r="A227" s="77"/>
      <c r="B227" s="106"/>
      <c r="F227" s="124"/>
      <c r="G227" s="125"/>
      <c r="J227" s="125"/>
      <c r="L227" s="107"/>
      <c r="M227" s="108"/>
      <c r="N227" s="108"/>
    </row>
    <row r="228" spans="1:14" x14ac:dyDescent="0.3">
      <c r="A228" s="77"/>
      <c r="B228" s="106"/>
      <c r="F228" s="124"/>
      <c r="G228" s="125"/>
      <c r="J228" s="125"/>
      <c r="L228" s="107"/>
      <c r="M228" s="108"/>
      <c r="N228" s="108"/>
    </row>
    <row r="229" spans="1:14" x14ac:dyDescent="0.3">
      <c r="A229" s="77"/>
      <c r="B229" s="106"/>
      <c r="F229" s="124"/>
      <c r="G229" s="125"/>
      <c r="J229" s="125"/>
      <c r="L229" s="107"/>
      <c r="M229" s="108"/>
      <c r="N229" s="108"/>
    </row>
    <row r="230" spans="1:14" x14ac:dyDescent="0.3">
      <c r="A230" s="77"/>
      <c r="B230" s="106"/>
      <c r="F230" s="124"/>
      <c r="G230" s="125"/>
      <c r="J230" s="125"/>
      <c r="L230" s="107"/>
      <c r="M230" s="108"/>
      <c r="N230" s="108"/>
    </row>
    <row r="231" spans="1:14" x14ac:dyDescent="0.3">
      <c r="A231" s="77"/>
      <c r="B231" s="106"/>
      <c r="F231" s="124"/>
      <c r="G231" s="125"/>
      <c r="J231" s="125"/>
      <c r="L231" s="107"/>
      <c r="M231" s="108"/>
      <c r="N231" s="108"/>
    </row>
    <row r="232" spans="1:14" x14ac:dyDescent="0.3">
      <c r="A232" s="77"/>
      <c r="B232" s="106"/>
      <c r="F232" s="124"/>
      <c r="G232" s="125"/>
      <c r="J232" s="125"/>
      <c r="L232" s="107"/>
      <c r="M232" s="108"/>
      <c r="N232" s="108"/>
    </row>
    <row r="233" spans="1:14" x14ac:dyDescent="0.3">
      <c r="A233" s="77"/>
      <c r="B233" s="106"/>
      <c r="F233" s="124"/>
      <c r="G233" s="125"/>
      <c r="J233" s="125"/>
      <c r="L233" s="107"/>
      <c r="M233" s="108"/>
      <c r="N233" s="108"/>
    </row>
    <row r="234" spans="1:14" x14ac:dyDescent="0.3">
      <c r="A234" s="77"/>
      <c r="B234" s="106"/>
      <c r="F234" s="124"/>
      <c r="G234" s="125"/>
      <c r="J234" s="125"/>
      <c r="L234" s="107"/>
      <c r="M234" s="108"/>
      <c r="N234" s="108"/>
    </row>
    <row r="235" spans="1:14" x14ac:dyDescent="0.3">
      <c r="A235" s="77"/>
      <c r="B235" s="106"/>
      <c r="F235" s="124"/>
      <c r="G235" s="125"/>
      <c r="J235" s="125"/>
      <c r="L235" s="107"/>
      <c r="M235" s="108"/>
      <c r="N235" s="108"/>
    </row>
    <row r="236" spans="1:14" x14ac:dyDescent="0.3">
      <c r="A236" s="77"/>
      <c r="B236" s="106"/>
      <c r="F236" s="124"/>
      <c r="G236" s="125"/>
      <c r="J236" s="125"/>
      <c r="L236" s="107"/>
      <c r="M236" s="108"/>
      <c r="N236" s="108"/>
    </row>
    <row r="237" spans="1:14" x14ac:dyDescent="0.3">
      <c r="A237" s="77"/>
      <c r="B237" s="106"/>
      <c r="F237" s="124"/>
      <c r="G237" s="125"/>
      <c r="J237" s="125"/>
      <c r="L237" s="107"/>
      <c r="M237" s="108"/>
      <c r="N237" s="108"/>
    </row>
    <row r="238" spans="1:14" x14ac:dyDescent="0.3">
      <c r="A238" s="77"/>
      <c r="B238" s="106"/>
      <c r="F238" s="124"/>
      <c r="G238" s="125"/>
      <c r="J238" s="125"/>
      <c r="L238" s="107"/>
      <c r="M238" s="108"/>
      <c r="N238" s="108"/>
    </row>
    <row r="239" spans="1:14" x14ac:dyDescent="0.3">
      <c r="A239" s="77"/>
      <c r="B239" s="106"/>
      <c r="F239" s="124"/>
      <c r="G239" s="125"/>
      <c r="J239" s="125"/>
      <c r="L239" s="107"/>
      <c r="M239" s="108"/>
      <c r="N239" s="108"/>
    </row>
    <row r="240" spans="1:14" x14ac:dyDescent="0.3">
      <c r="A240" s="77"/>
      <c r="B240" s="106"/>
      <c r="F240" s="124"/>
      <c r="G240" s="125"/>
      <c r="J240" s="125"/>
      <c r="L240" s="107"/>
      <c r="M240" s="108"/>
      <c r="N240" s="108"/>
    </row>
    <row r="241" spans="1:14" x14ac:dyDescent="0.3">
      <c r="A241" s="77"/>
      <c r="B241" s="106"/>
      <c r="F241" s="124"/>
      <c r="G241" s="125"/>
      <c r="J241" s="125"/>
      <c r="L241" s="107"/>
      <c r="M241" s="108"/>
      <c r="N241" s="108"/>
    </row>
    <row r="242" spans="1:14" x14ac:dyDescent="0.3">
      <c r="A242" s="77"/>
      <c r="B242" s="106"/>
      <c r="F242" s="124"/>
      <c r="G242" s="125"/>
      <c r="J242" s="125"/>
      <c r="L242" s="107"/>
      <c r="M242" s="108"/>
      <c r="N242" s="108"/>
    </row>
    <row r="243" spans="1:14" x14ac:dyDescent="0.3">
      <c r="A243" s="77"/>
      <c r="B243" s="106"/>
      <c r="F243" s="124"/>
      <c r="G243" s="125"/>
      <c r="J243" s="125"/>
      <c r="L243" s="107"/>
      <c r="M243" s="108"/>
      <c r="N243" s="108"/>
    </row>
    <row r="244" spans="1:14" x14ac:dyDescent="0.3">
      <c r="A244" s="77"/>
      <c r="B244" s="106"/>
      <c r="F244" s="124"/>
      <c r="G244" s="125"/>
      <c r="J244" s="125"/>
      <c r="L244" s="107"/>
      <c r="M244" s="108"/>
      <c r="N244" s="108"/>
    </row>
    <row r="245" spans="1:14" x14ac:dyDescent="0.3">
      <c r="A245" s="77"/>
      <c r="B245" s="106"/>
      <c r="F245" s="124"/>
      <c r="G245" s="125"/>
      <c r="J245" s="125"/>
      <c r="L245" s="107"/>
      <c r="M245" s="108"/>
      <c r="N245" s="108"/>
    </row>
    <row r="246" spans="1:14" x14ac:dyDescent="0.3">
      <c r="A246" s="77"/>
      <c r="B246" s="106"/>
      <c r="F246" s="124"/>
      <c r="G246" s="125"/>
      <c r="J246" s="125"/>
      <c r="L246" s="107"/>
      <c r="M246" s="108"/>
      <c r="N246" s="108"/>
    </row>
    <row r="247" spans="1:14" x14ac:dyDescent="0.3">
      <c r="A247" s="77"/>
      <c r="B247" s="106"/>
      <c r="F247" s="124"/>
      <c r="G247" s="125"/>
      <c r="J247" s="125"/>
      <c r="L247" s="107"/>
      <c r="M247" s="108"/>
      <c r="N247" s="108"/>
    </row>
    <row r="248" spans="1:14" x14ac:dyDescent="0.3">
      <c r="A248" s="77"/>
      <c r="B248" s="106"/>
      <c r="F248" s="124"/>
      <c r="G248" s="125"/>
      <c r="J248" s="125"/>
      <c r="L248" s="107"/>
      <c r="M248" s="108"/>
      <c r="N248" s="108"/>
    </row>
    <row r="249" spans="1:14" x14ac:dyDescent="0.3">
      <c r="A249" s="77"/>
      <c r="B249" s="106"/>
      <c r="F249" s="124"/>
      <c r="G249" s="125"/>
      <c r="J249" s="125"/>
      <c r="L249" s="107"/>
      <c r="M249" s="108"/>
      <c r="N249" s="108"/>
    </row>
    <row r="250" spans="1:14" x14ac:dyDescent="0.3">
      <c r="A250" s="77"/>
      <c r="B250" s="106"/>
      <c r="F250" s="124"/>
      <c r="G250" s="125"/>
      <c r="J250" s="125"/>
      <c r="L250" s="107"/>
      <c r="M250" s="108"/>
      <c r="N250" s="108"/>
    </row>
    <row r="251" spans="1:14" x14ac:dyDescent="0.3">
      <c r="A251" s="77"/>
      <c r="B251" s="106"/>
      <c r="F251" s="124"/>
      <c r="G251" s="125"/>
      <c r="J251" s="125"/>
      <c r="L251" s="107"/>
      <c r="M251" s="108"/>
      <c r="N251" s="108"/>
    </row>
    <row r="252" spans="1:14" x14ac:dyDescent="0.3">
      <c r="A252" s="77"/>
      <c r="B252" s="106"/>
      <c r="F252" s="124"/>
      <c r="G252" s="125"/>
      <c r="J252" s="125"/>
      <c r="L252" s="107"/>
      <c r="M252" s="108"/>
      <c r="N252" s="108"/>
    </row>
    <row r="253" spans="1:14" x14ac:dyDescent="0.3">
      <c r="A253" s="77"/>
      <c r="B253" s="106"/>
      <c r="F253" s="124"/>
      <c r="G253" s="125"/>
      <c r="J253" s="125"/>
      <c r="L253" s="107"/>
      <c r="M253" s="108"/>
      <c r="N253" s="108"/>
    </row>
    <row r="254" spans="1:14" x14ac:dyDescent="0.3">
      <c r="A254" s="77"/>
      <c r="B254" s="106"/>
      <c r="F254" s="124"/>
      <c r="G254" s="125"/>
      <c r="J254" s="125"/>
      <c r="L254" s="107"/>
      <c r="M254" s="108"/>
      <c r="N254" s="108"/>
    </row>
    <row r="255" spans="1:14" x14ac:dyDescent="0.3">
      <c r="A255" s="77"/>
      <c r="B255" s="106"/>
      <c r="F255" s="124"/>
      <c r="G255" s="125"/>
      <c r="J255" s="125"/>
      <c r="L255" s="107"/>
      <c r="M255" s="108"/>
      <c r="N255" s="108"/>
    </row>
    <row r="256" spans="1:14" x14ac:dyDescent="0.3">
      <c r="A256" s="77"/>
      <c r="B256" s="106"/>
      <c r="F256" s="124"/>
      <c r="G256" s="125"/>
      <c r="J256" s="125"/>
      <c r="L256" s="107"/>
      <c r="M256" s="108"/>
      <c r="N256" s="108"/>
    </row>
    <row r="257" spans="1:14" x14ac:dyDescent="0.3">
      <c r="A257" s="77"/>
      <c r="B257" s="106"/>
      <c r="F257" s="124"/>
      <c r="G257" s="125"/>
      <c r="J257" s="125"/>
      <c r="L257" s="107"/>
      <c r="M257" s="108"/>
      <c r="N257" s="108"/>
    </row>
    <row r="258" spans="1:14" x14ac:dyDescent="0.3">
      <c r="A258" s="77"/>
      <c r="B258" s="106"/>
      <c r="F258" s="124"/>
      <c r="G258" s="125"/>
      <c r="J258" s="125"/>
      <c r="L258" s="107"/>
      <c r="M258" s="108"/>
      <c r="N258" s="108"/>
    </row>
    <row r="259" spans="1:14" x14ac:dyDescent="0.3">
      <c r="A259" s="77"/>
      <c r="B259" s="106"/>
      <c r="F259" s="124"/>
      <c r="G259" s="125"/>
      <c r="J259" s="125"/>
      <c r="L259" s="107"/>
      <c r="M259" s="108"/>
      <c r="N259" s="108"/>
    </row>
    <row r="260" spans="1:14" x14ac:dyDescent="0.3">
      <c r="A260" s="77"/>
      <c r="B260" s="106"/>
      <c r="F260" s="124"/>
      <c r="G260" s="125"/>
      <c r="J260" s="125"/>
      <c r="L260" s="107"/>
      <c r="M260" s="108"/>
      <c r="N260" s="108"/>
    </row>
    <row r="261" spans="1:14" x14ac:dyDescent="0.3">
      <c r="A261" s="77"/>
      <c r="B261" s="106"/>
      <c r="F261" s="124"/>
      <c r="G261" s="125"/>
      <c r="J261" s="125"/>
      <c r="L261" s="107"/>
      <c r="M261" s="108"/>
      <c r="N261" s="108"/>
    </row>
    <row r="262" spans="1:14" x14ac:dyDescent="0.3">
      <c r="A262" s="77"/>
      <c r="B262" s="106"/>
      <c r="F262" s="124"/>
      <c r="G262" s="125"/>
      <c r="J262" s="125"/>
      <c r="L262" s="107"/>
      <c r="M262" s="108"/>
      <c r="N262" s="108"/>
    </row>
    <row r="263" spans="1:14" x14ac:dyDescent="0.3">
      <c r="A263" s="77"/>
      <c r="B263" s="106"/>
      <c r="F263" s="124"/>
      <c r="G263" s="125"/>
      <c r="J263" s="125"/>
      <c r="L263" s="107"/>
      <c r="M263" s="108"/>
      <c r="N263" s="108"/>
    </row>
    <row r="264" spans="1:14" x14ac:dyDescent="0.3">
      <c r="A264" s="77"/>
      <c r="B264" s="106"/>
      <c r="F264" s="124"/>
      <c r="G264" s="125"/>
      <c r="J264" s="125"/>
      <c r="L264" s="107"/>
      <c r="M264" s="108"/>
      <c r="N264" s="108"/>
    </row>
    <row r="265" spans="1:14" x14ac:dyDescent="0.3">
      <c r="A265" s="77"/>
      <c r="B265" s="106"/>
      <c r="F265" s="124"/>
      <c r="G265" s="125"/>
      <c r="J265" s="125"/>
      <c r="L265" s="107"/>
      <c r="M265" s="108"/>
      <c r="N265" s="108"/>
    </row>
    <row r="266" spans="1:14" x14ac:dyDescent="0.3">
      <c r="A266" s="77"/>
      <c r="B266" s="106"/>
      <c r="F266" s="124"/>
      <c r="G266" s="125"/>
      <c r="J266" s="125"/>
      <c r="L266" s="107"/>
      <c r="M266" s="108"/>
      <c r="N266" s="108"/>
    </row>
    <row r="267" spans="1:14" x14ac:dyDescent="0.3">
      <c r="A267" s="77"/>
      <c r="B267" s="106"/>
      <c r="F267" s="124"/>
      <c r="G267" s="125"/>
      <c r="J267" s="125"/>
      <c r="L267" s="107"/>
      <c r="M267" s="108"/>
      <c r="N267" s="108"/>
    </row>
    <row r="268" spans="1:14" x14ac:dyDescent="0.3">
      <c r="A268" s="77"/>
      <c r="B268" s="106"/>
      <c r="F268" s="124"/>
      <c r="G268" s="125"/>
      <c r="J268" s="125"/>
      <c r="L268" s="107"/>
      <c r="M268" s="108"/>
      <c r="N268" s="108"/>
    </row>
    <row r="269" spans="1:14" x14ac:dyDescent="0.3">
      <c r="A269" s="77"/>
      <c r="B269" s="106"/>
      <c r="F269" s="124"/>
      <c r="G269" s="125"/>
      <c r="J269" s="125"/>
      <c r="L269" s="107"/>
      <c r="M269" s="108"/>
      <c r="N269" s="108"/>
    </row>
    <row r="270" spans="1:14" x14ac:dyDescent="0.3">
      <c r="A270" s="77"/>
      <c r="B270" s="106"/>
      <c r="F270" s="124"/>
      <c r="G270" s="125"/>
      <c r="J270" s="125"/>
      <c r="L270" s="107"/>
      <c r="M270" s="108"/>
      <c r="N270" s="108"/>
    </row>
    <row r="271" spans="1:14" x14ac:dyDescent="0.3">
      <c r="A271" s="77"/>
      <c r="B271" s="106"/>
      <c r="F271" s="124"/>
      <c r="G271" s="125"/>
      <c r="J271" s="125"/>
      <c r="L271" s="107"/>
      <c r="M271" s="108"/>
      <c r="N271" s="108"/>
    </row>
    <row r="272" spans="1:14" x14ac:dyDescent="0.3">
      <c r="A272" s="77"/>
      <c r="B272" s="106"/>
      <c r="F272" s="124"/>
      <c r="G272" s="125"/>
      <c r="J272" s="125"/>
      <c r="L272" s="107"/>
      <c r="M272" s="108"/>
      <c r="N272" s="108"/>
    </row>
    <row r="273" spans="1:14" x14ac:dyDescent="0.3">
      <c r="A273" s="77"/>
      <c r="B273" s="106"/>
      <c r="F273" s="124"/>
      <c r="G273" s="125"/>
      <c r="J273" s="125"/>
      <c r="L273" s="107"/>
      <c r="M273" s="108"/>
      <c r="N273" s="108"/>
    </row>
    <row r="274" spans="1:14" x14ac:dyDescent="0.3">
      <c r="A274" s="77"/>
      <c r="B274" s="106"/>
      <c r="F274" s="124"/>
      <c r="G274" s="125"/>
      <c r="J274" s="125"/>
      <c r="L274" s="107"/>
      <c r="M274" s="108"/>
      <c r="N274" s="108"/>
    </row>
    <row r="275" spans="1:14" x14ac:dyDescent="0.3">
      <c r="A275" s="77"/>
      <c r="B275" s="106"/>
      <c r="F275" s="124"/>
      <c r="G275" s="125"/>
      <c r="J275" s="125"/>
      <c r="L275" s="107"/>
      <c r="M275" s="108"/>
      <c r="N275" s="108"/>
    </row>
    <row r="276" spans="1:14" x14ac:dyDescent="0.3">
      <c r="A276" s="77"/>
      <c r="B276" s="106"/>
      <c r="F276" s="124"/>
      <c r="G276" s="125"/>
      <c r="J276" s="125"/>
      <c r="L276" s="107"/>
      <c r="M276" s="108"/>
      <c r="N276" s="108"/>
    </row>
    <row r="277" spans="1:14" x14ac:dyDescent="0.3">
      <c r="A277" s="77"/>
      <c r="B277" s="106"/>
      <c r="F277" s="124"/>
      <c r="G277" s="125"/>
      <c r="J277" s="125"/>
      <c r="L277" s="107"/>
      <c r="M277" s="108"/>
      <c r="N277" s="108"/>
    </row>
    <row r="278" spans="1:14" x14ac:dyDescent="0.3">
      <c r="A278" s="77"/>
      <c r="B278" s="106"/>
      <c r="F278" s="124"/>
      <c r="G278" s="125"/>
      <c r="J278" s="125"/>
      <c r="L278" s="107"/>
      <c r="M278" s="108"/>
      <c r="N278" s="108"/>
    </row>
    <row r="279" spans="1:14" x14ac:dyDescent="0.3">
      <c r="A279" s="77"/>
      <c r="B279" s="106"/>
      <c r="F279" s="124"/>
      <c r="G279" s="125"/>
      <c r="J279" s="125"/>
      <c r="L279" s="107"/>
      <c r="M279" s="108"/>
      <c r="N279" s="108"/>
    </row>
    <row r="280" spans="1:14" x14ac:dyDescent="0.3">
      <c r="A280" s="77"/>
      <c r="B280" s="106"/>
      <c r="F280" s="124"/>
      <c r="G280" s="125"/>
      <c r="J280" s="125"/>
      <c r="L280" s="107"/>
      <c r="M280" s="108"/>
      <c r="N280" s="108"/>
    </row>
    <row r="281" spans="1:14" x14ac:dyDescent="0.3">
      <c r="A281" s="77"/>
      <c r="B281" s="106"/>
      <c r="F281" s="124"/>
      <c r="G281" s="125"/>
      <c r="J281" s="125"/>
      <c r="L281" s="107"/>
      <c r="M281" s="108"/>
      <c r="N281" s="108"/>
    </row>
    <row r="282" spans="1:14" x14ac:dyDescent="0.3">
      <c r="A282" s="77"/>
      <c r="B282" s="106"/>
      <c r="F282" s="124"/>
      <c r="G282" s="125"/>
      <c r="J282" s="125"/>
      <c r="L282" s="107"/>
      <c r="M282" s="108"/>
      <c r="N282" s="108"/>
    </row>
    <row r="283" spans="1:14" x14ac:dyDescent="0.3">
      <c r="A283" s="77"/>
      <c r="B283" s="106"/>
      <c r="F283" s="124"/>
      <c r="G283" s="125"/>
      <c r="J283" s="125"/>
      <c r="L283" s="107"/>
      <c r="M283" s="108"/>
      <c r="N283" s="108"/>
    </row>
    <row r="284" spans="1:14" x14ac:dyDescent="0.3">
      <c r="A284" s="77"/>
      <c r="B284" s="106"/>
      <c r="F284" s="124"/>
      <c r="G284" s="125"/>
      <c r="J284" s="125"/>
      <c r="L284" s="107"/>
      <c r="M284" s="108"/>
      <c r="N284" s="108"/>
    </row>
    <row r="285" spans="1:14" x14ac:dyDescent="0.3">
      <c r="A285" s="77"/>
      <c r="B285" s="106"/>
      <c r="F285" s="124"/>
      <c r="G285" s="125"/>
      <c r="J285" s="125"/>
      <c r="L285" s="107"/>
      <c r="M285" s="108"/>
      <c r="N285" s="108"/>
    </row>
    <row r="286" spans="1:14" x14ac:dyDescent="0.3">
      <c r="A286" s="77"/>
      <c r="B286" s="106"/>
      <c r="F286" s="124"/>
      <c r="G286" s="125"/>
      <c r="J286" s="125"/>
      <c r="L286" s="107"/>
      <c r="M286" s="108"/>
      <c r="N286" s="108"/>
    </row>
    <row r="287" spans="1:14" x14ac:dyDescent="0.3">
      <c r="A287" s="77"/>
      <c r="B287" s="106"/>
      <c r="F287" s="124"/>
      <c r="G287" s="125"/>
      <c r="J287" s="125"/>
      <c r="L287" s="107"/>
      <c r="M287" s="108"/>
      <c r="N287" s="108"/>
    </row>
    <row r="288" spans="1:14" x14ac:dyDescent="0.3">
      <c r="A288" s="77"/>
      <c r="B288" s="106"/>
      <c r="F288" s="124"/>
      <c r="G288" s="125"/>
      <c r="J288" s="125"/>
      <c r="L288" s="107"/>
      <c r="M288" s="108"/>
      <c r="N288" s="108"/>
    </row>
    <row r="289" spans="1:14" x14ac:dyDescent="0.3">
      <c r="A289" s="77"/>
      <c r="B289" s="106"/>
      <c r="F289" s="124"/>
      <c r="G289" s="125"/>
      <c r="J289" s="125"/>
      <c r="L289" s="107"/>
      <c r="M289" s="108"/>
      <c r="N289" s="108"/>
    </row>
    <row r="290" spans="1:14" x14ac:dyDescent="0.3">
      <c r="A290" s="77"/>
      <c r="B290" s="106"/>
      <c r="F290" s="124"/>
      <c r="G290" s="125"/>
      <c r="J290" s="125"/>
      <c r="L290" s="107"/>
      <c r="M290" s="108"/>
      <c r="N290" s="108"/>
    </row>
    <row r="291" spans="1:14" x14ac:dyDescent="0.3">
      <c r="A291" s="77"/>
      <c r="B291" s="106"/>
      <c r="F291" s="124"/>
      <c r="G291" s="125"/>
      <c r="J291" s="125"/>
      <c r="L291" s="107"/>
      <c r="M291" s="108"/>
      <c r="N291" s="108"/>
    </row>
    <row r="292" spans="1:14" x14ac:dyDescent="0.3">
      <c r="A292" s="77"/>
      <c r="B292" s="106"/>
      <c r="F292" s="124"/>
      <c r="G292" s="125"/>
      <c r="J292" s="125"/>
      <c r="L292" s="107"/>
      <c r="M292" s="108"/>
      <c r="N292" s="108"/>
    </row>
    <row r="293" spans="1:14" x14ac:dyDescent="0.3">
      <c r="A293" s="77"/>
      <c r="B293" s="106"/>
      <c r="F293" s="124"/>
      <c r="G293" s="125"/>
      <c r="J293" s="125"/>
      <c r="L293" s="107"/>
      <c r="M293" s="108"/>
      <c r="N293" s="108"/>
    </row>
    <row r="294" spans="1:14" x14ac:dyDescent="0.3">
      <c r="A294" s="77"/>
      <c r="B294" s="106"/>
      <c r="F294" s="124"/>
      <c r="G294" s="125"/>
      <c r="J294" s="125"/>
      <c r="L294" s="107"/>
      <c r="M294" s="108"/>
      <c r="N294" s="108"/>
    </row>
    <row r="295" spans="1:14" x14ac:dyDescent="0.3">
      <c r="A295" s="77"/>
      <c r="B295" s="106"/>
      <c r="F295" s="124"/>
      <c r="G295" s="125"/>
      <c r="J295" s="125"/>
      <c r="L295" s="107"/>
      <c r="M295" s="108"/>
      <c r="N295" s="108"/>
    </row>
    <row r="296" spans="1:14" x14ac:dyDescent="0.3">
      <c r="A296" s="77"/>
      <c r="B296" s="106"/>
      <c r="F296" s="124"/>
      <c r="G296" s="125"/>
      <c r="J296" s="125"/>
      <c r="L296" s="107"/>
      <c r="M296" s="108"/>
      <c r="N296" s="108"/>
    </row>
    <row r="297" spans="1:14" x14ac:dyDescent="0.3">
      <c r="A297" s="77"/>
      <c r="B297" s="106"/>
      <c r="F297" s="124"/>
      <c r="G297" s="125"/>
      <c r="J297" s="125"/>
      <c r="L297" s="107"/>
      <c r="M297" s="108"/>
      <c r="N297" s="108"/>
    </row>
    <row r="298" spans="1:14" x14ac:dyDescent="0.3">
      <c r="A298" s="77"/>
      <c r="B298" s="106"/>
      <c r="F298" s="124"/>
      <c r="G298" s="125"/>
      <c r="J298" s="125"/>
      <c r="L298" s="107"/>
      <c r="M298" s="108"/>
      <c r="N298" s="108"/>
    </row>
    <row r="299" spans="1:14" x14ac:dyDescent="0.3">
      <c r="A299" s="77"/>
      <c r="B299" s="106"/>
      <c r="F299" s="124"/>
      <c r="G299" s="125"/>
      <c r="J299" s="125"/>
      <c r="L299" s="107"/>
      <c r="M299" s="108"/>
      <c r="N299" s="108"/>
    </row>
    <row r="300" spans="1:14" x14ac:dyDescent="0.3">
      <c r="A300" s="77"/>
      <c r="B300" s="106"/>
      <c r="F300" s="124"/>
      <c r="G300" s="125"/>
      <c r="J300" s="125"/>
      <c r="L300" s="107"/>
      <c r="M300" s="108"/>
      <c r="N300" s="108"/>
    </row>
    <row r="301" spans="1:14" x14ac:dyDescent="0.3">
      <c r="A301" s="77"/>
      <c r="B301" s="106"/>
      <c r="F301" s="124"/>
      <c r="G301" s="125"/>
      <c r="J301" s="125"/>
      <c r="L301" s="107"/>
      <c r="M301" s="108"/>
      <c r="N301" s="108"/>
    </row>
    <row r="302" spans="1:14" x14ac:dyDescent="0.3">
      <c r="A302" s="77"/>
      <c r="B302" s="106"/>
      <c r="F302" s="124"/>
      <c r="G302" s="125"/>
      <c r="J302" s="125"/>
      <c r="L302" s="107"/>
      <c r="M302" s="108"/>
      <c r="N302" s="108"/>
    </row>
    <row r="303" spans="1:14" x14ac:dyDescent="0.3">
      <c r="A303" s="77"/>
      <c r="B303" s="106"/>
      <c r="F303" s="124"/>
      <c r="G303" s="125"/>
      <c r="J303" s="125"/>
      <c r="L303" s="107"/>
      <c r="M303" s="108"/>
      <c r="N303" s="108"/>
    </row>
    <row r="304" spans="1:14" x14ac:dyDescent="0.3">
      <c r="A304" s="77"/>
      <c r="B304" s="106"/>
      <c r="F304" s="124"/>
      <c r="G304" s="125"/>
      <c r="J304" s="125"/>
      <c r="L304" s="107"/>
      <c r="M304" s="108"/>
      <c r="N304" s="108"/>
    </row>
    <row r="305" spans="1:14" x14ac:dyDescent="0.3">
      <c r="A305" s="77"/>
      <c r="B305" s="106"/>
      <c r="F305" s="124"/>
      <c r="G305" s="125"/>
      <c r="J305" s="125"/>
      <c r="L305" s="107"/>
      <c r="M305" s="108"/>
      <c r="N305" s="108"/>
    </row>
    <row r="306" spans="1:14" x14ac:dyDescent="0.3">
      <c r="A306" s="77"/>
      <c r="B306" s="106"/>
      <c r="F306" s="124"/>
      <c r="G306" s="125"/>
      <c r="J306" s="125"/>
      <c r="L306" s="107"/>
      <c r="M306" s="108"/>
      <c r="N306" s="108"/>
    </row>
    <row r="307" spans="1:14" x14ac:dyDescent="0.3">
      <c r="A307" s="77"/>
      <c r="B307" s="106"/>
      <c r="F307" s="124"/>
      <c r="G307" s="125"/>
      <c r="J307" s="125"/>
      <c r="L307" s="107"/>
      <c r="M307" s="108"/>
      <c r="N307" s="108"/>
    </row>
    <row r="308" spans="1:14" x14ac:dyDescent="0.3">
      <c r="A308" s="77"/>
      <c r="B308" s="106"/>
      <c r="F308" s="124"/>
      <c r="G308" s="125"/>
      <c r="J308" s="125"/>
      <c r="L308" s="107"/>
      <c r="M308" s="108"/>
      <c r="N308" s="108"/>
    </row>
    <row r="309" spans="1:14" x14ac:dyDescent="0.3">
      <c r="A309" s="77"/>
      <c r="B309" s="106"/>
      <c r="F309" s="124"/>
      <c r="G309" s="125"/>
      <c r="J309" s="125"/>
      <c r="L309" s="107"/>
      <c r="M309" s="108"/>
      <c r="N309" s="108"/>
    </row>
    <row r="310" spans="1:14" x14ac:dyDescent="0.3">
      <c r="A310" s="77"/>
      <c r="B310" s="106"/>
      <c r="F310" s="124"/>
      <c r="G310" s="125"/>
      <c r="J310" s="125"/>
      <c r="L310" s="107"/>
      <c r="M310" s="108"/>
      <c r="N310" s="108"/>
    </row>
    <row r="311" spans="1:14" x14ac:dyDescent="0.3">
      <c r="A311" s="77"/>
      <c r="B311" s="106"/>
      <c r="F311" s="124"/>
      <c r="G311" s="125"/>
      <c r="J311" s="125"/>
      <c r="L311" s="107"/>
      <c r="M311" s="108"/>
      <c r="N311" s="108"/>
    </row>
    <row r="312" spans="1:14" x14ac:dyDescent="0.3">
      <c r="A312" s="77"/>
      <c r="B312" s="106"/>
      <c r="F312" s="124"/>
      <c r="G312" s="125"/>
      <c r="J312" s="125"/>
      <c r="L312" s="107"/>
      <c r="M312" s="108"/>
      <c r="N312" s="108"/>
    </row>
    <row r="313" spans="1:14" x14ac:dyDescent="0.3">
      <c r="A313" s="77"/>
      <c r="B313" s="106"/>
      <c r="F313" s="124"/>
      <c r="G313" s="125"/>
      <c r="J313" s="125"/>
      <c r="L313" s="107"/>
      <c r="M313" s="108"/>
      <c r="N313" s="108"/>
    </row>
    <row r="314" spans="1:14" x14ac:dyDescent="0.3">
      <c r="A314" s="77"/>
      <c r="B314" s="106"/>
      <c r="F314" s="124"/>
      <c r="G314" s="125"/>
      <c r="J314" s="125"/>
      <c r="L314" s="107"/>
      <c r="M314" s="108"/>
      <c r="N314" s="108"/>
    </row>
    <row r="315" spans="1:14" x14ac:dyDescent="0.3">
      <c r="A315" s="77"/>
      <c r="B315" s="106"/>
      <c r="F315" s="124"/>
      <c r="G315" s="125"/>
      <c r="J315" s="125"/>
      <c r="L315" s="107"/>
      <c r="M315" s="108"/>
      <c r="N315" s="108"/>
    </row>
    <row r="316" spans="1:14" x14ac:dyDescent="0.3">
      <c r="A316" s="77"/>
      <c r="B316" s="106"/>
      <c r="F316" s="124"/>
      <c r="G316" s="125"/>
      <c r="J316" s="125"/>
      <c r="L316" s="107"/>
      <c r="M316" s="108"/>
      <c r="N316" s="108"/>
    </row>
    <row r="317" spans="1:14" x14ac:dyDescent="0.3">
      <c r="A317" s="77"/>
      <c r="B317" s="106"/>
      <c r="F317" s="124"/>
      <c r="G317" s="125"/>
      <c r="J317" s="125"/>
      <c r="L317" s="107"/>
      <c r="M317" s="108"/>
      <c r="N317" s="108"/>
    </row>
    <row r="318" spans="1:14" x14ac:dyDescent="0.3">
      <c r="A318" s="77"/>
      <c r="B318" s="106"/>
      <c r="F318" s="124"/>
      <c r="G318" s="125"/>
      <c r="J318" s="125"/>
      <c r="L318" s="107"/>
      <c r="M318" s="108"/>
      <c r="N318" s="108"/>
    </row>
    <row r="319" spans="1:14" x14ac:dyDescent="0.3">
      <c r="A319" s="77"/>
      <c r="B319" s="106"/>
      <c r="F319" s="124"/>
      <c r="G319" s="125"/>
      <c r="J319" s="125"/>
      <c r="L319" s="107"/>
      <c r="M319" s="108"/>
      <c r="N319" s="108"/>
    </row>
    <row r="320" spans="1:14" x14ac:dyDescent="0.3">
      <c r="A320" s="77"/>
      <c r="B320" s="106"/>
      <c r="F320" s="124"/>
      <c r="G320" s="125"/>
      <c r="J320" s="125"/>
      <c r="L320" s="107"/>
      <c r="M320" s="108"/>
      <c r="N320" s="108"/>
    </row>
    <row r="321" spans="1:14" x14ac:dyDescent="0.3">
      <c r="A321" s="77"/>
      <c r="B321" s="106"/>
      <c r="F321" s="124"/>
      <c r="G321" s="125"/>
      <c r="J321" s="125"/>
      <c r="L321" s="107"/>
      <c r="M321" s="108"/>
      <c r="N321" s="108"/>
    </row>
    <row r="322" spans="1:14" x14ac:dyDescent="0.3">
      <c r="A322" s="77"/>
      <c r="B322" s="106"/>
      <c r="F322" s="124"/>
      <c r="G322" s="125"/>
      <c r="J322" s="125"/>
      <c r="L322" s="107"/>
      <c r="M322" s="108"/>
      <c r="N322" s="108"/>
    </row>
    <row r="323" spans="1:14" x14ac:dyDescent="0.3">
      <c r="A323" s="77"/>
      <c r="B323" s="106"/>
      <c r="F323" s="124"/>
      <c r="G323" s="125"/>
      <c r="J323" s="125"/>
      <c r="L323" s="107"/>
      <c r="M323" s="108"/>
      <c r="N323" s="108"/>
    </row>
    <row r="324" spans="1:14" x14ac:dyDescent="0.3">
      <c r="A324" s="77"/>
      <c r="B324" s="106"/>
      <c r="F324" s="124"/>
      <c r="G324" s="125"/>
      <c r="J324" s="125"/>
      <c r="L324" s="107"/>
      <c r="M324" s="108"/>
      <c r="N324" s="108"/>
    </row>
    <row r="325" spans="1:14" x14ac:dyDescent="0.3">
      <c r="A325" s="77"/>
      <c r="B325" s="106"/>
      <c r="F325" s="124"/>
      <c r="G325" s="125"/>
      <c r="J325" s="125"/>
      <c r="L325" s="107"/>
      <c r="M325" s="108"/>
      <c r="N325" s="108"/>
    </row>
    <row r="326" spans="1:14" x14ac:dyDescent="0.3">
      <c r="A326" s="77"/>
      <c r="B326" s="106"/>
      <c r="F326" s="124"/>
      <c r="G326" s="125"/>
      <c r="J326" s="125"/>
      <c r="L326" s="107"/>
      <c r="M326" s="108"/>
      <c r="N326" s="108"/>
    </row>
    <row r="327" spans="1:14" x14ac:dyDescent="0.3">
      <c r="A327" s="77"/>
      <c r="B327" s="106"/>
      <c r="F327" s="124"/>
      <c r="G327" s="125"/>
      <c r="J327" s="125"/>
      <c r="L327" s="107"/>
      <c r="M327" s="108"/>
      <c r="N327" s="108"/>
    </row>
    <row r="328" spans="1:14" x14ac:dyDescent="0.3">
      <c r="A328" s="77"/>
      <c r="B328" s="106"/>
      <c r="F328" s="124"/>
      <c r="G328" s="125"/>
      <c r="J328" s="125"/>
      <c r="L328" s="107"/>
      <c r="M328" s="108"/>
      <c r="N328" s="108"/>
    </row>
    <row r="329" spans="1:14" x14ac:dyDescent="0.3">
      <c r="A329" s="77"/>
      <c r="B329" s="106"/>
      <c r="F329" s="124"/>
      <c r="G329" s="125"/>
      <c r="J329" s="125"/>
      <c r="L329" s="107"/>
      <c r="M329" s="108"/>
      <c r="N329" s="108"/>
    </row>
    <row r="330" spans="1:14" x14ac:dyDescent="0.3">
      <c r="A330" s="77"/>
      <c r="B330" s="106"/>
      <c r="F330" s="124"/>
      <c r="G330" s="125"/>
      <c r="J330" s="125"/>
      <c r="L330" s="107"/>
      <c r="M330" s="108"/>
      <c r="N330" s="108"/>
    </row>
    <row r="331" spans="1:14" x14ac:dyDescent="0.3">
      <c r="A331" s="77"/>
      <c r="B331" s="106"/>
      <c r="F331" s="124"/>
      <c r="G331" s="125"/>
      <c r="J331" s="125"/>
      <c r="L331" s="107"/>
      <c r="M331" s="108"/>
      <c r="N331" s="108"/>
    </row>
    <row r="332" spans="1:14" x14ac:dyDescent="0.3">
      <c r="A332" s="77"/>
      <c r="B332" s="106"/>
      <c r="F332" s="124"/>
      <c r="G332" s="125"/>
      <c r="J332" s="125"/>
      <c r="L332" s="107"/>
      <c r="M332" s="108"/>
      <c r="N332" s="108"/>
    </row>
    <row r="333" spans="1:14" x14ac:dyDescent="0.3">
      <c r="A333" s="77"/>
      <c r="B333" s="106"/>
      <c r="F333" s="124"/>
      <c r="G333" s="125"/>
      <c r="J333" s="125"/>
      <c r="L333" s="107"/>
      <c r="M333" s="108"/>
      <c r="N333" s="108"/>
    </row>
    <row r="334" spans="1:14" x14ac:dyDescent="0.3">
      <c r="A334" s="77"/>
      <c r="B334" s="106"/>
      <c r="F334" s="124"/>
      <c r="G334" s="125"/>
      <c r="J334" s="125"/>
      <c r="L334" s="107"/>
      <c r="M334" s="108"/>
      <c r="N334" s="108"/>
    </row>
    <row r="335" spans="1:14" x14ac:dyDescent="0.3">
      <c r="A335" s="77"/>
      <c r="B335" s="106"/>
      <c r="F335" s="124"/>
      <c r="G335" s="125"/>
      <c r="J335" s="125"/>
      <c r="L335" s="107"/>
      <c r="M335" s="108"/>
      <c r="N335" s="108"/>
    </row>
    <row r="336" spans="1:14" x14ac:dyDescent="0.3">
      <c r="A336" s="77"/>
      <c r="B336" s="106"/>
      <c r="F336" s="124"/>
      <c r="G336" s="125"/>
      <c r="J336" s="125"/>
      <c r="L336" s="107"/>
      <c r="M336" s="108"/>
      <c r="N336" s="108"/>
    </row>
    <row r="337" spans="1:14" x14ac:dyDescent="0.3">
      <c r="A337" s="77"/>
      <c r="B337" s="106"/>
      <c r="F337" s="124"/>
      <c r="G337" s="125"/>
      <c r="J337" s="125"/>
      <c r="L337" s="107"/>
      <c r="M337" s="108"/>
      <c r="N337" s="108"/>
    </row>
    <row r="338" spans="1:14" x14ac:dyDescent="0.3">
      <c r="A338" s="77"/>
      <c r="B338" s="106"/>
      <c r="F338" s="124"/>
      <c r="G338" s="125"/>
      <c r="J338" s="125"/>
      <c r="L338" s="107"/>
      <c r="M338" s="108"/>
      <c r="N338" s="108"/>
    </row>
    <row r="339" spans="1:14" x14ac:dyDescent="0.3">
      <c r="A339" s="77"/>
      <c r="B339" s="106"/>
      <c r="F339" s="124"/>
      <c r="G339" s="125"/>
      <c r="J339" s="125"/>
      <c r="L339" s="107"/>
      <c r="M339" s="108"/>
      <c r="N339" s="108"/>
    </row>
    <row r="340" spans="1:14" x14ac:dyDescent="0.3">
      <c r="A340" s="77"/>
      <c r="B340" s="106"/>
      <c r="F340" s="124"/>
      <c r="G340" s="125"/>
      <c r="J340" s="125"/>
      <c r="L340" s="107"/>
      <c r="M340" s="108"/>
      <c r="N340" s="108"/>
    </row>
    <row r="341" spans="1:14" x14ac:dyDescent="0.3">
      <c r="A341" s="77"/>
      <c r="B341" s="106"/>
      <c r="F341" s="124"/>
      <c r="G341" s="125"/>
      <c r="J341" s="125"/>
      <c r="L341" s="107"/>
      <c r="M341" s="108"/>
      <c r="N341" s="108"/>
    </row>
    <row r="342" spans="1:14" x14ac:dyDescent="0.3">
      <c r="A342" s="77"/>
      <c r="B342" s="106"/>
      <c r="F342" s="124"/>
      <c r="G342" s="125"/>
      <c r="J342" s="125"/>
      <c r="L342" s="107"/>
      <c r="M342" s="108"/>
      <c r="N342" s="108"/>
    </row>
    <row r="343" spans="1:14" x14ac:dyDescent="0.3">
      <c r="A343" s="77"/>
      <c r="B343" s="106"/>
      <c r="F343" s="124"/>
      <c r="G343" s="125"/>
      <c r="J343" s="125"/>
      <c r="L343" s="107"/>
      <c r="M343" s="108"/>
      <c r="N343" s="108"/>
    </row>
    <row r="344" spans="1:14" x14ac:dyDescent="0.3">
      <c r="A344" s="77"/>
      <c r="B344" s="106"/>
      <c r="F344" s="124"/>
      <c r="G344" s="125"/>
      <c r="J344" s="125"/>
      <c r="L344" s="107"/>
      <c r="M344" s="108"/>
      <c r="N344" s="108"/>
    </row>
    <row r="345" spans="1:14" x14ac:dyDescent="0.3">
      <c r="A345" s="77"/>
      <c r="B345" s="106"/>
      <c r="F345" s="124"/>
      <c r="G345" s="125"/>
      <c r="J345" s="125"/>
      <c r="L345" s="107"/>
      <c r="M345" s="108"/>
      <c r="N345" s="108"/>
    </row>
    <row r="346" spans="1:14" x14ac:dyDescent="0.3">
      <c r="A346" s="77"/>
      <c r="B346" s="106"/>
      <c r="F346" s="124"/>
      <c r="G346" s="125"/>
      <c r="J346" s="125"/>
      <c r="L346" s="107"/>
      <c r="M346" s="108"/>
      <c r="N346" s="108"/>
    </row>
    <row r="347" spans="1:14" x14ac:dyDescent="0.3">
      <c r="A347" s="77"/>
      <c r="B347" s="106"/>
      <c r="F347" s="124"/>
      <c r="G347" s="125"/>
      <c r="J347" s="125"/>
      <c r="L347" s="107"/>
      <c r="M347" s="108"/>
      <c r="N347" s="108"/>
    </row>
    <row r="348" spans="1:14" x14ac:dyDescent="0.3">
      <c r="A348" s="77"/>
      <c r="B348" s="106"/>
      <c r="F348" s="124"/>
      <c r="G348" s="125"/>
      <c r="J348" s="125"/>
      <c r="L348" s="107"/>
      <c r="M348" s="108"/>
      <c r="N348" s="108"/>
    </row>
    <row r="349" spans="1:14" x14ac:dyDescent="0.3">
      <c r="A349" s="77"/>
      <c r="B349" s="106"/>
      <c r="F349" s="124"/>
      <c r="G349" s="125"/>
      <c r="J349" s="125"/>
      <c r="L349" s="107"/>
      <c r="M349" s="108"/>
      <c r="N349" s="108"/>
    </row>
    <row r="350" spans="1:14" x14ac:dyDescent="0.3">
      <c r="A350" s="77"/>
      <c r="B350" s="106"/>
      <c r="F350" s="124"/>
      <c r="G350" s="125"/>
      <c r="J350" s="125"/>
      <c r="L350" s="107"/>
      <c r="M350" s="108"/>
      <c r="N350" s="108"/>
    </row>
    <row r="351" spans="1:14" x14ac:dyDescent="0.3">
      <c r="A351" s="77"/>
      <c r="B351" s="106"/>
      <c r="F351" s="124"/>
      <c r="G351" s="125"/>
      <c r="J351" s="125"/>
      <c r="L351" s="107"/>
      <c r="M351" s="108"/>
      <c r="N351" s="108"/>
    </row>
    <row r="352" spans="1:14" x14ac:dyDescent="0.3">
      <c r="A352" s="77"/>
      <c r="B352" s="106"/>
      <c r="F352" s="124"/>
      <c r="G352" s="125"/>
      <c r="J352" s="125"/>
      <c r="L352" s="107"/>
      <c r="M352" s="108"/>
      <c r="N352" s="108"/>
    </row>
    <row r="353" spans="1:14" x14ac:dyDescent="0.3">
      <c r="A353" s="77"/>
      <c r="B353" s="106"/>
      <c r="F353" s="124"/>
      <c r="G353" s="125"/>
      <c r="J353" s="125"/>
      <c r="L353" s="107"/>
      <c r="M353" s="108"/>
      <c r="N353" s="108"/>
    </row>
    <row r="354" spans="1:14" x14ac:dyDescent="0.3">
      <c r="A354" s="77"/>
      <c r="B354" s="106"/>
      <c r="F354" s="124"/>
      <c r="G354" s="125"/>
      <c r="J354" s="125"/>
      <c r="L354" s="107"/>
      <c r="M354" s="108"/>
      <c r="N354" s="108"/>
    </row>
    <row r="355" spans="1:14" x14ac:dyDescent="0.3">
      <c r="A355" s="77"/>
      <c r="B355" s="106"/>
      <c r="F355" s="124"/>
      <c r="G355" s="125"/>
      <c r="J355" s="125"/>
      <c r="L355" s="107"/>
      <c r="M355" s="108"/>
      <c r="N355" s="108"/>
    </row>
    <row r="356" spans="1:14" x14ac:dyDescent="0.3">
      <c r="A356" s="77"/>
      <c r="B356" s="106"/>
      <c r="F356" s="124"/>
      <c r="G356" s="125"/>
      <c r="J356" s="125"/>
      <c r="L356" s="107"/>
      <c r="M356" s="108"/>
      <c r="N356" s="108"/>
    </row>
    <row r="357" spans="1:14" x14ac:dyDescent="0.3">
      <c r="A357" s="77"/>
      <c r="B357" s="106"/>
      <c r="F357" s="124"/>
      <c r="G357" s="125"/>
      <c r="J357" s="125"/>
      <c r="L357" s="107"/>
      <c r="M357" s="108"/>
      <c r="N357" s="108"/>
    </row>
    <row r="358" spans="1:14" x14ac:dyDescent="0.3">
      <c r="A358" s="77"/>
      <c r="B358" s="106"/>
      <c r="F358" s="124"/>
      <c r="G358" s="125"/>
      <c r="J358" s="125"/>
      <c r="L358" s="107"/>
      <c r="M358" s="108"/>
      <c r="N358" s="108"/>
    </row>
    <row r="359" spans="1:14" x14ac:dyDescent="0.3">
      <c r="A359" s="77"/>
      <c r="B359" s="106"/>
      <c r="F359" s="124"/>
      <c r="G359" s="125"/>
      <c r="J359" s="125"/>
      <c r="L359" s="107"/>
      <c r="M359" s="108"/>
      <c r="N359" s="108"/>
    </row>
    <row r="360" spans="1:14" x14ac:dyDescent="0.3">
      <c r="A360" s="77"/>
      <c r="B360" s="106"/>
      <c r="F360" s="124"/>
      <c r="G360" s="125"/>
      <c r="J360" s="125"/>
      <c r="L360" s="107"/>
      <c r="M360" s="108"/>
      <c r="N360" s="108"/>
    </row>
    <row r="361" spans="1:14" x14ac:dyDescent="0.3">
      <c r="A361" s="77"/>
      <c r="B361" s="106"/>
      <c r="F361" s="124"/>
      <c r="G361" s="125"/>
      <c r="J361" s="125"/>
      <c r="L361" s="107"/>
      <c r="M361" s="108"/>
      <c r="N361" s="108"/>
    </row>
    <row r="362" spans="1:14" x14ac:dyDescent="0.3">
      <c r="A362" s="77"/>
      <c r="B362" s="106"/>
      <c r="F362" s="124"/>
      <c r="G362" s="125"/>
      <c r="J362" s="125"/>
      <c r="L362" s="107"/>
      <c r="M362" s="108"/>
      <c r="N362" s="108"/>
    </row>
    <row r="363" spans="1:14" x14ac:dyDescent="0.3">
      <c r="A363" s="77"/>
      <c r="B363" s="106"/>
      <c r="F363" s="124"/>
      <c r="G363" s="125"/>
      <c r="J363" s="125"/>
      <c r="L363" s="107"/>
      <c r="M363" s="108"/>
      <c r="N363" s="108"/>
    </row>
    <row r="364" spans="1:14" x14ac:dyDescent="0.3">
      <c r="A364" s="77"/>
      <c r="B364" s="106"/>
      <c r="F364" s="124"/>
      <c r="G364" s="125"/>
      <c r="J364" s="125"/>
      <c r="L364" s="107"/>
      <c r="M364" s="108"/>
      <c r="N364" s="108"/>
    </row>
    <row r="365" spans="1:14" x14ac:dyDescent="0.3">
      <c r="A365" s="77"/>
      <c r="B365" s="106"/>
      <c r="F365" s="124"/>
      <c r="G365" s="125"/>
      <c r="J365" s="125"/>
      <c r="L365" s="107"/>
      <c r="M365" s="108"/>
      <c r="N365" s="108"/>
    </row>
    <row r="366" spans="1:14" x14ac:dyDescent="0.3">
      <c r="A366" s="77"/>
      <c r="B366" s="106"/>
      <c r="F366" s="124"/>
      <c r="G366" s="125"/>
      <c r="J366" s="125"/>
      <c r="L366" s="107"/>
      <c r="M366" s="108"/>
      <c r="N366" s="108"/>
    </row>
    <row r="367" spans="1:14" x14ac:dyDescent="0.3">
      <c r="A367" s="77"/>
      <c r="B367" s="106"/>
      <c r="F367" s="124"/>
      <c r="G367" s="125"/>
      <c r="J367" s="125"/>
      <c r="L367" s="107"/>
      <c r="M367" s="108"/>
      <c r="N367" s="108"/>
    </row>
    <row r="368" spans="1:14" x14ac:dyDescent="0.3">
      <c r="A368" s="77"/>
      <c r="B368" s="106"/>
      <c r="F368" s="124"/>
      <c r="G368" s="125"/>
      <c r="J368" s="125"/>
      <c r="L368" s="107"/>
      <c r="M368" s="108"/>
      <c r="N368" s="108"/>
    </row>
    <row r="369" spans="1:14" x14ac:dyDescent="0.3">
      <c r="A369" s="77"/>
      <c r="B369" s="106"/>
      <c r="F369" s="124"/>
      <c r="G369" s="125"/>
      <c r="J369" s="125"/>
      <c r="L369" s="107"/>
      <c r="M369" s="108"/>
      <c r="N369" s="108"/>
    </row>
    <row r="370" spans="1:14" x14ac:dyDescent="0.3">
      <c r="A370" s="77"/>
      <c r="B370" s="106"/>
      <c r="F370" s="124"/>
      <c r="G370" s="125"/>
      <c r="J370" s="125"/>
      <c r="L370" s="107"/>
      <c r="M370" s="108"/>
      <c r="N370" s="108"/>
    </row>
    <row r="371" spans="1:14" x14ac:dyDescent="0.3">
      <c r="A371" s="77"/>
      <c r="B371" s="106"/>
      <c r="F371" s="124"/>
      <c r="G371" s="125"/>
      <c r="J371" s="125"/>
      <c r="L371" s="107"/>
      <c r="M371" s="108"/>
      <c r="N371" s="108"/>
    </row>
    <row r="372" spans="1:14" x14ac:dyDescent="0.3">
      <c r="A372" s="77"/>
      <c r="B372" s="106"/>
      <c r="F372" s="124"/>
      <c r="G372" s="125"/>
      <c r="J372" s="125"/>
      <c r="L372" s="107"/>
      <c r="M372" s="108"/>
      <c r="N372" s="108"/>
    </row>
    <row r="373" spans="1:14" x14ac:dyDescent="0.3">
      <c r="A373" s="77"/>
      <c r="B373" s="106"/>
      <c r="F373" s="124"/>
      <c r="G373" s="125"/>
      <c r="J373" s="125"/>
      <c r="L373" s="107"/>
      <c r="M373" s="108"/>
      <c r="N373" s="108"/>
    </row>
    <row r="374" spans="1:14" x14ac:dyDescent="0.3">
      <c r="A374" s="77"/>
      <c r="B374" s="106"/>
      <c r="F374" s="124"/>
      <c r="G374" s="125"/>
      <c r="J374" s="125"/>
      <c r="L374" s="107"/>
      <c r="M374" s="108"/>
      <c r="N374" s="108"/>
    </row>
    <row r="375" spans="1:14" x14ac:dyDescent="0.3">
      <c r="A375" s="77"/>
      <c r="B375" s="106"/>
      <c r="F375" s="124"/>
      <c r="G375" s="125"/>
      <c r="J375" s="125"/>
      <c r="L375" s="107"/>
      <c r="M375" s="108"/>
      <c r="N375" s="108"/>
    </row>
    <row r="376" spans="1:14" x14ac:dyDescent="0.3">
      <c r="A376" s="77"/>
      <c r="B376" s="106"/>
      <c r="F376" s="124"/>
      <c r="G376" s="125"/>
      <c r="J376" s="125"/>
      <c r="L376" s="107"/>
      <c r="M376" s="108"/>
      <c r="N376" s="108"/>
    </row>
    <row r="377" spans="1:14" x14ac:dyDescent="0.3">
      <c r="A377" s="77"/>
      <c r="B377" s="106"/>
      <c r="F377" s="124"/>
      <c r="G377" s="125"/>
      <c r="J377" s="125"/>
      <c r="L377" s="107"/>
      <c r="M377" s="108"/>
      <c r="N377" s="108"/>
    </row>
    <row r="378" spans="1:14" x14ac:dyDescent="0.3">
      <c r="A378" s="77"/>
      <c r="B378" s="106"/>
      <c r="F378" s="124"/>
      <c r="G378" s="125"/>
      <c r="J378" s="125"/>
      <c r="L378" s="107"/>
      <c r="M378" s="108"/>
      <c r="N378" s="108"/>
    </row>
    <row r="379" spans="1:14" x14ac:dyDescent="0.3">
      <c r="A379" s="77"/>
      <c r="B379" s="106"/>
      <c r="F379" s="124"/>
      <c r="G379" s="125"/>
      <c r="J379" s="125"/>
      <c r="L379" s="107"/>
      <c r="M379" s="108"/>
      <c r="N379" s="108"/>
    </row>
    <row r="380" spans="1:14" x14ac:dyDescent="0.3">
      <c r="A380" s="77"/>
      <c r="B380" s="106"/>
      <c r="F380" s="124"/>
      <c r="G380" s="125"/>
      <c r="J380" s="125"/>
      <c r="L380" s="107"/>
      <c r="M380" s="108"/>
      <c r="N380" s="108"/>
    </row>
    <row r="381" spans="1:14" x14ac:dyDescent="0.3">
      <c r="A381" s="77"/>
      <c r="B381" s="106"/>
      <c r="F381" s="124"/>
      <c r="G381" s="125"/>
      <c r="J381" s="125"/>
      <c r="L381" s="107"/>
      <c r="M381" s="108"/>
      <c r="N381" s="108"/>
    </row>
    <row r="382" spans="1:14" x14ac:dyDescent="0.3">
      <c r="A382" s="77"/>
      <c r="B382" s="106"/>
      <c r="F382" s="124"/>
      <c r="G382" s="125"/>
      <c r="J382" s="125"/>
      <c r="L382" s="107"/>
      <c r="M382" s="108"/>
      <c r="N382" s="108"/>
    </row>
    <row r="383" spans="1:14" x14ac:dyDescent="0.3">
      <c r="A383" s="77"/>
      <c r="B383" s="106"/>
      <c r="F383" s="124"/>
      <c r="G383" s="125"/>
      <c r="J383" s="125"/>
      <c r="L383" s="107"/>
      <c r="M383" s="108"/>
      <c r="N383" s="108"/>
    </row>
    <row r="384" spans="1:14" x14ac:dyDescent="0.3">
      <c r="A384" s="77"/>
      <c r="B384" s="106"/>
      <c r="F384" s="124"/>
      <c r="G384" s="125"/>
      <c r="J384" s="125"/>
      <c r="L384" s="107"/>
      <c r="M384" s="108"/>
      <c r="N384" s="108"/>
    </row>
    <row r="385" spans="1:14" x14ac:dyDescent="0.3">
      <c r="A385" s="77"/>
      <c r="B385" s="106"/>
      <c r="F385" s="124"/>
      <c r="G385" s="125"/>
      <c r="J385" s="125"/>
      <c r="L385" s="107"/>
      <c r="M385" s="108"/>
      <c r="N385" s="108"/>
    </row>
    <row r="386" spans="1:14" x14ac:dyDescent="0.3">
      <c r="A386" s="77"/>
      <c r="B386" s="106"/>
      <c r="F386" s="124"/>
      <c r="G386" s="125"/>
      <c r="J386" s="125"/>
      <c r="L386" s="107"/>
      <c r="M386" s="108"/>
      <c r="N386" s="108"/>
    </row>
    <row r="387" spans="1:14" x14ac:dyDescent="0.3">
      <c r="A387" s="77"/>
      <c r="B387" s="106"/>
      <c r="F387" s="124"/>
      <c r="G387" s="125"/>
      <c r="J387" s="125"/>
      <c r="L387" s="107"/>
      <c r="M387" s="108"/>
      <c r="N387" s="108"/>
    </row>
    <row r="388" spans="1:14" x14ac:dyDescent="0.3">
      <c r="A388" s="77"/>
      <c r="B388" s="106"/>
      <c r="F388" s="124"/>
      <c r="G388" s="125"/>
      <c r="J388" s="125"/>
      <c r="L388" s="107"/>
      <c r="M388" s="108"/>
      <c r="N388" s="108"/>
    </row>
    <row r="389" spans="1:14" x14ac:dyDescent="0.3">
      <c r="A389" s="77"/>
      <c r="B389" s="106"/>
      <c r="F389" s="124"/>
      <c r="G389" s="125"/>
      <c r="J389" s="125"/>
      <c r="L389" s="107"/>
      <c r="M389" s="108"/>
      <c r="N389" s="108"/>
    </row>
    <row r="390" spans="1:14" x14ac:dyDescent="0.3">
      <c r="A390" s="77"/>
      <c r="B390" s="106"/>
      <c r="F390" s="124"/>
      <c r="G390" s="125"/>
      <c r="J390" s="125"/>
      <c r="L390" s="107"/>
      <c r="M390" s="108"/>
      <c r="N390" s="108"/>
    </row>
    <row r="391" spans="1:14" x14ac:dyDescent="0.3">
      <c r="A391" s="77"/>
      <c r="B391" s="106"/>
      <c r="F391" s="124"/>
      <c r="G391" s="125"/>
      <c r="J391" s="125"/>
      <c r="L391" s="107"/>
      <c r="M391" s="108"/>
      <c r="N391" s="108"/>
    </row>
    <row r="392" spans="1:14" x14ac:dyDescent="0.3">
      <c r="A392" s="77"/>
      <c r="B392" s="106"/>
      <c r="F392" s="124"/>
      <c r="G392" s="125"/>
      <c r="J392" s="125"/>
      <c r="L392" s="107"/>
      <c r="M392" s="108"/>
      <c r="N392" s="108"/>
    </row>
    <row r="393" spans="1:14" x14ac:dyDescent="0.3">
      <c r="A393" s="77"/>
      <c r="B393" s="106"/>
      <c r="F393" s="124"/>
      <c r="G393" s="125"/>
      <c r="J393" s="125"/>
      <c r="L393" s="107"/>
      <c r="M393" s="108"/>
      <c r="N393" s="108"/>
    </row>
    <row r="394" spans="1:14" x14ac:dyDescent="0.3">
      <c r="A394" s="77"/>
      <c r="B394" s="106"/>
      <c r="F394" s="124"/>
      <c r="G394" s="125"/>
      <c r="J394" s="125"/>
      <c r="L394" s="107"/>
      <c r="M394" s="108"/>
      <c r="N394" s="108"/>
    </row>
    <row r="395" spans="1:14" x14ac:dyDescent="0.3">
      <c r="A395" s="77"/>
      <c r="B395" s="106"/>
      <c r="F395" s="124"/>
      <c r="G395" s="125"/>
      <c r="J395" s="125"/>
      <c r="L395" s="107"/>
      <c r="M395" s="108"/>
      <c r="N395" s="108"/>
    </row>
    <row r="396" spans="1:14" x14ac:dyDescent="0.3">
      <c r="A396" s="77"/>
      <c r="B396" s="106"/>
      <c r="F396" s="124"/>
      <c r="G396" s="125"/>
      <c r="J396" s="125"/>
      <c r="L396" s="107"/>
      <c r="M396" s="108"/>
      <c r="N396" s="108"/>
    </row>
    <row r="397" spans="1:14" x14ac:dyDescent="0.3">
      <c r="A397" s="77"/>
      <c r="B397" s="106"/>
      <c r="F397" s="124"/>
      <c r="G397" s="125"/>
      <c r="J397" s="125"/>
      <c r="L397" s="107"/>
      <c r="M397" s="108"/>
      <c r="N397" s="108"/>
    </row>
    <row r="398" spans="1:14" x14ac:dyDescent="0.3">
      <c r="A398" s="77"/>
      <c r="B398" s="106"/>
      <c r="F398" s="124"/>
      <c r="G398" s="125"/>
      <c r="J398" s="125"/>
      <c r="L398" s="107"/>
      <c r="M398" s="108"/>
      <c r="N398" s="108"/>
    </row>
    <row r="399" spans="1:14" x14ac:dyDescent="0.3">
      <c r="A399" s="77"/>
      <c r="B399" s="106"/>
      <c r="F399" s="124"/>
      <c r="G399" s="125"/>
      <c r="J399" s="125"/>
      <c r="L399" s="107"/>
      <c r="M399" s="108"/>
      <c r="N399" s="108"/>
    </row>
    <row r="400" spans="1:14" x14ac:dyDescent="0.3">
      <c r="A400" s="77"/>
      <c r="B400" s="106"/>
      <c r="F400" s="124"/>
      <c r="G400" s="125"/>
      <c r="J400" s="125"/>
      <c r="L400" s="107"/>
      <c r="M400" s="108"/>
      <c r="N400" s="108"/>
    </row>
    <row r="401" spans="1:14" x14ac:dyDescent="0.3">
      <c r="A401" s="77"/>
      <c r="B401" s="106"/>
      <c r="F401" s="124"/>
      <c r="G401" s="125"/>
      <c r="J401" s="125"/>
      <c r="L401" s="107"/>
      <c r="M401" s="108"/>
      <c r="N401" s="108"/>
    </row>
    <row r="402" spans="1:14" x14ac:dyDescent="0.3">
      <c r="A402" s="77"/>
      <c r="B402" s="106"/>
      <c r="F402" s="124"/>
      <c r="G402" s="125"/>
      <c r="J402" s="125"/>
      <c r="L402" s="107"/>
      <c r="M402" s="108"/>
      <c r="N402" s="108"/>
    </row>
    <row r="403" spans="1:14" x14ac:dyDescent="0.3">
      <c r="A403" s="77"/>
      <c r="B403" s="106"/>
      <c r="F403" s="124"/>
      <c r="G403" s="125"/>
      <c r="J403" s="125"/>
      <c r="L403" s="107"/>
      <c r="M403" s="108"/>
      <c r="N403" s="108"/>
    </row>
    <row r="404" spans="1:14" x14ac:dyDescent="0.3">
      <c r="A404" s="77"/>
      <c r="B404" s="106"/>
      <c r="F404" s="124"/>
      <c r="G404" s="125"/>
      <c r="J404" s="125"/>
      <c r="L404" s="107"/>
      <c r="M404" s="108"/>
      <c r="N404" s="108"/>
    </row>
    <row r="405" spans="1:14" x14ac:dyDescent="0.3">
      <c r="A405" s="77"/>
      <c r="B405" s="106"/>
      <c r="F405" s="124"/>
      <c r="G405" s="125"/>
      <c r="J405" s="125"/>
      <c r="L405" s="107"/>
      <c r="M405" s="108"/>
      <c r="N405" s="108"/>
    </row>
    <row r="406" spans="1:14" x14ac:dyDescent="0.3">
      <c r="A406" s="77"/>
      <c r="B406" s="106"/>
      <c r="F406" s="124"/>
      <c r="G406" s="125"/>
      <c r="J406" s="125"/>
      <c r="L406" s="107"/>
      <c r="M406" s="108"/>
      <c r="N406" s="108"/>
    </row>
    <row r="407" spans="1:14" x14ac:dyDescent="0.3">
      <c r="A407" s="77"/>
      <c r="B407" s="106"/>
      <c r="F407" s="124"/>
      <c r="G407" s="125"/>
      <c r="J407" s="125"/>
      <c r="L407" s="107"/>
      <c r="M407" s="108"/>
      <c r="N407" s="108"/>
    </row>
    <row r="408" spans="1:14" x14ac:dyDescent="0.3">
      <c r="A408" s="77"/>
      <c r="B408" s="106"/>
      <c r="F408" s="124"/>
      <c r="G408" s="125"/>
      <c r="J408" s="125"/>
      <c r="L408" s="107"/>
      <c r="M408" s="108"/>
      <c r="N408" s="108"/>
    </row>
    <row r="409" spans="1:14" x14ac:dyDescent="0.3">
      <c r="A409" s="77"/>
      <c r="B409" s="106"/>
      <c r="F409" s="124"/>
      <c r="G409" s="125"/>
      <c r="J409" s="125"/>
      <c r="L409" s="107"/>
      <c r="M409" s="108"/>
      <c r="N409" s="108"/>
    </row>
    <row r="410" spans="1:14" x14ac:dyDescent="0.3">
      <c r="A410" s="77"/>
      <c r="B410" s="106"/>
      <c r="F410" s="124"/>
      <c r="G410" s="125"/>
      <c r="J410" s="125"/>
      <c r="L410" s="107"/>
      <c r="M410" s="108"/>
      <c r="N410" s="108"/>
    </row>
    <row r="411" spans="1:14" x14ac:dyDescent="0.3">
      <c r="A411" s="77"/>
      <c r="B411" s="106"/>
      <c r="F411" s="124"/>
      <c r="G411" s="125"/>
      <c r="J411" s="125"/>
      <c r="L411" s="107"/>
      <c r="M411" s="108"/>
      <c r="N411" s="108"/>
    </row>
    <row r="412" spans="1:14" x14ac:dyDescent="0.3">
      <c r="A412" s="77"/>
      <c r="B412" s="106"/>
      <c r="F412" s="124"/>
      <c r="G412" s="125"/>
      <c r="J412" s="125"/>
      <c r="L412" s="107"/>
      <c r="M412" s="108"/>
      <c r="N412" s="108"/>
    </row>
    <row r="413" spans="1:14" x14ac:dyDescent="0.3">
      <c r="A413" s="77"/>
      <c r="B413" s="106"/>
      <c r="F413" s="124"/>
      <c r="G413" s="125"/>
      <c r="J413" s="125"/>
      <c r="L413" s="107"/>
      <c r="M413" s="108"/>
      <c r="N413" s="108"/>
    </row>
    <row r="414" spans="1:14" x14ac:dyDescent="0.3">
      <c r="A414" s="77"/>
      <c r="B414" s="106"/>
      <c r="F414" s="124"/>
      <c r="G414" s="125"/>
      <c r="J414" s="125"/>
      <c r="L414" s="107"/>
      <c r="M414" s="108"/>
      <c r="N414" s="108"/>
    </row>
    <row r="415" spans="1:14" x14ac:dyDescent="0.3">
      <c r="A415" s="77"/>
      <c r="B415" s="106"/>
      <c r="F415" s="124"/>
      <c r="G415" s="125"/>
      <c r="J415" s="125"/>
      <c r="L415" s="107"/>
      <c r="M415" s="108"/>
      <c r="N415" s="108"/>
    </row>
    <row r="416" spans="1:14" x14ac:dyDescent="0.3">
      <c r="A416" s="77"/>
      <c r="B416" s="106"/>
      <c r="F416" s="124"/>
      <c r="G416" s="125"/>
      <c r="J416" s="125"/>
      <c r="L416" s="107"/>
      <c r="M416" s="108"/>
      <c r="N416" s="108"/>
    </row>
    <row r="417" spans="1:14" x14ac:dyDescent="0.3">
      <c r="A417" s="77"/>
      <c r="B417" s="106"/>
      <c r="F417" s="124"/>
      <c r="G417" s="125"/>
      <c r="J417" s="125"/>
      <c r="L417" s="107"/>
      <c r="M417" s="108"/>
      <c r="N417" s="108"/>
    </row>
    <row r="418" spans="1:14" x14ac:dyDescent="0.3">
      <c r="A418" s="77"/>
      <c r="B418" s="106"/>
      <c r="F418" s="124"/>
      <c r="G418" s="125"/>
      <c r="J418" s="125"/>
      <c r="L418" s="107"/>
      <c r="M418" s="108"/>
      <c r="N418" s="108"/>
    </row>
    <row r="419" spans="1:14" x14ac:dyDescent="0.3">
      <c r="A419" s="77"/>
      <c r="B419" s="106"/>
      <c r="F419" s="124"/>
      <c r="G419" s="125"/>
      <c r="J419" s="125"/>
      <c r="L419" s="107"/>
      <c r="M419" s="108"/>
      <c r="N419" s="108"/>
    </row>
    <row r="420" spans="1:14" x14ac:dyDescent="0.3">
      <c r="A420" s="77"/>
      <c r="B420" s="106"/>
      <c r="F420" s="124"/>
      <c r="G420" s="125"/>
      <c r="J420" s="125"/>
      <c r="L420" s="107"/>
      <c r="M420" s="108"/>
      <c r="N420" s="108"/>
    </row>
    <row r="421" spans="1:14" x14ac:dyDescent="0.3">
      <c r="A421" s="77"/>
      <c r="B421" s="106"/>
      <c r="F421" s="124"/>
      <c r="G421" s="125"/>
      <c r="J421" s="125"/>
      <c r="L421" s="107"/>
      <c r="M421" s="108"/>
      <c r="N421" s="108"/>
    </row>
    <row r="422" spans="1:14" x14ac:dyDescent="0.3">
      <c r="A422" s="77"/>
      <c r="B422" s="106"/>
      <c r="F422" s="124"/>
      <c r="G422" s="125"/>
      <c r="J422" s="125"/>
      <c r="L422" s="107"/>
      <c r="M422" s="108"/>
      <c r="N422" s="108"/>
    </row>
    <row r="423" spans="1:14" x14ac:dyDescent="0.3">
      <c r="A423" s="77"/>
      <c r="B423" s="106"/>
      <c r="F423" s="124"/>
      <c r="G423" s="125"/>
      <c r="J423" s="125"/>
      <c r="L423" s="107"/>
      <c r="M423" s="108"/>
      <c r="N423" s="108"/>
    </row>
    <row r="424" spans="1:14" x14ac:dyDescent="0.3">
      <c r="A424" s="77"/>
      <c r="B424" s="106"/>
      <c r="F424" s="124"/>
      <c r="G424" s="125"/>
      <c r="J424" s="125"/>
      <c r="L424" s="107"/>
      <c r="M424" s="108"/>
      <c r="N424" s="108"/>
    </row>
    <row r="425" spans="1:14" x14ac:dyDescent="0.3">
      <c r="A425" s="77"/>
      <c r="B425" s="106"/>
      <c r="F425" s="124"/>
      <c r="G425" s="125"/>
      <c r="J425" s="125"/>
      <c r="L425" s="107"/>
      <c r="M425" s="108"/>
      <c r="N425" s="108"/>
    </row>
    <row r="426" spans="1:14" x14ac:dyDescent="0.3">
      <c r="A426" s="77"/>
      <c r="B426" s="106"/>
      <c r="F426" s="124"/>
      <c r="G426" s="125"/>
      <c r="J426" s="125"/>
      <c r="L426" s="107"/>
      <c r="M426" s="108"/>
      <c r="N426" s="108"/>
    </row>
    <row r="427" spans="1:14" x14ac:dyDescent="0.3">
      <c r="A427" s="77"/>
      <c r="B427" s="106"/>
      <c r="F427" s="124"/>
      <c r="G427" s="125"/>
      <c r="J427" s="125"/>
      <c r="L427" s="107"/>
      <c r="M427" s="108"/>
      <c r="N427" s="108"/>
    </row>
    <row r="428" spans="1:14" x14ac:dyDescent="0.3">
      <c r="A428" s="77"/>
      <c r="B428" s="106"/>
      <c r="F428" s="124"/>
      <c r="G428" s="125"/>
      <c r="J428" s="125"/>
      <c r="L428" s="107"/>
      <c r="M428" s="108"/>
      <c r="N428" s="108"/>
    </row>
    <row r="429" spans="1:14" x14ac:dyDescent="0.3">
      <c r="A429" s="77"/>
      <c r="B429" s="106"/>
      <c r="F429" s="124"/>
      <c r="G429" s="125"/>
      <c r="J429" s="125"/>
      <c r="L429" s="107"/>
      <c r="M429" s="108"/>
      <c r="N429" s="108"/>
    </row>
    <row r="430" spans="1:14" x14ac:dyDescent="0.3">
      <c r="A430" s="77"/>
      <c r="B430" s="106"/>
      <c r="F430" s="124"/>
      <c r="G430" s="125"/>
      <c r="J430" s="125"/>
      <c r="L430" s="107"/>
      <c r="M430" s="108"/>
      <c r="N430" s="108"/>
    </row>
    <row r="431" spans="1:14" x14ac:dyDescent="0.3">
      <c r="A431" s="77"/>
      <c r="B431" s="106"/>
      <c r="F431" s="124"/>
      <c r="G431" s="125"/>
      <c r="J431" s="125"/>
      <c r="L431" s="107"/>
      <c r="M431" s="108"/>
      <c r="N431" s="108"/>
    </row>
    <row r="432" spans="1:14" x14ac:dyDescent="0.3">
      <c r="A432" s="77"/>
      <c r="B432" s="106"/>
      <c r="F432" s="124"/>
      <c r="G432" s="125"/>
      <c r="J432" s="125"/>
      <c r="L432" s="107"/>
      <c r="M432" s="108"/>
      <c r="N432" s="108"/>
    </row>
    <row r="433" spans="1:14" x14ac:dyDescent="0.3">
      <c r="A433" s="77"/>
      <c r="B433" s="106"/>
      <c r="F433" s="124"/>
      <c r="G433" s="125"/>
      <c r="J433" s="125"/>
      <c r="L433" s="107"/>
      <c r="M433" s="108"/>
      <c r="N433" s="108"/>
    </row>
    <row r="434" spans="1:14" x14ac:dyDescent="0.3">
      <c r="A434" s="77"/>
      <c r="B434" s="106"/>
      <c r="F434" s="124"/>
      <c r="G434" s="125"/>
      <c r="J434" s="125"/>
      <c r="L434" s="107"/>
      <c r="M434" s="108"/>
      <c r="N434" s="108"/>
    </row>
    <row r="435" spans="1:14" x14ac:dyDescent="0.3">
      <c r="A435" s="77"/>
      <c r="B435" s="106"/>
      <c r="F435" s="124"/>
      <c r="G435" s="125"/>
      <c r="J435" s="125"/>
      <c r="L435" s="107"/>
      <c r="M435" s="108"/>
      <c r="N435" s="108"/>
    </row>
    <row r="436" spans="1:14" x14ac:dyDescent="0.3">
      <c r="A436" s="77"/>
      <c r="B436" s="106"/>
      <c r="F436" s="124"/>
      <c r="G436" s="125"/>
      <c r="J436" s="125"/>
      <c r="L436" s="107"/>
      <c r="M436" s="108"/>
      <c r="N436" s="108"/>
    </row>
    <row r="437" spans="1:14" x14ac:dyDescent="0.3">
      <c r="A437" s="77"/>
      <c r="B437" s="106"/>
      <c r="F437" s="124"/>
      <c r="G437" s="125"/>
      <c r="J437" s="125"/>
      <c r="L437" s="107"/>
      <c r="M437" s="108"/>
      <c r="N437" s="108"/>
    </row>
    <row r="438" spans="1:14" x14ac:dyDescent="0.3">
      <c r="A438" s="77"/>
      <c r="B438" s="106"/>
      <c r="F438" s="124"/>
      <c r="G438" s="125"/>
      <c r="J438" s="125"/>
      <c r="L438" s="107"/>
      <c r="M438" s="108"/>
      <c r="N438" s="108"/>
    </row>
    <row r="439" spans="1:14" x14ac:dyDescent="0.3">
      <c r="A439" s="77"/>
      <c r="B439" s="106"/>
      <c r="F439" s="124"/>
      <c r="G439" s="125"/>
      <c r="J439" s="125"/>
      <c r="L439" s="107"/>
      <c r="M439" s="108"/>
      <c r="N439" s="108"/>
    </row>
    <row r="440" spans="1:14" x14ac:dyDescent="0.3">
      <c r="A440" s="77"/>
      <c r="B440" s="106"/>
      <c r="F440" s="124"/>
      <c r="G440" s="125"/>
      <c r="J440" s="125"/>
      <c r="L440" s="107"/>
      <c r="M440" s="108"/>
      <c r="N440" s="108"/>
    </row>
    <row r="441" spans="1:14" x14ac:dyDescent="0.3">
      <c r="A441" s="77"/>
      <c r="B441" s="106"/>
      <c r="F441" s="124"/>
      <c r="G441" s="125"/>
      <c r="J441" s="125"/>
      <c r="L441" s="107"/>
      <c r="M441" s="108"/>
      <c r="N441" s="108"/>
    </row>
    <row r="442" spans="1:14" x14ac:dyDescent="0.3">
      <c r="A442" s="77"/>
      <c r="B442" s="106"/>
      <c r="F442" s="124"/>
      <c r="G442" s="125"/>
      <c r="J442" s="125"/>
      <c r="L442" s="107"/>
      <c r="M442" s="108"/>
      <c r="N442" s="108"/>
    </row>
    <row r="443" spans="1:14" x14ac:dyDescent="0.3">
      <c r="A443" s="77"/>
      <c r="B443" s="106"/>
      <c r="F443" s="124"/>
      <c r="G443" s="125"/>
      <c r="J443" s="125"/>
      <c r="L443" s="107"/>
      <c r="M443" s="108"/>
      <c r="N443" s="108"/>
    </row>
    <row r="444" spans="1:14" x14ac:dyDescent="0.3">
      <c r="A444" s="77"/>
      <c r="B444" s="106"/>
      <c r="F444" s="124"/>
      <c r="G444" s="125"/>
      <c r="J444" s="125"/>
      <c r="L444" s="107"/>
      <c r="M444" s="108"/>
      <c r="N444" s="108"/>
    </row>
    <row r="445" spans="1:14" x14ac:dyDescent="0.3">
      <c r="A445" s="77"/>
      <c r="B445" s="106"/>
      <c r="F445" s="124"/>
      <c r="G445" s="125"/>
      <c r="J445" s="125"/>
      <c r="L445" s="107"/>
      <c r="M445" s="108"/>
      <c r="N445" s="108"/>
    </row>
    <row r="446" spans="1:14" x14ac:dyDescent="0.3">
      <c r="A446" s="77"/>
      <c r="B446" s="106"/>
      <c r="F446" s="124"/>
      <c r="G446" s="125"/>
      <c r="J446" s="125"/>
      <c r="L446" s="107"/>
      <c r="M446" s="108"/>
      <c r="N446" s="108"/>
    </row>
    <row r="447" spans="1:14" x14ac:dyDescent="0.3">
      <c r="A447" s="77"/>
      <c r="B447" s="106"/>
      <c r="F447" s="124"/>
      <c r="G447" s="125"/>
      <c r="J447" s="125"/>
      <c r="L447" s="107"/>
      <c r="M447" s="108"/>
      <c r="N447" s="108"/>
    </row>
    <row r="448" spans="1:14" x14ac:dyDescent="0.3">
      <c r="A448" s="77"/>
      <c r="B448" s="106"/>
      <c r="F448" s="124"/>
      <c r="G448" s="125"/>
      <c r="J448" s="125"/>
      <c r="L448" s="107"/>
      <c r="M448" s="108"/>
      <c r="N448" s="108"/>
    </row>
    <row r="449" spans="1:14" x14ac:dyDescent="0.3">
      <c r="A449" s="77"/>
      <c r="B449" s="106"/>
      <c r="F449" s="124"/>
      <c r="G449" s="125"/>
      <c r="J449" s="125"/>
      <c r="L449" s="107"/>
      <c r="M449" s="108"/>
      <c r="N449" s="108"/>
    </row>
    <row r="450" spans="1:14" x14ac:dyDescent="0.3">
      <c r="A450" s="77"/>
      <c r="B450" s="106"/>
      <c r="F450" s="124"/>
      <c r="G450" s="125"/>
      <c r="J450" s="125"/>
      <c r="L450" s="107"/>
      <c r="M450" s="108"/>
      <c r="N450" s="108"/>
    </row>
    <row r="451" spans="1:14" x14ac:dyDescent="0.3">
      <c r="A451" s="77"/>
      <c r="B451" s="106"/>
      <c r="F451" s="124"/>
      <c r="G451" s="125"/>
      <c r="J451" s="125"/>
      <c r="L451" s="107"/>
      <c r="M451" s="108"/>
      <c r="N451" s="108"/>
    </row>
    <row r="452" spans="1:14" x14ac:dyDescent="0.3">
      <c r="A452" s="77"/>
      <c r="B452" s="106"/>
      <c r="F452" s="124"/>
      <c r="G452" s="125"/>
      <c r="J452" s="125"/>
      <c r="L452" s="107"/>
      <c r="M452" s="108"/>
      <c r="N452" s="108"/>
    </row>
    <row r="453" spans="1:14" x14ac:dyDescent="0.3">
      <c r="A453" s="77"/>
      <c r="B453" s="106"/>
      <c r="F453" s="124"/>
      <c r="G453" s="125"/>
      <c r="J453" s="125"/>
      <c r="L453" s="107"/>
      <c r="M453" s="108"/>
      <c r="N453" s="108"/>
    </row>
    <row r="454" spans="1:14" x14ac:dyDescent="0.3">
      <c r="A454" s="77"/>
      <c r="B454" s="106"/>
      <c r="F454" s="124"/>
      <c r="G454" s="125"/>
      <c r="J454" s="125"/>
      <c r="L454" s="107"/>
      <c r="M454" s="108"/>
      <c r="N454" s="108"/>
    </row>
    <row r="455" spans="1:14" x14ac:dyDescent="0.3">
      <c r="A455" s="77"/>
      <c r="B455" s="106"/>
      <c r="F455" s="124"/>
      <c r="G455" s="125"/>
      <c r="J455" s="125"/>
      <c r="L455" s="107"/>
      <c r="M455" s="108"/>
      <c r="N455" s="108"/>
    </row>
    <row r="456" spans="1:14" x14ac:dyDescent="0.3">
      <c r="A456" s="77"/>
      <c r="B456" s="106"/>
      <c r="F456" s="124"/>
      <c r="G456" s="125"/>
      <c r="J456" s="125"/>
      <c r="L456" s="107"/>
      <c r="M456" s="108"/>
      <c r="N456" s="108"/>
    </row>
    <row r="457" spans="1:14" x14ac:dyDescent="0.3">
      <c r="A457" s="77"/>
      <c r="B457" s="106"/>
      <c r="F457" s="124"/>
      <c r="G457" s="125"/>
      <c r="J457" s="125"/>
      <c r="L457" s="107"/>
      <c r="M457" s="108"/>
      <c r="N457" s="108"/>
    </row>
    <row r="458" spans="1:14" x14ac:dyDescent="0.3">
      <c r="A458" s="77"/>
      <c r="B458" s="106"/>
      <c r="F458" s="124"/>
      <c r="G458" s="125"/>
      <c r="J458" s="125"/>
      <c r="L458" s="107"/>
      <c r="M458" s="108"/>
      <c r="N458" s="108"/>
    </row>
    <row r="459" spans="1:14" x14ac:dyDescent="0.3">
      <c r="A459" s="77"/>
      <c r="B459" s="106"/>
      <c r="F459" s="124"/>
      <c r="G459" s="125"/>
      <c r="J459" s="125"/>
      <c r="L459" s="107"/>
      <c r="M459" s="108"/>
      <c r="N459" s="108"/>
    </row>
    <row r="460" spans="1:14" x14ac:dyDescent="0.3">
      <c r="A460" s="77"/>
      <c r="B460" s="106"/>
      <c r="F460" s="124"/>
      <c r="G460" s="125"/>
      <c r="J460" s="125"/>
      <c r="L460" s="107"/>
      <c r="M460" s="108"/>
      <c r="N460" s="108"/>
    </row>
    <row r="461" spans="1:14" x14ac:dyDescent="0.3">
      <c r="A461" s="77"/>
      <c r="B461" s="106"/>
      <c r="F461" s="124"/>
      <c r="G461" s="125"/>
      <c r="J461" s="125"/>
      <c r="L461" s="107"/>
      <c r="M461" s="108"/>
      <c r="N461" s="108"/>
    </row>
    <row r="462" spans="1:14" x14ac:dyDescent="0.3">
      <c r="A462" s="77"/>
      <c r="B462" s="106"/>
      <c r="F462" s="124"/>
      <c r="G462" s="125"/>
      <c r="J462" s="125"/>
      <c r="L462" s="107"/>
      <c r="M462" s="108"/>
      <c r="N462" s="108"/>
    </row>
    <row r="463" spans="1:14" x14ac:dyDescent="0.3">
      <c r="A463" s="77"/>
      <c r="B463" s="106"/>
      <c r="F463" s="124"/>
      <c r="G463" s="125"/>
      <c r="J463" s="125"/>
      <c r="L463" s="107"/>
      <c r="M463" s="108"/>
      <c r="N463" s="108"/>
    </row>
    <row r="464" spans="1:14" x14ac:dyDescent="0.3">
      <c r="A464" s="77"/>
      <c r="B464" s="106"/>
      <c r="F464" s="124"/>
      <c r="G464" s="125"/>
      <c r="J464" s="125"/>
      <c r="L464" s="107"/>
      <c r="M464" s="108"/>
      <c r="N464" s="108"/>
    </row>
    <row r="465" spans="1:14" x14ac:dyDescent="0.3">
      <c r="A465" s="77"/>
      <c r="B465" s="106"/>
      <c r="F465" s="124"/>
      <c r="G465" s="125"/>
      <c r="J465" s="125"/>
      <c r="L465" s="107"/>
      <c r="M465" s="108"/>
      <c r="N465" s="108"/>
    </row>
    <row r="466" spans="1:14" x14ac:dyDescent="0.3">
      <c r="A466" s="77"/>
      <c r="B466" s="106"/>
      <c r="F466" s="124"/>
      <c r="G466" s="125"/>
      <c r="J466" s="125"/>
      <c r="L466" s="107"/>
      <c r="M466" s="108"/>
      <c r="N466" s="108"/>
    </row>
    <row r="467" spans="1:14" x14ac:dyDescent="0.3">
      <c r="A467" s="77"/>
      <c r="B467" s="106"/>
      <c r="F467" s="124"/>
      <c r="G467" s="125"/>
      <c r="J467" s="125"/>
      <c r="L467" s="107"/>
      <c r="M467" s="108"/>
      <c r="N467" s="108"/>
    </row>
    <row r="468" spans="1:14" x14ac:dyDescent="0.3">
      <c r="A468" s="77"/>
      <c r="B468" s="106"/>
      <c r="F468" s="124"/>
      <c r="G468" s="125"/>
      <c r="J468" s="125"/>
      <c r="L468" s="107"/>
      <c r="M468" s="108"/>
      <c r="N468" s="108"/>
    </row>
    <row r="469" spans="1:14" x14ac:dyDescent="0.3">
      <c r="A469" s="77"/>
      <c r="B469" s="106"/>
      <c r="F469" s="124"/>
      <c r="G469" s="125"/>
      <c r="J469" s="125"/>
      <c r="L469" s="107"/>
      <c r="M469" s="108"/>
      <c r="N469" s="108"/>
    </row>
    <row r="470" spans="1:14" x14ac:dyDescent="0.3">
      <c r="A470" s="77"/>
      <c r="B470" s="106"/>
      <c r="F470" s="124"/>
      <c r="G470" s="125"/>
      <c r="J470" s="125"/>
      <c r="L470" s="107"/>
      <c r="M470" s="108"/>
      <c r="N470" s="108"/>
    </row>
    <row r="471" spans="1:14" x14ac:dyDescent="0.3">
      <c r="A471" s="77"/>
      <c r="B471" s="106"/>
      <c r="F471" s="124"/>
      <c r="G471" s="125"/>
      <c r="J471" s="125"/>
      <c r="L471" s="107"/>
      <c r="M471" s="108"/>
      <c r="N471" s="108"/>
    </row>
    <row r="472" spans="1:14" x14ac:dyDescent="0.3">
      <c r="A472" s="77"/>
      <c r="B472" s="106"/>
      <c r="F472" s="124"/>
      <c r="G472" s="125"/>
      <c r="J472" s="125"/>
      <c r="L472" s="107"/>
      <c r="M472" s="108"/>
      <c r="N472" s="108"/>
    </row>
    <row r="473" spans="1:14" x14ac:dyDescent="0.3">
      <c r="A473" s="77"/>
      <c r="B473" s="106"/>
      <c r="F473" s="124"/>
      <c r="G473" s="125"/>
      <c r="J473" s="125"/>
      <c r="L473" s="107"/>
      <c r="M473" s="108"/>
      <c r="N473" s="108"/>
    </row>
    <row r="474" spans="1:14" x14ac:dyDescent="0.3">
      <c r="A474" s="77"/>
      <c r="B474" s="106"/>
      <c r="F474" s="124"/>
      <c r="G474" s="125"/>
      <c r="J474" s="125"/>
      <c r="L474" s="107"/>
      <c r="M474" s="108"/>
      <c r="N474" s="108"/>
    </row>
    <row r="475" spans="1:14" x14ac:dyDescent="0.3">
      <c r="A475" s="77"/>
      <c r="B475" s="106"/>
      <c r="F475" s="124"/>
      <c r="G475" s="125"/>
      <c r="J475" s="125"/>
      <c r="L475" s="107"/>
      <c r="M475" s="108"/>
      <c r="N475" s="108"/>
    </row>
    <row r="476" spans="1:14" x14ac:dyDescent="0.3">
      <c r="A476" s="77"/>
      <c r="B476" s="106"/>
      <c r="F476" s="124"/>
      <c r="G476" s="125"/>
      <c r="J476" s="125"/>
      <c r="L476" s="107"/>
      <c r="M476" s="108"/>
      <c r="N476" s="108"/>
    </row>
    <row r="477" spans="1:14" x14ac:dyDescent="0.3">
      <c r="A477" s="77"/>
      <c r="B477" s="106"/>
      <c r="F477" s="124"/>
      <c r="G477" s="125"/>
      <c r="J477" s="125"/>
      <c r="L477" s="107"/>
      <c r="M477" s="108"/>
      <c r="N477" s="108"/>
    </row>
    <row r="478" spans="1:14" x14ac:dyDescent="0.3">
      <c r="A478" s="77"/>
      <c r="B478" s="106"/>
      <c r="F478" s="124"/>
      <c r="G478" s="125"/>
      <c r="J478" s="125"/>
      <c r="L478" s="107"/>
      <c r="M478" s="108"/>
      <c r="N478" s="108"/>
    </row>
    <row r="479" spans="1:14" x14ac:dyDescent="0.3">
      <c r="A479" s="77"/>
      <c r="B479" s="106"/>
      <c r="F479" s="124"/>
      <c r="G479" s="125"/>
      <c r="J479" s="125"/>
      <c r="L479" s="107"/>
      <c r="M479" s="108"/>
      <c r="N479" s="108"/>
    </row>
    <row r="480" spans="1:14" x14ac:dyDescent="0.3">
      <c r="A480" s="77"/>
      <c r="B480" s="106"/>
      <c r="F480" s="124"/>
      <c r="G480" s="125"/>
      <c r="J480" s="125"/>
      <c r="L480" s="107"/>
      <c r="M480" s="108"/>
      <c r="N480" s="108"/>
    </row>
    <row r="481" spans="1:14" x14ac:dyDescent="0.3">
      <c r="A481" s="77"/>
      <c r="B481" s="106"/>
      <c r="F481" s="124"/>
      <c r="G481" s="125"/>
      <c r="J481" s="125"/>
      <c r="L481" s="107"/>
      <c r="M481" s="108"/>
      <c r="N481" s="108"/>
    </row>
  </sheetData>
  <conditionalFormatting sqref="I2:I89">
    <cfRule type="cellIs" dxfId="9" priority="1" operator="equal">
      <formula>"REVISAR"</formula>
    </cfRule>
    <cfRule type="cellIs" dxfId="8" priority="2" operator="equal">
      <formula>"CORRECTO"</formula>
    </cfRule>
  </conditionalFormatting>
  <conditionalFormatting sqref="L2:L89">
    <cfRule type="cellIs" dxfId="7" priority="21" operator="equal">
      <formula>"APROBADO"</formula>
    </cfRule>
    <cfRule type="cellIs" dxfId="6" priority="22" operator="equal">
      <formula>"PENDIENTE"</formula>
    </cfRule>
    <cfRule type="cellIs" dxfId="5" priority="23" operator="equal">
      <formula>"PAGADO"</formula>
    </cfRule>
  </conditionalFormatting>
  <dataValidations count="1">
    <dataValidation type="list" allowBlank="1" showErrorMessage="1" sqref="L2:L89" xr:uid="{642765A7-B4DF-4B67-B84F-4BD8AF110A0C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0BD7CF-5B81-406F-9DDD-A7AC09EF9E84}">
          <x14:formula1>
            <xm:f>'CUENTAS'!$A$2:$A$59</xm:f>
          </x14:formula1>
          <xm:sqref>C2:C89</xm:sqref>
        </x14:dataValidation>
        <x14:dataValidation type="list" allowBlank="1" showInputMessage="1" showErrorMessage="1" xr:uid="{D2555B22-6A21-4743-9933-AFAE735B8A6E}">
          <x14:formula1>
            <xm:f>'CUENTAS'!$G$2:$G$16</xm:f>
          </x14:formula1>
          <xm:sqref>J2:J89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BCC8-B971-4FD2-96A9-586F5EBAA2ED}">
  <sheetPr>
    <tabColor theme="1" tint="4.9989318521683403E-2"/>
  </sheetPr>
  <dimension ref="A1:Q481"/>
  <sheetViews>
    <sheetView zoomScale="70" zoomScaleNormal="70" workbookViewId="0">
      <pane ySplit="1" topLeftCell="A2" activePane="bottomLeft" state="frozen"/>
      <selection pane="bottomLeft"/>
    </sheetView>
  </sheetViews>
  <sheetFormatPr baseColWidth="10" defaultColWidth="12.6640625" defaultRowHeight="14.4" x14ac:dyDescent="0.3"/>
  <cols>
    <col min="1" max="1" width="21.6640625" style="83" customWidth="1"/>
    <col min="2" max="2" width="38" style="83" customWidth="1"/>
    <col min="3" max="3" width="34.44140625" style="83" customWidth="1"/>
    <col min="4" max="4" width="16.109375" style="83" customWidth="1"/>
    <col min="5" max="5" width="13.77734375" style="83" bestFit="1" customWidth="1"/>
    <col min="6" max="7" width="16.88671875" style="83" customWidth="1"/>
    <col min="8" max="9" width="16.88671875" style="97" customWidth="1"/>
    <col min="10" max="10" width="18.5546875" style="83" bestFit="1" customWidth="1"/>
    <col min="11" max="11" width="15.33203125" style="98" customWidth="1"/>
    <col min="12" max="12" width="15.33203125" style="99" customWidth="1"/>
    <col min="13" max="13" width="15.33203125" style="83" customWidth="1"/>
    <col min="14" max="14" width="23.5546875" style="83" bestFit="1" customWidth="1"/>
    <col min="16" max="16" width="19.77734375" style="83" bestFit="1" customWidth="1"/>
    <col min="17" max="20" width="12.6640625" style="83"/>
    <col min="21" max="21" width="16.5546875" style="83" bestFit="1" customWidth="1"/>
    <col min="22" max="22" width="51.33203125" style="83" bestFit="1" customWidth="1"/>
    <col min="23" max="16384" width="12.6640625" style="83"/>
  </cols>
  <sheetData>
    <row r="1" spans="1:17" s="77" customFormat="1" ht="33" customHeight="1" x14ac:dyDescent="0.3">
      <c r="A1" s="10" t="s">
        <v>99</v>
      </c>
      <c r="B1" s="11" t="s">
        <v>1</v>
      </c>
      <c r="C1" s="11" t="s">
        <v>100</v>
      </c>
      <c r="D1" s="11" t="s">
        <v>174</v>
      </c>
      <c r="E1" s="11" t="s">
        <v>0</v>
      </c>
      <c r="F1" s="15" t="s">
        <v>106</v>
      </c>
      <c r="G1" s="15" t="s">
        <v>107</v>
      </c>
      <c r="H1" s="68" t="s">
        <v>101</v>
      </c>
      <c r="I1" s="68" t="s">
        <v>3243</v>
      </c>
      <c r="J1" s="20" t="s">
        <v>108</v>
      </c>
      <c r="K1" s="11" t="s">
        <v>102</v>
      </c>
      <c r="L1" s="13" t="s">
        <v>103</v>
      </c>
      <c r="M1" s="15" t="s">
        <v>104</v>
      </c>
      <c r="N1" s="12" t="s">
        <v>105</v>
      </c>
    </row>
    <row r="2" spans="1:17" x14ac:dyDescent="0.3">
      <c r="A2" s="16"/>
      <c r="B2" s="16"/>
      <c r="C2" s="28"/>
      <c r="D2" s="28" t="str">
        <f>IFERROR(VLOOKUP($C2,CUENTAS[],2,0),"")</f>
        <v/>
      </c>
      <c r="E2" s="28" t="str">
        <f>IFERROR(VLOOKUP($C2,CUENTAS[],3,0),"")</f>
        <v/>
      </c>
      <c r="F2" s="86"/>
      <c r="G2" s="86"/>
      <c r="H2" s="74"/>
      <c r="I2" s="200" t="str">
        <f>IFERROR(IF(F2+G2&lt;&gt;H2,"REVISAR","CORRECTO"),"")</f>
        <v>CORRECTO</v>
      </c>
      <c r="J2" s="88"/>
      <c r="K2" s="69"/>
      <c r="L2" s="84"/>
      <c r="M2" s="135"/>
      <c r="N2" s="75"/>
      <c r="P2" s="89"/>
      <c r="Q2" s="89"/>
    </row>
    <row r="3" spans="1:17" x14ac:dyDescent="0.3">
      <c r="A3" s="16"/>
      <c r="B3" s="16"/>
      <c r="C3" s="28"/>
      <c r="D3" s="28" t="str">
        <f>IFERROR(VLOOKUP($C3,CUENTAS[],2,0),"")</f>
        <v/>
      </c>
      <c r="E3" s="28" t="str">
        <f>IFERROR(VLOOKUP($C3,CUENTAS[],3,0),"")</f>
        <v/>
      </c>
      <c r="F3" s="86"/>
      <c r="G3" s="86"/>
      <c r="H3" s="74"/>
      <c r="I3" s="200" t="str">
        <f t="shared" ref="I3:I66" si="0">IFERROR(IF(F3+G3&lt;&gt;H3,"REVISAR","CORRECTO"),"")</f>
        <v>CORRECTO</v>
      </c>
      <c r="J3" s="88"/>
      <c r="K3" s="69"/>
      <c r="L3" s="84"/>
      <c r="M3" s="135"/>
      <c r="N3" s="75"/>
      <c r="P3" s="89"/>
      <c r="Q3" s="89"/>
    </row>
    <row r="4" spans="1:17" x14ac:dyDescent="0.3">
      <c r="A4" s="16"/>
      <c r="B4" s="16"/>
      <c r="C4" s="28"/>
      <c r="D4" s="28" t="str">
        <f>IFERROR(VLOOKUP($C4,CUENTAS[],2,0),"")</f>
        <v/>
      </c>
      <c r="E4" s="28" t="str">
        <f>IFERROR(VLOOKUP($C4,CUENTAS[],3,0),"")</f>
        <v/>
      </c>
      <c r="F4" s="86"/>
      <c r="G4" s="86"/>
      <c r="H4" s="74"/>
      <c r="I4" s="200" t="str">
        <f t="shared" si="0"/>
        <v>CORRECTO</v>
      </c>
      <c r="J4" s="88"/>
      <c r="K4" s="69"/>
      <c r="L4" s="84"/>
      <c r="M4" s="135"/>
      <c r="N4" s="75"/>
      <c r="P4" s="89"/>
      <c r="Q4" s="89"/>
    </row>
    <row r="5" spans="1:17" x14ac:dyDescent="0.3">
      <c r="A5" s="16"/>
      <c r="B5" s="16"/>
      <c r="C5" s="28"/>
      <c r="D5" s="28" t="str">
        <f>IFERROR(VLOOKUP($C5,CUENTAS[],2,0),"")</f>
        <v/>
      </c>
      <c r="E5" s="28" t="str">
        <f>IFERROR(VLOOKUP($C5,CUENTAS[],3,0),"")</f>
        <v/>
      </c>
      <c r="F5" s="86"/>
      <c r="G5" s="86"/>
      <c r="H5" s="74"/>
      <c r="I5" s="200" t="str">
        <f t="shared" si="0"/>
        <v>CORRECTO</v>
      </c>
      <c r="J5" s="88"/>
      <c r="K5" s="69"/>
      <c r="L5" s="84"/>
      <c r="M5" s="136"/>
      <c r="N5" s="75"/>
      <c r="P5" s="89"/>
      <c r="Q5" s="89"/>
    </row>
    <row r="6" spans="1:17" x14ac:dyDescent="0.3">
      <c r="A6" s="16"/>
      <c r="B6" s="16"/>
      <c r="C6" s="28"/>
      <c r="D6" s="28" t="str">
        <f>IFERROR(VLOOKUP($C6,CUENTAS[],2,0),"")</f>
        <v/>
      </c>
      <c r="E6" s="28" t="str">
        <f>IFERROR(VLOOKUP($C6,CUENTAS[],3,0),"")</f>
        <v/>
      </c>
      <c r="F6" s="86"/>
      <c r="G6" s="86"/>
      <c r="H6" s="74"/>
      <c r="I6" s="200" t="str">
        <f t="shared" si="0"/>
        <v>CORRECTO</v>
      </c>
      <c r="J6" s="88"/>
      <c r="K6" s="69"/>
      <c r="L6" s="84"/>
      <c r="M6" s="135"/>
      <c r="N6" s="75"/>
      <c r="P6" s="89"/>
      <c r="Q6" s="89"/>
    </row>
    <row r="7" spans="1:17" x14ac:dyDescent="0.3">
      <c r="A7" s="16"/>
      <c r="B7" s="16"/>
      <c r="C7" s="28"/>
      <c r="D7" s="28" t="str">
        <f>IFERROR(VLOOKUP($C7,CUENTAS[],2,0),"")</f>
        <v/>
      </c>
      <c r="E7" s="28" t="str">
        <f>IFERROR(VLOOKUP($C7,CUENTAS[],3,0),"")</f>
        <v/>
      </c>
      <c r="F7" s="86"/>
      <c r="G7" s="86"/>
      <c r="H7" s="74"/>
      <c r="I7" s="200" t="str">
        <f t="shared" si="0"/>
        <v>CORRECTO</v>
      </c>
      <c r="J7" s="88"/>
      <c r="K7" s="69"/>
      <c r="L7" s="84"/>
      <c r="M7" s="135"/>
      <c r="N7" s="75"/>
      <c r="P7" s="89"/>
      <c r="Q7" s="89"/>
    </row>
    <row r="8" spans="1:17" x14ac:dyDescent="0.3">
      <c r="A8" s="16"/>
      <c r="B8" s="16"/>
      <c r="C8" s="28"/>
      <c r="D8" s="28" t="str">
        <f>IFERROR(VLOOKUP($C8,CUENTAS[],2,0),"")</f>
        <v/>
      </c>
      <c r="E8" s="28" t="str">
        <f>IFERROR(VLOOKUP($C8,CUENTAS[],3,0),"")</f>
        <v/>
      </c>
      <c r="F8" s="86"/>
      <c r="G8" s="86"/>
      <c r="H8" s="74"/>
      <c r="I8" s="200" t="str">
        <f t="shared" si="0"/>
        <v>CORRECTO</v>
      </c>
      <c r="J8" s="88"/>
      <c r="K8" s="69"/>
      <c r="L8" s="84"/>
      <c r="M8" s="135"/>
      <c r="N8" s="75"/>
      <c r="P8" s="89"/>
      <c r="Q8" s="89"/>
    </row>
    <row r="9" spans="1:17" x14ac:dyDescent="0.3">
      <c r="A9" s="16"/>
      <c r="B9" s="16"/>
      <c r="C9" s="28"/>
      <c r="D9" s="28" t="str">
        <f>IFERROR(VLOOKUP($C9,CUENTAS[],2,0),"")</f>
        <v/>
      </c>
      <c r="E9" s="28" t="str">
        <f>IFERROR(VLOOKUP($C9,CUENTAS[],3,0),"")</f>
        <v/>
      </c>
      <c r="F9" s="86"/>
      <c r="G9" s="86"/>
      <c r="H9" s="74"/>
      <c r="I9" s="200" t="str">
        <f t="shared" si="0"/>
        <v>CORRECTO</v>
      </c>
      <c r="J9" s="88"/>
      <c r="K9" s="69"/>
      <c r="L9" s="84"/>
      <c r="M9" s="135"/>
      <c r="N9" s="75"/>
      <c r="P9" s="89"/>
      <c r="Q9" s="89"/>
    </row>
    <row r="10" spans="1:17" x14ac:dyDescent="0.3">
      <c r="A10" s="16"/>
      <c r="B10" s="16"/>
      <c r="C10" s="28"/>
      <c r="D10" s="28" t="str">
        <f>IFERROR(VLOOKUP($C10,CUENTAS[],2,0),"")</f>
        <v/>
      </c>
      <c r="E10" s="28" t="str">
        <f>IFERROR(VLOOKUP($C10,CUENTAS[],3,0),"")</f>
        <v/>
      </c>
      <c r="F10" s="86"/>
      <c r="G10" s="86"/>
      <c r="H10" s="74"/>
      <c r="I10" s="200" t="str">
        <f t="shared" si="0"/>
        <v>CORRECTO</v>
      </c>
      <c r="J10" s="88"/>
      <c r="K10" s="69"/>
      <c r="L10" s="84"/>
      <c r="M10" s="135"/>
      <c r="N10" s="75"/>
      <c r="P10" s="89"/>
      <c r="Q10" s="89"/>
    </row>
    <row r="11" spans="1:17" x14ac:dyDescent="0.3">
      <c r="A11" s="16"/>
      <c r="B11" s="16"/>
      <c r="C11" s="28"/>
      <c r="D11" s="28" t="str">
        <f>IFERROR(VLOOKUP($C11,CUENTAS[],2,0),"")</f>
        <v/>
      </c>
      <c r="E11" s="28" t="str">
        <f>IFERROR(VLOOKUP($C11,CUENTAS[],3,0),"")</f>
        <v/>
      </c>
      <c r="F11" s="86"/>
      <c r="G11" s="86"/>
      <c r="H11" s="74"/>
      <c r="I11" s="200" t="str">
        <f t="shared" si="0"/>
        <v>CORRECTO</v>
      </c>
      <c r="J11" s="88"/>
      <c r="K11" s="69"/>
      <c r="L11" s="84"/>
      <c r="M11" s="135"/>
      <c r="N11" s="75"/>
      <c r="P11" s="89"/>
      <c r="Q11" s="89"/>
    </row>
    <row r="12" spans="1:17" x14ac:dyDescent="0.3">
      <c r="A12" s="16"/>
      <c r="B12" s="16"/>
      <c r="C12" s="28"/>
      <c r="D12" s="28" t="str">
        <f>IFERROR(VLOOKUP($C12,CUENTAS[],2,0),"")</f>
        <v/>
      </c>
      <c r="E12" s="28" t="str">
        <f>IFERROR(VLOOKUP($C12,CUENTAS[],3,0),"")</f>
        <v/>
      </c>
      <c r="F12" s="86"/>
      <c r="G12" s="86"/>
      <c r="H12" s="74"/>
      <c r="I12" s="200" t="str">
        <f t="shared" si="0"/>
        <v>CORRECTO</v>
      </c>
      <c r="J12" s="88"/>
      <c r="K12" s="69"/>
      <c r="L12" s="84"/>
      <c r="M12" s="135"/>
      <c r="N12" s="75"/>
      <c r="P12" s="89"/>
      <c r="Q12" s="89"/>
    </row>
    <row r="13" spans="1:17" x14ac:dyDescent="0.3">
      <c r="A13" s="16"/>
      <c r="B13" s="16"/>
      <c r="C13" s="28"/>
      <c r="D13" s="28" t="str">
        <f>IFERROR(VLOOKUP($C13,CUENTAS[],2,0),"")</f>
        <v/>
      </c>
      <c r="E13" s="28" t="str">
        <f>IFERROR(VLOOKUP($C13,CUENTAS[],3,0),"")</f>
        <v/>
      </c>
      <c r="F13" s="86"/>
      <c r="G13" s="86"/>
      <c r="H13" s="74"/>
      <c r="I13" s="200" t="str">
        <f t="shared" si="0"/>
        <v>CORRECTO</v>
      </c>
      <c r="J13" s="88"/>
      <c r="K13" s="69"/>
      <c r="L13" s="84"/>
      <c r="M13" s="135"/>
      <c r="N13" s="75"/>
      <c r="P13" s="89"/>
      <c r="Q13" s="89"/>
    </row>
    <row r="14" spans="1:17" x14ac:dyDescent="0.3">
      <c r="A14" s="16"/>
      <c r="B14" s="16"/>
      <c r="C14" s="28"/>
      <c r="D14" s="28" t="str">
        <f>IFERROR(VLOOKUP($C14,CUENTAS[],2,0),"")</f>
        <v/>
      </c>
      <c r="E14" s="28" t="str">
        <f>IFERROR(VLOOKUP($C14,CUENTAS[],3,0),"")</f>
        <v/>
      </c>
      <c r="F14" s="86"/>
      <c r="G14" s="86"/>
      <c r="H14" s="74"/>
      <c r="I14" s="200" t="str">
        <f t="shared" si="0"/>
        <v>CORRECTO</v>
      </c>
      <c r="J14" s="88"/>
      <c r="K14" s="69"/>
      <c r="L14" s="84"/>
      <c r="M14" s="135"/>
      <c r="N14" s="75"/>
      <c r="P14" s="89"/>
      <c r="Q14" s="89"/>
    </row>
    <row r="15" spans="1:17" x14ac:dyDescent="0.3">
      <c r="A15" s="16"/>
      <c r="B15" s="16"/>
      <c r="C15" s="28"/>
      <c r="D15" s="28" t="str">
        <f>IFERROR(VLOOKUP($C15,CUENTAS[],2,0),"")</f>
        <v/>
      </c>
      <c r="E15" s="28" t="str">
        <f>IFERROR(VLOOKUP($C15,CUENTAS[],3,0),"")</f>
        <v/>
      </c>
      <c r="F15" s="86"/>
      <c r="G15" s="86"/>
      <c r="H15" s="74"/>
      <c r="I15" s="200" t="str">
        <f t="shared" si="0"/>
        <v>CORRECTO</v>
      </c>
      <c r="J15" s="88"/>
      <c r="K15" s="69"/>
      <c r="L15" s="84"/>
      <c r="M15" s="135"/>
      <c r="N15" s="75"/>
      <c r="P15" s="89"/>
      <c r="Q15" s="89"/>
    </row>
    <row r="16" spans="1:17" x14ac:dyDescent="0.3">
      <c r="A16" s="16"/>
      <c r="B16" s="16"/>
      <c r="C16" s="28"/>
      <c r="D16" s="28" t="str">
        <f>IFERROR(VLOOKUP($C16,CUENTAS[],2,0),"")</f>
        <v/>
      </c>
      <c r="E16" s="28" t="str">
        <f>IFERROR(VLOOKUP($C16,CUENTAS[],3,0),"")</f>
        <v/>
      </c>
      <c r="F16" s="86"/>
      <c r="G16" s="86"/>
      <c r="H16" s="74"/>
      <c r="I16" s="200" t="str">
        <f t="shared" si="0"/>
        <v>CORRECTO</v>
      </c>
      <c r="J16" s="88"/>
      <c r="K16" s="69"/>
      <c r="L16" s="84"/>
      <c r="M16" s="135"/>
      <c r="N16" s="75"/>
      <c r="P16" s="89"/>
      <c r="Q16" s="89"/>
    </row>
    <row r="17" spans="1:17" x14ac:dyDescent="0.3">
      <c r="A17" s="16"/>
      <c r="B17" s="16"/>
      <c r="C17" s="28"/>
      <c r="D17" s="28" t="str">
        <f>IFERROR(VLOOKUP($C17,CUENTAS[],2,0),"")</f>
        <v/>
      </c>
      <c r="E17" s="28" t="str">
        <f>IFERROR(VLOOKUP($C17,CUENTAS[],3,0),"")</f>
        <v/>
      </c>
      <c r="F17" s="86"/>
      <c r="G17" s="86"/>
      <c r="H17" s="74"/>
      <c r="I17" s="200" t="str">
        <f t="shared" si="0"/>
        <v>CORRECTO</v>
      </c>
      <c r="J17" s="88"/>
      <c r="K17" s="69"/>
      <c r="L17" s="84"/>
      <c r="M17" s="135"/>
      <c r="N17" s="75"/>
      <c r="P17" s="89"/>
      <c r="Q17" s="89"/>
    </row>
    <row r="18" spans="1:17" x14ac:dyDescent="0.3">
      <c r="A18" s="16"/>
      <c r="B18" s="16"/>
      <c r="C18" s="28"/>
      <c r="D18" s="28" t="str">
        <f>IFERROR(VLOOKUP($C18,CUENTAS[],2,0),"")</f>
        <v/>
      </c>
      <c r="E18" s="28" t="str">
        <f>IFERROR(VLOOKUP($C18,CUENTAS[],3,0),"")</f>
        <v/>
      </c>
      <c r="F18" s="86"/>
      <c r="G18" s="86"/>
      <c r="H18" s="74"/>
      <c r="I18" s="200" t="str">
        <f t="shared" si="0"/>
        <v>CORRECTO</v>
      </c>
      <c r="J18" s="88"/>
      <c r="K18" s="69"/>
      <c r="L18" s="84"/>
      <c r="M18" s="135"/>
      <c r="N18" s="75"/>
      <c r="P18" s="89"/>
      <c r="Q18" s="89"/>
    </row>
    <row r="19" spans="1:17" x14ac:dyDescent="0.3">
      <c r="A19" s="16"/>
      <c r="B19" s="16"/>
      <c r="C19" s="28"/>
      <c r="D19" s="28" t="str">
        <f>IFERROR(VLOOKUP($C19,CUENTAS[],2,0),"")</f>
        <v/>
      </c>
      <c r="E19" s="28" t="str">
        <f>IFERROR(VLOOKUP($C19,CUENTAS[],3,0),"")</f>
        <v/>
      </c>
      <c r="F19" s="86"/>
      <c r="G19" s="86"/>
      <c r="H19" s="74"/>
      <c r="I19" s="200" t="str">
        <f t="shared" si="0"/>
        <v>CORRECTO</v>
      </c>
      <c r="J19" s="88"/>
      <c r="K19" s="69"/>
      <c r="L19" s="84"/>
      <c r="M19" s="136"/>
      <c r="N19" s="75"/>
      <c r="P19" s="89"/>
      <c r="Q19" s="89"/>
    </row>
    <row r="20" spans="1:17" x14ac:dyDescent="0.3">
      <c r="A20" s="16"/>
      <c r="B20" s="16"/>
      <c r="C20" s="28"/>
      <c r="D20" s="28" t="str">
        <f>IFERROR(VLOOKUP($C20,CUENTAS[],2,0),"")</f>
        <v/>
      </c>
      <c r="E20" s="28" t="str">
        <f>IFERROR(VLOOKUP($C20,CUENTAS[],3,0),"")</f>
        <v/>
      </c>
      <c r="F20" s="86"/>
      <c r="G20" s="86"/>
      <c r="H20" s="74"/>
      <c r="I20" s="200" t="str">
        <f t="shared" si="0"/>
        <v>CORRECTO</v>
      </c>
      <c r="J20" s="88"/>
      <c r="K20" s="69"/>
      <c r="L20" s="84"/>
      <c r="M20" s="136"/>
      <c r="N20" s="75"/>
      <c r="P20" s="89"/>
      <c r="Q20" s="89"/>
    </row>
    <row r="21" spans="1:17" x14ac:dyDescent="0.3">
      <c r="A21" s="16"/>
      <c r="B21" s="16"/>
      <c r="C21" s="28"/>
      <c r="D21" s="28" t="str">
        <f>IFERROR(VLOOKUP($C21,CUENTAS[],2,0),"")</f>
        <v/>
      </c>
      <c r="E21" s="28" t="str">
        <f>IFERROR(VLOOKUP($C21,CUENTAS[],3,0),"")</f>
        <v/>
      </c>
      <c r="F21" s="86"/>
      <c r="G21" s="86"/>
      <c r="H21" s="74"/>
      <c r="I21" s="200" t="str">
        <f t="shared" si="0"/>
        <v>CORRECTO</v>
      </c>
      <c r="J21" s="88"/>
      <c r="K21" s="69"/>
      <c r="L21" s="84"/>
      <c r="M21" s="135"/>
      <c r="N21" s="75"/>
      <c r="P21" s="89"/>
      <c r="Q21" s="89"/>
    </row>
    <row r="22" spans="1:17" x14ac:dyDescent="0.3">
      <c r="A22" s="16"/>
      <c r="B22" s="16"/>
      <c r="C22" s="28"/>
      <c r="D22" s="28" t="str">
        <f>IFERROR(VLOOKUP($C22,CUENTAS[],2,0),"")</f>
        <v/>
      </c>
      <c r="E22" s="28" t="str">
        <f>IFERROR(VLOOKUP($C22,CUENTAS[],3,0),"")</f>
        <v/>
      </c>
      <c r="F22" s="86"/>
      <c r="G22" s="86"/>
      <c r="H22" s="74"/>
      <c r="I22" s="200" t="str">
        <f t="shared" si="0"/>
        <v>CORRECTO</v>
      </c>
      <c r="J22" s="88"/>
      <c r="K22" s="69"/>
      <c r="L22" s="84"/>
      <c r="M22" s="135"/>
      <c r="N22" s="75"/>
      <c r="P22" s="89"/>
      <c r="Q22" s="89"/>
    </row>
    <row r="23" spans="1:17" x14ac:dyDescent="0.3">
      <c r="A23" s="16"/>
      <c r="B23" s="16"/>
      <c r="C23" s="28"/>
      <c r="D23" s="28" t="str">
        <f>IFERROR(VLOOKUP($C23,CUENTAS[],2,0),"")</f>
        <v/>
      </c>
      <c r="E23" s="28" t="str">
        <f>IFERROR(VLOOKUP($C23,CUENTAS[],3,0),"")</f>
        <v/>
      </c>
      <c r="F23" s="86"/>
      <c r="G23" s="86"/>
      <c r="H23" s="74"/>
      <c r="I23" s="200" t="str">
        <f t="shared" si="0"/>
        <v>CORRECTO</v>
      </c>
      <c r="J23" s="88"/>
      <c r="K23" s="69"/>
      <c r="L23" s="84"/>
      <c r="M23" s="135"/>
      <c r="N23" s="75"/>
      <c r="P23" s="89"/>
      <c r="Q23" s="89"/>
    </row>
    <row r="24" spans="1:17" x14ac:dyDescent="0.3">
      <c r="A24" s="16"/>
      <c r="B24" s="16"/>
      <c r="C24" s="28"/>
      <c r="D24" s="28" t="str">
        <f>IFERROR(VLOOKUP($C24,CUENTAS[],2,0),"")</f>
        <v/>
      </c>
      <c r="E24" s="28" t="str">
        <f>IFERROR(VLOOKUP($C24,CUENTAS[],3,0),"")</f>
        <v/>
      </c>
      <c r="F24" s="86"/>
      <c r="G24" s="86"/>
      <c r="H24" s="74"/>
      <c r="I24" s="200" t="str">
        <f t="shared" si="0"/>
        <v>CORRECTO</v>
      </c>
      <c r="J24" s="88"/>
      <c r="K24" s="69"/>
      <c r="L24" s="84"/>
      <c r="M24" s="135"/>
      <c r="N24" s="75"/>
      <c r="P24" s="89"/>
      <c r="Q24" s="89"/>
    </row>
    <row r="25" spans="1:17" x14ac:dyDescent="0.3">
      <c r="A25" s="16"/>
      <c r="B25" s="16"/>
      <c r="C25" s="28"/>
      <c r="D25" s="28" t="str">
        <f>IFERROR(VLOOKUP($C25,CUENTAS[],2,0),"")</f>
        <v/>
      </c>
      <c r="E25" s="28" t="str">
        <f>IFERROR(VLOOKUP($C25,CUENTAS[],3,0),"")</f>
        <v/>
      </c>
      <c r="F25" s="86"/>
      <c r="G25" s="86"/>
      <c r="H25" s="74"/>
      <c r="I25" s="200" t="str">
        <f t="shared" si="0"/>
        <v>CORRECTO</v>
      </c>
      <c r="J25" s="88"/>
      <c r="K25" s="69"/>
      <c r="L25" s="84"/>
      <c r="M25" s="135"/>
      <c r="N25" s="75"/>
      <c r="P25" s="89"/>
      <c r="Q25" s="89"/>
    </row>
    <row r="26" spans="1:17" x14ac:dyDescent="0.3">
      <c r="A26" s="16"/>
      <c r="B26" s="16"/>
      <c r="C26" s="28"/>
      <c r="D26" s="28" t="str">
        <f>IFERROR(VLOOKUP($C26,CUENTAS[],2,0),"")</f>
        <v/>
      </c>
      <c r="E26" s="28" t="str">
        <f>IFERROR(VLOOKUP($C26,CUENTAS[],3,0),"")</f>
        <v/>
      </c>
      <c r="F26" s="86"/>
      <c r="G26" s="86"/>
      <c r="H26" s="74"/>
      <c r="I26" s="200" t="str">
        <f t="shared" si="0"/>
        <v>CORRECTO</v>
      </c>
      <c r="J26" s="88"/>
      <c r="K26" s="69"/>
      <c r="L26" s="84"/>
      <c r="M26" s="135"/>
      <c r="N26" s="75"/>
      <c r="P26" s="89"/>
      <c r="Q26" s="89"/>
    </row>
    <row r="27" spans="1:17" x14ac:dyDescent="0.3">
      <c r="A27" s="16"/>
      <c r="B27" s="16"/>
      <c r="C27" s="28"/>
      <c r="D27" s="28" t="str">
        <f>IFERROR(VLOOKUP($C27,CUENTAS[],2,0),"")</f>
        <v/>
      </c>
      <c r="E27" s="28" t="str">
        <f>IFERROR(VLOOKUP($C27,CUENTAS[],3,0),"")</f>
        <v/>
      </c>
      <c r="F27" s="86"/>
      <c r="G27" s="87"/>
      <c r="H27" s="74"/>
      <c r="I27" s="200" t="str">
        <f t="shared" si="0"/>
        <v>CORRECTO</v>
      </c>
      <c r="J27" s="88"/>
      <c r="K27" s="69"/>
      <c r="L27" s="84"/>
      <c r="M27" s="135"/>
      <c r="N27" s="75"/>
      <c r="P27" s="89"/>
      <c r="Q27" s="89"/>
    </row>
    <row r="28" spans="1:17" x14ac:dyDescent="0.3">
      <c r="A28" s="16"/>
      <c r="B28" s="16"/>
      <c r="C28" s="28"/>
      <c r="D28" s="28" t="str">
        <f>IFERROR(VLOOKUP($C28,CUENTAS[],2,0),"")</f>
        <v/>
      </c>
      <c r="E28" s="28" t="str">
        <f>IFERROR(VLOOKUP($C28,CUENTAS[],3,0),"")</f>
        <v/>
      </c>
      <c r="F28" s="86"/>
      <c r="G28" s="87"/>
      <c r="H28" s="74"/>
      <c r="I28" s="200" t="str">
        <f t="shared" si="0"/>
        <v>CORRECTO</v>
      </c>
      <c r="J28" s="88"/>
      <c r="K28" s="69"/>
      <c r="L28" s="84"/>
      <c r="M28" s="135"/>
      <c r="N28" s="75"/>
      <c r="P28" s="89"/>
      <c r="Q28" s="89"/>
    </row>
    <row r="29" spans="1:17" x14ac:dyDescent="0.3">
      <c r="A29" s="16"/>
      <c r="B29" s="16"/>
      <c r="C29" s="28"/>
      <c r="D29" s="28" t="str">
        <f>IFERROR(VLOOKUP($C29,CUENTAS[],2,0),"")</f>
        <v/>
      </c>
      <c r="E29" s="28" t="str">
        <f>IFERROR(VLOOKUP($C29,CUENTAS[],3,0),"")</f>
        <v/>
      </c>
      <c r="F29" s="86"/>
      <c r="G29" s="87"/>
      <c r="H29" s="74"/>
      <c r="I29" s="200" t="str">
        <f t="shared" si="0"/>
        <v>CORRECTO</v>
      </c>
      <c r="J29" s="88"/>
      <c r="K29" s="69"/>
      <c r="L29" s="84"/>
      <c r="M29" s="135"/>
      <c r="N29" s="75"/>
      <c r="P29" s="89"/>
      <c r="Q29" s="89"/>
    </row>
    <row r="30" spans="1:17" x14ac:dyDescent="0.3">
      <c r="A30" s="16"/>
      <c r="B30" s="16"/>
      <c r="C30" s="28"/>
      <c r="D30" s="28" t="str">
        <f>IFERROR(VLOOKUP($C30,CUENTAS[],2,0),"")</f>
        <v/>
      </c>
      <c r="E30" s="28" t="str">
        <f>IFERROR(VLOOKUP($C30,CUENTAS[],3,0),"")</f>
        <v/>
      </c>
      <c r="F30" s="86"/>
      <c r="G30" s="87"/>
      <c r="H30" s="74"/>
      <c r="I30" s="200" t="str">
        <f t="shared" si="0"/>
        <v>CORRECTO</v>
      </c>
      <c r="J30" s="88"/>
      <c r="K30" s="69"/>
      <c r="L30" s="84"/>
      <c r="M30" s="135"/>
      <c r="N30" s="75"/>
      <c r="P30" s="89"/>
      <c r="Q30" s="89"/>
    </row>
    <row r="31" spans="1:17" x14ac:dyDescent="0.3">
      <c r="A31" s="16"/>
      <c r="B31" s="16"/>
      <c r="C31" s="28"/>
      <c r="D31" s="28" t="str">
        <f>IFERROR(VLOOKUP($C31,CUENTAS[],2,0),"")</f>
        <v/>
      </c>
      <c r="E31" s="28" t="str">
        <f>IFERROR(VLOOKUP($C31,CUENTAS[],3,0),"")</f>
        <v/>
      </c>
      <c r="F31" s="86"/>
      <c r="G31" s="87"/>
      <c r="H31" s="74"/>
      <c r="I31" s="200" t="str">
        <f t="shared" si="0"/>
        <v>CORRECTO</v>
      </c>
      <c r="J31" s="88"/>
      <c r="K31" s="69"/>
      <c r="L31" s="84"/>
      <c r="M31" s="135"/>
      <c r="N31" s="75"/>
      <c r="P31" s="89"/>
      <c r="Q31" s="89"/>
    </row>
    <row r="32" spans="1:17" x14ac:dyDescent="0.3">
      <c r="A32" s="16"/>
      <c r="B32" s="16"/>
      <c r="C32" s="28"/>
      <c r="D32" s="28" t="str">
        <f>IFERROR(VLOOKUP($C32,CUENTAS[],2,0),"")</f>
        <v/>
      </c>
      <c r="E32" s="28" t="str">
        <f>IFERROR(VLOOKUP($C32,CUENTAS[],3,0),"")</f>
        <v/>
      </c>
      <c r="F32" s="86"/>
      <c r="G32" s="87"/>
      <c r="H32" s="74"/>
      <c r="I32" s="200" t="str">
        <f t="shared" si="0"/>
        <v>CORRECTO</v>
      </c>
      <c r="J32" s="88"/>
      <c r="K32" s="69"/>
      <c r="L32" s="84"/>
      <c r="M32" s="135"/>
      <c r="N32" s="75"/>
      <c r="P32" s="89"/>
      <c r="Q32" s="89"/>
    </row>
    <row r="33" spans="1:17" x14ac:dyDescent="0.3">
      <c r="A33" s="16"/>
      <c r="B33" s="16"/>
      <c r="C33" s="28"/>
      <c r="D33" s="28" t="str">
        <f>IFERROR(VLOOKUP($C33,CUENTAS[],2,0),"")</f>
        <v/>
      </c>
      <c r="E33" s="28" t="str">
        <f>IFERROR(VLOOKUP($C33,CUENTAS[],3,0),"")</f>
        <v/>
      </c>
      <c r="F33" s="86"/>
      <c r="G33" s="87"/>
      <c r="H33" s="74"/>
      <c r="I33" s="200" t="str">
        <f t="shared" si="0"/>
        <v>CORRECTO</v>
      </c>
      <c r="J33" s="88"/>
      <c r="K33" s="69"/>
      <c r="L33" s="84"/>
      <c r="M33" s="135"/>
      <c r="N33" s="75"/>
      <c r="P33" s="89"/>
      <c r="Q33" s="89"/>
    </row>
    <row r="34" spans="1:17" x14ac:dyDescent="0.3">
      <c r="A34" s="16"/>
      <c r="B34" s="16"/>
      <c r="C34" s="28"/>
      <c r="D34" s="28" t="str">
        <f>IFERROR(VLOOKUP($C34,CUENTAS[],2,0),"")</f>
        <v/>
      </c>
      <c r="E34" s="28" t="str">
        <f>IFERROR(VLOOKUP($C34,CUENTAS[],3,0),"")</f>
        <v/>
      </c>
      <c r="F34" s="86"/>
      <c r="G34" s="87"/>
      <c r="H34" s="74"/>
      <c r="I34" s="200" t="str">
        <f t="shared" si="0"/>
        <v>CORRECTO</v>
      </c>
      <c r="J34" s="88"/>
      <c r="K34" s="69"/>
      <c r="L34" s="84"/>
      <c r="M34" s="135"/>
      <c r="N34" s="75"/>
      <c r="P34" s="89"/>
      <c r="Q34" s="89"/>
    </row>
    <row r="35" spans="1:17" x14ac:dyDescent="0.3">
      <c r="A35" s="16"/>
      <c r="B35" s="16"/>
      <c r="C35" s="28"/>
      <c r="D35" s="28" t="str">
        <f>IFERROR(VLOOKUP($C35,CUENTAS[],2,0),"")</f>
        <v/>
      </c>
      <c r="E35" s="28" t="str">
        <f>IFERROR(VLOOKUP($C35,CUENTAS[],3,0),"")</f>
        <v/>
      </c>
      <c r="F35" s="86"/>
      <c r="G35" s="87"/>
      <c r="H35" s="74"/>
      <c r="I35" s="200" t="str">
        <f t="shared" si="0"/>
        <v>CORRECTO</v>
      </c>
      <c r="J35" s="88"/>
      <c r="K35" s="69"/>
      <c r="L35" s="84"/>
      <c r="M35" s="136"/>
      <c r="N35" s="75"/>
      <c r="P35" s="89"/>
      <c r="Q35" s="89"/>
    </row>
    <row r="36" spans="1:17" x14ac:dyDescent="0.3">
      <c r="A36" s="16"/>
      <c r="B36" s="16"/>
      <c r="C36" s="28"/>
      <c r="D36" s="28" t="str">
        <f>IFERROR(VLOOKUP($C36,CUENTAS[],2,0),"")</f>
        <v/>
      </c>
      <c r="E36" s="28" t="str">
        <f>IFERROR(VLOOKUP($C36,CUENTAS[],3,0),"")</f>
        <v/>
      </c>
      <c r="F36" s="86"/>
      <c r="G36" s="87"/>
      <c r="H36" s="74"/>
      <c r="I36" s="200" t="str">
        <f t="shared" si="0"/>
        <v>CORRECTO</v>
      </c>
      <c r="J36" s="88"/>
      <c r="K36" s="69"/>
      <c r="L36" s="84"/>
      <c r="M36" s="135"/>
      <c r="N36" s="75"/>
      <c r="P36" s="89"/>
      <c r="Q36" s="89"/>
    </row>
    <row r="37" spans="1:17" x14ac:dyDescent="0.3">
      <c r="A37" s="16"/>
      <c r="B37" s="16"/>
      <c r="C37" s="28"/>
      <c r="D37" s="28" t="str">
        <f>IFERROR(VLOOKUP($C37,CUENTAS[],2,0),"")</f>
        <v/>
      </c>
      <c r="E37" s="28" t="str">
        <f>IFERROR(VLOOKUP($C37,CUENTAS[],3,0),"")</f>
        <v/>
      </c>
      <c r="F37" s="86"/>
      <c r="G37" s="87"/>
      <c r="H37" s="74"/>
      <c r="I37" s="200" t="str">
        <f t="shared" si="0"/>
        <v>CORRECTO</v>
      </c>
      <c r="J37" s="88"/>
      <c r="K37" s="69"/>
      <c r="L37" s="84"/>
      <c r="M37" s="135"/>
      <c r="N37" s="75"/>
      <c r="P37" s="89"/>
      <c r="Q37" s="89"/>
    </row>
    <row r="38" spans="1:17" x14ac:dyDescent="0.3">
      <c r="A38" s="16"/>
      <c r="B38" s="16"/>
      <c r="C38" s="28"/>
      <c r="D38" s="28" t="str">
        <f>IFERROR(VLOOKUP($C38,CUENTAS[],2,0),"")</f>
        <v/>
      </c>
      <c r="E38" s="28" t="str">
        <f>IFERROR(VLOOKUP($C38,CUENTAS[],3,0),"")</f>
        <v/>
      </c>
      <c r="F38" s="86"/>
      <c r="G38" s="87"/>
      <c r="H38" s="74"/>
      <c r="I38" s="200" t="str">
        <f t="shared" si="0"/>
        <v>CORRECTO</v>
      </c>
      <c r="J38" s="88"/>
      <c r="K38" s="69"/>
      <c r="L38" s="84"/>
      <c r="M38" s="135"/>
      <c r="N38" s="75"/>
      <c r="P38" s="89"/>
      <c r="Q38" s="89"/>
    </row>
    <row r="39" spans="1:17" x14ac:dyDescent="0.3">
      <c r="A39" s="16"/>
      <c r="B39" s="16"/>
      <c r="C39" s="28"/>
      <c r="D39" s="28" t="str">
        <f>IFERROR(VLOOKUP($C39,CUENTAS[],2,0),"")</f>
        <v/>
      </c>
      <c r="E39" s="28" t="str">
        <f>IFERROR(VLOOKUP($C39,CUENTAS[],3,0),"")</f>
        <v/>
      </c>
      <c r="F39" s="86"/>
      <c r="G39" s="87"/>
      <c r="H39" s="74"/>
      <c r="I39" s="200" t="str">
        <f t="shared" si="0"/>
        <v>CORRECTO</v>
      </c>
      <c r="J39" s="88"/>
      <c r="K39" s="69"/>
      <c r="L39" s="84"/>
      <c r="M39" s="135"/>
      <c r="N39" s="75"/>
      <c r="P39" s="89"/>
      <c r="Q39" s="89"/>
    </row>
    <row r="40" spans="1:17" x14ac:dyDescent="0.3">
      <c r="A40" s="16"/>
      <c r="B40" s="16"/>
      <c r="C40" s="28"/>
      <c r="D40" s="28" t="str">
        <f>IFERROR(VLOOKUP($C40,CUENTAS[],2,0),"")</f>
        <v/>
      </c>
      <c r="E40" s="28" t="str">
        <f>IFERROR(VLOOKUP($C40,CUENTAS[],3,0),"")</f>
        <v/>
      </c>
      <c r="F40" s="86"/>
      <c r="G40" s="87"/>
      <c r="H40" s="74"/>
      <c r="I40" s="200" t="str">
        <f t="shared" si="0"/>
        <v>CORRECTO</v>
      </c>
      <c r="J40" s="88"/>
      <c r="K40" s="69"/>
      <c r="L40" s="84"/>
      <c r="M40" s="135"/>
      <c r="N40" s="75"/>
      <c r="P40" s="89"/>
      <c r="Q40" s="89"/>
    </row>
    <row r="41" spans="1:17" x14ac:dyDescent="0.3">
      <c r="A41" s="16"/>
      <c r="B41" s="16"/>
      <c r="C41" s="28"/>
      <c r="D41" s="28" t="str">
        <f>IFERROR(VLOOKUP($C41,CUENTAS[],2,0),"")</f>
        <v/>
      </c>
      <c r="E41" s="28" t="str">
        <f>IFERROR(VLOOKUP($C41,CUENTAS[],3,0),"")</f>
        <v/>
      </c>
      <c r="F41" s="86"/>
      <c r="G41" s="87"/>
      <c r="H41" s="74"/>
      <c r="I41" s="200" t="str">
        <f t="shared" si="0"/>
        <v>CORRECTO</v>
      </c>
      <c r="J41" s="88"/>
      <c r="K41" s="69"/>
      <c r="L41" s="84"/>
      <c r="M41" s="135"/>
      <c r="N41" s="75"/>
      <c r="P41" s="89"/>
      <c r="Q41" s="89"/>
    </row>
    <row r="42" spans="1:17" x14ac:dyDescent="0.3">
      <c r="A42" s="16"/>
      <c r="B42" s="16"/>
      <c r="C42" s="28"/>
      <c r="D42" s="28" t="str">
        <f>IFERROR(VLOOKUP($C42,CUENTAS[],2,0),"")</f>
        <v/>
      </c>
      <c r="E42" s="28" t="str">
        <f>IFERROR(VLOOKUP($C42,CUENTAS[],3,0),"")</f>
        <v/>
      </c>
      <c r="F42" s="86"/>
      <c r="G42" s="87"/>
      <c r="H42" s="74"/>
      <c r="I42" s="200" t="str">
        <f t="shared" si="0"/>
        <v>CORRECTO</v>
      </c>
      <c r="J42" s="88"/>
      <c r="K42" s="69"/>
      <c r="L42" s="84"/>
      <c r="M42" s="135"/>
      <c r="N42" s="75"/>
      <c r="P42" s="89"/>
      <c r="Q42" s="89"/>
    </row>
    <row r="43" spans="1:17" x14ac:dyDescent="0.3">
      <c r="A43" s="16"/>
      <c r="B43" s="16"/>
      <c r="C43" s="28"/>
      <c r="D43" s="28" t="str">
        <f>IFERROR(VLOOKUP($C43,CUENTAS[],2,0),"")</f>
        <v/>
      </c>
      <c r="E43" s="28" t="str">
        <f>IFERROR(VLOOKUP($C43,CUENTAS[],3,0),"")</f>
        <v/>
      </c>
      <c r="F43" s="86"/>
      <c r="G43" s="87"/>
      <c r="H43" s="74"/>
      <c r="I43" s="200" t="str">
        <f t="shared" si="0"/>
        <v>CORRECTO</v>
      </c>
      <c r="J43" s="88"/>
      <c r="K43" s="69"/>
      <c r="L43" s="84"/>
      <c r="M43" s="135"/>
      <c r="N43" s="75"/>
      <c r="P43" s="89"/>
      <c r="Q43" s="89"/>
    </row>
    <row r="44" spans="1:17" x14ac:dyDescent="0.3">
      <c r="A44" s="16"/>
      <c r="B44" s="16"/>
      <c r="C44" s="28"/>
      <c r="D44" s="28" t="str">
        <f>IFERROR(VLOOKUP($C44,CUENTAS[],2,0),"")</f>
        <v/>
      </c>
      <c r="E44" s="28" t="str">
        <f>IFERROR(VLOOKUP($C44,CUENTAS[],3,0),"")</f>
        <v/>
      </c>
      <c r="F44" s="86"/>
      <c r="G44" s="87"/>
      <c r="H44" s="74"/>
      <c r="I44" s="200" t="str">
        <f t="shared" si="0"/>
        <v>CORRECTO</v>
      </c>
      <c r="J44" s="88"/>
      <c r="K44" s="69"/>
      <c r="L44" s="84"/>
      <c r="M44" s="135"/>
      <c r="N44" s="75"/>
      <c r="P44" s="89"/>
      <c r="Q44" s="89"/>
    </row>
    <row r="45" spans="1:17" x14ac:dyDescent="0.3">
      <c r="A45" s="16"/>
      <c r="B45" s="16"/>
      <c r="C45" s="28"/>
      <c r="D45" s="28" t="str">
        <f>IFERROR(VLOOKUP($C45,CUENTAS[],2,0),"")</f>
        <v/>
      </c>
      <c r="E45" s="28" t="str">
        <f>IFERROR(VLOOKUP($C45,CUENTAS[],3,0),"")</f>
        <v/>
      </c>
      <c r="F45" s="86"/>
      <c r="G45" s="87"/>
      <c r="H45" s="74"/>
      <c r="I45" s="200" t="str">
        <f t="shared" si="0"/>
        <v>CORRECTO</v>
      </c>
      <c r="J45" s="88"/>
      <c r="K45" s="69"/>
      <c r="L45" s="84"/>
      <c r="M45" s="136"/>
      <c r="N45" s="75"/>
      <c r="P45" s="89"/>
      <c r="Q45" s="89"/>
    </row>
    <row r="46" spans="1:17" x14ac:dyDescent="0.3">
      <c r="A46" s="16"/>
      <c r="B46" s="16"/>
      <c r="C46" s="28"/>
      <c r="D46" s="28" t="str">
        <f>IFERROR(VLOOKUP($C46,CUENTAS[],2,0),"")</f>
        <v/>
      </c>
      <c r="E46" s="28" t="str">
        <f>IFERROR(VLOOKUP($C46,CUENTAS[],3,0),"")</f>
        <v/>
      </c>
      <c r="F46" s="86"/>
      <c r="G46" s="87"/>
      <c r="H46" s="74"/>
      <c r="I46" s="200" t="str">
        <f t="shared" si="0"/>
        <v>CORRECTO</v>
      </c>
      <c r="J46" s="88"/>
      <c r="K46" s="69"/>
      <c r="L46" s="84"/>
      <c r="M46" s="135"/>
      <c r="N46" s="75"/>
      <c r="P46" s="89"/>
      <c r="Q46" s="89"/>
    </row>
    <row r="47" spans="1:17" x14ac:dyDescent="0.3">
      <c r="A47" s="16"/>
      <c r="B47" s="16"/>
      <c r="C47" s="28"/>
      <c r="D47" s="28" t="str">
        <f>IFERROR(VLOOKUP($C47,CUENTAS[],2,0),"")</f>
        <v/>
      </c>
      <c r="E47" s="28" t="str">
        <f>IFERROR(VLOOKUP($C47,CUENTAS[],3,0),"")</f>
        <v/>
      </c>
      <c r="F47" s="86"/>
      <c r="G47" s="87"/>
      <c r="H47" s="74"/>
      <c r="I47" s="200" t="str">
        <f t="shared" si="0"/>
        <v>CORRECTO</v>
      </c>
      <c r="J47" s="88"/>
      <c r="K47" s="69"/>
      <c r="L47" s="84"/>
      <c r="M47" s="135"/>
      <c r="N47" s="75"/>
      <c r="P47" s="89"/>
      <c r="Q47" s="89"/>
    </row>
    <row r="48" spans="1:17" x14ac:dyDescent="0.3">
      <c r="A48" s="16"/>
      <c r="B48" s="16"/>
      <c r="C48" s="28"/>
      <c r="D48" s="28" t="str">
        <f>IFERROR(VLOOKUP($C48,CUENTAS[],2,0),"")</f>
        <v/>
      </c>
      <c r="E48" s="28" t="str">
        <f>IFERROR(VLOOKUP($C48,CUENTAS[],3,0),"")</f>
        <v/>
      </c>
      <c r="F48" s="86"/>
      <c r="G48" s="87"/>
      <c r="H48" s="74"/>
      <c r="I48" s="200" t="str">
        <f t="shared" si="0"/>
        <v>CORRECTO</v>
      </c>
      <c r="J48" s="88"/>
      <c r="K48" s="69"/>
      <c r="L48" s="84"/>
      <c r="M48" s="135"/>
      <c r="N48" s="75"/>
      <c r="P48" s="89"/>
      <c r="Q48" s="89"/>
    </row>
    <row r="49" spans="1:17" x14ac:dyDescent="0.3">
      <c r="A49" s="16"/>
      <c r="B49" s="16"/>
      <c r="C49" s="28"/>
      <c r="D49" s="28" t="str">
        <f>IFERROR(VLOOKUP($C49,CUENTAS[],2,0),"")</f>
        <v/>
      </c>
      <c r="E49" s="28" t="str">
        <f>IFERROR(VLOOKUP($C49,CUENTAS[],3,0),"")</f>
        <v/>
      </c>
      <c r="F49" s="86"/>
      <c r="G49" s="87"/>
      <c r="H49" s="74"/>
      <c r="I49" s="200" t="str">
        <f t="shared" si="0"/>
        <v>CORRECTO</v>
      </c>
      <c r="J49" s="88"/>
      <c r="K49" s="69"/>
      <c r="L49" s="84"/>
      <c r="M49" s="135"/>
      <c r="N49" s="75"/>
      <c r="P49" s="89"/>
      <c r="Q49" s="89"/>
    </row>
    <row r="50" spans="1:17" x14ac:dyDescent="0.3">
      <c r="A50" s="16"/>
      <c r="B50" s="16"/>
      <c r="C50" s="28"/>
      <c r="D50" s="28" t="str">
        <f>IFERROR(VLOOKUP($C50,CUENTAS[],2,0),"")</f>
        <v/>
      </c>
      <c r="E50" s="28" t="str">
        <f>IFERROR(VLOOKUP($C50,CUENTAS[],3,0),"")</f>
        <v/>
      </c>
      <c r="F50" s="86"/>
      <c r="G50" s="87"/>
      <c r="H50" s="74"/>
      <c r="I50" s="200" t="str">
        <f t="shared" si="0"/>
        <v>CORRECTO</v>
      </c>
      <c r="J50" s="88"/>
      <c r="K50" s="69"/>
      <c r="L50" s="84"/>
      <c r="M50" s="135"/>
      <c r="N50" s="75"/>
      <c r="P50" s="89"/>
      <c r="Q50" s="89"/>
    </row>
    <row r="51" spans="1:17" x14ac:dyDescent="0.3">
      <c r="A51" s="16"/>
      <c r="B51" s="16"/>
      <c r="C51" s="28"/>
      <c r="D51" s="28" t="str">
        <f>IFERROR(VLOOKUP($C51,CUENTAS[],2,0),"")</f>
        <v/>
      </c>
      <c r="E51" s="28" t="str">
        <f>IFERROR(VLOOKUP($C51,CUENTAS[],3,0),"")</f>
        <v/>
      </c>
      <c r="F51" s="86"/>
      <c r="G51" s="87"/>
      <c r="H51" s="74"/>
      <c r="I51" s="200" t="str">
        <f t="shared" si="0"/>
        <v>CORRECTO</v>
      </c>
      <c r="J51" s="88"/>
      <c r="K51" s="69"/>
      <c r="L51" s="84"/>
      <c r="M51" s="136"/>
      <c r="N51" s="75"/>
      <c r="P51" s="89"/>
      <c r="Q51" s="89"/>
    </row>
    <row r="52" spans="1:17" x14ac:dyDescent="0.3">
      <c r="A52" s="16"/>
      <c r="B52" s="16"/>
      <c r="C52" s="28"/>
      <c r="D52" s="28" t="str">
        <f>IFERROR(VLOOKUP($C52,CUENTAS[],2,0),"")</f>
        <v/>
      </c>
      <c r="E52" s="28" t="str">
        <f>IFERROR(VLOOKUP($C52,CUENTAS[],3,0),"")</f>
        <v/>
      </c>
      <c r="F52" s="86"/>
      <c r="G52" s="87"/>
      <c r="H52" s="74"/>
      <c r="I52" s="200" t="str">
        <f t="shared" si="0"/>
        <v>CORRECTO</v>
      </c>
      <c r="J52" s="88"/>
      <c r="K52" s="69"/>
      <c r="L52" s="84"/>
      <c r="M52" s="135"/>
      <c r="N52" s="75"/>
      <c r="P52" s="89"/>
      <c r="Q52" s="89"/>
    </row>
    <row r="53" spans="1:17" x14ac:dyDescent="0.3">
      <c r="A53" s="16"/>
      <c r="B53" s="16"/>
      <c r="C53" s="28"/>
      <c r="D53" s="28" t="str">
        <f>IFERROR(VLOOKUP($C53,CUENTAS[],2,0),"")</f>
        <v/>
      </c>
      <c r="E53" s="28" t="str">
        <f>IFERROR(VLOOKUP($C53,CUENTAS[],3,0),"")</f>
        <v/>
      </c>
      <c r="F53" s="86"/>
      <c r="G53" s="87"/>
      <c r="H53" s="74"/>
      <c r="I53" s="200" t="str">
        <f t="shared" si="0"/>
        <v>CORRECTO</v>
      </c>
      <c r="J53" s="88"/>
      <c r="K53" s="69"/>
      <c r="L53" s="84"/>
      <c r="M53" s="135"/>
      <c r="N53" s="75"/>
      <c r="P53" s="89"/>
      <c r="Q53" s="89"/>
    </row>
    <row r="54" spans="1:17" x14ac:dyDescent="0.3">
      <c r="A54" s="16"/>
      <c r="B54" s="16"/>
      <c r="C54" s="28"/>
      <c r="D54" s="28" t="str">
        <f>IFERROR(VLOOKUP($C54,CUENTAS[],2,0),"")</f>
        <v/>
      </c>
      <c r="E54" s="28" t="str">
        <f>IFERROR(VLOOKUP($C54,CUENTAS[],3,0),"")</f>
        <v/>
      </c>
      <c r="F54" s="86"/>
      <c r="G54" s="87"/>
      <c r="H54" s="74"/>
      <c r="I54" s="200" t="str">
        <f t="shared" si="0"/>
        <v>CORRECTO</v>
      </c>
      <c r="J54" s="88"/>
      <c r="K54" s="69"/>
      <c r="L54" s="84"/>
      <c r="M54" s="135"/>
      <c r="N54" s="75"/>
      <c r="P54" s="89"/>
      <c r="Q54" s="89"/>
    </row>
    <row r="55" spans="1:17" x14ac:dyDescent="0.3">
      <c r="A55" s="16"/>
      <c r="B55" s="16"/>
      <c r="C55" s="28"/>
      <c r="D55" s="28" t="str">
        <f>IFERROR(VLOOKUP($C55,CUENTAS[],2,0),"")</f>
        <v/>
      </c>
      <c r="E55" s="28" t="str">
        <f>IFERROR(VLOOKUP($C55,CUENTAS[],3,0),"")</f>
        <v/>
      </c>
      <c r="F55" s="86"/>
      <c r="G55" s="87"/>
      <c r="H55" s="74"/>
      <c r="I55" s="200" t="str">
        <f t="shared" si="0"/>
        <v>CORRECTO</v>
      </c>
      <c r="J55" s="88"/>
      <c r="K55" s="69"/>
      <c r="L55" s="84"/>
      <c r="M55" s="135"/>
      <c r="N55" s="75"/>
      <c r="P55" s="89"/>
      <c r="Q55" s="89"/>
    </row>
    <row r="56" spans="1:17" x14ac:dyDescent="0.3">
      <c r="A56" s="16"/>
      <c r="B56" s="16"/>
      <c r="C56" s="28"/>
      <c r="D56" s="28" t="str">
        <f>IFERROR(VLOOKUP($C56,CUENTAS[],2,0),"")</f>
        <v/>
      </c>
      <c r="E56" s="28" t="str">
        <f>IFERROR(VLOOKUP($C56,CUENTAS[],3,0),"")</f>
        <v/>
      </c>
      <c r="F56" s="86"/>
      <c r="G56" s="87"/>
      <c r="H56" s="74"/>
      <c r="I56" s="200" t="str">
        <f t="shared" si="0"/>
        <v>CORRECTO</v>
      </c>
      <c r="J56" s="88"/>
      <c r="K56" s="69"/>
      <c r="L56" s="84"/>
      <c r="M56" s="135"/>
      <c r="N56" s="75"/>
      <c r="P56" s="89"/>
      <c r="Q56" s="89"/>
    </row>
    <row r="57" spans="1:17" x14ac:dyDescent="0.3">
      <c r="A57" s="16"/>
      <c r="B57" s="16"/>
      <c r="C57" s="28"/>
      <c r="D57" s="28" t="str">
        <f>IFERROR(VLOOKUP($C57,CUENTAS[],2,0),"")</f>
        <v/>
      </c>
      <c r="E57" s="28" t="str">
        <f>IFERROR(VLOOKUP($C57,CUENTAS[],3,0),"")</f>
        <v/>
      </c>
      <c r="F57" s="86"/>
      <c r="G57" s="87"/>
      <c r="H57" s="74"/>
      <c r="I57" s="200" t="str">
        <f t="shared" si="0"/>
        <v>CORRECTO</v>
      </c>
      <c r="J57" s="88"/>
      <c r="K57" s="69"/>
      <c r="L57" s="84"/>
      <c r="M57" s="139"/>
      <c r="N57" s="75"/>
      <c r="P57" s="89"/>
      <c r="Q57" s="89"/>
    </row>
    <row r="58" spans="1:17" x14ac:dyDescent="0.3">
      <c r="A58" s="16"/>
      <c r="B58" s="16"/>
      <c r="C58" s="28"/>
      <c r="D58" s="28" t="str">
        <f>IFERROR(VLOOKUP($C58,CUENTAS[],2,0),"")</f>
        <v/>
      </c>
      <c r="E58" s="28" t="str">
        <f>IFERROR(VLOOKUP($C58,CUENTAS[],3,0),"")</f>
        <v/>
      </c>
      <c r="F58" s="86"/>
      <c r="G58" s="87"/>
      <c r="H58" s="74"/>
      <c r="I58" s="200" t="str">
        <f t="shared" si="0"/>
        <v>CORRECTO</v>
      </c>
      <c r="J58" s="88"/>
      <c r="K58" s="69"/>
      <c r="L58" s="84"/>
      <c r="M58" s="139"/>
      <c r="N58" s="75"/>
      <c r="P58" s="89"/>
      <c r="Q58" s="89"/>
    </row>
    <row r="59" spans="1:17" x14ac:dyDescent="0.3">
      <c r="A59" s="16"/>
      <c r="B59" s="16"/>
      <c r="C59" s="28"/>
      <c r="D59" s="28" t="str">
        <f>IFERROR(VLOOKUP($C59,CUENTAS[],2,0),"")</f>
        <v/>
      </c>
      <c r="E59" s="28" t="str">
        <f>IFERROR(VLOOKUP($C59,CUENTAS[],3,0),"")</f>
        <v/>
      </c>
      <c r="F59" s="86"/>
      <c r="G59" s="87"/>
      <c r="H59" s="74"/>
      <c r="I59" s="200" t="str">
        <f t="shared" si="0"/>
        <v>CORRECTO</v>
      </c>
      <c r="J59" s="88"/>
      <c r="K59" s="69"/>
      <c r="L59" s="84"/>
      <c r="M59" s="137"/>
      <c r="N59" s="75"/>
      <c r="P59" s="89"/>
      <c r="Q59" s="89"/>
    </row>
    <row r="60" spans="1:17" x14ac:dyDescent="0.3">
      <c r="A60" s="16"/>
      <c r="B60" s="16"/>
      <c r="C60" s="28"/>
      <c r="D60" s="28" t="str">
        <f>IFERROR(VLOOKUP($C60,CUENTAS[],2,0),"")</f>
        <v/>
      </c>
      <c r="E60" s="28" t="str">
        <f>IFERROR(VLOOKUP($C60,CUENTAS[],3,0),"")</f>
        <v/>
      </c>
      <c r="F60" s="86"/>
      <c r="G60" s="87"/>
      <c r="H60" s="74"/>
      <c r="I60" s="200" t="str">
        <f t="shared" si="0"/>
        <v>CORRECTO</v>
      </c>
      <c r="J60" s="88"/>
      <c r="K60" s="69"/>
      <c r="L60" s="84"/>
      <c r="M60" s="140"/>
      <c r="N60" s="75"/>
      <c r="P60" s="134"/>
      <c r="Q60" s="89"/>
    </row>
    <row r="61" spans="1:17" x14ac:dyDescent="0.3">
      <c r="A61" s="16"/>
      <c r="B61" s="16"/>
      <c r="C61" s="28"/>
      <c r="D61" s="28" t="str">
        <f>IFERROR(VLOOKUP($C61,CUENTAS[],2,0),"")</f>
        <v/>
      </c>
      <c r="E61" s="28" t="str">
        <f>IFERROR(VLOOKUP($C61,CUENTAS[],3,0),"")</f>
        <v/>
      </c>
      <c r="F61" s="86"/>
      <c r="G61" s="87"/>
      <c r="H61" s="74"/>
      <c r="I61" s="200" t="str">
        <f t="shared" si="0"/>
        <v>CORRECTO</v>
      </c>
      <c r="J61" s="88"/>
      <c r="K61" s="69"/>
      <c r="L61" s="84"/>
      <c r="M61" s="137"/>
      <c r="N61" s="75"/>
      <c r="P61" s="89"/>
      <c r="Q61" s="89"/>
    </row>
    <row r="62" spans="1:17" x14ac:dyDescent="0.3">
      <c r="A62" s="16"/>
      <c r="B62" s="16"/>
      <c r="C62" s="28"/>
      <c r="D62" s="28" t="str">
        <f>IFERROR(VLOOKUP($C62,CUENTAS[],2,0),"")</f>
        <v/>
      </c>
      <c r="E62" s="28" t="str">
        <f>IFERROR(VLOOKUP($C62,CUENTAS[],3,0),"")</f>
        <v/>
      </c>
      <c r="F62" s="86"/>
      <c r="G62" s="87"/>
      <c r="H62" s="74"/>
      <c r="I62" s="200" t="str">
        <f t="shared" si="0"/>
        <v>CORRECTO</v>
      </c>
      <c r="J62" s="88"/>
      <c r="K62" s="69"/>
      <c r="L62" s="84"/>
      <c r="M62" s="139"/>
      <c r="N62" s="75"/>
      <c r="P62" s="89"/>
      <c r="Q62" s="89"/>
    </row>
    <row r="63" spans="1:17" x14ac:dyDescent="0.3">
      <c r="A63" s="16"/>
      <c r="B63" s="16"/>
      <c r="C63" s="28"/>
      <c r="D63" s="28" t="str">
        <f>IFERROR(VLOOKUP($C63,CUENTAS[],2,0),"")</f>
        <v/>
      </c>
      <c r="E63" s="28" t="str">
        <f>IFERROR(VLOOKUP($C63,CUENTAS[],3,0),"")</f>
        <v/>
      </c>
      <c r="F63" s="86"/>
      <c r="G63" s="87"/>
      <c r="H63" s="74"/>
      <c r="I63" s="200" t="str">
        <f t="shared" si="0"/>
        <v>CORRECTO</v>
      </c>
      <c r="J63" s="88"/>
      <c r="K63" s="69"/>
      <c r="L63" s="84"/>
      <c r="M63" s="139"/>
      <c r="N63" s="75"/>
      <c r="P63" s="89"/>
      <c r="Q63" s="89"/>
    </row>
    <row r="64" spans="1:17" x14ac:dyDescent="0.3">
      <c r="A64" s="16"/>
      <c r="B64" s="16"/>
      <c r="C64" s="28"/>
      <c r="D64" s="28" t="str">
        <f>IFERROR(VLOOKUP($C64,CUENTAS[],2,0),"")</f>
        <v/>
      </c>
      <c r="E64" s="28" t="str">
        <f>IFERROR(VLOOKUP($C64,CUENTAS[],3,0),"")</f>
        <v/>
      </c>
      <c r="F64" s="86"/>
      <c r="G64" s="87"/>
      <c r="H64" s="74"/>
      <c r="I64" s="200" t="str">
        <f t="shared" si="0"/>
        <v>CORRECTO</v>
      </c>
      <c r="J64" s="88"/>
      <c r="K64" s="69"/>
      <c r="L64" s="84"/>
      <c r="M64" s="139"/>
      <c r="N64" s="75"/>
      <c r="P64" s="89"/>
      <c r="Q64" s="89"/>
    </row>
    <row r="65" spans="1:17" x14ac:dyDescent="0.3">
      <c r="A65" s="16"/>
      <c r="B65" s="16"/>
      <c r="C65" s="28"/>
      <c r="D65" s="28" t="str">
        <f>IFERROR(VLOOKUP($C65,CUENTAS[],2,0),"")</f>
        <v/>
      </c>
      <c r="E65" s="28" t="str">
        <f>IFERROR(VLOOKUP($C65,CUENTAS[],3,0),"")</f>
        <v/>
      </c>
      <c r="F65" s="86"/>
      <c r="G65" s="87"/>
      <c r="H65" s="74"/>
      <c r="I65" s="200" t="str">
        <f t="shared" si="0"/>
        <v>CORRECTO</v>
      </c>
      <c r="J65" s="88"/>
      <c r="K65" s="69"/>
      <c r="L65" s="84"/>
      <c r="M65" s="139"/>
      <c r="N65" s="75"/>
      <c r="P65" s="89"/>
      <c r="Q65" s="89"/>
    </row>
    <row r="66" spans="1:17" x14ac:dyDescent="0.3">
      <c r="A66" s="16"/>
      <c r="B66" s="16"/>
      <c r="C66" s="28"/>
      <c r="D66" s="28" t="str">
        <f>IFERROR(VLOOKUP($C66,CUENTAS[],2,0),"")</f>
        <v/>
      </c>
      <c r="E66" s="28" t="str">
        <f>IFERROR(VLOOKUP($C66,CUENTAS[],3,0),"")</f>
        <v/>
      </c>
      <c r="F66" s="86"/>
      <c r="G66" s="87"/>
      <c r="H66" s="74"/>
      <c r="I66" s="200" t="str">
        <f t="shared" si="0"/>
        <v>CORRECTO</v>
      </c>
      <c r="J66" s="88"/>
      <c r="K66" s="69"/>
      <c r="L66" s="84"/>
      <c r="M66" s="139"/>
      <c r="N66" s="75"/>
      <c r="P66" s="89"/>
      <c r="Q66" s="89"/>
    </row>
    <row r="67" spans="1:17" x14ac:dyDescent="0.3">
      <c r="A67" s="16"/>
      <c r="B67" s="16"/>
      <c r="C67" s="28"/>
      <c r="D67" s="28" t="str">
        <f>IFERROR(VLOOKUP($C67,CUENTAS[],2,0),"")</f>
        <v/>
      </c>
      <c r="E67" s="28" t="str">
        <f>IFERROR(VLOOKUP($C67,CUENTAS[],3,0),"")</f>
        <v/>
      </c>
      <c r="F67" s="86"/>
      <c r="G67" s="87"/>
      <c r="H67" s="74"/>
      <c r="I67" s="200" t="str">
        <f t="shared" ref="I67:I89" si="1">IFERROR(IF(F67+G67&lt;&gt;H67,"REVISAR","CORRECTO"),"")</f>
        <v>CORRECTO</v>
      </c>
      <c r="J67" s="88"/>
      <c r="K67" s="69"/>
      <c r="L67" s="84"/>
      <c r="M67" s="139"/>
      <c r="N67" s="75"/>
      <c r="P67" s="89"/>
      <c r="Q67" s="89"/>
    </row>
    <row r="68" spans="1:17" x14ac:dyDescent="0.3">
      <c r="A68" s="16"/>
      <c r="B68" s="16"/>
      <c r="C68" s="28"/>
      <c r="D68" s="28" t="str">
        <f>IFERROR(VLOOKUP($C68,CUENTAS[],2,0),"")</f>
        <v/>
      </c>
      <c r="E68" s="28" t="str">
        <f>IFERROR(VLOOKUP($C68,CUENTAS[],3,0),"")</f>
        <v/>
      </c>
      <c r="F68" s="86"/>
      <c r="G68" s="87"/>
      <c r="H68" s="74"/>
      <c r="I68" s="200" t="str">
        <f t="shared" si="1"/>
        <v>CORRECTO</v>
      </c>
      <c r="J68" s="88"/>
      <c r="K68" s="69"/>
      <c r="L68" s="84"/>
      <c r="M68" s="139"/>
      <c r="N68" s="75"/>
      <c r="P68" s="89"/>
      <c r="Q68" s="89"/>
    </row>
    <row r="69" spans="1:17" x14ac:dyDescent="0.3">
      <c r="A69" s="16"/>
      <c r="B69" s="16"/>
      <c r="C69" s="28"/>
      <c r="D69" s="28" t="str">
        <f>IFERROR(VLOOKUP($C69,CUENTAS[],2,0),"")</f>
        <v/>
      </c>
      <c r="E69" s="28" t="str">
        <f>IFERROR(VLOOKUP($C69,CUENTAS[],3,0),"")</f>
        <v/>
      </c>
      <c r="F69" s="86"/>
      <c r="G69" s="87"/>
      <c r="H69" s="74"/>
      <c r="I69" s="200" t="str">
        <f t="shared" si="1"/>
        <v>CORRECTO</v>
      </c>
      <c r="J69" s="88"/>
      <c r="K69" s="69"/>
      <c r="L69" s="84"/>
      <c r="M69" s="139"/>
      <c r="N69" s="75"/>
      <c r="P69" s="89"/>
      <c r="Q69" s="89"/>
    </row>
    <row r="70" spans="1:17" x14ac:dyDescent="0.3">
      <c r="A70" s="16"/>
      <c r="B70" s="16"/>
      <c r="C70" s="28"/>
      <c r="D70" s="28" t="str">
        <f>IFERROR(VLOOKUP($C70,CUENTAS[],2,0),"")</f>
        <v/>
      </c>
      <c r="E70" s="28" t="str">
        <f>IFERROR(VLOOKUP($C70,CUENTAS[],3,0),"")</f>
        <v/>
      </c>
      <c r="F70" s="86"/>
      <c r="G70" s="87"/>
      <c r="H70" s="74"/>
      <c r="I70" s="200" t="str">
        <f t="shared" si="1"/>
        <v>CORRECTO</v>
      </c>
      <c r="J70" s="88"/>
      <c r="K70" s="69"/>
      <c r="L70" s="84"/>
      <c r="M70" s="139"/>
      <c r="N70" s="75"/>
      <c r="P70" s="89"/>
      <c r="Q70" s="89"/>
    </row>
    <row r="71" spans="1:17" x14ac:dyDescent="0.3">
      <c r="A71" s="16"/>
      <c r="B71" s="16"/>
      <c r="C71" s="28"/>
      <c r="D71" s="28" t="str">
        <f>IFERROR(VLOOKUP($C71,CUENTAS[],2,0),"")</f>
        <v/>
      </c>
      <c r="E71" s="28" t="str">
        <f>IFERROR(VLOOKUP($C71,CUENTAS[],3,0),"")</f>
        <v/>
      </c>
      <c r="F71" s="86"/>
      <c r="G71" s="87"/>
      <c r="H71" s="74"/>
      <c r="I71" s="200" t="str">
        <f t="shared" si="1"/>
        <v>CORRECTO</v>
      </c>
      <c r="J71" s="88"/>
      <c r="K71" s="69"/>
      <c r="L71" s="84"/>
      <c r="M71" s="139"/>
      <c r="N71" s="75"/>
      <c r="P71" s="89"/>
      <c r="Q71" s="89"/>
    </row>
    <row r="72" spans="1:17" x14ac:dyDescent="0.3">
      <c r="A72" s="16"/>
      <c r="B72" s="16"/>
      <c r="C72" s="28"/>
      <c r="D72" s="28" t="str">
        <f>IFERROR(VLOOKUP($C72,CUENTAS[],2,0),"")</f>
        <v/>
      </c>
      <c r="E72" s="28" t="str">
        <f>IFERROR(VLOOKUP($C72,CUENTAS[],3,0),"")</f>
        <v/>
      </c>
      <c r="F72" s="86"/>
      <c r="G72" s="87"/>
      <c r="H72" s="74"/>
      <c r="I72" s="200" t="str">
        <f t="shared" si="1"/>
        <v>CORRECTO</v>
      </c>
      <c r="J72" s="88"/>
      <c r="K72" s="69"/>
      <c r="L72" s="84"/>
      <c r="M72" s="137"/>
      <c r="N72" s="75"/>
      <c r="P72" s="89"/>
      <c r="Q72" s="89"/>
    </row>
    <row r="73" spans="1:17" x14ac:dyDescent="0.3">
      <c r="A73" s="16"/>
      <c r="B73" s="16"/>
      <c r="C73" s="28"/>
      <c r="D73" s="28" t="str">
        <f>IFERROR(VLOOKUP($C73,CUENTAS[],2,0),"")</f>
        <v/>
      </c>
      <c r="E73" s="28" t="str">
        <f>IFERROR(VLOOKUP($C73,CUENTAS[],3,0),"")</f>
        <v/>
      </c>
      <c r="F73" s="86"/>
      <c r="G73" s="87"/>
      <c r="H73" s="74"/>
      <c r="I73" s="200" t="str">
        <f t="shared" si="1"/>
        <v>CORRECTO</v>
      </c>
      <c r="J73" s="88"/>
      <c r="K73" s="69"/>
      <c r="L73" s="84"/>
      <c r="M73" s="137"/>
      <c r="N73" s="75"/>
      <c r="P73" s="89"/>
      <c r="Q73" s="89"/>
    </row>
    <row r="74" spans="1:17" x14ac:dyDescent="0.3">
      <c r="A74" s="16"/>
      <c r="B74" s="16"/>
      <c r="C74" s="28"/>
      <c r="D74" s="28" t="str">
        <f>IFERROR(VLOOKUP($C74,CUENTAS[],2,0),"")</f>
        <v/>
      </c>
      <c r="E74" s="28" t="str">
        <f>IFERROR(VLOOKUP($C74,CUENTAS[],3,0),"")</f>
        <v/>
      </c>
      <c r="F74" s="86"/>
      <c r="G74" s="87"/>
      <c r="H74" s="74"/>
      <c r="I74" s="200" t="str">
        <f t="shared" si="1"/>
        <v>CORRECTO</v>
      </c>
      <c r="J74" s="88"/>
      <c r="K74" s="69"/>
      <c r="L74" s="84"/>
      <c r="M74" s="139"/>
      <c r="N74" s="75"/>
      <c r="P74" s="89"/>
      <c r="Q74" s="89"/>
    </row>
    <row r="75" spans="1:17" x14ac:dyDescent="0.3">
      <c r="A75" s="16"/>
      <c r="B75" s="16"/>
      <c r="C75" s="28"/>
      <c r="D75" s="28" t="str">
        <f>IFERROR(VLOOKUP($C75,CUENTAS[],2,0),"")</f>
        <v/>
      </c>
      <c r="E75" s="28" t="str">
        <f>IFERROR(VLOOKUP($C75,CUENTAS[],3,0),"")</f>
        <v/>
      </c>
      <c r="F75" s="86"/>
      <c r="G75" s="87"/>
      <c r="H75" s="74"/>
      <c r="I75" s="200" t="str">
        <f t="shared" si="1"/>
        <v>CORRECTO</v>
      </c>
      <c r="J75" s="88"/>
      <c r="K75" s="69"/>
      <c r="L75" s="84"/>
      <c r="M75" s="137"/>
      <c r="N75" s="75"/>
      <c r="P75" s="89"/>
      <c r="Q75" s="89"/>
    </row>
    <row r="76" spans="1:17" x14ac:dyDescent="0.3">
      <c r="A76" s="16"/>
      <c r="B76" s="16"/>
      <c r="C76" s="28"/>
      <c r="D76" s="28" t="str">
        <f>IFERROR(VLOOKUP($C76,CUENTAS[],2,0),"")</f>
        <v/>
      </c>
      <c r="E76" s="28" t="str">
        <f>IFERROR(VLOOKUP($C76,CUENTAS[],3,0),"")</f>
        <v/>
      </c>
      <c r="F76" s="86"/>
      <c r="G76" s="87"/>
      <c r="H76" s="74"/>
      <c r="I76" s="200" t="str">
        <f t="shared" si="1"/>
        <v>CORRECTO</v>
      </c>
      <c r="J76" s="88"/>
      <c r="K76" s="69"/>
      <c r="L76" s="84"/>
      <c r="M76" s="137"/>
      <c r="N76" s="75"/>
      <c r="P76" s="89"/>
      <c r="Q76" s="89"/>
    </row>
    <row r="77" spans="1:17" x14ac:dyDescent="0.3">
      <c r="A77" s="16"/>
      <c r="B77" s="16"/>
      <c r="C77" s="28"/>
      <c r="D77" s="28" t="str">
        <f>IFERROR(VLOOKUP($C77,CUENTAS[],2,0),"")</f>
        <v/>
      </c>
      <c r="E77" s="28" t="str">
        <f>IFERROR(VLOOKUP($C77,CUENTAS[],3,0),"")</f>
        <v/>
      </c>
      <c r="F77" s="86"/>
      <c r="G77" s="87"/>
      <c r="H77" s="74"/>
      <c r="I77" s="200" t="str">
        <f t="shared" si="1"/>
        <v>CORRECTO</v>
      </c>
      <c r="J77" s="88"/>
      <c r="K77" s="69"/>
      <c r="L77" s="84"/>
      <c r="M77" s="137"/>
      <c r="N77" s="75"/>
      <c r="P77" s="89"/>
      <c r="Q77" s="89"/>
    </row>
    <row r="78" spans="1:17" x14ac:dyDescent="0.3">
      <c r="A78" s="16"/>
      <c r="B78" s="16"/>
      <c r="C78" s="28"/>
      <c r="D78" s="28" t="str">
        <f>IFERROR(VLOOKUP($C78,CUENTAS[],2,0),"")</f>
        <v/>
      </c>
      <c r="E78" s="28" t="str">
        <f>IFERROR(VLOOKUP($C78,CUENTAS[],3,0),"")</f>
        <v/>
      </c>
      <c r="F78" s="86"/>
      <c r="G78" s="87"/>
      <c r="H78" s="74"/>
      <c r="I78" s="200" t="str">
        <f t="shared" si="1"/>
        <v>CORRECTO</v>
      </c>
      <c r="J78" s="88"/>
      <c r="K78" s="69"/>
      <c r="L78" s="84"/>
      <c r="M78" s="137"/>
      <c r="N78" s="75"/>
      <c r="P78" s="89"/>
      <c r="Q78" s="89"/>
    </row>
    <row r="79" spans="1:17" x14ac:dyDescent="0.3">
      <c r="A79" s="16"/>
      <c r="B79" s="16"/>
      <c r="C79" s="28"/>
      <c r="D79" s="28" t="str">
        <f>IFERROR(VLOOKUP($C79,CUENTAS[],2,0),"")</f>
        <v/>
      </c>
      <c r="E79" s="28" t="str">
        <f>IFERROR(VLOOKUP($C79,CUENTAS[],3,0),"")</f>
        <v/>
      </c>
      <c r="F79" s="86"/>
      <c r="G79" s="87"/>
      <c r="H79" s="74"/>
      <c r="I79" s="200" t="str">
        <f t="shared" si="1"/>
        <v>CORRECTO</v>
      </c>
      <c r="J79" s="88"/>
      <c r="K79" s="69"/>
      <c r="L79" s="84"/>
      <c r="M79" s="137"/>
      <c r="N79" s="75"/>
      <c r="P79" s="89"/>
      <c r="Q79" s="89"/>
    </row>
    <row r="80" spans="1:17" x14ac:dyDescent="0.3">
      <c r="A80" s="16"/>
      <c r="B80" s="16"/>
      <c r="C80" s="28"/>
      <c r="D80" s="28" t="str">
        <f>IFERROR(VLOOKUP($C80,CUENTAS[],2,0),"")</f>
        <v/>
      </c>
      <c r="E80" s="28" t="str">
        <f>IFERROR(VLOOKUP($C80,CUENTAS[],3,0),"")</f>
        <v/>
      </c>
      <c r="F80" s="86"/>
      <c r="G80" s="87"/>
      <c r="H80" s="74"/>
      <c r="I80" s="200" t="str">
        <f t="shared" si="1"/>
        <v>CORRECTO</v>
      </c>
      <c r="J80" s="88"/>
      <c r="K80" s="69"/>
      <c r="L80" s="84"/>
      <c r="M80" s="139"/>
      <c r="N80" s="75"/>
      <c r="P80" s="89"/>
      <c r="Q80" s="89"/>
    </row>
    <row r="81" spans="1:17" x14ac:dyDescent="0.3">
      <c r="A81" s="16"/>
      <c r="B81" s="16"/>
      <c r="C81" s="28"/>
      <c r="D81" s="28" t="str">
        <f>IFERROR(VLOOKUP($C81,CUENTAS[],2,0),"")</f>
        <v/>
      </c>
      <c r="E81" s="28" t="str">
        <f>IFERROR(VLOOKUP($C81,CUENTAS[],3,0),"")</f>
        <v/>
      </c>
      <c r="F81" s="86"/>
      <c r="G81" s="87"/>
      <c r="H81" s="74"/>
      <c r="I81" s="200" t="str">
        <f t="shared" si="1"/>
        <v>CORRECTO</v>
      </c>
      <c r="J81" s="88"/>
      <c r="K81" s="69"/>
      <c r="L81" s="84"/>
      <c r="M81" s="139"/>
      <c r="N81" s="75"/>
      <c r="P81" s="89"/>
      <c r="Q81" s="89"/>
    </row>
    <row r="82" spans="1:17" x14ac:dyDescent="0.3">
      <c r="A82" s="16"/>
      <c r="B82" s="16"/>
      <c r="C82" s="28"/>
      <c r="D82" s="28" t="str">
        <f>IFERROR(VLOOKUP($C82,CUENTAS[],2,0),"")</f>
        <v/>
      </c>
      <c r="E82" s="28" t="str">
        <f>IFERROR(VLOOKUP($C82,CUENTAS[],3,0),"")</f>
        <v/>
      </c>
      <c r="F82" s="87"/>
      <c r="G82" s="87"/>
      <c r="H82" s="74"/>
      <c r="I82" s="200" t="str">
        <f t="shared" si="1"/>
        <v>CORRECTO</v>
      </c>
      <c r="J82" s="88"/>
      <c r="K82" s="69"/>
      <c r="L82" s="84"/>
      <c r="M82" s="139"/>
      <c r="N82" s="75"/>
      <c r="P82" s="89"/>
      <c r="Q82" s="89"/>
    </row>
    <row r="83" spans="1:17" x14ac:dyDescent="0.3">
      <c r="A83" s="16"/>
      <c r="B83" s="16"/>
      <c r="C83" s="28"/>
      <c r="D83" s="28" t="str">
        <f>IFERROR(VLOOKUP($C83,CUENTAS[],2,0),"")</f>
        <v/>
      </c>
      <c r="E83" s="28" t="str">
        <f>IFERROR(VLOOKUP($C83,CUENTAS[],3,0),"")</f>
        <v/>
      </c>
      <c r="F83" s="87"/>
      <c r="G83" s="87"/>
      <c r="H83" s="66"/>
      <c r="I83" s="200" t="str">
        <f t="shared" si="1"/>
        <v>CORRECTO</v>
      </c>
      <c r="J83" s="88"/>
      <c r="K83" s="69"/>
      <c r="L83" s="84"/>
      <c r="M83" s="138"/>
      <c r="N83" s="75"/>
      <c r="P83" s="89"/>
      <c r="Q83" s="89"/>
    </row>
    <row r="84" spans="1:17" x14ac:dyDescent="0.3">
      <c r="A84" s="16"/>
      <c r="B84" s="16"/>
      <c r="C84" s="28"/>
      <c r="D84" s="28" t="str">
        <f>IFERROR(VLOOKUP($C84,CUENTAS[],2,0),"")</f>
        <v/>
      </c>
      <c r="E84" s="28" t="str">
        <f>IFERROR(VLOOKUP($C84,CUENTAS[],3,0),"")</f>
        <v/>
      </c>
      <c r="F84" s="86"/>
      <c r="G84" s="87"/>
      <c r="H84" s="74"/>
      <c r="I84" s="200" t="str">
        <f t="shared" si="1"/>
        <v>CORRECTO</v>
      </c>
      <c r="J84" s="88"/>
      <c r="K84" s="69"/>
      <c r="L84" s="84"/>
      <c r="M84" s="135"/>
      <c r="N84" s="75"/>
      <c r="P84" s="89"/>
      <c r="Q84" s="89"/>
    </row>
    <row r="85" spans="1:17" x14ac:dyDescent="0.3">
      <c r="A85" s="16"/>
      <c r="B85" s="16"/>
      <c r="C85" s="28"/>
      <c r="D85" s="28" t="str">
        <f>IFERROR(VLOOKUP($C85,CUENTAS[],2,0),"")</f>
        <v/>
      </c>
      <c r="E85" s="28" t="str">
        <f>IFERROR(VLOOKUP($C85,CUENTAS[],3,0),"")</f>
        <v/>
      </c>
      <c r="F85" s="86"/>
      <c r="G85" s="87"/>
      <c r="H85" s="74"/>
      <c r="I85" s="200" t="str">
        <f t="shared" si="1"/>
        <v>CORRECTO</v>
      </c>
      <c r="J85" s="88"/>
      <c r="K85" s="69"/>
      <c r="L85" s="84"/>
      <c r="M85" s="135"/>
      <c r="N85" s="75"/>
      <c r="P85" s="89"/>
      <c r="Q85" s="89"/>
    </row>
    <row r="86" spans="1:17" x14ac:dyDescent="0.3">
      <c r="A86" s="16"/>
      <c r="B86" s="16"/>
      <c r="C86" s="28"/>
      <c r="D86" s="28" t="str">
        <f>IFERROR(VLOOKUP($C86,CUENTAS[],2,0),"")</f>
        <v/>
      </c>
      <c r="E86" s="28" t="str">
        <f>IFERROR(VLOOKUP($C86,CUENTAS[],3,0),"")</f>
        <v/>
      </c>
      <c r="F86" s="86"/>
      <c r="G86" s="87"/>
      <c r="H86" s="74"/>
      <c r="I86" s="200" t="str">
        <f t="shared" si="1"/>
        <v>CORRECTO</v>
      </c>
      <c r="J86" s="88"/>
      <c r="K86" s="69"/>
      <c r="L86" s="84"/>
      <c r="M86" s="135"/>
      <c r="N86" s="75"/>
      <c r="P86" s="89"/>
      <c r="Q86" s="89"/>
    </row>
    <row r="87" spans="1:17" x14ac:dyDescent="0.3">
      <c r="A87" s="16"/>
      <c r="B87" s="16"/>
      <c r="C87" s="28"/>
      <c r="D87" s="28" t="str">
        <f>IFERROR(VLOOKUP($C87,CUENTAS[],2,0),"")</f>
        <v/>
      </c>
      <c r="E87" s="28" t="str">
        <f>IFERROR(VLOOKUP($C87,CUENTAS[],3,0),"")</f>
        <v/>
      </c>
      <c r="F87" s="86"/>
      <c r="G87" s="87"/>
      <c r="H87" s="74"/>
      <c r="I87" s="200" t="str">
        <f t="shared" si="1"/>
        <v>CORRECTO</v>
      </c>
      <c r="J87" s="88"/>
      <c r="K87" s="69"/>
      <c r="L87" s="84"/>
      <c r="M87" s="135"/>
      <c r="N87" s="75"/>
      <c r="P87" s="89"/>
      <c r="Q87" s="89"/>
    </row>
    <row r="88" spans="1:17" x14ac:dyDescent="0.3">
      <c r="A88" s="16"/>
      <c r="B88" s="16"/>
      <c r="C88" s="28"/>
      <c r="D88" s="28" t="str">
        <f>IFERROR(VLOOKUP($C88,CUENTAS[],2,0),"")</f>
        <v/>
      </c>
      <c r="E88" s="28" t="str">
        <f>IFERROR(VLOOKUP($C88,CUENTAS[],3,0),"")</f>
        <v/>
      </c>
      <c r="F88" s="87"/>
      <c r="G88" s="96"/>
      <c r="H88" s="66"/>
      <c r="I88" s="200" t="str">
        <f t="shared" si="1"/>
        <v>CORRECTO</v>
      </c>
      <c r="J88" s="88"/>
      <c r="K88" s="69"/>
      <c r="L88" s="95"/>
      <c r="M88" s="76"/>
      <c r="N88" s="18"/>
      <c r="Q88" s="89"/>
    </row>
    <row r="89" spans="1:17" x14ac:dyDescent="0.3">
      <c r="A89" s="19"/>
      <c r="B89" s="19"/>
      <c r="C89" s="28"/>
      <c r="D89" s="28" t="str">
        <f>IFERROR(VLOOKUP($C89,CUENTAS[],2,0),"")</f>
        <v/>
      </c>
      <c r="E89" s="28" t="str">
        <f>IFERROR(VLOOKUP($C89,CUENTAS[],3,0),"")</f>
        <v/>
      </c>
      <c r="F89" s="87"/>
      <c r="G89" s="96"/>
      <c r="H89" s="66"/>
      <c r="I89" s="200" t="str">
        <f t="shared" si="1"/>
        <v>CORRECTO</v>
      </c>
      <c r="J89" s="88"/>
      <c r="K89" s="69"/>
      <c r="L89" s="95"/>
      <c r="M89" s="17"/>
      <c r="N89" s="18"/>
      <c r="Q89" s="89"/>
    </row>
    <row r="90" spans="1:17" x14ac:dyDescent="0.3">
      <c r="A90" s="77"/>
      <c r="B90" s="106"/>
      <c r="F90" s="124"/>
      <c r="G90" s="125"/>
      <c r="J90" s="125"/>
      <c r="L90" s="107"/>
      <c r="M90" s="108"/>
      <c r="N90" s="108"/>
    </row>
    <row r="91" spans="1:17" x14ac:dyDescent="0.3">
      <c r="A91" s="77"/>
      <c r="B91" s="106"/>
      <c r="F91" s="124"/>
      <c r="G91" s="125"/>
      <c r="J91" s="125"/>
      <c r="L91" s="107"/>
      <c r="M91" s="108"/>
      <c r="N91" s="108"/>
    </row>
    <row r="92" spans="1:17" x14ac:dyDescent="0.3">
      <c r="A92" s="77"/>
      <c r="B92" s="106"/>
      <c r="F92" s="124"/>
      <c r="G92" s="125"/>
      <c r="J92" s="125"/>
      <c r="L92" s="107"/>
      <c r="M92" s="108"/>
      <c r="N92" s="108"/>
    </row>
    <row r="93" spans="1:17" x14ac:dyDescent="0.3">
      <c r="A93" s="77"/>
      <c r="B93" s="106"/>
      <c r="F93" s="124"/>
      <c r="G93" s="125"/>
      <c r="J93" s="125"/>
      <c r="L93" s="107"/>
      <c r="M93" s="108"/>
      <c r="N93" s="108"/>
    </row>
    <row r="94" spans="1:17" x14ac:dyDescent="0.3">
      <c r="A94" s="77"/>
      <c r="B94" s="106"/>
      <c r="F94" s="124"/>
      <c r="G94" s="125"/>
      <c r="J94" s="125"/>
      <c r="L94" s="107"/>
      <c r="M94" s="108"/>
      <c r="N94" s="108"/>
    </row>
    <row r="95" spans="1:17" x14ac:dyDescent="0.3">
      <c r="A95" s="77"/>
      <c r="B95" s="106"/>
      <c r="F95" s="124"/>
      <c r="G95" s="125"/>
      <c r="J95" s="125"/>
      <c r="L95" s="107"/>
      <c r="M95" s="108"/>
      <c r="N95" s="108"/>
    </row>
    <row r="96" spans="1:17" x14ac:dyDescent="0.3">
      <c r="A96" s="77"/>
      <c r="B96" s="106"/>
      <c r="F96" s="124"/>
      <c r="G96" s="125"/>
      <c r="J96" s="125"/>
      <c r="L96" s="107"/>
      <c r="M96" s="108"/>
      <c r="N96" s="108"/>
    </row>
    <row r="97" spans="1:14" x14ac:dyDescent="0.3">
      <c r="A97" s="77"/>
      <c r="B97" s="106"/>
      <c r="F97" s="124"/>
      <c r="G97" s="125"/>
      <c r="J97" s="125"/>
      <c r="L97" s="107"/>
      <c r="M97" s="108"/>
      <c r="N97" s="108"/>
    </row>
    <row r="98" spans="1:14" x14ac:dyDescent="0.3">
      <c r="A98" s="77"/>
      <c r="B98" s="106"/>
      <c r="F98" s="124"/>
      <c r="G98" s="125"/>
      <c r="J98" s="125"/>
      <c r="L98" s="107"/>
      <c r="M98" s="108"/>
      <c r="N98" s="108"/>
    </row>
    <row r="99" spans="1:14" x14ac:dyDescent="0.3">
      <c r="A99" s="77"/>
      <c r="B99" s="106"/>
      <c r="F99" s="124"/>
      <c r="G99" s="125"/>
      <c r="J99" s="125"/>
      <c r="L99" s="107"/>
      <c r="M99" s="108"/>
      <c r="N99" s="108"/>
    </row>
    <row r="100" spans="1:14" x14ac:dyDescent="0.3">
      <c r="A100" s="77"/>
      <c r="B100" s="106"/>
      <c r="F100" s="124"/>
      <c r="G100" s="125"/>
      <c r="J100" s="125"/>
      <c r="L100" s="107"/>
      <c r="M100" s="108"/>
      <c r="N100" s="108"/>
    </row>
    <row r="101" spans="1:14" x14ac:dyDescent="0.3">
      <c r="A101" s="77"/>
      <c r="B101" s="106"/>
      <c r="F101" s="124"/>
      <c r="G101" s="125"/>
      <c r="J101" s="125"/>
      <c r="L101" s="107"/>
      <c r="M101" s="108"/>
      <c r="N101" s="108"/>
    </row>
    <row r="102" spans="1:14" x14ac:dyDescent="0.3">
      <c r="A102" s="77"/>
      <c r="B102" s="106"/>
      <c r="F102" s="124"/>
      <c r="G102" s="125"/>
      <c r="J102" s="125"/>
      <c r="L102" s="107"/>
      <c r="M102" s="108"/>
      <c r="N102" s="108"/>
    </row>
    <row r="103" spans="1:14" x14ac:dyDescent="0.3">
      <c r="A103" s="77"/>
      <c r="B103" s="106"/>
      <c r="F103" s="124"/>
      <c r="G103" s="125"/>
      <c r="J103" s="125"/>
      <c r="L103" s="107"/>
      <c r="M103" s="108"/>
      <c r="N103" s="108"/>
    </row>
    <row r="104" spans="1:14" x14ac:dyDescent="0.3">
      <c r="A104" s="77"/>
      <c r="B104" s="106"/>
      <c r="F104" s="124"/>
      <c r="G104" s="125"/>
      <c r="J104" s="125"/>
      <c r="L104" s="107"/>
      <c r="M104" s="108"/>
      <c r="N104" s="108"/>
    </row>
    <row r="105" spans="1:14" x14ac:dyDescent="0.3">
      <c r="A105" s="77"/>
      <c r="B105" s="106"/>
      <c r="F105" s="124"/>
      <c r="G105" s="125"/>
      <c r="J105" s="125"/>
      <c r="L105" s="107"/>
      <c r="M105" s="108"/>
      <c r="N105" s="108"/>
    </row>
    <row r="106" spans="1:14" x14ac:dyDescent="0.3">
      <c r="A106" s="77"/>
      <c r="B106" s="106"/>
      <c r="F106" s="124"/>
      <c r="G106" s="125"/>
      <c r="J106" s="125"/>
      <c r="L106" s="107"/>
      <c r="M106" s="108"/>
      <c r="N106" s="108"/>
    </row>
    <row r="107" spans="1:14" x14ac:dyDescent="0.3">
      <c r="A107" s="77"/>
      <c r="B107" s="106"/>
      <c r="F107" s="124"/>
      <c r="G107" s="125"/>
      <c r="J107" s="125"/>
      <c r="L107" s="107"/>
      <c r="M107" s="108"/>
      <c r="N107" s="108"/>
    </row>
    <row r="108" spans="1:14" x14ac:dyDescent="0.3">
      <c r="A108" s="77"/>
      <c r="B108" s="106"/>
      <c r="F108" s="124"/>
      <c r="G108" s="125"/>
      <c r="J108" s="125"/>
      <c r="L108" s="107"/>
      <c r="M108" s="108"/>
      <c r="N108" s="108"/>
    </row>
    <row r="109" spans="1:14" x14ac:dyDescent="0.3">
      <c r="A109" s="77"/>
      <c r="B109" s="106"/>
      <c r="F109" s="124"/>
      <c r="G109" s="125"/>
      <c r="J109" s="125"/>
      <c r="L109" s="107"/>
      <c r="M109" s="108"/>
      <c r="N109" s="108"/>
    </row>
    <row r="110" spans="1:14" x14ac:dyDescent="0.3">
      <c r="A110" s="77"/>
      <c r="B110" s="106"/>
      <c r="F110" s="124"/>
      <c r="G110" s="125"/>
      <c r="J110" s="125"/>
      <c r="L110" s="107"/>
      <c r="M110" s="108"/>
      <c r="N110" s="108"/>
    </row>
    <row r="111" spans="1:14" x14ac:dyDescent="0.3">
      <c r="A111" s="77"/>
      <c r="B111" s="106"/>
      <c r="F111" s="124"/>
      <c r="G111" s="125"/>
      <c r="J111" s="125"/>
      <c r="L111" s="107"/>
      <c r="M111" s="108"/>
      <c r="N111" s="108"/>
    </row>
    <row r="112" spans="1:14" x14ac:dyDescent="0.3">
      <c r="A112" s="77"/>
      <c r="B112" s="106"/>
      <c r="F112" s="124"/>
      <c r="G112" s="125"/>
      <c r="J112" s="125"/>
      <c r="L112" s="107"/>
      <c r="M112" s="108"/>
      <c r="N112" s="108"/>
    </row>
    <row r="113" spans="1:14" x14ac:dyDescent="0.3">
      <c r="A113" s="77"/>
      <c r="B113" s="106"/>
      <c r="F113" s="124"/>
      <c r="G113" s="125"/>
      <c r="J113" s="125"/>
      <c r="L113" s="107"/>
      <c r="M113" s="108"/>
      <c r="N113" s="108"/>
    </row>
    <row r="114" spans="1:14" x14ac:dyDescent="0.3">
      <c r="A114" s="77"/>
      <c r="B114" s="106"/>
      <c r="F114" s="124"/>
      <c r="G114" s="125"/>
      <c r="J114" s="125"/>
      <c r="L114" s="107"/>
      <c r="M114" s="108"/>
      <c r="N114" s="108"/>
    </row>
    <row r="115" spans="1:14" x14ac:dyDescent="0.3">
      <c r="A115" s="77"/>
      <c r="B115" s="106"/>
      <c r="F115" s="124"/>
      <c r="G115" s="125"/>
      <c r="J115" s="125"/>
      <c r="L115" s="107"/>
      <c r="M115" s="108"/>
      <c r="N115" s="108"/>
    </row>
    <row r="116" spans="1:14" x14ac:dyDescent="0.3">
      <c r="A116" s="77"/>
      <c r="B116" s="106"/>
      <c r="F116" s="124"/>
      <c r="G116" s="125"/>
      <c r="J116" s="125"/>
      <c r="L116" s="107"/>
      <c r="M116" s="108"/>
      <c r="N116" s="108"/>
    </row>
    <row r="117" spans="1:14" x14ac:dyDescent="0.3">
      <c r="A117" s="77"/>
      <c r="B117" s="106"/>
      <c r="F117" s="124"/>
      <c r="G117" s="125"/>
      <c r="J117" s="125"/>
      <c r="L117" s="107"/>
      <c r="M117" s="108"/>
      <c r="N117" s="108"/>
    </row>
    <row r="118" spans="1:14" x14ac:dyDescent="0.3">
      <c r="A118" s="77"/>
      <c r="B118" s="106"/>
      <c r="F118" s="124"/>
      <c r="G118" s="125"/>
      <c r="J118" s="125"/>
      <c r="L118" s="107"/>
      <c r="M118" s="108"/>
      <c r="N118" s="108"/>
    </row>
    <row r="119" spans="1:14" x14ac:dyDescent="0.3">
      <c r="A119" s="77"/>
      <c r="B119" s="106"/>
      <c r="F119" s="124"/>
      <c r="G119" s="125"/>
      <c r="J119" s="125"/>
      <c r="L119" s="107"/>
      <c r="M119" s="108"/>
      <c r="N119" s="108"/>
    </row>
    <row r="120" spans="1:14" x14ac:dyDescent="0.3">
      <c r="A120" s="77"/>
      <c r="B120" s="106"/>
      <c r="F120" s="124"/>
      <c r="G120" s="125"/>
      <c r="J120" s="125"/>
      <c r="L120" s="107"/>
      <c r="M120" s="108"/>
      <c r="N120" s="108"/>
    </row>
    <row r="121" spans="1:14" x14ac:dyDescent="0.3">
      <c r="A121" s="77"/>
      <c r="B121" s="106"/>
      <c r="F121" s="124"/>
      <c r="G121" s="125"/>
      <c r="J121" s="125"/>
      <c r="L121" s="107"/>
      <c r="M121" s="108"/>
      <c r="N121" s="108"/>
    </row>
    <row r="122" spans="1:14" x14ac:dyDescent="0.3">
      <c r="A122" s="77"/>
      <c r="B122" s="106"/>
      <c r="F122" s="124"/>
      <c r="G122" s="125"/>
      <c r="J122" s="125"/>
      <c r="L122" s="107"/>
      <c r="M122" s="108"/>
      <c r="N122" s="108"/>
    </row>
    <row r="123" spans="1:14" x14ac:dyDescent="0.3">
      <c r="A123" s="77"/>
      <c r="B123" s="106"/>
      <c r="F123" s="124"/>
      <c r="G123" s="125"/>
      <c r="J123" s="125"/>
      <c r="L123" s="107"/>
      <c r="M123" s="108"/>
      <c r="N123" s="108"/>
    </row>
    <row r="124" spans="1:14" x14ac:dyDescent="0.3">
      <c r="A124" s="77"/>
      <c r="B124" s="106"/>
      <c r="F124" s="124"/>
      <c r="G124" s="125"/>
      <c r="J124" s="125"/>
      <c r="L124" s="107"/>
      <c r="M124" s="108"/>
      <c r="N124" s="108"/>
    </row>
    <row r="125" spans="1:14" x14ac:dyDescent="0.3">
      <c r="A125" s="77"/>
      <c r="B125" s="106"/>
      <c r="F125" s="124"/>
      <c r="G125" s="125"/>
      <c r="J125" s="125"/>
      <c r="L125" s="107"/>
      <c r="M125" s="108"/>
      <c r="N125" s="108"/>
    </row>
    <row r="126" spans="1:14" x14ac:dyDescent="0.3">
      <c r="A126" s="77"/>
      <c r="B126" s="106"/>
      <c r="F126" s="124"/>
      <c r="G126" s="125"/>
      <c r="J126" s="125"/>
      <c r="L126" s="107"/>
      <c r="M126" s="108"/>
      <c r="N126" s="108"/>
    </row>
    <row r="127" spans="1:14" x14ac:dyDescent="0.3">
      <c r="A127" s="77"/>
      <c r="B127" s="106"/>
      <c r="F127" s="124"/>
      <c r="G127" s="125"/>
      <c r="J127" s="125"/>
      <c r="L127" s="107"/>
      <c r="M127" s="108"/>
      <c r="N127" s="108"/>
    </row>
    <row r="128" spans="1:14" x14ac:dyDescent="0.3">
      <c r="A128" s="77"/>
      <c r="B128" s="106"/>
      <c r="F128" s="124"/>
      <c r="G128" s="125"/>
      <c r="J128" s="125"/>
      <c r="L128" s="107"/>
      <c r="M128" s="108"/>
      <c r="N128" s="108"/>
    </row>
    <row r="129" spans="1:14" x14ac:dyDescent="0.3">
      <c r="A129" s="77"/>
      <c r="B129" s="106"/>
      <c r="F129" s="124"/>
      <c r="G129" s="125"/>
      <c r="J129" s="125"/>
      <c r="L129" s="107"/>
      <c r="M129" s="108"/>
      <c r="N129" s="108"/>
    </row>
    <row r="130" spans="1:14" x14ac:dyDescent="0.3">
      <c r="A130" s="77"/>
      <c r="B130" s="106"/>
      <c r="F130" s="124"/>
      <c r="G130" s="125"/>
      <c r="J130" s="125"/>
      <c r="L130" s="107"/>
      <c r="M130" s="108"/>
      <c r="N130" s="108"/>
    </row>
    <row r="131" spans="1:14" x14ac:dyDescent="0.3">
      <c r="A131" s="77"/>
      <c r="B131" s="106"/>
      <c r="F131" s="124"/>
      <c r="G131" s="125"/>
      <c r="J131" s="125"/>
      <c r="L131" s="107"/>
      <c r="M131" s="108"/>
      <c r="N131" s="108"/>
    </row>
    <row r="132" spans="1:14" x14ac:dyDescent="0.3">
      <c r="A132" s="77"/>
      <c r="B132" s="106"/>
      <c r="F132" s="124"/>
      <c r="G132" s="125"/>
      <c r="J132" s="125"/>
      <c r="L132" s="107"/>
      <c r="M132" s="108"/>
      <c r="N132" s="108"/>
    </row>
    <row r="133" spans="1:14" x14ac:dyDescent="0.3">
      <c r="A133" s="77"/>
      <c r="B133" s="106"/>
      <c r="F133" s="124"/>
      <c r="G133" s="125"/>
      <c r="J133" s="125"/>
      <c r="L133" s="107"/>
      <c r="M133" s="108"/>
      <c r="N133" s="108"/>
    </row>
    <row r="134" spans="1:14" x14ac:dyDescent="0.3">
      <c r="A134" s="77"/>
      <c r="B134" s="106"/>
      <c r="F134" s="124"/>
      <c r="G134" s="125"/>
      <c r="J134" s="125"/>
      <c r="L134" s="107"/>
      <c r="M134" s="108"/>
      <c r="N134" s="108"/>
    </row>
    <row r="135" spans="1:14" x14ac:dyDescent="0.3">
      <c r="A135" s="77"/>
      <c r="B135" s="106"/>
      <c r="F135" s="124"/>
      <c r="G135" s="125"/>
      <c r="J135" s="125"/>
      <c r="L135" s="107"/>
      <c r="M135" s="108"/>
      <c r="N135" s="108"/>
    </row>
    <row r="136" spans="1:14" x14ac:dyDescent="0.3">
      <c r="A136" s="77"/>
      <c r="B136" s="106"/>
      <c r="F136" s="124"/>
      <c r="G136" s="125"/>
      <c r="J136" s="125"/>
      <c r="L136" s="107"/>
      <c r="M136" s="108"/>
      <c r="N136" s="108"/>
    </row>
    <row r="137" spans="1:14" x14ac:dyDescent="0.3">
      <c r="A137" s="77"/>
      <c r="B137" s="106"/>
      <c r="F137" s="124"/>
      <c r="G137" s="125"/>
      <c r="J137" s="125"/>
      <c r="L137" s="107"/>
      <c r="M137" s="108"/>
      <c r="N137" s="108"/>
    </row>
    <row r="138" spans="1:14" x14ac:dyDescent="0.3">
      <c r="A138" s="77"/>
      <c r="B138" s="106"/>
      <c r="F138" s="124"/>
      <c r="G138" s="125"/>
      <c r="J138" s="125"/>
      <c r="L138" s="107"/>
      <c r="M138" s="108"/>
      <c r="N138" s="108"/>
    </row>
    <row r="139" spans="1:14" x14ac:dyDescent="0.3">
      <c r="A139" s="77"/>
      <c r="B139" s="106"/>
      <c r="F139" s="124"/>
      <c r="G139" s="125"/>
      <c r="J139" s="125"/>
      <c r="L139" s="107"/>
      <c r="M139" s="108"/>
      <c r="N139" s="108"/>
    </row>
    <row r="140" spans="1:14" x14ac:dyDescent="0.3">
      <c r="A140" s="77"/>
      <c r="B140" s="106"/>
      <c r="F140" s="124"/>
      <c r="G140" s="125"/>
      <c r="J140" s="125"/>
      <c r="L140" s="107"/>
      <c r="M140" s="108"/>
      <c r="N140" s="108"/>
    </row>
    <row r="141" spans="1:14" x14ac:dyDescent="0.3">
      <c r="A141" s="77"/>
      <c r="B141" s="106"/>
      <c r="F141" s="124"/>
      <c r="G141" s="125"/>
      <c r="J141" s="125"/>
      <c r="L141" s="107"/>
      <c r="M141" s="108"/>
      <c r="N141" s="108"/>
    </row>
    <row r="142" spans="1:14" x14ac:dyDescent="0.3">
      <c r="A142" s="77"/>
      <c r="B142" s="106"/>
      <c r="F142" s="124"/>
      <c r="G142" s="125"/>
      <c r="J142" s="125"/>
      <c r="L142" s="107"/>
      <c r="M142" s="108"/>
      <c r="N142" s="108"/>
    </row>
    <row r="143" spans="1:14" x14ac:dyDescent="0.3">
      <c r="A143" s="77"/>
      <c r="B143" s="106"/>
      <c r="F143" s="124"/>
      <c r="G143" s="125"/>
      <c r="J143" s="125"/>
      <c r="L143" s="107"/>
      <c r="M143" s="108"/>
      <c r="N143" s="108"/>
    </row>
    <row r="144" spans="1:14" x14ac:dyDescent="0.3">
      <c r="A144" s="77"/>
      <c r="B144" s="106"/>
      <c r="F144" s="124"/>
      <c r="G144" s="125"/>
      <c r="J144" s="125"/>
      <c r="L144" s="107"/>
      <c r="M144" s="108"/>
      <c r="N144" s="108"/>
    </row>
    <row r="145" spans="1:14" x14ac:dyDescent="0.3">
      <c r="A145" s="77"/>
      <c r="B145" s="106"/>
      <c r="F145" s="124"/>
      <c r="G145" s="125"/>
      <c r="J145" s="125"/>
      <c r="L145" s="107"/>
      <c r="M145" s="108"/>
      <c r="N145" s="108"/>
    </row>
    <row r="146" spans="1:14" x14ac:dyDescent="0.3">
      <c r="A146" s="77"/>
      <c r="B146" s="106"/>
      <c r="F146" s="124"/>
      <c r="G146" s="125"/>
      <c r="J146" s="125"/>
      <c r="L146" s="107"/>
      <c r="M146" s="108"/>
      <c r="N146" s="108"/>
    </row>
    <row r="147" spans="1:14" x14ac:dyDescent="0.3">
      <c r="A147" s="77"/>
      <c r="B147" s="106"/>
      <c r="F147" s="124"/>
      <c r="G147" s="125"/>
      <c r="J147" s="125"/>
      <c r="L147" s="107"/>
      <c r="M147" s="108"/>
      <c r="N147" s="108"/>
    </row>
    <row r="148" spans="1:14" x14ac:dyDescent="0.3">
      <c r="A148" s="77"/>
      <c r="B148" s="106"/>
      <c r="F148" s="124"/>
      <c r="G148" s="125"/>
      <c r="J148" s="125"/>
      <c r="L148" s="107"/>
      <c r="M148" s="108"/>
      <c r="N148" s="108"/>
    </row>
    <row r="149" spans="1:14" x14ac:dyDescent="0.3">
      <c r="A149" s="77"/>
      <c r="B149" s="106"/>
      <c r="F149" s="124"/>
      <c r="G149" s="125"/>
      <c r="J149" s="125"/>
      <c r="L149" s="107"/>
      <c r="M149" s="108"/>
      <c r="N149" s="108"/>
    </row>
    <row r="150" spans="1:14" x14ac:dyDescent="0.3">
      <c r="A150" s="77"/>
      <c r="B150" s="106"/>
      <c r="F150" s="124"/>
      <c r="G150" s="125"/>
      <c r="J150" s="125"/>
      <c r="L150" s="107"/>
      <c r="M150" s="108"/>
      <c r="N150" s="108"/>
    </row>
    <row r="151" spans="1:14" x14ac:dyDescent="0.3">
      <c r="A151" s="77"/>
      <c r="B151" s="106"/>
      <c r="F151" s="124"/>
      <c r="G151" s="125"/>
      <c r="J151" s="125"/>
      <c r="L151" s="107"/>
      <c r="M151" s="108"/>
      <c r="N151" s="108"/>
    </row>
    <row r="152" spans="1:14" x14ac:dyDescent="0.3">
      <c r="A152" s="77"/>
      <c r="B152" s="106"/>
      <c r="F152" s="124"/>
      <c r="G152" s="125"/>
      <c r="J152" s="125"/>
      <c r="L152" s="107"/>
      <c r="M152" s="108"/>
      <c r="N152" s="108"/>
    </row>
    <row r="153" spans="1:14" x14ac:dyDescent="0.3">
      <c r="A153" s="77"/>
      <c r="B153" s="106"/>
      <c r="F153" s="124"/>
      <c r="G153" s="125"/>
      <c r="J153" s="125"/>
      <c r="L153" s="107"/>
      <c r="M153" s="108"/>
      <c r="N153" s="108"/>
    </row>
    <row r="154" spans="1:14" x14ac:dyDescent="0.3">
      <c r="A154" s="77"/>
      <c r="B154" s="106"/>
      <c r="F154" s="124"/>
      <c r="G154" s="125"/>
      <c r="J154" s="125"/>
      <c r="L154" s="107"/>
      <c r="M154" s="108"/>
      <c r="N154" s="108"/>
    </row>
    <row r="155" spans="1:14" x14ac:dyDescent="0.3">
      <c r="A155" s="77"/>
      <c r="B155" s="106"/>
      <c r="F155" s="124"/>
      <c r="G155" s="125"/>
      <c r="J155" s="125"/>
      <c r="L155" s="107"/>
      <c r="M155" s="108"/>
      <c r="N155" s="108"/>
    </row>
    <row r="156" spans="1:14" x14ac:dyDescent="0.3">
      <c r="A156" s="77"/>
      <c r="B156" s="106"/>
      <c r="F156" s="124"/>
      <c r="G156" s="125"/>
      <c r="J156" s="125"/>
      <c r="L156" s="107"/>
      <c r="M156" s="108"/>
      <c r="N156" s="108"/>
    </row>
    <row r="157" spans="1:14" x14ac:dyDescent="0.3">
      <c r="A157" s="77"/>
      <c r="B157" s="106"/>
      <c r="F157" s="124"/>
      <c r="G157" s="125"/>
      <c r="J157" s="125"/>
      <c r="L157" s="107"/>
      <c r="M157" s="108"/>
      <c r="N157" s="108"/>
    </row>
    <row r="158" spans="1:14" x14ac:dyDescent="0.3">
      <c r="A158" s="77"/>
      <c r="B158" s="106"/>
      <c r="F158" s="124"/>
      <c r="G158" s="125"/>
      <c r="J158" s="125"/>
      <c r="L158" s="107"/>
      <c r="M158" s="108"/>
      <c r="N158" s="108"/>
    </row>
    <row r="159" spans="1:14" x14ac:dyDescent="0.3">
      <c r="A159" s="77"/>
      <c r="B159" s="106"/>
      <c r="F159" s="124"/>
      <c r="G159" s="125"/>
      <c r="J159" s="125"/>
      <c r="L159" s="107"/>
      <c r="M159" s="108"/>
      <c r="N159" s="108"/>
    </row>
    <row r="160" spans="1:14" x14ac:dyDescent="0.3">
      <c r="A160" s="77"/>
      <c r="B160" s="106"/>
      <c r="F160" s="124"/>
      <c r="G160" s="125"/>
      <c r="J160" s="125"/>
      <c r="L160" s="107"/>
      <c r="M160" s="108"/>
      <c r="N160" s="108"/>
    </row>
    <row r="161" spans="1:14" x14ac:dyDescent="0.3">
      <c r="A161" s="77"/>
      <c r="B161" s="106"/>
      <c r="F161" s="124"/>
      <c r="G161" s="125"/>
      <c r="J161" s="125"/>
      <c r="L161" s="107"/>
      <c r="M161" s="108"/>
      <c r="N161" s="108"/>
    </row>
    <row r="162" spans="1:14" x14ac:dyDescent="0.3">
      <c r="A162" s="77"/>
      <c r="B162" s="106"/>
      <c r="F162" s="124"/>
      <c r="G162" s="125"/>
      <c r="J162" s="125"/>
      <c r="L162" s="107"/>
      <c r="M162" s="108"/>
      <c r="N162" s="108"/>
    </row>
    <row r="163" spans="1:14" x14ac:dyDescent="0.3">
      <c r="A163" s="77"/>
      <c r="B163" s="106"/>
      <c r="F163" s="124"/>
      <c r="G163" s="125"/>
      <c r="J163" s="125"/>
      <c r="L163" s="107"/>
      <c r="M163" s="108"/>
      <c r="N163" s="108"/>
    </row>
    <row r="164" spans="1:14" x14ac:dyDescent="0.3">
      <c r="A164" s="77"/>
      <c r="B164" s="106"/>
      <c r="F164" s="124"/>
      <c r="G164" s="125"/>
      <c r="J164" s="125"/>
      <c r="L164" s="107"/>
      <c r="M164" s="108"/>
      <c r="N164" s="108"/>
    </row>
    <row r="165" spans="1:14" x14ac:dyDescent="0.3">
      <c r="A165" s="77"/>
      <c r="B165" s="106"/>
      <c r="F165" s="124"/>
      <c r="G165" s="125"/>
      <c r="J165" s="125"/>
      <c r="L165" s="107"/>
      <c r="M165" s="108"/>
      <c r="N165" s="108"/>
    </row>
    <row r="166" spans="1:14" x14ac:dyDescent="0.3">
      <c r="A166" s="77"/>
      <c r="B166" s="106"/>
      <c r="F166" s="124"/>
      <c r="G166" s="125"/>
      <c r="J166" s="125"/>
      <c r="L166" s="107"/>
      <c r="M166" s="108"/>
      <c r="N166" s="108"/>
    </row>
    <row r="167" spans="1:14" x14ac:dyDescent="0.3">
      <c r="A167" s="77"/>
      <c r="B167" s="106"/>
      <c r="F167" s="124"/>
      <c r="G167" s="125"/>
      <c r="J167" s="125"/>
      <c r="L167" s="107"/>
      <c r="M167" s="108"/>
      <c r="N167" s="108"/>
    </row>
    <row r="168" spans="1:14" x14ac:dyDescent="0.3">
      <c r="A168" s="77"/>
      <c r="B168" s="106"/>
      <c r="F168" s="124"/>
      <c r="G168" s="125"/>
      <c r="J168" s="125"/>
      <c r="L168" s="107"/>
      <c r="M168" s="108"/>
      <c r="N168" s="108"/>
    </row>
    <row r="169" spans="1:14" x14ac:dyDescent="0.3">
      <c r="A169" s="77"/>
      <c r="B169" s="106"/>
      <c r="F169" s="124"/>
      <c r="G169" s="125"/>
      <c r="J169" s="125"/>
      <c r="L169" s="107"/>
      <c r="M169" s="108"/>
      <c r="N169" s="108"/>
    </row>
    <row r="170" spans="1:14" x14ac:dyDescent="0.3">
      <c r="A170" s="77"/>
      <c r="B170" s="106"/>
      <c r="F170" s="124"/>
      <c r="G170" s="125"/>
      <c r="J170" s="125"/>
      <c r="L170" s="107"/>
      <c r="M170" s="108"/>
      <c r="N170" s="108"/>
    </row>
    <row r="171" spans="1:14" x14ac:dyDescent="0.3">
      <c r="A171" s="77"/>
      <c r="B171" s="106"/>
      <c r="F171" s="124"/>
      <c r="G171" s="125"/>
      <c r="J171" s="125"/>
      <c r="L171" s="107"/>
      <c r="M171" s="108"/>
      <c r="N171" s="108"/>
    </row>
    <row r="172" spans="1:14" x14ac:dyDescent="0.3">
      <c r="A172" s="77"/>
      <c r="B172" s="106"/>
      <c r="F172" s="124"/>
      <c r="G172" s="125"/>
      <c r="J172" s="125"/>
      <c r="L172" s="107"/>
      <c r="M172" s="108"/>
      <c r="N172" s="108"/>
    </row>
    <row r="173" spans="1:14" x14ac:dyDescent="0.3">
      <c r="A173" s="77"/>
      <c r="B173" s="106"/>
      <c r="F173" s="124"/>
      <c r="G173" s="125"/>
      <c r="J173" s="125"/>
      <c r="L173" s="107"/>
      <c r="M173" s="108"/>
      <c r="N173" s="108"/>
    </row>
    <row r="174" spans="1:14" x14ac:dyDescent="0.3">
      <c r="A174" s="77"/>
      <c r="B174" s="106"/>
      <c r="F174" s="124"/>
      <c r="G174" s="125"/>
      <c r="J174" s="125"/>
      <c r="L174" s="107"/>
      <c r="M174" s="108"/>
      <c r="N174" s="108"/>
    </row>
    <row r="175" spans="1:14" x14ac:dyDescent="0.3">
      <c r="A175" s="77"/>
      <c r="B175" s="106"/>
      <c r="F175" s="124"/>
      <c r="G175" s="125"/>
      <c r="J175" s="125"/>
      <c r="L175" s="107"/>
      <c r="M175" s="108"/>
      <c r="N175" s="108"/>
    </row>
    <row r="176" spans="1:14" x14ac:dyDescent="0.3">
      <c r="A176" s="77"/>
      <c r="B176" s="106"/>
      <c r="F176" s="124"/>
      <c r="G176" s="125"/>
      <c r="J176" s="125"/>
      <c r="L176" s="107"/>
      <c r="M176" s="108"/>
      <c r="N176" s="108"/>
    </row>
    <row r="177" spans="1:14" x14ac:dyDescent="0.3">
      <c r="A177" s="77"/>
      <c r="B177" s="106"/>
      <c r="F177" s="124"/>
      <c r="G177" s="125"/>
      <c r="J177" s="125"/>
      <c r="L177" s="107"/>
      <c r="M177" s="108"/>
      <c r="N177" s="108"/>
    </row>
    <row r="178" spans="1:14" x14ac:dyDescent="0.3">
      <c r="A178" s="77"/>
      <c r="B178" s="106"/>
      <c r="F178" s="124"/>
      <c r="G178" s="125"/>
      <c r="J178" s="125"/>
      <c r="L178" s="107"/>
      <c r="M178" s="108"/>
      <c r="N178" s="108"/>
    </row>
    <row r="179" spans="1:14" x14ac:dyDescent="0.3">
      <c r="A179" s="77"/>
      <c r="B179" s="106"/>
      <c r="F179" s="124"/>
      <c r="G179" s="125"/>
      <c r="J179" s="125"/>
      <c r="L179" s="107"/>
      <c r="M179" s="108"/>
      <c r="N179" s="108"/>
    </row>
    <row r="180" spans="1:14" x14ac:dyDescent="0.3">
      <c r="A180" s="77"/>
      <c r="B180" s="106"/>
      <c r="F180" s="124"/>
      <c r="G180" s="125"/>
      <c r="J180" s="125"/>
      <c r="L180" s="107"/>
      <c r="M180" s="108"/>
      <c r="N180" s="108"/>
    </row>
    <row r="181" spans="1:14" x14ac:dyDescent="0.3">
      <c r="A181" s="77"/>
      <c r="B181" s="106"/>
      <c r="F181" s="124"/>
      <c r="G181" s="125"/>
      <c r="J181" s="125"/>
      <c r="L181" s="107"/>
      <c r="M181" s="108"/>
      <c r="N181" s="108"/>
    </row>
    <row r="182" spans="1:14" x14ac:dyDescent="0.3">
      <c r="A182" s="77"/>
      <c r="B182" s="106"/>
      <c r="F182" s="124"/>
      <c r="G182" s="125"/>
      <c r="J182" s="125"/>
      <c r="L182" s="107"/>
      <c r="M182" s="108"/>
      <c r="N182" s="108"/>
    </row>
    <row r="183" spans="1:14" x14ac:dyDescent="0.3">
      <c r="A183" s="77"/>
      <c r="B183" s="106"/>
      <c r="F183" s="124"/>
      <c r="G183" s="125"/>
      <c r="J183" s="125"/>
      <c r="L183" s="107"/>
      <c r="M183" s="108"/>
      <c r="N183" s="108"/>
    </row>
    <row r="184" spans="1:14" x14ac:dyDescent="0.3">
      <c r="A184" s="77"/>
      <c r="B184" s="106"/>
      <c r="F184" s="124"/>
      <c r="G184" s="125"/>
      <c r="J184" s="125"/>
      <c r="L184" s="107"/>
      <c r="M184" s="108"/>
      <c r="N184" s="108"/>
    </row>
    <row r="185" spans="1:14" x14ac:dyDescent="0.3">
      <c r="A185" s="77"/>
      <c r="B185" s="106"/>
      <c r="F185" s="124"/>
      <c r="G185" s="125"/>
      <c r="J185" s="125"/>
      <c r="L185" s="107"/>
      <c r="M185" s="108"/>
      <c r="N185" s="108"/>
    </row>
    <row r="186" spans="1:14" x14ac:dyDescent="0.3">
      <c r="A186" s="77"/>
      <c r="B186" s="106"/>
      <c r="F186" s="124"/>
      <c r="G186" s="125"/>
      <c r="J186" s="125"/>
      <c r="L186" s="107"/>
      <c r="M186" s="108"/>
      <c r="N186" s="108"/>
    </row>
    <row r="187" spans="1:14" x14ac:dyDescent="0.3">
      <c r="A187" s="77"/>
      <c r="B187" s="106"/>
      <c r="F187" s="124"/>
      <c r="G187" s="125"/>
      <c r="J187" s="125"/>
      <c r="L187" s="107"/>
      <c r="M187" s="108"/>
      <c r="N187" s="108"/>
    </row>
    <row r="188" spans="1:14" x14ac:dyDescent="0.3">
      <c r="A188" s="77"/>
      <c r="B188" s="106"/>
      <c r="F188" s="124"/>
      <c r="G188" s="125"/>
      <c r="J188" s="125"/>
      <c r="L188" s="107"/>
      <c r="M188" s="108"/>
      <c r="N188" s="108"/>
    </row>
    <row r="189" spans="1:14" x14ac:dyDescent="0.3">
      <c r="A189" s="77"/>
      <c r="B189" s="106"/>
      <c r="F189" s="124"/>
      <c r="G189" s="125"/>
      <c r="J189" s="125"/>
      <c r="L189" s="107"/>
      <c r="M189" s="108"/>
      <c r="N189" s="108"/>
    </row>
    <row r="190" spans="1:14" x14ac:dyDescent="0.3">
      <c r="A190" s="77"/>
      <c r="B190" s="106"/>
      <c r="F190" s="124"/>
      <c r="G190" s="125"/>
      <c r="J190" s="125"/>
      <c r="L190" s="107"/>
      <c r="M190" s="108"/>
      <c r="N190" s="108"/>
    </row>
    <row r="191" spans="1:14" x14ac:dyDescent="0.3">
      <c r="A191" s="77"/>
      <c r="B191" s="106"/>
      <c r="F191" s="124"/>
      <c r="G191" s="125"/>
      <c r="J191" s="125"/>
      <c r="L191" s="107"/>
      <c r="M191" s="108"/>
      <c r="N191" s="108"/>
    </row>
    <row r="192" spans="1:14" x14ac:dyDescent="0.3">
      <c r="A192" s="77"/>
      <c r="B192" s="106"/>
      <c r="F192" s="124"/>
      <c r="G192" s="125"/>
      <c r="J192" s="125"/>
      <c r="L192" s="107"/>
      <c r="M192" s="108"/>
      <c r="N192" s="108"/>
    </row>
    <row r="193" spans="1:14" x14ac:dyDescent="0.3">
      <c r="A193" s="77"/>
      <c r="B193" s="106"/>
      <c r="F193" s="124"/>
      <c r="G193" s="125"/>
      <c r="J193" s="125"/>
      <c r="L193" s="107"/>
      <c r="M193" s="108"/>
      <c r="N193" s="108"/>
    </row>
    <row r="194" spans="1:14" x14ac:dyDescent="0.3">
      <c r="A194" s="77"/>
      <c r="B194" s="106"/>
      <c r="F194" s="124"/>
      <c r="G194" s="125"/>
      <c r="J194" s="125"/>
      <c r="L194" s="107"/>
      <c r="M194" s="108"/>
      <c r="N194" s="108"/>
    </row>
    <row r="195" spans="1:14" x14ac:dyDescent="0.3">
      <c r="A195" s="77"/>
      <c r="B195" s="106"/>
      <c r="F195" s="124"/>
      <c r="G195" s="125"/>
      <c r="J195" s="125"/>
      <c r="L195" s="107"/>
      <c r="M195" s="108"/>
      <c r="N195" s="108"/>
    </row>
    <row r="196" spans="1:14" x14ac:dyDescent="0.3">
      <c r="A196" s="77"/>
      <c r="B196" s="106"/>
      <c r="F196" s="124"/>
      <c r="G196" s="125"/>
      <c r="J196" s="125"/>
      <c r="L196" s="107"/>
      <c r="M196" s="108"/>
      <c r="N196" s="108"/>
    </row>
    <row r="197" spans="1:14" x14ac:dyDescent="0.3">
      <c r="A197" s="77"/>
      <c r="B197" s="106"/>
      <c r="F197" s="124"/>
      <c r="G197" s="125"/>
      <c r="J197" s="125"/>
      <c r="L197" s="107"/>
      <c r="M197" s="108"/>
      <c r="N197" s="108"/>
    </row>
    <row r="198" spans="1:14" x14ac:dyDescent="0.3">
      <c r="A198" s="77"/>
      <c r="B198" s="106"/>
      <c r="F198" s="124"/>
      <c r="G198" s="125"/>
      <c r="J198" s="125"/>
      <c r="L198" s="107"/>
      <c r="M198" s="108"/>
      <c r="N198" s="108"/>
    </row>
    <row r="199" spans="1:14" x14ac:dyDescent="0.3">
      <c r="A199" s="77"/>
      <c r="B199" s="106"/>
      <c r="F199" s="124"/>
      <c r="G199" s="125"/>
      <c r="J199" s="125"/>
      <c r="L199" s="107"/>
      <c r="M199" s="108"/>
      <c r="N199" s="108"/>
    </row>
    <row r="200" spans="1:14" x14ac:dyDescent="0.3">
      <c r="A200" s="77"/>
      <c r="B200" s="106"/>
      <c r="F200" s="124"/>
      <c r="G200" s="125"/>
      <c r="J200" s="125"/>
      <c r="L200" s="107"/>
      <c r="M200" s="108"/>
      <c r="N200" s="108"/>
    </row>
    <row r="201" spans="1:14" x14ac:dyDescent="0.3">
      <c r="A201" s="77"/>
      <c r="B201" s="106"/>
      <c r="F201" s="124"/>
      <c r="G201" s="125"/>
      <c r="J201" s="125"/>
      <c r="L201" s="107"/>
      <c r="M201" s="108"/>
      <c r="N201" s="108"/>
    </row>
    <row r="202" spans="1:14" x14ac:dyDescent="0.3">
      <c r="A202" s="77"/>
      <c r="B202" s="106"/>
      <c r="F202" s="124"/>
      <c r="G202" s="125"/>
      <c r="J202" s="125"/>
      <c r="L202" s="107"/>
      <c r="M202" s="108"/>
      <c r="N202" s="108"/>
    </row>
    <row r="203" spans="1:14" x14ac:dyDescent="0.3">
      <c r="A203" s="77"/>
      <c r="B203" s="106"/>
      <c r="F203" s="124"/>
      <c r="G203" s="125"/>
      <c r="J203" s="125"/>
      <c r="L203" s="107"/>
      <c r="M203" s="108"/>
      <c r="N203" s="108"/>
    </row>
    <row r="204" spans="1:14" x14ac:dyDescent="0.3">
      <c r="A204" s="77"/>
      <c r="B204" s="106"/>
      <c r="F204" s="124"/>
      <c r="G204" s="125"/>
      <c r="J204" s="125"/>
      <c r="L204" s="107"/>
      <c r="M204" s="108"/>
      <c r="N204" s="108"/>
    </row>
    <row r="205" spans="1:14" x14ac:dyDescent="0.3">
      <c r="A205" s="77"/>
      <c r="B205" s="106"/>
      <c r="F205" s="124"/>
      <c r="G205" s="125"/>
      <c r="J205" s="125"/>
      <c r="L205" s="107"/>
      <c r="M205" s="108"/>
      <c r="N205" s="108"/>
    </row>
    <row r="206" spans="1:14" x14ac:dyDescent="0.3">
      <c r="A206" s="77"/>
      <c r="B206" s="106"/>
      <c r="F206" s="124"/>
      <c r="G206" s="125"/>
      <c r="J206" s="125"/>
      <c r="L206" s="107"/>
      <c r="M206" s="108"/>
      <c r="N206" s="108"/>
    </row>
    <row r="207" spans="1:14" x14ac:dyDescent="0.3">
      <c r="A207" s="77"/>
      <c r="B207" s="106"/>
      <c r="F207" s="124"/>
      <c r="G207" s="125"/>
      <c r="J207" s="125"/>
      <c r="L207" s="107"/>
      <c r="M207" s="108"/>
      <c r="N207" s="108"/>
    </row>
    <row r="208" spans="1:14" x14ac:dyDescent="0.3">
      <c r="A208" s="77"/>
      <c r="B208" s="106"/>
      <c r="F208" s="124"/>
      <c r="G208" s="125"/>
      <c r="J208" s="125"/>
      <c r="L208" s="107"/>
      <c r="M208" s="108"/>
      <c r="N208" s="108"/>
    </row>
    <row r="209" spans="1:14" x14ac:dyDescent="0.3">
      <c r="A209" s="77"/>
      <c r="B209" s="106"/>
      <c r="F209" s="124"/>
      <c r="G209" s="125"/>
      <c r="J209" s="125"/>
      <c r="L209" s="107"/>
      <c r="M209" s="108"/>
      <c r="N209" s="108"/>
    </row>
    <row r="210" spans="1:14" x14ac:dyDescent="0.3">
      <c r="A210" s="77"/>
      <c r="B210" s="106"/>
      <c r="F210" s="124"/>
      <c r="G210" s="125"/>
      <c r="J210" s="125"/>
      <c r="L210" s="107"/>
      <c r="M210" s="108"/>
      <c r="N210" s="108"/>
    </row>
    <row r="211" spans="1:14" x14ac:dyDescent="0.3">
      <c r="A211" s="77"/>
      <c r="B211" s="106"/>
      <c r="F211" s="124"/>
      <c r="G211" s="125"/>
      <c r="J211" s="125"/>
      <c r="L211" s="107"/>
      <c r="M211" s="108"/>
      <c r="N211" s="108"/>
    </row>
    <row r="212" spans="1:14" x14ac:dyDescent="0.3">
      <c r="A212" s="77"/>
      <c r="B212" s="106"/>
      <c r="F212" s="124"/>
      <c r="G212" s="125"/>
      <c r="J212" s="125"/>
      <c r="L212" s="107"/>
      <c r="M212" s="108"/>
      <c r="N212" s="108"/>
    </row>
    <row r="213" spans="1:14" x14ac:dyDescent="0.3">
      <c r="A213" s="77"/>
      <c r="B213" s="106"/>
      <c r="F213" s="124"/>
      <c r="G213" s="125"/>
      <c r="J213" s="125"/>
      <c r="L213" s="107"/>
      <c r="M213" s="108"/>
      <c r="N213" s="108"/>
    </row>
    <row r="214" spans="1:14" x14ac:dyDescent="0.3">
      <c r="A214" s="77"/>
      <c r="B214" s="106"/>
      <c r="F214" s="124"/>
      <c r="G214" s="125"/>
      <c r="J214" s="125"/>
      <c r="L214" s="107"/>
      <c r="M214" s="108"/>
      <c r="N214" s="108"/>
    </row>
    <row r="215" spans="1:14" x14ac:dyDescent="0.3">
      <c r="A215" s="77"/>
      <c r="B215" s="106"/>
      <c r="F215" s="124"/>
      <c r="G215" s="125"/>
      <c r="J215" s="125"/>
      <c r="L215" s="107"/>
      <c r="M215" s="108"/>
      <c r="N215" s="108"/>
    </row>
    <row r="216" spans="1:14" x14ac:dyDescent="0.3">
      <c r="A216" s="77"/>
      <c r="B216" s="106"/>
      <c r="F216" s="124"/>
      <c r="G216" s="125"/>
      <c r="J216" s="125"/>
      <c r="L216" s="107"/>
      <c r="M216" s="108"/>
      <c r="N216" s="108"/>
    </row>
    <row r="217" spans="1:14" x14ac:dyDescent="0.3">
      <c r="A217" s="77"/>
      <c r="B217" s="106"/>
      <c r="F217" s="124"/>
      <c r="G217" s="125"/>
      <c r="J217" s="125"/>
      <c r="L217" s="107"/>
      <c r="M217" s="108"/>
      <c r="N217" s="108"/>
    </row>
    <row r="218" spans="1:14" x14ac:dyDescent="0.3">
      <c r="A218" s="77"/>
      <c r="B218" s="106"/>
      <c r="F218" s="124"/>
      <c r="G218" s="125"/>
      <c r="J218" s="125"/>
      <c r="L218" s="107"/>
      <c r="M218" s="108"/>
      <c r="N218" s="108"/>
    </row>
    <row r="219" spans="1:14" x14ac:dyDescent="0.3">
      <c r="A219" s="77"/>
      <c r="B219" s="106"/>
      <c r="F219" s="124"/>
      <c r="G219" s="125"/>
      <c r="J219" s="125"/>
      <c r="L219" s="107"/>
      <c r="M219" s="108"/>
      <c r="N219" s="108"/>
    </row>
    <row r="220" spans="1:14" x14ac:dyDescent="0.3">
      <c r="A220" s="77"/>
      <c r="B220" s="106"/>
      <c r="F220" s="124"/>
      <c r="G220" s="125"/>
      <c r="J220" s="125"/>
      <c r="L220" s="107"/>
      <c r="M220" s="108"/>
      <c r="N220" s="108"/>
    </row>
    <row r="221" spans="1:14" x14ac:dyDescent="0.3">
      <c r="A221" s="77"/>
      <c r="B221" s="106"/>
      <c r="F221" s="124"/>
      <c r="G221" s="125"/>
      <c r="J221" s="125"/>
      <c r="L221" s="107"/>
      <c r="M221" s="108"/>
      <c r="N221" s="108"/>
    </row>
    <row r="222" spans="1:14" x14ac:dyDescent="0.3">
      <c r="A222" s="77"/>
      <c r="B222" s="106"/>
      <c r="F222" s="124"/>
      <c r="G222" s="125"/>
      <c r="J222" s="125"/>
      <c r="L222" s="107"/>
      <c r="M222" s="108"/>
      <c r="N222" s="108"/>
    </row>
    <row r="223" spans="1:14" x14ac:dyDescent="0.3">
      <c r="A223" s="77"/>
      <c r="B223" s="106"/>
      <c r="F223" s="124"/>
      <c r="G223" s="125"/>
      <c r="J223" s="125"/>
      <c r="L223" s="107"/>
      <c r="M223" s="108"/>
      <c r="N223" s="108"/>
    </row>
    <row r="224" spans="1:14" x14ac:dyDescent="0.3">
      <c r="A224" s="77"/>
      <c r="B224" s="106"/>
      <c r="F224" s="124"/>
      <c r="G224" s="125"/>
      <c r="J224" s="125"/>
      <c r="L224" s="107"/>
      <c r="M224" s="108"/>
      <c r="N224" s="108"/>
    </row>
    <row r="225" spans="1:14" x14ac:dyDescent="0.3">
      <c r="A225" s="77"/>
      <c r="B225" s="106"/>
      <c r="F225" s="124"/>
      <c r="G225" s="125"/>
      <c r="J225" s="125"/>
      <c r="L225" s="107"/>
      <c r="M225" s="108"/>
      <c r="N225" s="108"/>
    </row>
    <row r="226" spans="1:14" x14ac:dyDescent="0.3">
      <c r="A226" s="77"/>
      <c r="B226" s="106"/>
      <c r="F226" s="124"/>
      <c r="G226" s="125"/>
      <c r="J226" s="125"/>
      <c r="L226" s="107"/>
      <c r="M226" s="108"/>
      <c r="N226" s="108"/>
    </row>
    <row r="227" spans="1:14" x14ac:dyDescent="0.3">
      <c r="A227" s="77"/>
      <c r="B227" s="106"/>
      <c r="F227" s="124"/>
      <c r="G227" s="125"/>
      <c r="J227" s="125"/>
      <c r="L227" s="107"/>
      <c r="M227" s="108"/>
      <c r="N227" s="108"/>
    </row>
    <row r="228" spans="1:14" x14ac:dyDescent="0.3">
      <c r="A228" s="77"/>
      <c r="B228" s="106"/>
      <c r="F228" s="124"/>
      <c r="G228" s="125"/>
      <c r="J228" s="125"/>
      <c r="L228" s="107"/>
      <c r="M228" s="108"/>
      <c r="N228" s="108"/>
    </row>
    <row r="229" spans="1:14" x14ac:dyDescent="0.3">
      <c r="A229" s="77"/>
      <c r="B229" s="106"/>
      <c r="F229" s="124"/>
      <c r="G229" s="125"/>
      <c r="J229" s="125"/>
      <c r="L229" s="107"/>
      <c r="M229" s="108"/>
      <c r="N229" s="108"/>
    </row>
    <row r="230" spans="1:14" x14ac:dyDescent="0.3">
      <c r="A230" s="77"/>
      <c r="B230" s="106"/>
      <c r="F230" s="124"/>
      <c r="G230" s="125"/>
      <c r="J230" s="125"/>
      <c r="L230" s="107"/>
      <c r="M230" s="108"/>
      <c r="N230" s="108"/>
    </row>
    <row r="231" spans="1:14" x14ac:dyDescent="0.3">
      <c r="A231" s="77"/>
      <c r="B231" s="106"/>
      <c r="F231" s="124"/>
      <c r="G231" s="125"/>
      <c r="J231" s="125"/>
      <c r="L231" s="107"/>
      <c r="M231" s="108"/>
      <c r="N231" s="108"/>
    </row>
    <row r="232" spans="1:14" x14ac:dyDescent="0.3">
      <c r="A232" s="77"/>
      <c r="B232" s="106"/>
      <c r="F232" s="124"/>
      <c r="G232" s="125"/>
      <c r="J232" s="125"/>
      <c r="L232" s="107"/>
      <c r="M232" s="108"/>
      <c r="N232" s="108"/>
    </row>
    <row r="233" spans="1:14" x14ac:dyDescent="0.3">
      <c r="A233" s="77"/>
      <c r="B233" s="106"/>
      <c r="F233" s="124"/>
      <c r="G233" s="125"/>
      <c r="J233" s="125"/>
      <c r="L233" s="107"/>
      <c r="M233" s="108"/>
      <c r="N233" s="108"/>
    </row>
    <row r="234" spans="1:14" x14ac:dyDescent="0.3">
      <c r="A234" s="77"/>
      <c r="B234" s="106"/>
      <c r="F234" s="124"/>
      <c r="G234" s="125"/>
      <c r="J234" s="125"/>
      <c r="L234" s="107"/>
      <c r="M234" s="108"/>
      <c r="N234" s="108"/>
    </row>
    <row r="235" spans="1:14" x14ac:dyDescent="0.3">
      <c r="A235" s="77"/>
      <c r="B235" s="106"/>
      <c r="F235" s="124"/>
      <c r="G235" s="125"/>
      <c r="J235" s="125"/>
      <c r="L235" s="107"/>
      <c r="M235" s="108"/>
      <c r="N235" s="108"/>
    </row>
    <row r="236" spans="1:14" x14ac:dyDescent="0.3">
      <c r="A236" s="77"/>
      <c r="B236" s="106"/>
      <c r="F236" s="124"/>
      <c r="G236" s="125"/>
      <c r="J236" s="125"/>
      <c r="L236" s="107"/>
      <c r="M236" s="108"/>
      <c r="N236" s="108"/>
    </row>
    <row r="237" spans="1:14" x14ac:dyDescent="0.3">
      <c r="A237" s="77"/>
      <c r="B237" s="106"/>
      <c r="F237" s="124"/>
      <c r="G237" s="125"/>
      <c r="J237" s="125"/>
      <c r="L237" s="107"/>
      <c r="M237" s="108"/>
      <c r="N237" s="108"/>
    </row>
    <row r="238" spans="1:14" x14ac:dyDescent="0.3">
      <c r="A238" s="77"/>
      <c r="B238" s="106"/>
      <c r="F238" s="124"/>
      <c r="G238" s="125"/>
      <c r="J238" s="125"/>
      <c r="L238" s="107"/>
      <c r="M238" s="108"/>
      <c r="N238" s="108"/>
    </row>
    <row r="239" spans="1:14" x14ac:dyDescent="0.3">
      <c r="A239" s="77"/>
      <c r="B239" s="106"/>
      <c r="F239" s="124"/>
      <c r="G239" s="125"/>
      <c r="J239" s="125"/>
      <c r="L239" s="107"/>
      <c r="M239" s="108"/>
      <c r="N239" s="108"/>
    </row>
    <row r="240" spans="1:14" x14ac:dyDescent="0.3">
      <c r="A240" s="77"/>
      <c r="B240" s="106"/>
      <c r="F240" s="124"/>
      <c r="G240" s="125"/>
      <c r="J240" s="125"/>
      <c r="L240" s="107"/>
      <c r="M240" s="108"/>
      <c r="N240" s="108"/>
    </row>
    <row r="241" spans="1:14" x14ac:dyDescent="0.3">
      <c r="A241" s="77"/>
      <c r="B241" s="106"/>
      <c r="F241" s="124"/>
      <c r="G241" s="125"/>
      <c r="J241" s="125"/>
      <c r="L241" s="107"/>
      <c r="M241" s="108"/>
      <c r="N241" s="108"/>
    </row>
    <row r="242" spans="1:14" x14ac:dyDescent="0.3">
      <c r="A242" s="77"/>
      <c r="B242" s="106"/>
      <c r="F242" s="124"/>
      <c r="G242" s="125"/>
      <c r="J242" s="125"/>
      <c r="L242" s="107"/>
      <c r="M242" s="108"/>
      <c r="N242" s="108"/>
    </row>
    <row r="243" spans="1:14" x14ac:dyDescent="0.3">
      <c r="A243" s="77"/>
      <c r="B243" s="106"/>
      <c r="F243" s="124"/>
      <c r="G243" s="125"/>
      <c r="J243" s="125"/>
      <c r="L243" s="107"/>
      <c r="M243" s="108"/>
      <c r="N243" s="108"/>
    </row>
    <row r="244" spans="1:14" x14ac:dyDescent="0.3">
      <c r="A244" s="77"/>
      <c r="B244" s="106"/>
      <c r="F244" s="124"/>
      <c r="G244" s="125"/>
      <c r="J244" s="125"/>
      <c r="L244" s="107"/>
      <c r="M244" s="108"/>
      <c r="N244" s="108"/>
    </row>
    <row r="245" spans="1:14" x14ac:dyDescent="0.3">
      <c r="A245" s="77"/>
      <c r="B245" s="106"/>
      <c r="F245" s="124"/>
      <c r="G245" s="125"/>
      <c r="J245" s="125"/>
      <c r="L245" s="107"/>
      <c r="M245" s="108"/>
      <c r="N245" s="108"/>
    </row>
    <row r="246" spans="1:14" x14ac:dyDescent="0.3">
      <c r="A246" s="77"/>
      <c r="B246" s="106"/>
      <c r="F246" s="124"/>
      <c r="G246" s="125"/>
      <c r="J246" s="125"/>
      <c r="L246" s="107"/>
      <c r="M246" s="108"/>
      <c r="N246" s="108"/>
    </row>
    <row r="247" spans="1:14" x14ac:dyDescent="0.3">
      <c r="A247" s="77"/>
      <c r="B247" s="106"/>
      <c r="F247" s="124"/>
      <c r="G247" s="125"/>
      <c r="J247" s="125"/>
      <c r="L247" s="107"/>
      <c r="M247" s="108"/>
      <c r="N247" s="108"/>
    </row>
    <row r="248" spans="1:14" x14ac:dyDescent="0.3">
      <c r="A248" s="77"/>
      <c r="B248" s="106"/>
      <c r="F248" s="124"/>
      <c r="G248" s="125"/>
      <c r="J248" s="125"/>
      <c r="L248" s="107"/>
      <c r="M248" s="108"/>
      <c r="N248" s="108"/>
    </row>
    <row r="249" spans="1:14" x14ac:dyDescent="0.3">
      <c r="A249" s="77"/>
      <c r="B249" s="106"/>
      <c r="F249" s="124"/>
      <c r="G249" s="125"/>
      <c r="J249" s="125"/>
      <c r="L249" s="107"/>
      <c r="M249" s="108"/>
      <c r="N249" s="108"/>
    </row>
    <row r="250" spans="1:14" x14ac:dyDescent="0.3">
      <c r="A250" s="77"/>
      <c r="B250" s="106"/>
      <c r="F250" s="124"/>
      <c r="G250" s="125"/>
      <c r="J250" s="125"/>
      <c r="L250" s="107"/>
      <c r="M250" s="108"/>
      <c r="N250" s="108"/>
    </row>
    <row r="251" spans="1:14" x14ac:dyDescent="0.3">
      <c r="A251" s="77"/>
      <c r="B251" s="106"/>
      <c r="F251" s="124"/>
      <c r="G251" s="125"/>
      <c r="J251" s="125"/>
      <c r="L251" s="107"/>
      <c r="M251" s="108"/>
      <c r="N251" s="108"/>
    </row>
    <row r="252" spans="1:14" x14ac:dyDescent="0.3">
      <c r="A252" s="77"/>
      <c r="B252" s="106"/>
      <c r="F252" s="124"/>
      <c r="G252" s="125"/>
      <c r="J252" s="125"/>
      <c r="L252" s="107"/>
      <c r="M252" s="108"/>
      <c r="N252" s="108"/>
    </row>
    <row r="253" spans="1:14" x14ac:dyDescent="0.3">
      <c r="A253" s="77"/>
      <c r="B253" s="106"/>
      <c r="F253" s="124"/>
      <c r="G253" s="125"/>
      <c r="J253" s="125"/>
      <c r="L253" s="107"/>
      <c r="M253" s="108"/>
      <c r="N253" s="108"/>
    </row>
    <row r="254" spans="1:14" x14ac:dyDescent="0.3">
      <c r="A254" s="77"/>
      <c r="B254" s="106"/>
      <c r="F254" s="124"/>
      <c r="G254" s="125"/>
      <c r="J254" s="125"/>
      <c r="L254" s="107"/>
      <c r="M254" s="108"/>
      <c r="N254" s="108"/>
    </row>
    <row r="255" spans="1:14" x14ac:dyDescent="0.3">
      <c r="A255" s="77"/>
      <c r="B255" s="106"/>
      <c r="F255" s="124"/>
      <c r="G255" s="125"/>
      <c r="J255" s="125"/>
      <c r="L255" s="107"/>
      <c r="M255" s="108"/>
      <c r="N255" s="108"/>
    </row>
    <row r="256" spans="1:14" x14ac:dyDescent="0.3">
      <c r="A256" s="77"/>
      <c r="B256" s="106"/>
      <c r="F256" s="124"/>
      <c r="G256" s="125"/>
      <c r="J256" s="125"/>
      <c r="L256" s="107"/>
      <c r="M256" s="108"/>
      <c r="N256" s="108"/>
    </row>
    <row r="257" spans="1:14" x14ac:dyDescent="0.3">
      <c r="A257" s="77"/>
      <c r="B257" s="106"/>
      <c r="F257" s="124"/>
      <c r="G257" s="125"/>
      <c r="J257" s="125"/>
      <c r="L257" s="107"/>
      <c r="M257" s="108"/>
      <c r="N257" s="108"/>
    </row>
    <row r="258" spans="1:14" x14ac:dyDescent="0.3">
      <c r="A258" s="77"/>
      <c r="B258" s="106"/>
      <c r="F258" s="124"/>
      <c r="G258" s="125"/>
      <c r="J258" s="125"/>
      <c r="L258" s="107"/>
      <c r="M258" s="108"/>
      <c r="N258" s="108"/>
    </row>
    <row r="259" spans="1:14" x14ac:dyDescent="0.3">
      <c r="A259" s="77"/>
      <c r="B259" s="106"/>
      <c r="F259" s="124"/>
      <c r="G259" s="125"/>
      <c r="J259" s="125"/>
      <c r="L259" s="107"/>
      <c r="M259" s="108"/>
      <c r="N259" s="108"/>
    </row>
    <row r="260" spans="1:14" x14ac:dyDescent="0.3">
      <c r="A260" s="77"/>
      <c r="B260" s="106"/>
      <c r="F260" s="124"/>
      <c r="G260" s="125"/>
      <c r="J260" s="125"/>
      <c r="L260" s="107"/>
      <c r="M260" s="108"/>
      <c r="N260" s="108"/>
    </row>
    <row r="261" spans="1:14" x14ac:dyDescent="0.3">
      <c r="A261" s="77"/>
      <c r="B261" s="106"/>
      <c r="F261" s="124"/>
      <c r="G261" s="125"/>
      <c r="J261" s="125"/>
      <c r="L261" s="107"/>
      <c r="M261" s="108"/>
      <c r="N261" s="108"/>
    </row>
    <row r="262" spans="1:14" x14ac:dyDescent="0.3">
      <c r="A262" s="77"/>
      <c r="B262" s="106"/>
      <c r="F262" s="124"/>
      <c r="G262" s="125"/>
      <c r="J262" s="125"/>
      <c r="L262" s="107"/>
      <c r="M262" s="108"/>
      <c r="N262" s="108"/>
    </row>
    <row r="263" spans="1:14" x14ac:dyDescent="0.3">
      <c r="A263" s="77"/>
      <c r="B263" s="106"/>
      <c r="F263" s="124"/>
      <c r="G263" s="125"/>
      <c r="J263" s="125"/>
      <c r="L263" s="107"/>
      <c r="M263" s="108"/>
      <c r="N263" s="108"/>
    </row>
    <row r="264" spans="1:14" x14ac:dyDescent="0.3">
      <c r="A264" s="77"/>
      <c r="B264" s="106"/>
      <c r="F264" s="124"/>
      <c r="G264" s="125"/>
      <c r="J264" s="125"/>
      <c r="L264" s="107"/>
      <c r="M264" s="108"/>
      <c r="N264" s="108"/>
    </row>
    <row r="265" spans="1:14" x14ac:dyDescent="0.3">
      <c r="A265" s="77"/>
      <c r="B265" s="106"/>
      <c r="F265" s="124"/>
      <c r="G265" s="125"/>
      <c r="J265" s="125"/>
      <c r="L265" s="107"/>
      <c r="M265" s="108"/>
      <c r="N265" s="108"/>
    </row>
    <row r="266" spans="1:14" x14ac:dyDescent="0.3">
      <c r="A266" s="77"/>
      <c r="B266" s="106"/>
      <c r="F266" s="124"/>
      <c r="G266" s="125"/>
      <c r="J266" s="125"/>
      <c r="L266" s="107"/>
      <c r="M266" s="108"/>
      <c r="N266" s="108"/>
    </row>
    <row r="267" spans="1:14" x14ac:dyDescent="0.3">
      <c r="A267" s="77"/>
      <c r="B267" s="106"/>
      <c r="F267" s="124"/>
      <c r="G267" s="125"/>
      <c r="J267" s="125"/>
      <c r="L267" s="107"/>
      <c r="M267" s="108"/>
      <c r="N267" s="108"/>
    </row>
    <row r="268" spans="1:14" x14ac:dyDescent="0.3">
      <c r="A268" s="77"/>
      <c r="B268" s="106"/>
      <c r="F268" s="124"/>
      <c r="G268" s="125"/>
      <c r="J268" s="125"/>
      <c r="L268" s="107"/>
      <c r="M268" s="108"/>
      <c r="N268" s="108"/>
    </row>
    <row r="269" spans="1:14" x14ac:dyDescent="0.3">
      <c r="A269" s="77"/>
      <c r="B269" s="106"/>
      <c r="F269" s="124"/>
      <c r="G269" s="125"/>
      <c r="J269" s="125"/>
      <c r="L269" s="107"/>
      <c r="M269" s="108"/>
      <c r="N269" s="108"/>
    </row>
    <row r="270" spans="1:14" x14ac:dyDescent="0.3">
      <c r="A270" s="77"/>
      <c r="B270" s="106"/>
      <c r="F270" s="124"/>
      <c r="G270" s="125"/>
      <c r="J270" s="125"/>
      <c r="L270" s="107"/>
      <c r="M270" s="108"/>
      <c r="N270" s="108"/>
    </row>
    <row r="271" spans="1:14" x14ac:dyDescent="0.3">
      <c r="A271" s="77"/>
      <c r="B271" s="106"/>
      <c r="F271" s="124"/>
      <c r="G271" s="125"/>
      <c r="J271" s="125"/>
      <c r="L271" s="107"/>
      <c r="M271" s="108"/>
      <c r="N271" s="108"/>
    </row>
    <row r="272" spans="1:14" x14ac:dyDescent="0.3">
      <c r="A272" s="77"/>
      <c r="B272" s="106"/>
      <c r="F272" s="124"/>
      <c r="G272" s="125"/>
      <c r="J272" s="125"/>
      <c r="L272" s="107"/>
      <c r="M272" s="108"/>
      <c r="N272" s="108"/>
    </row>
    <row r="273" spans="1:14" x14ac:dyDescent="0.3">
      <c r="A273" s="77"/>
      <c r="B273" s="106"/>
      <c r="F273" s="124"/>
      <c r="G273" s="125"/>
      <c r="J273" s="125"/>
      <c r="L273" s="107"/>
      <c r="M273" s="108"/>
      <c r="N273" s="108"/>
    </row>
    <row r="274" spans="1:14" x14ac:dyDescent="0.3">
      <c r="A274" s="77"/>
      <c r="B274" s="106"/>
      <c r="F274" s="124"/>
      <c r="G274" s="125"/>
      <c r="J274" s="125"/>
      <c r="L274" s="107"/>
      <c r="M274" s="108"/>
      <c r="N274" s="108"/>
    </row>
    <row r="275" spans="1:14" x14ac:dyDescent="0.3">
      <c r="A275" s="77"/>
      <c r="B275" s="106"/>
      <c r="F275" s="124"/>
      <c r="G275" s="125"/>
      <c r="J275" s="125"/>
      <c r="L275" s="107"/>
      <c r="M275" s="108"/>
      <c r="N275" s="108"/>
    </row>
    <row r="276" spans="1:14" x14ac:dyDescent="0.3">
      <c r="A276" s="77"/>
      <c r="B276" s="106"/>
      <c r="F276" s="124"/>
      <c r="G276" s="125"/>
      <c r="J276" s="125"/>
      <c r="L276" s="107"/>
      <c r="M276" s="108"/>
      <c r="N276" s="108"/>
    </row>
    <row r="277" spans="1:14" x14ac:dyDescent="0.3">
      <c r="A277" s="77"/>
      <c r="B277" s="106"/>
      <c r="F277" s="124"/>
      <c r="G277" s="125"/>
      <c r="J277" s="125"/>
      <c r="L277" s="107"/>
      <c r="M277" s="108"/>
      <c r="N277" s="108"/>
    </row>
    <row r="278" spans="1:14" x14ac:dyDescent="0.3">
      <c r="A278" s="77"/>
      <c r="B278" s="106"/>
      <c r="F278" s="124"/>
      <c r="G278" s="125"/>
      <c r="J278" s="125"/>
      <c r="L278" s="107"/>
      <c r="M278" s="108"/>
      <c r="N278" s="108"/>
    </row>
    <row r="279" spans="1:14" x14ac:dyDescent="0.3">
      <c r="A279" s="77"/>
      <c r="B279" s="106"/>
      <c r="F279" s="124"/>
      <c r="G279" s="125"/>
      <c r="J279" s="125"/>
      <c r="L279" s="107"/>
      <c r="M279" s="108"/>
      <c r="N279" s="108"/>
    </row>
    <row r="280" spans="1:14" x14ac:dyDescent="0.3">
      <c r="A280" s="77"/>
      <c r="B280" s="106"/>
      <c r="F280" s="124"/>
      <c r="G280" s="125"/>
      <c r="J280" s="125"/>
      <c r="L280" s="107"/>
      <c r="M280" s="108"/>
      <c r="N280" s="108"/>
    </row>
    <row r="281" spans="1:14" x14ac:dyDescent="0.3">
      <c r="A281" s="77"/>
      <c r="B281" s="106"/>
      <c r="F281" s="124"/>
      <c r="G281" s="125"/>
      <c r="J281" s="125"/>
      <c r="L281" s="107"/>
      <c r="M281" s="108"/>
      <c r="N281" s="108"/>
    </row>
    <row r="282" spans="1:14" x14ac:dyDescent="0.3">
      <c r="A282" s="77"/>
      <c r="B282" s="106"/>
      <c r="F282" s="124"/>
      <c r="G282" s="125"/>
      <c r="J282" s="125"/>
      <c r="L282" s="107"/>
      <c r="M282" s="108"/>
      <c r="N282" s="108"/>
    </row>
    <row r="283" spans="1:14" x14ac:dyDescent="0.3">
      <c r="A283" s="77"/>
      <c r="B283" s="106"/>
      <c r="F283" s="124"/>
      <c r="G283" s="125"/>
      <c r="J283" s="125"/>
      <c r="L283" s="107"/>
      <c r="M283" s="108"/>
      <c r="N283" s="108"/>
    </row>
    <row r="284" spans="1:14" x14ac:dyDescent="0.3">
      <c r="A284" s="77"/>
      <c r="B284" s="106"/>
      <c r="F284" s="124"/>
      <c r="G284" s="125"/>
      <c r="J284" s="125"/>
      <c r="L284" s="107"/>
      <c r="M284" s="108"/>
      <c r="N284" s="108"/>
    </row>
    <row r="285" spans="1:14" x14ac:dyDescent="0.3">
      <c r="A285" s="77"/>
      <c r="B285" s="106"/>
      <c r="F285" s="124"/>
      <c r="G285" s="125"/>
      <c r="J285" s="125"/>
      <c r="L285" s="107"/>
      <c r="M285" s="108"/>
      <c r="N285" s="108"/>
    </row>
    <row r="286" spans="1:14" x14ac:dyDescent="0.3">
      <c r="A286" s="77"/>
      <c r="B286" s="106"/>
      <c r="F286" s="124"/>
      <c r="G286" s="125"/>
      <c r="J286" s="125"/>
      <c r="L286" s="107"/>
      <c r="M286" s="108"/>
      <c r="N286" s="108"/>
    </row>
    <row r="287" spans="1:14" x14ac:dyDescent="0.3">
      <c r="A287" s="77"/>
      <c r="B287" s="106"/>
      <c r="F287" s="124"/>
      <c r="G287" s="125"/>
      <c r="J287" s="125"/>
      <c r="L287" s="107"/>
      <c r="M287" s="108"/>
      <c r="N287" s="108"/>
    </row>
    <row r="288" spans="1:14" x14ac:dyDescent="0.3">
      <c r="A288" s="77"/>
      <c r="B288" s="106"/>
      <c r="F288" s="124"/>
      <c r="G288" s="125"/>
      <c r="J288" s="125"/>
      <c r="L288" s="107"/>
      <c r="M288" s="108"/>
      <c r="N288" s="108"/>
    </row>
    <row r="289" spans="1:14" x14ac:dyDescent="0.3">
      <c r="A289" s="77"/>
      <c r="B289" s="106"/>
      <c r="F289" s="124"/>
      <c r="G289" s="125"/>
      <c r="J289" s="125"/>
      <c r="L289" s="107"/>
      <c r="M289" s="108"/>
      <c r="N289" s="108"/>
    </row>
    <row r="290" spans="1:14" x14ac:dyDescent="0.3">
      <c r="A290" s="77"/>
      <c r="B290" s="106"/>
      <c r="F290" s="124"/>
      <c r="G290" s="125"/>
      <c r="J290" s="125"/>
      <c r="L290" s="107"/>
      <c r="M290" s="108"/>
      <c r="N290" s="108"/>
    </row>
    <row r="291" spans="1:14" x14ac:dyDescent="0.3">
      <c r="A291" s="77"/>
      <c r="B291" s="106"/>
      <c r="F291" s="124"/>
      <c r="G291" s="125"/>
      <c r="J291" s="125"/>
      <c r="L291" s="107"/>
      <c r="M291" s="108"/>
      <c r="N291" s="108"/>
    </row>
    <row r="292" spans="1:14" x14ac:dyDescent="0.3">
      <c r="A292" s="77"/>
      <c r="B292" s="106"/>
      <c r="F292" s="124"/>
      <c r="G292" s="125"/>
      <c r="J292" s="125"/>
      <c r="L292" s="107"/>
      <c r="M292" s="108"/>
      <c r="N292" s="108"/>
    </row>
    <row r="293" spans="1:14" x14ac:dyDescent="0.3">
      <c r="A293" s="77"/>
      <c r="B293" s="106"/>
      <c r="F293" s="124"/>
      <c r="G293" s="125"/>
      <c r="J293" s="125"/>
      <c r="L293" s="107"/>
      <c r="M293" s="108"/>
      <c r="N293" s="108"/>
    </row>
    <row r="294" spans="1:14" x14ac:dyDescent="0.3">
      <c r="A294" s="77"/>
      <c r="B294" s="106"/>
      <c r="F294" s="124"/>
      <c r="G294" s="125"/>
      <c r="J294" s="125"/>
      <c r="L294" s="107"/>
      <c r="M294" s="108"/>
      <c r="N294" s="108"/>
    </row>
    <row r="295" spans="1:14" x14ac:dyDescent="0.3">
      <c r="A295" s="77"/>
      <c r="B295" s="106"/>
      <c r="F295" s="124"/>
      <c r="G295" s="125"/>
      <c r="J295" s="125"/>
      <c r="L295" s="107"/>
      <c r="M295" s="108"/>
      <c r="N295" s="108"/>
    </row>
    <row r="296" spans="1:14" x14ac:dyDescent="0.3">
      <c r="A296" s="77"/>
      <c r="B296" s="106"/>
      <c r="F296" s="124"/>
      <c r="G296" s="125"/>
      <c r="J296" s="125"/>
      <c r="L296" s="107"/>
      <c r="M296" s="108"/>
      <c r="N296" s="108"/>
    </row>
    <row r="297" spans="1:14" x14ac:dyDescent="0.3">
      <c r="A297" s="77"/>
      <c r="B297" s="106"/>
      <c r="F297" s="124"/>
      <c r="G297" s="125"/>
      <c r="J297" s="125"/>
      <c r="L297" s="107"/>
      <c r="M297" s="108"/>
      <c r="N297" s="108"/>
    </row>
    <row r="298" spans="1:14" x14ac:dyDescent="0.3">
      <c r="A298" s="77"/>
      <c r="B298" s="106"/>
      <c r="F298" s="124"/>
      <c r="G298" s="125"/>
      <c r="J298" s="125"/>
      <c r="L298" s="107"/>
      <c r="M298" s="108"/>
      <c r="N298" s="108"/>
    </row>
    <row r="299" spans="1:14" x14ac:dyDescent="0.3">
      <c r="A299" s="77"/>
      <c r="B299" s="106"/>
      <c r="F299" s="124"/>
      <c r="G299" s="125"/>
      <c r="J299" s="125"/>
      <c r="L299" s="107"/>
      <c r="M299" s="108"/>
      <c r="N299" s="108"/>
    </row>
    <row r="300" spans="1:14" x14ac:dyDescent="0.3">
      <c r="A300" s="77"/>
      <c r="B300" s="106"/>
      <c r="F300" s="124"/>
      <c r="G300" s="125"/>
      <c r="J300" s="125"/>
      <c r="L300" s="107"/>
      <c r="M300" s="108"/>
      <c r="N300" s="108"/>
    </row>
    <row r="301" spans="1:14" x14ac:dyDescent="0.3">
      <c r="A301" s="77"/>
      <c r="B301" s="106"/>
      <c r="F301" s="124"/>
      <c r="G301" s="125"/>
      <c r="J301" s="125"/>
      <c r="L301" s="107"/>
      <c r="M301" s="108"/>
      <c r="N301" s="108"/>
    </row>
    <row r="302" spans="1:14" x14ac:dyDescent="0.3">
      <c r="A302" s="77"/>
      <c r="B302" s="106"/>
      <c r="F302" s="124"/>
      <c r="G302" s="125"/>
      <c r="J302" s="125"/>
      <c r="L302" s="107"/>
      <c r="M302" s="108"/>
      <c r="N302" s="108"/>
    </row>
    <row r="303" spans="1:14" x14ac:dyDescent="0.3">
      <c r="A303" s="77"/>
      <c r="B303" s="106"/>
      <c r="F303" s="124"/>
      <c r="G303" s="125"/>
      <c r="J303" s="125"/>
      <c r="L303" s="107"/>
      <c r="M303" s="108"/>
      <c r="N303" s="108"/>
    </row>
    <row r="304" spans="1:14" x14ac:dyDescent="0.3">
      <c r="A304" s="77"/>
      <c r="B304" s="106"/>
      <c r="F304" s="124"/>
      <c r="G304" s="125"/>
      <c r="J304" s="125"/>
      <c r="L304" s="107"/>
      <c r="M304" s="108"/>
      <c r="N304" s="108"/>
    </row>
    <row r="305" spans="1:14" x14ac:dyDescent="0.3">
      <c r="A305" s="77"/>
      <c r="B305" s="106"/>
      <c r="F305" s="124"/>
      <c r="G305" s="125"/>
      <c r="J305" s="125"/>
      <c r="L305" s="107"/>
      <c r="M305" s="108"/>
      <c r="N305" s="108"/>
    </row>
    <row r="306" spans="1:14" x14ac:dyDescent="0.3">
      <c r="A306" s="77"/>
      <c r="B306" s="106"/>
      <c r="F306" s="124"/>
      <c r="G306" s="125"/>
      <c r="J306" s="125"/>
      <c r="L306" s="107"/>
      <c r="M306" s="108"/>
      <c r="N306" s="108"/>
    </row>
    <row r="307" spans="1:14" x14ac:dyDescent="0.3">
      <c r="A307" s="77"/>
      <c r="B307" s="106"/>
      <c r="F307" s="124"/>
      <c r="G307" s="125"/>
      <c r="J307" s="125"/>
      <c r="L307" s="107"/>
      <c r="M307" s="108"/>
      <c r="N307" s="108"/>
    </row>
    <row r="308" spans="1:14" x14ac:dyDescent="0.3">
      <c r="A308" s="77"/>
      <c r="B308" s="106"/>
      <c r="F308" s="124"/>
      <c r="G308" s="125"/>
      <c r="J308" s="125"/>
      <c r="L308" s="107"/>
      <c r="M308" s="108"/>
      <c r="N308" s="108"/>
    </row>
    <row r="309" spans="1:14" x14ac:dyDescent="0.3">
      <c r="A309" s="77"/>
      <c r="B309" s="106"/>
      <c r="F309" s="124"/>
      <c r="G309" s="125"/>
      <c r="J309" s="125"/>
      <c r="L309" s="107"/>
      <c r="M309" s="108"/>
      <c r="N309" s="108"/>
    </row>
    <row r="310" spans="1:14" x14ac:dyDescent="0.3">
      <c r="A310" s="77"/>
      <c r="B310" s="106"/>
      <c r="F310" s="124"/>
      <c r="G310" s="125"/>
      <c r="J310" s="125"/>
      <c r="L310" s="107"/>
      <c r="M310" s="108"/>
      <c r="N310" s="108"/>
    </row>
    <row r="311" spans="1:14" x14ac:dyDescent="0.3">
      <c r="A311" s="77"/>
      <c r="B311" s="106"/>
      <c r="F311" s="124"/>
      <c r="G311" s="125"/>
      <c r="J311" s="125"/>
      <c r="L311" s="107"/>
      <c r="M311" s="108"/>
      <c r="N311" s="108"/>
    </row>
    <row r="312" spans="1:14" x14ac:dyDescent="0.3">
      <c r="A312" s="77"/>
      <c r="B312" s="106"/>
      <c r="F312" s="124"/>
      <c r="G312" s="125"/>
      <c r="J312" s="125"/>
      <c r="L312" s="107"/>
      <c r="M312" s="108"/>
      <c r="N312" s="108"/>
    </row>
    <row r="313" spans="1:14" x14ac:dyDescent="0.3">
      <c r="A313" s="77"/>
      <c r="B313" s="106"/>
      <c r="F313" s="124"/>
      <c r="G313" s="125"/>
      <c r="J313" s="125"/>
      <c r="L313" s="107"/>
      <c r="M313" s="108"/>
      <c r="N313" s="108"/>
    </row>
    <row r="314" spans="1:14" x14ac:dyDescent="0.3">
      <c r="A314" s="77"/>
      <c r="B314" s="106"/>
      <c r="F314" s="124"/>
      <c r="G314" s="125"/>
      <c r="J314" s="125"/>
      <c r="L314" s="107"/>
      <c r="M314" s="108"/>
      <c r="N314" s="108"/>
    </row>
    <row r="315" spans="1:14" x14ac:dyDescent="0.3">
      <c r="A315" s="77"/>
      <c r="B315" s="106"/>
      <c r="F315" s="124"/>
      <c r="G315" s="125"/>
      <c r="J315" s="125"/>
      <c r="L315" s="107"/>
      <c r="M315" s="108"/>
      <c r="N315" s="108"/>
    </row>
    <row r="316" spans="1:14" x14ac:dyDescent="0.3">
      <c r="A316" s="77"/>
      <c r="B316" s="106"/>
      <c r="F316" s="124"/>
      <c r="G316" s="125"/>
      <c r="J316" s="125"/>
      <c r="L316" s="107"/>
      <c r="M316" s="108"/>
      <c r="N316" s="108"/>
    </row>
    <row r="317" spans="1:14" x14ac:dyDescent="0.3">
      <c r="A317" s="77"/>
      <c r="B317" s="106"/>
      <c r="F317" s="124"/>
      <c r="G317" s="125"/>
      <c r="J317" s="125"/>
      <c r="L317" s="107"/>
      <c r="M317" s="108"/>
      <c r="N317" s="108"/>
    </row>
    <row r="318" spans="1:14" x14ac:dyDescent="0.3">
      <c r="A318" s="77"/>
      <c r="B318" s="106"/>
      <c r="F318" s="124"/>
      <c r="G318" s="125"/>
      <c r="J318" s="125"/>
      <c r="L318" s="107"/>
      <c r="M318" s="108"/>
      <c r="N318" s="108"/>
    </row>
    <row r="319" spans="1:14" x14ac:dyDescent="0.3">
      <c r="A319" s="77"/>
      <c r="B319" s="106"/>
      <c r="F319" s="124"/>
      <c r="G319" s="125"/>
      <c r="J319" s="125"/>
      <c r="L319" s="107"/>
      <c r="M319" s="108"/>
      <c r="N319" s="108"/>
    </row>
    <row r="320" spans="1:14" x14ac:dyDescent="0.3">
      <c r="A320" s="77"/>
      <c r="B320" s="106"/>
      <c r="F320" s="124"/>
      <c r="G320" s="125"/>
      <c r="J320" s="125"/>
      <c r="L320" s="107"/>
      <c r="M320" s="108"/>
      <c r="N320" s="108"/>
    </row>
    <row r="321" spans="1:14" x14ac:dyDescent="0.3">
      <c r="A321" s="77"/>
      <c r="B321" s="106"/>
      <c r="F321" s="124"/>
      <c r="G321" s="125"/>
      <c r="J321" s="125"/>
      <c r="L321" s="107"/>
      <c r="M321" s="108"/>
      <c r="N321" s="108"/>
    </row>
    <row r="322" spans="1:14" x14ac:dyDescent="0.3">
      <c r="A322" s="77"/>
      <c r="B322" s="106"/>
      <c r="F322" s="124"/>
      <c r="G322" s="125"/>
      <c r="J322" s="125"/>
      <c r="L322" s="107"/>
      <c r="M322" s="108"/>
      <c r="N322" s="108"/>
    </row>
    <row r="323" spans="1:14" x14ac:dyDescent="0.3">
      <c r="A323" s="77"/>
      <c r="B323" s="106"/>
      <c r="F323" s="124"/>
      <c r="G323" s="125"/>
      <c r="J323" s="125"/>
      <c r="L323" s="107"/>
      <c r="M323" s="108"/>
      <c r="N323" s="108"/>
    </row>
    <row r="324" spans="1:14" x14ac:dyDescent="0.3">
      <c r="A324" s="77"/>
      <c r="B324" s="106"/>
      <c r="F324" s="124"/>
      <c r="G324" s="125"/>
      <c r="J324" s="125"/>
      <c r="L324" s="107"/>
      <c r="M324" s="108"/>
      <c r="N324" s="108"/>
    </row>
    <row r="325" spans="1:14" x14ac:dyDescent="0.3">
      <c r="A325" s="77"/>
      <c r="B325" s="106"/>
      <c r="F325" s="124"/>
      <c r="G325" s="125"/>
      <c r="J325" s="125"/>
      <c r="L325" s="107"/>
      <c r="M325" s="108"/>
      <c r="N325" s="108"/>
    </row>
    <row r="326" spans="1:14" x14ac:dyDescent="0.3">
      <c r="A326" s="77"/>
      <c r="B326" s="106"/>
      <c r="F326" s="124"/>
      <c r="G326" s="125"/>
      <c r="J326" s="125"/>
      <c r="L326" s="107"/>
      <c r="M326" s="108"/>
      <c r="N326" s="108"/>
    </row>
    <row r="327" spans="1:14" x14ac:dyDescent="0.3">
      <c r="A327" s="77"/>
      <c r="B327" s="106"/>
      <c r="F327" s="124"/>
      <c r="G327" s="125"/>
      <c r="J327" s="125"/>
      <c r="L327" s="107"/>
      <c r="M327" s="108"/>
      <c r="N327" s="108"/>
    </row>
    <row r="328" spans="1:14" x14ac:dyDescent="0.3">
      <c r="A328" s="77"/>
      <c r="B328" s="106"/>
      <c r="F328" s="124"/>
      <c r="G328" s="125"/>
      <c r="J328" s="125"/>
      <c r="L328" s="107"/>
      <c r="M328" s="108"/>
      <c r="N328" s="108"/>
    </row>
    <row r="329" spans="1:14" x14ac:dyDescent="0.3">
      <c r="A329" s="77"/>
      <c r="B329" s="106"/>
      <c r="F329" s="124"/>
      <c r="G329" s="125"/>
      <c r="J329" s="125"/>
      <c r="L329" s="107"/>
      <c r="M329" s="108"/>
      <c r="N329" s="108"/>
    </row>
    <row r="330" spans="1:14" x14ac:dyDescent="0.3">
      <c r="A330" s="77"/>
      <c r="B330" s="106"/>
      <c r="F330" s="124"/>
      <c r="G330" s="125"/>
      <c r="J330" s="125"/>
      <c r="L330" s="107"/>
      <c r="M330" s="108"/>
      <c r="N330" s="108"/>
    </row>
    <row r="331" spans="1:14" x14ac:dyDescent="0.3">
      <c r="A331" s="77"/>
      <c r="B331" s="106"/>
      <c r="F331" s="124"/>
      <c r="G331" s="125"/>
      <c r="J331" s="125"/>
      <c r="L331" s="107"/>
      <c r="M331" s="108"/>
      <c r="N331" s="108"/>
    </row>
    <row r="332" spans="1:14" x14ac:dyDescent="0.3">
      <c r="A332" s="77"/>
      <c r="B332" s="106"/>
      <c r="F332" s="124"/>
      <c r="G332" s="125"/>
      <c r="J332" s="125"/>
      <c r="L332" s="107"/>
      <c r="M332" s="108"/>
      <c r="N332" s="108"/>
    </row>
    <row r="333" spans="1:14" x14ac:dyDescent="0.3">
      <c r="A333" s="77"/>
      <c r="B333" s="106"/>
      <c r="F333" s="124"/>
      <c r="G333" s="125"/>
      <c r="J333" s="125"/>
      <c r="L333" s="107"/>
      <c r="M333" s="108"/>
      <c r="N333" s="108"/>
    </row>
    <row r="334" spans="1:14" x14ac:dyDescent="0.3">
      <c r="A334" s="77"/>
      <c r="B334" s="106"/>
      <c r="F334" s="124"/>
      <c r="G334" s="125"/>
      <c r="J334" s="125"/>
      <c r="L334" s="107"/>
      <c r="M334" s="108"/>
      <c r="N334" s="108"/>
    </row>
    <row r="335" spans="1:14" x14ac:dyDescent="0.3">
      <c r="A335" s="77"/>
      <c r="B335" s="106"/>
      <c r="F335" s="124"/>
      <c r="G335" s="125"/>
      <c r="J335" s="125"/>
      <c r="L335" s="107"/>
      <c r="M335" s="108"/>
      <c r="N335" s="108"/>
    </row>
    <row r="336" spans="1:14" x14ac:dyDescent="0.3">
      <c r="A336" s="77"/>
      <c r="B336" s="106"/>
      <c r="F336" s="124"/>
      <c r="G336" s="125"/>
      <c r="J336" s="125"/>
      <c r="L336" s="107"/>
      <c r="M336" s="108"/>
      <c r="N336" s="108"/>
    </row>
    <row r="337" spans="1:14" x14ac:dyDescent="0.3">
      <c r="A337" s="77"/>
      <c r="B337" s="106"/>
      <c r="F337" s="124"/>
      <c r="G337" s="125"/>
      <c r="J337" s="125"/>
      <c r="L337" s="107"/>
      <c r="M337" s="108"/>
      <c r="N337" s="108"/>
    </row>
    <row r="338" spans="1:14" x14ac:dyDescent="0.3">
      <c r="A338" s="77"/>
      <c r="B338" s="106"/>
      <c r="F338" s="124"/>
      <c r="G338" s="125"/>
      <c r="J338" s="125"/>
      <c r="L338" s="107"/>
      <c r="M338" s="108"/>
      <c r="N338" s="108"/>
    </row>
    <row r="339" spans="1:14" x14ac:dyDescent="0.3">
      <c r="A339" s="77"/>
      <c r="B339" s="106"/>
      <c r="F339" s="124"/>
      <c r="G339" s="125"/>
      <c r="J339" s="125"/>
      <c r="L339" s="107"/>
      <c r="M339" s="108"/>
      <c r="N339" s="108"/>
    </row>
    <row r="340" spans="1:14" x14ac:dyDescent="0.3">
      <c r="A340" s="77"/>
      <c r="B340" s="106"/>
      <c r="F340" s="124"/>
      <c r="G340" s="125"/>
      <c r="J340" s="125"/>
      <c r="L340" s="107"/>
      <c r="M340" s="108"/>
      <c r="N340" s="108"/>
    </row>
    <row r="341" spans="1:14" x14ac:dyDescent="0.3">
      <c r="A341" s="77"/>
      <c r="B341" s="106"/>
      <c r="F341" s="124"/>
      <c r="G341" s="125"/>
      <c r="J341" s="125"/>
      <c r="L341" s="107"/>
      <c r="M341" s="108"/>
      <c r="N341" s="108"/>
    </row>
    <row r="342" spans="1:14" x14ac:dyDescent="0.3">
      <c r="A342" s="77"/>
      <c r="B342" s="106"/>
      <c r="F342" s="124"/>
      <c r="G342" s="125"/>
      <c r="J342" s="125"/>
      <c r="L342" s="107"/>
      <c r="M342" s="108"/>
      <c r="N342" s="108"/>
    </row>
    <row r="343" spans="1:14" x14ac:dyDescent="0.3">
      <c r="A343" s="77"/>
      <c r="B343" s="106"/>
      <c r="F343" s="124"/>
      <c r="G343" s="125"/>
      <c r="J343" s="125"/>
      <c r="L343" s="107"/>
      <c r="M343" s="108"/>
      <c r="N343" s="108"/>
    </row>
    <row r="344" spans="1:14" x14ac:dyDescent="0.3">
      <c r="A344" s="77"/>
      <c r="B344" s="106"/>
      <c r="F344" s="124"/>
      <c r="G344" s="125"/>
      <c r="J344" s="125"/>
      <c r="L344" s="107"/>
      <c r="M344" s="108"/>
      <c r="N344" s="108"/>
    </row>
    <row r="345" spans="1:14" x14ac:dyDescent="0.3">
      <c r="A345" s="77"/>
      <c r="B345" s="106"/>
      <c r="F345" s="124"/>
      <c r="G345" s="125"/>
      <c r="J345" s="125"/>
      <c r="L345" s="107"/>
      <c r="M345" s="108"/>
      <c r="N345" s="108"/>
    </row>
    <row r="346" spans="1:14" x14ac:dyDescent="0.3">
      <c r="A346" s="77"/>
      <c r="B346" s="106"/>
      <c r="F346" s="124"/>
      <c r="G346" s="125"/>
      <c r="J346" s="125"/>
      <c r="L346" s="107"/>
      <c r="M346" s="108"/>
      <c r="N346" s="108"/>
    </row>
    <row r="347" spans="1:14" x14ac:dyDescent="0.3">
      <c r="A347" s="77"/>
      <c r="B347" s="106"/>
      <c r="F347" s="124"/>
      <c r="G347" s="125"/>
      <c r="J347" s="125"/>
      <c r="L347" s="107"/>
      <c r="M347" s="108"/>
      <c r="N347" s="108"/>
    </row>
    <row r="348" spans="1:14" x14ac:dyDescent="0.3">
      <c r="A348" s="77"/>
      <c r="B348" s="106"/>
      <c r="F348" s="124"/>
      <c r="G348" s="125"/>
      <c r="J348" s="125"/>
      <c r="L348" s="107"/>
      <c r="M348" s="108"/>
      <c r="N348" s="108"/>
    </row>
    <row r="349" spans="1:14" x14ac:dyDescent="0.3">
      <c r="A349" s="77"/>
      <c r="B349" s="106"/>
      <c r="F349" s="124"/>
      <c r="G349" s="125"/>
      <c r="J349" s="125"/>
      <c r="L349" s="107"/>
      <c r="M349" s="108"/>
      <c r="N349" s="108"/>
    </row>
    <row r="350" spans="1:14" x14ac:dyDescent="0.3">
      <c r="A350" s="77"/>
      <c r="B350" s="106"/>
      <c r="F350" s="124"/>
      <c r="G350" s="125"/>
      <c r="J350" s="125"/>
      <c r="L350" s="107"/>
      <c r="M350" s="108"/>
      <c r="N350" s="108"/>
    </row>
    <row r="351" spans="1:14" x14ac:dyDescent="0.3">
      <c r="A351" s="77"/>
      <c r="B351" s="106"/>
      <c r="F351" s="124"/>
      <c r="G351" s="125"/>
      <c r="J351" s="125"/>
      <c r="L351" s="107"/>
      <c r="M351" s="108"/>
      <c r="N351" s="108"/>
    </row>
    <row r="352" spans="1:14" x14ac:dyDescent="0.3">
      <c r="A352" s="77"/>
      <c r="B352" s="106"/>
      <c r="F352" s="124"/>
      <c r="G352" s="125"/>
      <c r="J352" s="125"/>
      <c r="L352" s="107"/>
      <c r="M352" s="108"/>
      <c r="N352" s="108"/>
    </row>
    <row r="353" spans="1:14" x14ac:dyDescent="0.3">
      <c r="A353" s="77"/>
      <c r="B353" s="106"/>
      <c r="F353" s="124"/>
      <c r="G353" s="125"/>
      <c r="J353" s="125"/>
      <c r="L353" s="107"/>
      <c r="M353" s="108"/>
      <c r="N353" s="108"/>
    </row>
    <row r="354" spans="1:14" x14ac:dyDescent="0.3">
      <c r="A354" s="77"/>
      <c r="B354" s="106"/>
      <c r="F354" s="124"/>
      <c r="G354" s="125"/>
      <c r="J354" s="125"/>
      <c r="L354" s="107"/>
      <c r="M354" s="108"/>
      <c r="N354" s="108"/>
    </row>
    <row r="355" spans="1:14" x14ac:dyDescent="0.3">
      <c r="A355" s="77"/>
      <c r="B355" s="106"/>
      <c r="F355" s="124"/>
      <c r="G355" s="125"/>
      <c r="J355" s="125"/>
      <c r="L355" s="107"/>
      <c r="M355" s="108"/>
      <c r="N355" s="108"/>
    </row>
    <row r="356" spans="1:14" x14ac:dyDescent="0.3">
      <c r="A356" s="77"/>
      <c r="B356" s="106"/>
      <c r="F356" s="124"/>
      <c r="G356" s="125"/>
      <c r="J356" s="125"/>
      <c r="L356" s="107"/>
      <c r="M356" s="108"/>
      <c r="N356" s="108"/>
    </row>
    <row r="357" spans="1:14" x14ac:dyDescent="0.3">
      <c r="A357" s="77"/>
      <c r="B357" s="106"/>
      <c r="F357" s="124"/>
      <c r="G357" s="125"/>
      <c r="J357" s="125"/>
      <c r="L357" s="107"/>
      <c r="M357" s="108"/>
      <c r="N357" s="108"/>
    </row>
    <row r="358" spans="1:14" x14ac:dyDescent="0.3">
      <c r="A358" s="77"/>
      <c r="B358" s="106"/>
      <c r="F358" s="124"/>
      <c r="G358" s="125"/>
      <c r="J358" s="125"/>
      <c r="L358" s="107"/>
      <c r="M358" s="108"/>
      <c r="N358" s="108"/>
    </row>
    <row r="359" spans="1:14" x14ac:dyDescent="0.3">
      <c r="A359" s="77"/>
      <c r="B359" s="106"/>
      <c r="F359" s="124"/>
      <c r="G359" s="125"/>
      <c r="J359" s="125"/>
      <c r="L359" s="107"/>
      <c r="M359" s="108"/>
      <c r="N359" s="108"/>
    </row>
    <row r="360" spans="1:14" x14ac:dyDescent="0.3">
      <c r="A360" s="77"/>
      <c r="B360" s="106"/>
      <c r="F360" s="124"/>
      <c r="G360" s="125"/>
      <c r="J360" s="125"/>
      <c r="L360" s="107"/>
      <c r="M360" s="108"/>
      <c r="N360" s="108"/>
    </row>
    <row r="361" spans="1:14" x14ac:dyDescent="0.3">
      <c r="A361" s="77"/>
      <c r="B361" s="106"/>
      <c r="F361" s="124"/>
      <c r="G361" s="125"/>
      <c r="J361" s="125"/>
      <c r="L361" s="107"/>
      <c r="M361" s="108"/>
      <c r="N361" s="108"/>
    </row>
    <row r="362" spans="1:14" x14ac:dyDescent="0.3">
      <c r="A362" s="77"/>
      <c r="B362" s="106"/>
      <c r="F362" s="124"/>
      <c r="G362" s="125"/>
      <c r="J362" s="125"/>
      <c r="L362" s="107"/>
      <c r="M362" s="108"/>
      <c r="N362" s="108"/>
    </row>
    <row r="363" spans="1:14" x14ac:dyDescent="0.3">
      <c r="A363" s="77"/>
      <c r="B363" s="106"/>
      <c r="F363" s="124"/>
      <c r="G363" s="125"/>
      <c r="J363" s="125"/>
      <c r="L363" s="107"/>
      <c r="M363" s="108"/>
      <c r="N363" s="108"/>
    </row>
    <row r="364" spans="1:14" x14ac:dyDescent="0.3">
      <c r="A364" s="77"/>
      <c r="B364" s="106"/>
      <c r="F364" s="124"/>
      <c r="G364" s="125"/>
      <c r="J364" s="125"/>
      <c r="L364" s="107"/>
      <c r="M364" s="108"/>
      <c r="N364" s="108"/>
    </row>
    <row r="365" spans="1:14" x14ac:dyDescent="0.3">
      <c r="A365" s="77"/>
      <c r="B365" s="106"/>
      <c r="F365" s="124"/>
      <c r="G365" s="125"/>
      <c r="J365" s="125"/>
      <c r="L365" s="107"/>
      <c r="M365" s="108"/>
      <c r="N365" s="108"/>
    </row>
    <row r="366" spans="1:14" x14ac:dyDescent="0.3">
      <c r="A366" s="77"/>
      <c r="B366" s="106"/>
      <c r="F366" s="124"/>
      <c r="G366" s="125"/>
      <c r="J366" s="125"/>
      <c r="L366" s="107"/>
      <c r="M366" s="108"/>
      <c r="N366" s="108"/>
    </row>
    <row r="367" spans="1:14" x14ac:dyDescent="0.3">
      <c r="A367" s="77"/>
      <c r="B367" s="106"/>
      <c r="F367" s="124"/>
      <c r="G367" s="125"/>
      <c r="J367" s="125"/>
      <c r="L367" s="107"/>
      <c r="M367" s="108"/>
      <c r="N367" s="108"/>
    </row>
    <row r="368" spans="1:14" x14ac:dyDescent="0.3">
      <c r="A368" s="77"/>
      <c r="B368" s="106"/>
      <c r="F368" s="124"/>
      <c r="G368" s="125"/>
      <c r="J368" s="125"/>
      <c r="L368" s="107"/>
      <c r="M368" s="108"/>
      <c r="N368" s="108"/>
    </row>
    <row r="369" spans="1:14" x14ac:dyDescent="0.3">
      <c r="A369" s="77"/>
      <c r="B369" s="106"/>
      <c r="F369" s="124"/>
      <c r="G369" s="125"/>
      <c r="J369" s="125"/>
      <c r="L369" s="107"/>
      <c r="M369" s="108"/>
      <c r="N369" s="108"/>
    </row>
    <row r="370" spans="1:14" x14ac:dyDescent="0.3">
      <c r="A370" s="77"/>
      <c r="B370" s="106"/>
      <c r="F370" s="124"/>
      <c r="G370" s="125"/>
      <c r="J370" s="125"/>
      <c r="L370" s="107"/>
      <c r="M370" s="108"/>
      <c r="N370" s="108"/>
    </row>
    <row r="371" spans="1:14" x14ac:dyDescent="0.3">
      <c r="A371" s="77"/>
      <c r="B371" s="106"/>
      <c r="F371" s="124"/>
      <c r="G371" s="125"/>
      <c r="J371" s="125"/>
      <c r="L371" s="107"/>
      <c r="M371" s="108"/>
      <c r="N371" s="108"/>
    </row>
    <row r="372" spans="1:14" x14ac:dyDescent="0.3">
      <c r="A372" s="77"/>
      <c r="B372" s="106"/>
      <c r="F372" s="124"/>
      <c r="G372" s="125"/>
      <c r="J372" s="125"/>
      <c r="L372" s="107"/>
      <c r="M372" s="108"/>
      <c r="N372" s="108"/>
    </row>
    <row r="373" spans="1:14" x14ac:dyDescent="0.3">
      <c r="A373" s="77"/>
      <c r="B373" s="106"/>
      <c r="F373" s="124"/>
      <c r="G373" s="125"/>
      <c r="J373" s="125"/>
      <c r="L373" s="107"/>
      <c r="M373" s="108"/>
      <c r="N373" s="108"/>
    </row>
    <row r="374" spans="1:14" x14ac:dyDescent="0.3">
      <c r="A374" s="77"/>
      <c r="B374" s="106"/>
      <c r="F374" s="124"/>
      <c r="G374" s="125"/>
      <c r="J374" s="125"/>
      <c r="L374" s="107"/>
      <c r="M374" s="108"/>
      <c r="N374" s="108"/>
    </row>
    <row r="375" spans="1:14" x14ac:dyDescent="0.3">
      <c r="A375" s="77"/>
      <c r="B375" s="106"/>
      <c r="F375" s="124"/>
      <c r="G375" s="125"/>
      <c r="J375" s="125"/>
      <c r="L375" s="107"/>
      <c r="M375" s="108"/>
      <c r="N375" s="108"/>
    </row>
    <row r="376" spans="1:14" x14ac:dyDescent="0.3">
      <c r="A376" s="77"/>
      <c r="B376" s="106"/>
      <c r="F376" s="124"/>
      <c r="G376" s="125"/>
      <c r="J376" s="125"/>
      <c r="L376" s="107"/>
      <c r="M376" s="108"/>
      <c r="N376" s="108"/>
    </row>
    <row r="377" spans="1:14" x14ac:dyDescent="0.3">
      <c r="A377" s="77"/>
      <c r="B377" s="106"/>
      <c r="F377" s="124"/>
      <c r="G377" s="125"/>
      <c r="J377" s="125"/>
      <c r="L377" s="107"/>
      <c r="M377" s="108"/>
      <c r="N377" s="108"/>
    </row>
    <row r="378" spans="1:14" x14ac:dyDescent="0.3">
      <c r="A378" s="77"/>
      <c r="B378" s="106"/>
      <c r="F378" s="124"/>
      <c r="G378" s="125"/>
      <c r="J378" s="125"/>
      <c r="L378" s="107"/>
      <c r="M378" s="108"/>
      <c r="N378" s="108"/>
    </row>
    <row r="379" spans="1:14" x14ac:dyDescent="0.3">
      <c r="A379" s="77"/>
      <c r="B379" s="106"/>
      <c r="F379" s="124"/>
      <c r="G379" s="125"/>
      <c r="J379" s="125"/>
      <c r="L379" s="107"/>
      <c r="M379" s="108"/>
      <c r="N379" s="108"/>
    </row>
    <row r="380" spans="1:14" x14ac:dyDescent="0.3">
      <c r="A380" s="77"/>
      <c r="B380" s="106"/>
      <c r="F380" s="124"/>
      <c r="G380" s="125"/>
      <c r="J380" s="125"/>
      <c r="L380" s="107"/>
      <c r="M380" s="108"/>
      <c r="N380" s="108"/>
    </row>
    <row r="381" spans="1:14" x14ac:dyDescent="0.3">
      <c r="A381" s="77"/>
      <c r="B381" s="106"/>
      <c r="F381" s="124"/>
      <c r="G381" s="125"/>
      <c r="J381" s="125"/>
      <c r="L381" s="107"/>
      <c r="M381" s="108"/>
      <c r="N381" s="108"/>
    </row>
    <row r="382" spans="1:14" x14ac:dyDescent="0.3">
      <c r="A382" s="77"/>
      <c r="B382" s="106"/>
      <c r="F382" s="124"/>
      <c r="G382" s="125"/>
      <c r="J382" s="125"/>
      <c r="L382" s="107"/>
      <c r="M382" s="108"/>
      <c r="N382" s="108"/>
    </row>
    <row r="383" spans="1:14" x14ac:dyDescent="0.3">
      <c r="A383" s="77"/>
      <c r="B383" s="106"/>
      <c r="F383" s="124"/>
      <c r="G383" s="125"/>
      <c r="J383" s="125"/>
      <c r="L383" s="107"/>
      <c r="M383" s="108"/>
      <c r="N383" s="108"/>
    </row>
    <row r="384" spans="1:14" x14ac:dyDescent="0.3">
      <c r="A384" s="77"/>
      <c r="B384" s="106"/>
      <c r="F384" s="124"/>
      <c r="G384" s="125"/>
      <c r="J384" s="125"/>
      <c r="L384" s="107"/>
      <c r="M384" s="108"/>
      <c r="N384" s="108"/>
    </row>
    <row r="385" spans="1:14" x14ac:dyDescent="0.3">
      <c r="A385" s="77"/>
      <c r="B385" s="106"/>
      <c r="F385" s="124"/>
      <c r="G385" s="125"/>
      <c r="J385" s="125"/>
      <c r="L385" s="107"/>
      <c r="M385" s="108"/>
      <c r="N385" s="108"/>
    </row>
    <row r="386" spans="1:14" x14ac:dyDescent="0.3">
      <c r="A386" s="77"/>
      <c r="B386" s="106"/>
      <c r="F386" s="124"/>
      <c r="G386" s="125"/>
      <c r="J386" s="125"/>
      <c r="L386" s="107"/>
      <c r="M386" s="108"/>
      <c r="N386" s="108"/>
    </row>
    <row r="387" spans="1:14" x14ac:dyDescent="0.3">
      <c r="A387" s="77"/>
      <c r="B387" s="106"/>
      <c r="F387" s="124"/>
      <c r="G387" s="125"/>
      <c r="J387" s="125"/>
      <c r="L387" s="107"/>
      <c r="M387" s="108"/>
      <c r="N387" s="108"/>
    </row>
    <row r="388" spans="1:14" x14ac:dyDescent="0.3">
      <c r="A388" s="77"/>
      <c r="B388" s="106"/>
      <c r="F388" s="124"/>
      <c r="G388" s="125"/>
      <c r="J388" s="125"/>
      <c r="L388" s="107"/>
      <c r="M388" s="108"/>
      <c r="N388" s="108"/>
    </row>
    <row r="389" spans="1:14" x14ac:dyDescent="0.3">
      <c r="A389" s="77"/>
      <c r="B389" s="106"/>
      <c r="F389" s="124"/>
      <c r="G389" s="125"/>
      <c r="J389" s="125"/>
      <c r="L389" s="107"/>
      <c r="M389" s="108"/>
      <c r="N389" s="108"/>
    </row>
    <row r="390" spans="1:14" x14ac:dyDescent="0.3">
      <c r="A390" s="77"/>
      <c r="B390" s="106"/>
      <c r="F390" s="124"/>
      <c r="G390" s="125"/>
      <c r="J390" s="125"/>
      <c r="L390" s="107"/>
      <c r="M390" s="108"/>
      <c r="N390" s="108"/>
    </row>
    <row r="391" spans="1:14" x14ac:dyDescent="0.3">
      <c r="A391" s="77"/>
      <c r="B391" s="106"/>
      <c r="F391" s="124"/>
      <c r="G391" s="125"/>
      <c r="J391" s="125"/>
      <c r="L391" s="107"/>
      <c r="M391" s="108"/>
      <c r="N391" s="108"/>
    </row>
    <row r="392" spans="1:14" x14ac:dyDescent="0.3">
      <c r="A392" s="77"/>
      <c r="B392" s="106"/>
      <c r="F392" s="124"/>
      <c r="G392" s="125"/>
      <c r="J392" s="125"/>
      <c r="L392" s="107"/>
      <c r="M392" s="108"/>
      <c r="N392" s="108"/>
    </row>
    <row r="393" spans="1:14" x14ac:dyDescent="0.3">
      <c r="A393" s="77"/>
      <c r="B393" s="106"/>
      <c r="F393" s="124"/>
      <c r="G393" s="125"/>
      <c r="J393" s="125"/>
      <c r="L393" s="107"/>
      <c r="M393" s="108"/>
      <c r="N393" s="108"/>
    </row>
    <row r="394" spans="1:14" x14ac:dyDescent="0.3">
      <c r="A394" s="77"/>
      <c r="B394" s="106"/>
      <c r="F394" s="124"/>
      <c r="G394" s="125"/>
      <c r="J394" s="125"/>
      <c r="L394" s="107"/>
      <c r="M394" s="108"/>
      <c r="N394" s="108"/>
    </row>
    <row r="395" spans="1:14" x14ac:dyDescent="0.3">
      <c r="A395" s="77"/>
      <c r="B395" s="106"/>
      <c r="F395" s="124"/>
      <c r="G395" s="125"/>
      <c r="J395" s="125"/>
      <c r="L395" s="107"/>
      <c r="M395" s="108"/>
      <c r="N395" s="108"/>
    </row>
    <row r="396" spans="1:14" x14ac:dyDescent="0.3">
      <c r="A396" s="77"/>
      <c r="B396" s="106"/>
      <c r="F396" s="124"/>
      <c r="G396" s="125"/>
      <c r="J396" s="125"/>
      <c r="L396" s="107"/>
      <c r="M396" s="108"/>
      <c r="N396" s="108"/>
    </row>
    <row r="397" spans="1:14" x14ac:dyDescent="0.3">
      <c r="A397" s="77"/>
      <c r="B397" s="106"/>
      <c r="F397" s="124"/>
      <c r="G397" s="125"/>
      <c r="J397" s="125"/>
      <c r="L397" s="107"/>
      <c r="M397" s="108"/>
      <c r="N397" s="108"/>
    </row>
    <row r="398" spans="1:14" x14ac:dyDescent="0.3">
      <c r="A398" s="77"/>
      <c r="B398" s="106"/>
      <c r="F398" s="124"/>
      <c r="G398" s="125"/>
      <c r="J398" s="125"/>
      <c r="L398" s="107"/>
      <c r="M398" s="108"/>
      <c r="N398" s="108"/>
    </row>
    <row r="399" spans="1:14" x14ac:dyDescent="0.3">
      <c r="A399" s="77"/>
      <c r="B399" s="106"/>
      <c r="F399" s="124"/>
      <c r="G399" s="125"/>
      <c r="J399" s="125"/>
      <c r="L399" s="107"/>
      <c r="M399" s="108"/>
      <c r="N399" s="108"/>
    </row>
    <row r="400" spans="1:14" x14ac:dyDescent="0.3">
      <c r="A400" s="77"/>
      <c r="B400" s="106"/>
      <c r="F400" s="124"/>
      <c r="G400" s="125"/>
      <c r="J400" s="125"/>
      <c r="L400" s="107"/>
      <c r="M400" s="108"/>
      <c r="N400" s="108"/>
    </row>
    <row r="401" spans="1:14" x14ac:dyDescent="0.3">
      <c r="A401" s="77"/>
      <c r="B401" s="106"/>
      <c r="F401" s="124"/>
      <c r="G401" s="125"/>
      <c r="J401" s="125"/>
      <c r="L401" s="107"/>
      <c r="M401" s="108"/>
      <c r="N401" s="108"/>
    </row>
    <row r="402" spans="1:14" x14ac:dyDescent="0.3">
      <c r="A402" s="77"/>
      <c r="B402" s="106"/>
      <c r="F402" s="124"/>
      <c r="G402" s="125"/>
      <c r="J402" s="125"/>
      <c r="L402" s="107"/>
      <c r="M402" s="108"/>
      <c r="N402" s="108"/>
    </row>
    <row r="403" spans="1:14" x14ac:dyDescent="0.3">
      <c r="A403" s="77"/>
      <c r="B403" s="106"/>
      <c r="F403" s="124"/>
      <c r="G403" s="125"/>
      <c r="J403" s="125"/>
      <c r="L403" s="107"/>
      <c r="M403" s="108"/>
      <c r="N403" s="108"/>
    </row>
    <row r="404" spans="1:14" x14ac:dyDescent="0.3">
      <c r="A404" s="77"/>
      <c r="B404" s="106"/>
      <c r="F404" s="124"/>
      <c r="G404" s="125"/>
      <c r="J404" s="125"/>
      <c r="L404" s="107"/>
      <c r="M404" s="108"/>
      <c r="N404" s="108"/>
    </row>
    <row r="405" spans="1:14" x14ac:dyDescent="0.3">
      <c r="A405" s="77"/>
      <c r="B405" s="106"/>
      <c r="F405" s="124"/>
      <c r="G405" s="125"/>
      <c r="J405" s="125"/>
      <c r="L405" s="107"/>
      <c r="M405" s="108"/>
      <c r="N405" s="108"/>
    </row>
    <row r="406" spans="1:14" x14ac:dyDescent="0.3">
      <c r="A406" s="77"/>
      <c r="B406" s="106"/>
      <c r="F406" s="124"/>
      <c r="G406" s="125"/>
      <c r="J406" s="125"/>
      <c r="L406" s="107"/>
      <c r="M406" s="108"/>
      <c r="N406" s="108"/>
    </row>
    <row r="407" spans="1:14" x14ac:dyDescent="0.3">
      <c r="A407" s="77"/>
      <c r="B407" s="106"/>
      <c r="F407" s="124"/>
      <c r="G407" s="125"/>
      <c r="J407" s="125"/>
      <c r="L407" s="107"/>
      <c r="M407" s="108"/>
      <c r="N407" s="108"/>
    </row>
    <row r="408" spans="1:14" x14ac:dyDescent="0.3">
      <c r="A408" s="77"/>
      <c r="B408" s="106"/>
      <c r="F408" s="124"/>
      <c r="G408" s="125"/>
      <c r="J408" s="125"/>
      <c r="L408" s="107"/>
      <c r="M408" s="108"/>
      <c r="N408" s="108"/>
    </row>
    <row r="409" spans="1:14" x14ac:dyDescent="0.3">
      <c r="A409" s="77"/>
      <c r="B409" s="106"/>
      <c r="F409" s="124"/>
      <c r="G409" s="125"/>
      <c r="J409" s="125"/>
      <c r="L409" s="107"/>
      <c r="M409" s="108"/>
      <c r="N409" s="108"/>
    </row>
    <row r="410" spans="1:14" x14ac:dyDescent="0.3">
      <c r="A410" s="77"/>
      <c r="B410" s="106"/>
      <c r="F410" s="124"/>
      <c r="G410" s="125"/>
      <c r="J410" s="125"/>
      <c r="L410" s="107"/>
      <c r="M410" s="108"/>
      <c r="N410" s="108"/>
    </row>
    <row r="411" spans="1:14" x14ac:dyDescent="0.3">
      <c r="A411" s="77"/>
      <c r="B411" s="106"/>
      <c r="F411" s="124"/>
      <c r="G411" s="125"/>
      <c r="J411" s="125"/>
      <c r="L411" s="107"/>
      <c r="M411" s="108"/>
      <c r="N411" s="108"/>
    </row>
    <row r="412" spans="1:14" x14ac:dyDescent="0.3">
      <c r="A412" s="77"/>
      <c r="B412" s="106"/>
      <c r="F412" s="124"/>
      <c r="G412" s="125"/>
      <c r="J412" s="125"/>
      <c r="L412" s="107"/>
      <c r="M412" s="108"/>
      <c r="N412" s="108"/>
    </row>
    <row r="413" spans="1:14" x14ac:dyDescent="0.3">
      <c r="A413" s="77"/>
      <c r="B413" s="106"/>
      <c r="F413" s="124"/>
      <c r="G413" s="125"/>
      <c r="J413" s="125"/>
      <c r="L413" s="107"/>
      <c r="M413" s="108"/>
      <c r="N413" s="108"/>
    </row>
    <row r="414" spans="1:14" x14ac:dyDescent="0.3">
      <c r="A414" s="77"/>
      <c r="B414" s="106"/>
      <c r="F414" s="124"/>
      <c r="G414" s="125"/>
      <c r="J414" s="125"/>
      <c r="L414" s="107"/>
      <c r="M414" s="108"/>
      <c r="N414" s="108"/>
    </row>
    <row r="415" spans="1:14" x14ac:dyDescent="0.3">
      <c r="A415" s="77"/>
      <c r="B415" s="106"/>
      <c r="F415" s="124"/>
      <c r="G415" s="125"/>
      <c r="J415" s="125"/>
      <c r="L415" s="107"/>
      <c r="M415" s="108"/>
      <c r="N415" s="108"/>
    </row>
    <row r="416" spans="1:14" x14ac:dyDescent="0.3">
      <c r="A416" s="77"/>
      <c r="B416" s="106"/>
      <c r="F416" s="124"/>
      <c r="G416" s="125"/>
      <c r="J416" s="125"/>
      <c r="L416" s="107"/>
      <c r="M416" s="108"/>
      <c r="N416" s="108"/>
    </row>
    <row r="417" spans="1:14" x14ac:dyDescent="0.3">
      <c r="A417" s="77"/>
      <c r="B417" s="106"/>
      <c r="F417" s="124"/>
      <c r="G417" s="125"/>
      <c r="J417" s="125"/>
      <c r="L417" s="107"/>
      <c r="M417" s="108"/>
      <c r="N417" s="108"/>
    </row>
    <row r="418" spans="1:14" x14ac:dyDescent="0.3">
      <c r="A418" s="77"/>
      <c r="B418" s="106"/>
      <c r="F418" s="124"/>
      <c r="G418" s="125"/>
      <c r="J418" s="125"/>
      <c r="L418" s="107"/>
      <c r="M418" s="108"/>
      <c r="N418" s="108"/>
    </row>
    <row r="419" spans="1:14" x14ac:dyDescent="0.3">
      <c r="A419" s="77"/>
      <c r="B419" s="106"/>
      <c r="F419" s="124"/>
      <c r="G419" s="125"/>
      <c r="J419" s="125"/>
      <c r="L419" s="107"/>
      <c r="M419" s="108"/>
      <c r="N419" s="108"/>
    </row>
    <row r="420" spans="1:14" x14ac:dyDescent="0.3">
      <c r="A420" s="77"/>
      <c r="B420" s="106"/>
      <c r="F420" s="124"/>
      <c r="G420" s="125"/>
      <c r="J420" s="125"/>
      <c r="L420" s="107"/>
      <c r="M420" s="108"/>
      <c r="N420" s="108"/>
    </row>
    <row r="421" spans="1:14" x14ac:dyDescent="0.3">
      <c r="A421" s="77"/>
      <c r="B421" s="106"/>
      <c r="F421" s="124"/>
      <c r="G421" s="125"/>
      <c r="J421" s="125"/>
      <c r="L421" s="107"/>
      <c r="M421" s="108"/>
      <c r="N421" s="108"/>
    </row>
    <row r="422" spans="1:14" x14ac:dyDescent="0.3">
      <c r="A422" s="77"/>
      <c r="B422" s="106"/>
      <c r="F422" s="124"/>
      <c r="G422" s="125"/>
      <c r="J422" s="125"/>
      <c r="L422" s="107"/>
      <c r="M422" s="108"/>
      <c r="N422" s="108"/>
    </row>
    <row r="423" spans="1:14" x14ac:dyDescent="0.3">
      <c r="A423" s="77"/>
      <c r="B423" s="106"/>
      <c r="F423" s="124"/>
      <c r="G423" s="125"/>
      <c r="J423" s="125"/>
      <c r="L423" s="107"/>
      <c r="M423" s="108"/>
      <c r="N423" s="108"/>
    </row>
    <row r="424" spans="1:14" x14ac:dyDescent="0.3">
      <c r="A424" s="77"/>
      <c r="B424" s="106"/>
      <c r="F424" s="124"/>
      <c r="G424" s="125"/>
      <c r="J424" s="125"/>
      <c r="L424" s="107"/>
      <c r="M424" s="108"/>
      <c r="N424" s="108"/>
    </row>
    <row r="425" spans="1:14" x14ac:dyDescent="0.3">
      <c r="A425" s="77"/>
      <c r="B425" s="106"/>
      <c r="F425" s="124"/>
      <c r="G425" s="125"/>
      <c r="J425" s="125"/>
      <c r="L425" s="107"/>
      <c r="M425" s="108"/>
      <c r="N425" s="108"/>
    </row>
    <row r="426" spans="1:14" x14ac:dyDescent="0.3">
      <c r="A426" s="77"/>
      <c r="B426" s="106"/>
      <c r="F426" s="124"/>
      <c r="G426" s="125"/>
      <c r="J426" s="125"/>
      <c r="L426" s="107"/>
      <c r="M426" s="108"/>
      <c r="N426" s="108"/>
    </row>
    <row r="427" spans="1:14" x14ac:dyDescent="0.3">
      <c r="A427" s="77"/>
      <c r="B427" s="106"/>
      <c r="F427" s="124"/>
      <c r="G427" s="125"/>
      <c r="J427" s="125"/>
      <c r="L427" s="107"/>
      <c r="M427" s="108"/>
      <c r="N427" s="108"/>
    </row>
    <row r="428" spans="1:14" x14ac:dyDescent="0.3">
      <c r="A428" s="77"/>
      <c r="B428" s="106"/>
      <c r="F428" s="124"/>
      <c r="G428" s="125"/>
      <c r="J428" s="125"/>
      <c r="L428" s="107"/>
      <c r="M428" s="108"/>
      <c r="N428" s="108"/>
    </row>
    <row r="429" spans="1:14" x14ac:dyDescent="0.3">
      <c r="A429" s="77"/>
      <c r="B429" s="106"/>
      <c r="F429" s="124"/>
      <c r="G429" s="125"/>
      <c r="J429" s="125"/>
      <c r="L429" s="107"/>
      <c r="M429" s="108"/>
      <c r="N429" s="108"/>
    </row>
    <row r="430" spans="1:14" x14ac:dyDescent="0.3">
      <c r="A430" s="77"/>
      <c r="B430" s="106"/>
      <c r="F430" s="124"/>
      <c r="G430" s="125"/>
      <c r="J430" s="125"/>
      <c r="L430" s="107"/>
      <c r="M430" s="108"/>
      <c r="N430" s="108"/>
    </row>
    <row r="431" spans="1:14" x14ac:dyDescent="0.3">
      <c r="A431" s="77"/>
      <c r="B431" s="106"/>
      <c r="F431" s="124"/>
      <c r="G431" s="125"/>
      <c r="J431" s="125"/>
      <c r="L431" s="107"/>
      <c r="M431" s="108"/>
      <c r="N431" s="108"/>
    </row>
    <row r="432" spans="1:14" x14ac:dyDescent="0.3">
      <c r="A432" s="77"/>
      <c r="B432" s="106"/>
      <c r="F432" s="124"/>
      <c r="G432" s="125"/>
      <c r="J432" s="125"/>
      <c r="L432" s="107"/>
      <c r="M432" s="108"/>
      <c r="N432" s="108"/>
    </row>
    <row r="433" spans="1:14" x14ac:dyDescent="0.3">
      <c r="A433" s="77"/>
      <c r="B433" s="106"/>
      <c r="F433" s="124"/>
      <c r="G433" s="125"/>
      <c r="J433" s="125"/>
      <c r="L433" s="107"/>
      <c r="M433" s="108"/>
      <c r="N433" s="108"/>
    </row>
    <row r="434" spans="1:14" x14ac:dyDescent="0.3">
      <c r="A434" s="77"/>
      <c r="B434" s="106"/>
      <c r="F434" s="124"/>
      <c r="G434" s="125"/>
      <c r="J434" s="125"/>
      <c r="L434" s="107"/>
      <c r="M434" s="108"/>
      <c r="N434" s="108"/>
    </row>
    <row r="435" spans="1:14" x14ac:dyDescent="0.3">
      <c r="A435" s="77"/>
      <c r="B435" s="106"/>
      <c r="F435" s="124"/>
      <c r="G435" s="125"/>
      <c r="J435" s="125"/>
      <c r="L435" s="107"/>
      <c r="M435" s="108"/>
      <c r="N435" s="108"/>
    </row>
    <row r="436" spans="1:14" x14ac:dyDescent="0.3">
      <c r="A436" s="77"/>
      <c r="B436" s="106"/>
      <c r="F436" s="124"/>
      <c r="G436" s="125"/>
      <c r="J436" s="125"/>
      <c r="L436" s="107"/>
      <c r="M436" s="108"/>
      <c r="N436" s="108"/>
    </row>
    <row r="437" spans="1:14" x14ac:dyDescent="0.3">
      <c r="A437" s="77"/>
      <c r="B437" s="106"/>
      <c r="F437" s="124"/>
      <c r="G437" s="125"/>
      <c r="J437" s="125"/>
      <c r="L437" s="107"/>
      <c r="M437" s="108"/>
      <c r="N437" s="108"/>
    </row>
    <row r="438" spans="1:14" x14ac:dyDescent="0.3">
      <c r="A438" s="77"/>
      <c r="B438" s="106"/>
      <c r="F438" s="124"/>
      <c r="G438" s="125"/>
      <c r="J438" s="125"/>
      <c r="L438" s="107"/>
      <c r="M438" s="108"/>
      <c r="N438" s="108"/>
    </row>
    <row r="439" spans="1:14" x14ac:dyDescent="0.3">
      <c r="A439" s="77"/>
      <c r="B439" s="106"/>
      <c r="F439" s="124"/>
      <c r="G439" s="125"/>
      <c r="J439" s="125"/>
      <c r="L439" s="107"/>
      <c r="M439" s="108"/>
      <c r="N439" s="108"/>
    </row>
    <row r="440" spans="1:14" x14ac:dyDescent="0.3">
      <c r="A440" s="77"/>
      <c r="B440" s="106"/>
      <c r="F440" s="124"/>
      <c r="G440" s="125"/>
      <c r="J440" s="125"/>
      <c r="L440" s="107"/>
      <c r="M440" s="108"/>
      <c r="N440" s="108"/>
    </row>
    <row r="441" spans="1:14" x14ac:dyDescent="0.3">
      <c r="A441" s="77"/>
      <c r="B441" s="106"/>
      <c r="F441" s="124"/>
      <c r="G441" s="125"/>
      <c r="J441" s="125"/>
      <c r="L441" s="107"/>
      <c r="M441" s="108"/>
      <c r="N441" s="108"/>
    </row>
    <row r="442" spans="1:14" x14ac:dyDescent="0.3">
      <c r="A442" s="77"/>
      <c r="B442" s="106"/>
      <c r="F442" s="124"/>
      <c r="G442" s="125"/>
      <c r="J442" s="125"/>
      <c r="L442" s="107"/>
      <c r="M442" s="108"/>
      <c r="N442" s="108"/>
    </row>
    <row r="443" spans="1:14" x14ac:dyDescent="0.3">
      <c r="A443" s="77"/>
      <c r="B443" s="106"/>
      <c r="F443" s="124"/>
      <c r="G443" s="125"/>
      <c r="J443" s="125"/>
      <c r="L443" s="107"/>
      <c r="M443" s="108"/>
      <c r="N443" s="108"/>
    </row>
    <row r="444" spans="1:14" x14ac:dyDescent="0.3">
      <c r="A444" s="77"/>
      <c r="B444" s="106"/>
      <c r="F444" s="124"/>
      <c r="G444" s="125"/>
      <c r="J444" s="125"/>
      <c r="L444" s="107"/>
      <c r="M444" s="108"/>
      <c r="N444" s="108"/>
    </row>
    <row r="445" spans="1:14" x14ac:dyDescent="0.3">
      <c r="A445" s="77"/>
      <c r="B445" s="106"/>
      <c r="F445" s="124"/>
      <c r="G445" s="125"/>
      <c r="J445" s="125"/>
      <c r="L445" s="107"/>
      <c r="M445" s="108"/>
      <c r="N445" s="108"/>
    </row>
    <row r="446" spans="1:14" x14ac:dyDescent="0.3">
      <c r="A446" s="77"/>
      <c r="B446" s="106"/>
      <c r="F446" s="124"/>
      <c r="G446" s="125"/>
      <c r="J446" s="125"/>
      <c r="L446" s="107"/>
      <c r="M446" s="108"/>
      <c r="N446" s="108"/>
    </row>
    <row r="447" spans="1:14" x14ac:dyDescent="0.3">
      <c r="A447" s="77"/>
      <c r="B447" s="106"/>
      <c r="F447" s="124"/>
      <c r="G447" s="125"/>
      <c r="J447" s="125"/>
      <c r="L447" s="107"/>
      <c r="M447" s="108"/>
      <c r="N447" s="108"/>
    </row>
    <row r="448" spans="1:14" x14ac:dyDescent="0.3">
      <c r="A448" s="77"/>
      <c r="B448" s="106"/>
      <c r="F448" s="124"/>
      <c r="G448" s="125"/>
      <c r="J448" s="125"/>
      <c r="L448" s="107"/>
      <c r="M448" s="108"/>
      <c r="N448" s="108"/>
    </row>
    <row r="449" spans="1:14" x14ac:dyDescent="0.3">
      <c r="A449" s="77"/>
      <c r="B449" s="106"/>
      <c r="F449" s="124"/>
      <c r="G449" s="125"/>
      <c r="J449" s="125"/>
      <c r="L449" s="107"/>
      <c r="M449" s="108"/>
      <c r="N449" s="108"/>
    </row>
    <row r="450" spans="1:14" x14ac:dyDescent="0.3">
      <c r="A450" s="77"/>
      <c r="B450" s="106"/>
      <c r="F450" s="124"/>
      <c r="G450" s="125"/>
      <c r="J450" s="125"/>
      <c r="L450" s="107"/>
      <c r="M450" s="108"/>
      <c r="N450" s="108"/>
    </row>
    <row r="451" spans="1:14" x14ac:dyDescent="0.3">
      <c r="A451" s="77"/>
      <c r="B451" s="106"/>
      <c r="F451" s="124"/>
      <c r="G451" s="125"/>
      <c r="J451" s="125"/>
      <c r="L451" s="107"/>
      <c r="M451" s="108"/>
      <c r="N451" s="108"/>
    </row>
    <row r="452" spans="1:14" x14ac:dyDescent="0.3">
      <c r="A452" s="77"/>
      <c r="B452" s="106"/>
      <c r="F452" s="124"/>
      <c r="G452" s="125"/>
      <c r="J452" s="125"/>
      <c r="L452" s="107"/>
      <c r="M452" s="108"/>
      <c r="N452" s="108"/>
    </row>
    <row r="453" spans="1:14" x14ac:dyDescent="0.3">
      <c r="A453" s="77"/>
      <c r="B453" s="106"/>
      <c r="F453" s="124"/>
      <c r="G453" s="125"/>
      <c r="J453" s="125"/>
      <c r="L453" s="107"/>
      <c r="M453" s="108"/>
      <c r="N453" s="108"/>
    </row>
    <row r="454" spans="1:14" x14ac:dyDescent="0.3">
      <c r="A454" s="77"/>
      <c r="B454" s="106"/>
      <c r="F454" s="124"/>
      <c r="G454" s="125"/>
      <c r="J454" s="125"/>
      <c r="L454" s="107"/>
      <c r="M454" s="108"/>
      <c r="N454" s="108"/>
    </row>
    <row r="455" spans="1:14" x14ac:dyDescent="0.3">
      <c r="A455" s="77"/>
      <c r="B455" s="106"/>
      <c r="F455" s="124"/>
      <c r="G455" s="125"/>
      <c r="J455" s="125"/>
      <c r="L455" s="107"/>
      <c r="M455" s="108"/>
      <c r="N455" s="108"/>
    </row>
    <row r="456" spans="1:14" x14ac:dyDescent="0.3">
      <c r="A456" s="77"/>
      <c r="B456" s="106"/>
      <c r="F456" s="124"/>
      <c r="G456" s="125"/>
      <c r="J456" s="125"/>
      <c r="L456" s="107"/>
      <c r="M456" s="108"/>
      <c r="N456" s="108"/>
    </row>
    <row r="457" spans="1:14" x14ac:dyDescent="0.3">
      <c r="A457" s="77"/>
      <c r="B457" s="106"/>
      <c r="F457" s="124"/>
      <c r="G457" s="125"/>
      <c r="J457" s="125"/>
      <c r="L457" s="107"/>
      <c r="M457" s="108"/>
      <c r="N457" s="108"/>
    </row>
    <row r="458" spans="1:14" x14ac:dyDescent="0.3">
      <c r="A458" s="77"/>
      <c r="B458" s="106"/>
      <c r="F458" s="124"/>
      <c r="G458" s="125"/>
      <c r="J458" s="125"/>
      <c r="L458" s="107"/>
      <c r="M458" s="108"/>
      <c r="N458" s="108"/>
    </row>
    <row r="459" spans="1:14" x14ac:dyDescent="0.3">
      <c r="A459" s="77"/>
      <c r="B459" s="106"/>
      <c r="F459" s="124"/>
      <c r="G459" s="125"/>
      <c r="J459" s="125"/>
      <c r="L459" s="107"/>
      <c r="M459" s="108"/>
      <c r="N459" s="108"/>
    </row>
    <row r="460" spans="1:14" x14ac:dyDescent="0.3">
      <c r="A460" s="77"/>
      <c r="B460" s="106"/>
      <c r="F460" s="124"/>
      <c r="G460" s="125"/>
      <c r="J460" s="125"/>
      <c r="L460" s="107"/>
      <c r="M460" s="108"/>
      <c r="N460" s="108"/>
    </row>
    <row r="461" spans="1:14" x14ac:dyDescent="0.3">
      <c r="A461" s="77"/>
      <c r="B461" s="106"/>
      <c r="F461" s="124"/>
      <c r="G461" s="125"/>
      <c r="J461" s="125"/>
      <c r="L461" s="107"/>
      <c r="M461" s="108"/>
      <c r="N461" s="108"/>
    </row>
    <row r="462" spans="1:14" x14ac:dyDescent="0.3">
      <c r="A462" s="77"/>
      <c r="B462" s="106"/>
      <c r="F462" s="124"/>
      <c r="G462" s="125"/>
      <c r="J462" s="125"/>
      <c r="L462" s="107"/>
      <c r="M462" s="108"/>
      <c r="N462" s="108"/>
    </row>
    <row r="463" spans="1:14" x14ac:dyDescent="0.3">
      <c r="A463" s="77"/>
      <c r="B463" s="106"/>
      <c r="F463" s="124"/>
      <c r="G463" s="125"/>
      <c r="J463" s="125"/>
      <c r="L463" s="107"/>
      <c r="M463" s="108"/>
      <c r="N463" s="108"/>
    </row>
    <row r="464" spans="1:14" x14ac:dyDescent="0.3">
      <c r="A464" s="77"/>
      <c r="B464" s="106"/>
      <c r="F464" s="124"/>
      <c r="G464" s="125"/>
      <c r="J464" s="125"/>
      <c r="L464" s="107"/>
      <c r="M464" s="108"/>
      <c r="N464" s="108"/>
    </row>
    <row r="465" spans="1:14" x14ac:dyDescent="0.3">
      <c r="A465" s="77"/>
      <c r="B465" s="106"/>
      <c r="F465" s="124"/>
      <c r="G465" s="125"/>
      <c r="J465" s="125"/>
      <c r="L465" s="107"/>
      <c r="M465" s="108"/>
      <c r="N465" s="108"/>
    </row>
    <row r="466" spans="1:14" x14ac:dyDescent="0.3">
      <c r="A466" s="77"/>
      <c r="B466" s="106"/>
      <c r="F466" s="124"/>
      <c r="G466" s="125"/>
      <c r="J466" s="125"/>
      <c r="L466" s="107"/>
      <c r="M466" s="108"/>
      <c r="N466" s="108"/>
    </row>
    <row r="467" spans="1:14" x14ac:dyDescent="0.3">
      <c r="A467" s="77"/>
      <c r="B467" s="106"/>
      <c r="F467" s="124"/>
      <c r="G467" s="125"/>
      <c r="J467" s="125"/>
      <c r="L467" s="107"/>
      <c r="M467" s="108"/>
      <c r="N467" s="108"/>
    </row>
    <row r="468" spans="1:14" x14ac:dyDescent="0.3">
      <c r="A468" s="77"/>
      <c r="B468" s="106"/>
      <c r="F468" s="124"/>
      <c r="G468" s="125"/>
      <c r="J468" s="125"/>
      <c r="L468" s="107"/>
      <c r="M468" s="108"/>
      <c r="N468" s="108"/>
    </row>
    <row r="469" spans="1:14" x14ac:dyDescent="0.3">
      <c r="A469" s="77"/>
      <c r="B469" s="106"/>
      <c r="F469" s="124"/>
      <c r="G469" s="125"/>
      <c r="J469" s="125"/>
      <c r="L469" s="107"/>
      <c r="M469" s="108"/>
      <c r="N469" s="108"/>
    </row>
    <row r="470" spans="1:14" x14ac:dyDescent="0.3">
      <c r="A470" s="77"/>
      <c r="B470" s="106"/>
      <c r="F470" s="124"/>
      <c r="G470" s="125"/>
      <c r="J470" s="125"/>
      <c r="L470" s="107"/>
      <c r="M470" s="108"/>
      <c r="N470" s="108"/>
    </row>
    <row r="471" spans="1:14" x14ac:dyDescent="0.3">
      <c r="A471" s="77"/>
      <c r="B471" s="106"/>
      <c r="F471" s="124"/>
      <c r="G471" s="125"/>
      <c r="J471" s="125"/>
      <c r="L471" s="107"/>
      <c r="M471" s="108"/>
      <c r="N471" s="108"/>
    </row>
    <row r="472" spans="1:14" x14ac:dyDescent="0.3">
      <c r="A472" s="77"/>
      <c r="B472" s="106"/>
      <c r="F472" s="124"/>
      <c r="G472" s="125"/>
      <c r="J472" s="125"/>
      <c r="L472" s="107"/>
      <c r="M472" s="108"/>
      <c r="N472" s="108"/>
    </row>
    <row r="473" spans="1:14" x14ac:dyDescent="0.3">
      <c r="A473" s="77"/>
      <c r="B473" s="106"/>
      <c r="F473" s="124"/>
      <c r="G473" s="125"/>
      <c r="J473" s="125"/>
      <c r="L473" s="107"/>
      <c r="M473" s="108"/>
      <c r="N473" s="108"/>
    </row>
    <row r="474" spans="1:14" x14ac:dyDescent="0.3">
      <c r="A474" s="77"/>
      <c r="B474" s="106"/>
      <c r="F474" s="124"/>
      <c r="G474" s="125"/>
      <c r="J474" s="125"/>
      <c r="L474" s="107"/>
      <c r="M474" s="108"/>
      <c r="N474" s="108"/>
    </row>
    <row r="475" spans="1:14" x14ac:dyDescent="0.3">
      <c r="A475" s="77"/>
      <c r="B475" s="106"/>
      <c r="F475" s="124"/>
      <c r="G475" s="125"/>
      <c r="J475" s="125"/>
      <c r="L475" s="107"/>
      <c r="M475" s="108"/>
      <c r="N475" s="108"/>
    </row>
    <row r="476" spans="1:14" x14ac:dyDescent="0.3">
      <c r="A476" s="77"/>
      <c r="B476" s="106"/>
      <c r="F476" s="124"/>
      <c r="G476" s="125"/>
      <c r="J476" s="125"/>
      <c r="L476" s="107"/>
      <c r="M476" s="108"/>
      <c r="N476" s="108"/>
    </row>
    <row r="477" spans="1:14" x14ac:dyDescent="0.3">
      <c r="A477" s="77"/>
      <c r="B477" s="106"/>
      <c r="F477" s="124"/>
      <c r="G477" s="125"/>
      <c r="J477" s="125"/>
      <c r="L477" s="107"/>
      <c r="M477" s="108"/>
      <c r="N477" s="108"/>
    </row>
    <row r="478" spans="1:14" x14ac:dyDescent="0.3">
      <c r="A478" s="77"/>
      <c r="B478" s="106"/>
      <c r="F478" s="124"/>
      <c r="G478" s="125"/>
      <c r="J478" s="125"/>
      <c r="L478" s="107"/>
      <c r="M478" s="108"/>
      <c r="N478" s="108"/>
    </row>
    <row r="479" spans="1:14" x14ac:dyDescent="0.3">
      <c r="A479" s="77"/>
      <c r="B479" s="106"/>
      <c r="F479" s="124"/>
      <c r="G479" s="125"/>
      <c r="J479" s="125"/>
      <c r="L479" s="107"/>
      <c r="M479" s="108"/>
      <c r="N479" s="108"/>
    </row>
    <row r="480" spans="1:14" x14ac:dyDescent="0.3">
      <c r="A480" s="77"/>
      <c r="B480" s="106"/>
      <c r="F480" s="124"/>
      <c r="G480" s="125"/>
      <c r="J480" s="125"/>
      <c r="L480" s="107"/>
      <c r="M480" s="108"/>
      <c r="N480" s="108"/>
    </row>
    <row r="481" spans="1:14" x14ac:dyDescent="0.3">
      <c r="A481" s="77"/>
      <c r="B481" s="106"/>
      <c r="F481" s="124"/>
      <c r="G481" s="125"/>
      <c r="J481" s="125"/>
      <c r="L481" s="107"/>
      <c r="M481" s="108"/>
      <c r="N481" s="108"/>
    </row>
  </sheetData>
  <conditionalFormatting sqref="I2:I89">
    <cfRule type="cellIs" dxfId="4" priority="1" operator="equal">
      <formula>"REVISAR"</formula>
    </cfRule>
    <cfRule type="cellIs" dxfId="3" priority="2" operator="equal">
      <formula>"CORRECTO"</formula>
    </cfRule>
  </conditionalFormatting>
  <conditionalFormatting sqref="L2:L89">
    <cfRule type="cellIs" dxfId="2" priority="3" operator="equal">
      <formula>"APROBADO"</formula>
    </cfRule>
    <cfRule type="cellIs" dxfId="1" priority="4" operator="equal">
      <formula>"PENDIENTE"</formula>
    </cfRule>
    <cfRule type="cellIs" dxfId="0" priority="5" operator="equal">
      <formula>"PAGADO"</formula>
    </cfRule>
  </conditionalFormatting>
  <dataValidations count="1">
    <dataValidation type="list" allowBlank="1" showErrorMessage="1" sqref="L2:L89" xr:uid="{89DF006E-13CE-4F3A-8626-E31474D56916}">
      <formula1>"PAGADO,PENDIENTE,APROBADO"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9B55433-39A0-4F78-94A0-3ACD53B4EE71}">
          <x14:formula1>
            <xm:f>'CUENTAS'!$A$2:$A$59</xm:f>
          </x14:formula1>
          <xm:sqref>C2:C89</xm:sqref>
        </x14:dataValidation>
        <x14:dataValidation type="list" allowBlank="1" showInputMessage="1" showErrorMessage="1" xr:uid="{1B794DE4-3FA6-43DF-9D5A-37C5E66C706F}">
          <x14:formula1>
            <xm:f>'CUENTAS'!$G$2:$G$16</xm:f>
          </x14:formula1>
          <xm:sqref>J2:J89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CONCENTRADO</vt:lpstr>
      <vt:lpstr>CUENTAS</vt:lpstr>
      <vt:lpstr>ENE25</vt:lpstr>
      <vt:lpstr>FEB25</vt:lpstr>
      <vt:lpstr>MAR25</vt:lpstr>
      <vt:lpstr>ABR25</vt:lpstr>
      <vt:lpstr>MAY25</vt:lpstr>
      <vt:lpstr>JUN25</vt:lpstr>
      <vt:lpstr>JUL25</vt:lpstr>
      <vt:lpstr>AGO25</vt:lpstr>
      <vt:lpstr>SEP25</vt:lpstr>
      <vt:lpstr>OCT25</vt:lpstr>
      <vt:lpstr>NOV25</vt:lpstr>
      <vt:lpstr>DIC25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Camarillo</dc:creator>
  <cp:lastModifiedBy>RODRIGO ROJAS ZARATE</cp:lastModifiedBy>
  <dcterms:created xsi:type="dcterms:W3CDTF">2024-07-01T19:37:55Z</dcterms:created>
  <dcterms:modified xsi:type="dcterms:W3CDTF">2025-11-26T23:09:51Z</dcterms:modified>
</cp:coreProperties>
</file>